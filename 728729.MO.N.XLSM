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updateLinks="never" codeName="ThisWorkbook" defaultThemeVersion="124226"/>
  <bookViews>
    <workbookView xWindow="405" yWindow="-210" windowWidth="25665" windowHeight="12045" tabRatio="814" firstSheet="2" activeTab="2"/>
  </bookViews>
  <sheets>
    <sheet name="MWare_Cached" sheetId="388" state="veryHidden" r:id="rId1"/>
    <sheet name="MW-Cache" sheetId="393" state="veryHidden" r:id="rId2"/>
    <sheet name="ImportantDisclosures" sheetId="529" r:id="rId3"/>
    <sheet name="CircularReferenceAlert" sheetId="532" r:id="rId4"/>
    <sheet name="IS" sheetId="515" r:id="rId5"/>
    <sheet name="BS" sheetId="123" r:id="rId6"/>
    <sheet name="CFS" sheetId="3" r:id="rId7"/>
    <sheet name="IndexInformation" sheetId="530" r:id="rId8"/>
    <sheet name="ModPubIndex" sheetId="531" r:id="rId9"/>
    <sheet name="__FDSCACHE__" sheetId="476" state="veryHidden" r:id="rId10"/>
  </sheets>
  <definedNames>
    <definedName name="__abc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__FDS_HYPERLINK_TOGGLE_STATE__" hidden="1">"ON"</definedName>
    <definedName name="__FDS_UNIQUE_RANGE_ID_GENERATOR_COUNTER" hidden="1">1</definedName>
    <definedName name="__IntlFixup" hidden="1">TRUE</definedName>
    <definedName name="_1__FDSAUDITLINK__" hidden="1">{"fdsup://directions/FAT%20Viewer?VAR:TM=NTMA&amp;VAR:PCT=0.945205&amp;VAR:Y0=2010&amp;VAR:Y1=2011&amp;VAR:V0=14.537344&amp;VAR:V1=12.063568&amp;VAR:V=14.375814&amp;VAR:AUDIT_ID=00000117&amp;VAR:DATE=20100120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Mean&amp;VAR:CHGPERIOD=NA&amp;VAR:FQLFORMULA=FMA_PE&amp;VAR:","CURRENCY=NA&amp;VAR:P=1138.040246&amp;VAR:V=14.375814&amp;VAR:null=.html"}</definedName>
    <definedName name="_10__FDSAUDITLINK__" hidden="1">{"fdsup://directions/FAT%20Viewer?VAR:TM=NTMA&amp;VAR:PCT=0.117808&amp;VAR:Y0=2009&amp;VAR:Y1=2010&amp;VAR:V0=17.719843&amp;VAR:V1=14.262275&amp;VAR:V=14.597839&amp;VAR:AUDIT_ID=00000117&amp;VAR:DATE=20091118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Mean&amp;VAR:CHGPERIOD=NA&amp;VAR:FQLFORMULA=FMA_PE&amp;VAR:","CURRENCY=NA&amp;VAR:P=1109.795845&amp;VAR:V=14.597839&amp;VAR:null=.html"}</definedName>
    <definedName name="_100__FDSAUDITLINK__" hidden="1">{"fdsup://directions/FAT%20Viewer?VAR:TM=NTMA&amp;VAR:PCT=0.841530&amp;VAR:Y0=2008&amp;VAR:Y1=2009&amp;VAR:V0=13.962825&amp;VAR:V1=12.365952&amp;VAR:V=13.682820&amp;VAR:AUDIT_ID=00000117&amp;VAR:DATE=20080227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Mean&amp;VAR:CHGPERIOD=NA&amp;VAR:FQLFORMULA=FMA_PE&amp;VAR:","CURRENCY=NA&amp;VAR:P=1380.023400&amp;VAR:V=13.682820&amp;VAR:null=.html"}</definedName>
    <definedName name="_101__FDSAUDITLINK__" hidden="1">{"fdsup://directions/FAT%20Viewer?VAR:TM=NTMA&amp;VAR:PCT=0.860656&amp;VAR:Y0=2008&amp;VAR:Y1=2009&amp;VAR:V0=13.690437&amp;VAR:V1=12.139791&amp;VAR:V=13.451025&amp;VAR:AUDIT_ID=00000117&amp;VAR:DATE=20080220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Mean&amp;VAR:CHGPERIOD=NA&amp;VAR:FQLFORMULA=FMA_PE&amp;VAR:","CURRENCY=NA&amp;VAR:P=1360.025800&amp;VAR:V=13.451025&amp;VAR:null=.html"}</definedName>
    <definedName name="_102__FDSAUDITLINK__" hidden="1">{"fdsup://directions/FAT%20Viewer?VAR:TM=NTMA&amp;VAR:PCT=0.879781&amp;VAR:Y0=2008&amp;VAR:Y1=2009&amp;VAR:V0=13.748177&amp;VAR:V1=12.205653&amp;VAR:V=13.542427&amp;VAR:AUDIT_ID=00000117&amp;VAR:DATE=20080213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Mean&amp;VAR:CHGPERIOD=NA&amp;VAR:FQLFORMULA=FMA_PE&amp;VAR:","CURRENCY=NA&amp;VAR:P=1367.210900&amp;VAR:V=13.542427&amp;VAR:null=.html"}</definedName>
    <definedName name="_103__FDSAUDITLINK__" hidden="1">{"fdsup://directions/FAT%20Viewer?VAR:TM=NTMA&amp;VAR:PCT=0.898907&amp;VAR:Y0=2008&amp;VAR:Y1=2009&amp;VAR:V0=13.283413&amp;VAR:V1=11.817311&amp;VAR:V=13.118876&amp;VAR:AUDIT_ID=00000117&amp;VAR:DATE=20080206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Mean&amp;VAR:CHGPERIOD=NA&amp;VAR:FQLFORMULA=FMA_PE&amp;VAR:","CURRENCY=NA&amp;VAR:P=1326.451800&amp;VAR:V=13.118876&amp;VAR:null=.html"}</definedName>
    <definedName name="_104__FDSAUDITLINK__" hidden="1">{"fdsup://directions/FAT%20Viewer?VAR:TM=NTMA&amp;VAR:PCT=0.918033&amp;VAR:Y0=2008&amp;VAR:Y1=2009&amp;VAR:V0=13.516717&amp;VAR:V1=12.050509&amp;VAR:V=13.383245&amp;VAR:AUDIT_ID=00000117&amp;VAR:DATE=20080130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Mean&amp;VAR:CHGPERIOD=NA&amp;VAR:FQLFORMULA=FMA_PE&amp;VAR:","CURRENCY=NA&amp;VAR:P=1355.814200&amp;VAR:V=13.383245&amp;VAR:null=.html"}</definedName>
    <definedName name="_105__FDSAUDITLINK__" hidden="1">{"fdsup://directions/FAT%20Viewer?VAR:TM=NTMA&amp;VAR:PCT=0.937158&amp;VAR:Y0=2008&amp;VAR:Y1=2009&amp;VAR:V0=13.304234&amp;VAR:V1=11.849280&amp;VAR:V=13.202362&amp;VAR:AUDIT_ID=00000117&amp;VAR:DATE=20080123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Mean&amp;VAR:CHGPERIOD=NA&amp;VAR:FQLFORMULA=FMA_PE&amp;VAR:","CURRENCY=NA&amp;VAR:P=1338.598400&amp;VAR:V=13.202362&amp;VAR:null=.html"}</definedName>
    <definedName name="_106__FDSAUDITLINK__" hidden="1">{"fdsup://directions/FAT%20Viewer?VAR:TM=NTMA&amp;VAR:PCT=0.956284&amp;VAR:Y0=2008&amp;VAR:Y1=2009&amp;VAR:V0=13.547884&amp;VAR:V1=12.040702&amp;VAR:V=13.474152&amp;VAR:AUDIT_ID=00000117&amp;VAR:DATE=20080116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Mean&amp;VAR:CHGPERIOD=NA&amp;VAR:FQLFORMULA=FMA_PE&amp;VAR:","CURRENCY=NA&amp;VAR:P=1373.200900&amp;VAR:V=13.474152&amp;VAR:null=.html"}</definedName>
    <definedName name="_107__FDSAUDITLINK__" hidden="1">{"fdsup://directions/FAT%20Viewer?VAR:TM=NTMA&amp;VAR:PCT=0.975410&amp;VAR:Y0=2008&amp;VAR:Y1=2009&amp;VAR:V0=13.776610&amp;VAR:V1=12.307309&amp;VAR:V=13.736285&amp;VAR:AUDIT_ID=00000117&amp;VAR:DATE=20080109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Mean&amp;VAR:CHGPERIOD=NA&amp;VAR:FQLFORMULA=FMA_PE&amp;VAR:","CURRENCY=NA&amp;VAR:P=1409.128400&amp;VAR:V=13.736285&amp;VAR:null=.html"}</definedName>
    <definedName name="_108__FDSAUDITLINK__" hidden="1">{"fdsup://directions/FAT%20Viewer?VAR:TM=NTMA&amp;VAR:PCT=0.994536&amp;VAR:Y0=2008&amp;VAR:Y1=2009&amp;VAR:V0=14.158742&amp;VAR:V1=12.606958&amp;VAR:V=14.149225&amp;VAR:AUDIT_ID=00000117&amp;VAR:DATE=20080102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Mean&amp;VAR:CHGPERIOD=NA&amp;VAR:FQLFORMULA=FMA_PE&amp;VAR:","CURRENCY=NA&amp;VAR:P=1447.158800&amp;VAR:V=14.149225&amp;VAR:null=.html"}</definedName>
    <definedName name="_109__FDSAUDITLINK__" hidden="1">{"fdsup://directions/FAT%20Viewer?VAR:TM=NTMA&amp;VAR:PCT=0.013699&amp;VAR:Y0=2007&amp;VAR:Y1=2008&amp;VAR:V0=16.973186&amp;VAR:V1=14.629088&amp;VAR:V=14.656817&amp;VAR:AUDIT_ID=00000117&amp;VAR:DATE=20071226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Mean&amp;VAR:CHGPERIOD=NA&amp;VAR:FQLFORMULA=FMA_PE&amp;VAR:","CURRENCY=NA&amp;VAR:P=1497.660200&amp;VAR:V=14.656817&amp;VAR:null=.html"}</definedName>
    <definedName name="_11__FDSAUDITLINK__" hidden="1">{"fdsup://directions/FAT%20Viewer?VAR:TM=NTMA&amp;VAR:PCT=0.136986&amp;VAR:Y0=2009&amp;VAR:Y1=2010&amp;VAR:V0=17.543444&amp;VAR:V1=14.170122&amp;VAR:V=14.553464&amp;VAR:AUDIT_ID=00000117&amp;VAR:DATE=20091111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Mean&amp;VAR:CHGPERIOD=NA&amp;VAR:FQLFORMULA=FMA_PE&amp;VAR:","CURRENCY=NA&amp;VAR:P=1098.507184&amp;VAR:V=14.553464&amp;VAR:null=.html"}</definedName>
    <definedName name="_110__FDSAUDITLINK__" hidden="1">{"fdsup://directions/FAT%20Viewer?VAR:TM=NTMA&amp;VAR:PCT=0.032877&amp;VAR:Y0=2007&amp;VAR:Y1=2008&amp;VAR:V0=16.352472&amp;VAR:V1=14.170704&amp;VAR:V=14.233137&amp;VAR:AUDIT_ID=00000117&amp;VAR:DATE=20071219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Mean&amp;VAR:CHGPERIOD=NA&amp;VAR:FQLFORMULA=FMA_PE&amp;VAR:","CURRENCY=NA&amp;VAR:P=1453.001600&amp;VAR:V=14.233137&amp;VAR:null=.html"}</definedName>
    <definedName name="_111__FDSAUDITLINK__" hidden="1">{"fdsup://directions/FAT%20Viewer?VAR:TM=NTMA&amp;VAR:PCT=0.052055&amp;VAR:Y0=2007&amp;VAR:Y1=2008&amp;VAR:V0=16.557512&amp;VAR:V1=14.392645&amp;VAR:V=14.491274&amp;VAR:AUDIT_ID=00000117&amp;VAR:DATE=20071212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Mean&amp;VAR:CHGPERIOD=NA&amp;VAR:FQLFORMULA=FMA_PE&amp;VAR:","CURRENCY=NA&amp;VAR:P=1486.590000&amp;VAR:V=14.491274&amp;VAR:null=.html"}</definedName>
    <definedName name="_112__FDSAUDITLINK__" hidden="1">{"fdsup://directions/FAT%20Viewer?VAR:TM=NTMA&amp;VAR:PCT=0.071233&amp;VAR:Y0=2007&amp;VAR:Y1=2008&amp;VAR:V0=16.491491&amp;VAR:V1=14.298088&amp;VAR:V=14.434845&amp;VAR:AUDIT_ID=00000117&amp;VAR:DATE=20071205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Mean&amp;VAR:CHGPERIOD=NA&amp;VAR:FQLFORMULA=FMA_PE&amp;VAR:","CURRENCY=NA&amp;VAR:P=1485.006700&amp;VAR:V=14.434845&amp;VAR:null=.html"}</definedName>
    <definedName name="_113__FDSAUDITLINK__" hidden="1">{"fdsup://directions/FAT%20Viewer?VAR:TM=NTMA&amp;VAR:PCT=0.090411&amp;VAR:Y0=2007&amp;VAR:Y1=2008&amp;VAR:V0=16.201181&amp;VAR:V1=14.103306&amp;VAR:V=14.270372&amp;VAR:AUDIT_ID=00000117&amp;VAR:DATE=20071128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Mean&amp;VAR:CHGPERIOD=NA&amp;VAR:FQLFORMULA=FMA_PE&amp;VAR:","CURRENCY=NA&amp;VAR:P=1469.021600&amp;VAR:V=14.270372&amp;VAR:null=.html"}</definedName>
    <definedName name="_114__FDSAUDITLINK__" hidden="1">{"fdsup://directions/FAT%20Viewer?VAR:TM=NTMA&amp;VAR:PCT=0.109589&amp;VAR:Y0=2007&amp;VAR:Y1=2008&amp;VAR:V0=15.586359&amp;VAR:V1=13.591414&amp;VAR:V=13.784768&amp;VAR:AUDIT_ID=00000117&amp;VAR:DATE=20071121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Mean&amp;VAR:CHGPERIOD=NA&amp;VAR:FQLFORMULA=FMA_PE&amp;VAR:","CURRENCY=NA&amp;VAR:P=1416.766800&amp;VAR:V=13.784768&amp;VAR:null=.html"}</definedName>
    <definedName name="_115__FDSAUDITLINK__" hidden="1">{"fdsup://directions/FAT%20Viewer?VAR:TM=NTMA&amp;VAR:PCT=0.128767&amp;VAR:Y0=2007&amp;VAR:Y1=2008&amp;VAR:V0=16.066053&amp;VAR:V1=14.036559&amp;VAR:V=14.268654&amp;VAR:AUDIT_ID=00000117&amp;VAR:DATE=20071114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Mean&amp;VAR:CHGPERIOD=NA&amp;VAR:FQLFORMULA=FMA_PE&amp;VAR:","CURRENCY=NA&amp;VAR:P=1470.581400&amp;VAR:V=14.268654&amp;VAR:null=.html"}</definedName>
    <definedName name="_116__FDSAUDITLINK__" hidden="1">{"fdsup://directions/FAT%20Viewer?VAR:TM=NTMA&amp;VAR:PCT=0.147945&amp;VAR:Y0=2007&amp;VAR:Y1=2008&amp;VAR:V0=16.000174&amp;VAR:V1=14.056462&amp;VAR:V=14.313715&amp;VAR:AUDIT_ID=00000117&amp;VAR:DATE=20071107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Mean&amp;VAR:CHGPERIOD=NA&amp;VAR:FQLFORMULA=FMA_PE&amp;VAR:","CURRENCY=NA&amp;VAR:P=1475.620100&amp;VAR:V=14.313715&amp;VAR:null=.html"}</definedName>
    <definedName name="_117__FDSAUDITLINK__" hidden="1">{"fdsup://directions/FAT%20Viewer?VAR:TM=NTMA&amp;VAR:PCT=0.167123&amp;VAR:Y0=2007&amp;VAR:Y1=2008&amp;VAR:V0=16.611944&amp;VAR:V1=14.717867&amp;VAR:V=15.003767&amp;VAR:AUDIT_ID=00000117&amp;VAR:DATE=20071031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Mean&amp;VAR:CHGPERIOD=NA&amp;VAR:FQLFORMULA=FMA_PE&amp;VAR:","CURRENCY=NA&amp;VAR:P=1549.377300&amp;VAR:V=15.003767&amp;VAR:null=.html"}</definedName>
    <definedName name="_118__FDSAUDITLINK__" hidden="1">{"fdsup://directions/FAT%20Viewer?VAR:TM=NTMA&amp;VAR:PCT=0.186301&amp;VAR:Y0=2007&amp;VAR:Y1=2008&amp;VAR:V0=16.222780&amp;VAR:V1=14.396406&amp;VAR:V=14.704824&amp;VAR:AUDIT_ID=00000117&amp;VAR:DATE=20071024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Mean&amp;VAR:CHGPERIOD=NA&amp;VAR:FQLFORMULA=FMA_PE&amp;VAR:","CURRENCY=NA&amp;VAR:P=1515.882400&amp;VAR:V=14.704824&amp;VAR:null=.html"}</definedName>
    <definedName name="_119__FDSAUDITLINK__" hidden="1">{"fdsup://directions/FAT%20Viewer?VAR:TM=NTMA&amp;VAR:PCT=0.205479&amp;VAR:Y0=2007&amp;VAR:Y1=2008&amp;VAR:V0=16.446798&amp;VAR:V1=14.602905&amp;VAR:V=14.947242&amp;VAR:AUDIT_ID=00000117&amp;VAR:DATE=20071017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Mean&amp;VAR:CHGPERIOD=NA&amp;VAR:FQLFORMULA=FMA_PE&amp;VAR:","CURRENCY=NA&amp;VAR:P=1541.242000&amp;VAR:V=14.947242&amp;VAR:null=.html"}</definedName>
    <definedName name="_12__FDSAUDITLINK__" hidden="1">{"fdsup://directions/FAT%20Viewer?VAR:TM=NTMA&amp;VAR:PCT=0.156164&amp;VAR:Y0=2009&amp;VAR:Y1=2010&amp;VAR:V0=16.774263&amp;VAR:V1=13.508475&amp;VAR:V=13.932061&amp;VAR:AUDIT_ID=00000117&amp;VAR:DATE=20091104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Mean&amp;VAR:CHGPERIOD=NA&amp;VAR:FQLFORMULA=FMA_PE&amp;VAR:","CURRENCY=NA&amp;VAR:P=1046.499943&amp;VAR:V=13.932061&amp;VAR:null=.html"}</definedName>
    <definedName name="_120__FDSAUDITLINK__" hidden="1">{"fdsup://directions/FAT%20Viewer?VAR:TM=NTMA&amp;VAR:PCT=0.224658&amp;VAR:Y0=2007&amp;VAR:Y1=2008&amp;VAR:V0=16.657938&amp;VAR:V1=14.799977&amp;VAR:V=15.180358&amp;VAR:AUDIT_ID=00000117&amp;VAR:DATE=20071010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Mean&amp;VAR:CHGPERIOD=NA&amp;VAR:FQLFORMULA=FMA_PE&amp;VAR:","CURRENCY=NA&amp;VAR:P=1562.474200&amp;VAR:V=15.180358&amp;VAR:null=.html"}</definedName>
    <definedName name="_121__FDSAUDITLINK__" hidden="1">{"fdsup://directions/FAT%20Viewer?VAR:TM=NTMA&amp;VAR:PCT=0.243836&amp;VAR:Y0=2007&amp;VAR:Y1=2008&amp;VAR:V0=16.339417&amp;VAR:V1=14.555689&amp;VAR:V=14.953740&amp;VAR:AUDIT_ID=00000117&amp;VAR:DATE=20071003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Mean&amp;VAR:CHGPERIOD=NA&amp;VAR:FQLFORMULA=FMA_PE&amp;VAR:","CURRENCY=NA&amp;VAR:P=1539.595000&amp;VAR:V=14.953740&amp;VAR:null=.html"}</definedName>
    <definedName name="_122__FDSAUDITLINK__" hidden="1">{"fdsup://directions/FAT%20Viewer?VAR:TM=NTMA&amp;VAR:PCT=0.263014&amp;VAR:Y0=2007&amp;VAR:Y1=2008&amp;VAR:V0=16.095644&amp;VAR:V1=14.432588&amp;VAR:V=14.835756&amp;VAR:AUDIT_ID=00000117&amp;VAR:DATE=20070926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Mean&amp;VAR:CHGPERIOD=NA&amp;VAR:FQLFORMULA=FMA_PE&amp;VAR:","CURRENCY=NA&amp;VAR:P=1525.423500&amp;VAR:V=14.835756&amp;VAR:null=.html"}</definedName>
    <definedName name="_123__FDSAUDITLINK__" hidden="1">{"fdsup://directions/FAT%20Viewer?VAR:TM=NTMA&amp;VAR:PCT=0.282192&amp;VAR:Y0=2007&amp;VAR:Y1=2008&amp;VAR:V0=16.099320&amp;VAR:V1=14.454342&amp;VAR:V=14.883485&amp;VAR:AUDIT_ID=00000117&amp;VAR:DATE=20070919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Mean&amp;VAR:CHGPERIOD=NA&amp;VAR:FQLFORMULA=FMA_PE&amp;VAR:","CURRENCY=NA&amp;VAR:P=1529.028100&amp;VAR:V=14.883485&amp;VAR:null=.html"}</definedName>
    <definedName name="_124__FDSAUDITLINK__" hidden="1">{"fdsup://directions/FAT%20Viewer?VAR:TM=NTMA&amp;VAR:PCT=0.301370&amp;VAR:Y0=2007&amp;VAR:Y1=2008&amp;VAR:V0=15.453083&amp;VAR:V1=13.882850&amp;VAR:V=14.321416&amp;VAR:AUDIT_ID=00000117&amp;VAR:DATE=20070912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Mean&amp;VAR:CHGPERIOD=NA&amp;VAR:FQLFORMULA=FMA_PE&amp;VAR:","CURRENCY=NA&amp;VAR:P=1471.555700&amp;VAR:V=14.321416&amp;VAR:null=.html"}</definedName>
    <definedName name="_125__FDSAUDITLINK__" hidden="1">{"fdsup://directions/FAT%20Viewer?VAR:TM=NTMA&amp;VAR:PCT=0.320548&amp;VAR:Y0=2007&amp;VAR:Y1=2008&amp;VAR:V0=15.433638&amp;VAR:V1=13.851696&amp;VAR:V=14.322269&amp;VAR:AUDIT_ID=00000117&amp;VAR:DATE=20070905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Mean&amp;VAR:CHGPERIOD=NA&amp;VAR:FQLFORMULA=FMA_PE&amp;VAR:","CURRENCY=NA&amp;VAR:P=1472.288700&amp;VAR:V=14.322269&amp;VAR:null=.html"}</definedName>
    <definedName name="_126__FDSAUDITLINK__" hidden="1">{"fdsup://directions/FAT%20Viewer?VAR:TM=NTMA&amp;VAR:PCT=0.339726&amp;VAR:Y0=2007&amp;VAR:Y1=2008&amp;VAR:V0=15.326876&amp;VAR:V1=13.767455&amp;VAR:V=14.260367&amp;VAR:AUDIT_ID=00000117&amp;VAR:DATE=20070829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Mean&amp;VAR:CHGPERIOD=NA&amp;VAR:FQLFORMULA=FMA_PE&amp;VAR:","CURRENCY=NA&amp;VAR:P=1463.756500&amp;VAR:V=14.260367&amp;VAR:null=.html"}</definedName>
    <definedName name="_127__FDSAUDITLINK__" hidden="1">{"fdsup://directions/FAT%20Viewer?VAR:TM=NTMA&amp;VAR:PCT=0.358904&amp;VAR:Y0=2007&amp;VAR:Y1=2008&amp;VAR:V0=15.321204&amp;VAR:V1=13.767275&amp;VAR:V=14.287353&amp;VAR:AUDIT_ID=00000117&amp;VAR:DATE=20070822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Mean&amp;VAR:CHGPERIOD=NA&amp;VAR:FQLFORMULA=FMA_PE&amp;VAR:","CURRENCY=NA&amp;VAR:P=1464.066500&amp;VAR:V=14.287353&amp;VAR:null=.html"}</definedName>
    <definedName name="_128__FDSAUDITLINK__" hidden="1">{"fdsup://directions/FAT%20Viewer?VAR:TM=NTMA&amp;VAR:PCT=0.378082&amp;VAR:Y0=2007&amp;VAR:Y1=2008&amp;VAR:V0=14.706899&amp;VAR:V1=13.224670&amp;VAR:V=13.748557&amp;VAR:AUDIT_ID=00000117&amp;VAR:DATE=20070815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Mean&amp;VAR:CHGPERIOD=NA&amp;VAR:FQLFORMULA=FMA_PE&amp;VAR:","CURRENCY=NA&amp;VAR:P=1406.695600&amp;VAR:V=13.748557&amp;VAR:null=.html"}</definedName>
    <definedName name="_129__FDSAUDITLINK__" hidden="1">{"fdsup://directions/FAT%20Viewer?VAR:TM=NTMA&amp;VAR:PCT=0.397260&amp;VAR:Y0=2007&amp;VAR:Y1=2008&amp;VAR:V0=15.666764&amp;VAR:V1=14.076368&amp;VAR:V=14.667887&amp;VAR:AUDIT_ID=00000117&amp;VAR:DATE=20070808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Mean&amp;VAR:CHGPERIOD=NA&amp;VAR:FQLFORMULA=FMA_PE&amp;VAR:","CURRENCY=NA&amp;VAR:P=1497.485500&amp;VAR:V=14.667887&amp;VAR:null=.html"}</definedName>
    <definedName name="_13__FDSAUDITLINK__" hidden="1">{"fdsup://directions/FAT%20Viewer?VAR:TM=NTMA&amp;VAR:PCT=0.175342&amp;VAR:Y0=2009&amp;VAR:Y1=2010&amp;VAR:V0=16.938500&amp;VAR:V1=13.529637&amp;VAR:V=14.024528&amp;VAR:AUDIT_ID=00000117&amp;VAR:DATE=20091028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Mean&amp;VAR:CHGPERIOD=NA&amp;VAR:FQLFORMULA=FMA_PE&amp;VAR:","CURRENCY=NA&amp;VAR:P=1042.631474&amp;VAR:V=14.024528&amp;VAR:null=.html"}</definedName>
    <definedName name="_130__FDSAUDITLINK__" hidden="1">{"fdsup://directions/FAT%20Viewer?VAR:TM=NTMA&amp;VAR:PCT=0.416438&amp;VAR:Y0=2007&amp;VAR:Y1=2008&amp;VAR:V0=15.340325&amp;VAR:V1=13.784058&amp;VAR:V=14.392087&amp;VAR:AUDIT_ID=00000117&amp;VAR:DATE=20070801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Mean&amp;VAR:CHGPERIOD=NA&amp;VAR:FQLFORMULA=FMA_PE&amp;VAR:","CURRENCY=NA&amp;VAR:P=1465.808200&amp;VAR:V=14.392087&amp;VAR:null=.html"}</definedName>
    <definedName name="_131__FDSAUDITLINK__" hidden="1">{"fdsup://directions/FAT%20Viewer?VAR:TM=NTMA&amp;VAR:PCT=0.435616&amp;VAR:Y0=2007&amp;VAR:Y1=2008&amp;VAR:V0=15.935640&amp;VAR:V1=14.315766&amp;VAR:V=14.979051&amp;VAR:AUDIT_ID=00000117&amp;VAR:DATE=20070725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Mean&amp;VAR:CHGPERIOD=NA&amp;VAR:FQLFORMULA=FMA_PE&amp;VAR:","CURRENCY=NA&amp;VAR:P=1518.091300&amp;VAR:V=14.979051&amp;VAR:null=.html"}</definedName>
    <definedName name="_132__FDSAUDITLINK__" hidden="1">{"fdsup://directions/FAT%20Viewer?VAR:TM=NTMA&amp;VAR:PCT=0.454795&amp;VAR:Y0=2007&amp;VAR:Y1=2008&amp;VAR:V0=16.283102&amp;VAR:V1=14.620242&amp;VAR:V=15.332344&amp;VAR:AUDIT_ID=00000117&amp;VAR:DATE=20070718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Mean&amp;VAR:CHGPERIOD=NA&amp;VAR:FQLFORMULA=FMA_PE&amp;VAR:","CURRENCY=NA&amp;VAR:P=1546.172700&amp;VAR:V=15.332344&amp;VAR:null=.html"}</definedName>
    <definedName name="_133__FDSAUDITLINK__" hidden="1">{"fdsup://directions/FAT%20Viewer?VAR:TM=NTMA&amp;VAR:PCT=0.473973&amp;VAR:Y0=2007&amp;VAR:Y1=2008&amp;VAR:V0=16.014465&amp;VAR:V1=14.362697&amp;VAR:V=15.100930&amp;VAR:AUDIT_ID=00000117&amp;VAR:DATE=20070711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Mean&amp;VAR:CHGPERIOD=NA&amp;VAR:FQLFORMULA=FMA_PE&amp;VAR:","CURRENCY=NA&amp;VAR:P=1518.755600&amp;VAR:V=15.100930&amp;VAR:null=.html"}</definedName>
    <definedName name="_134__FDSAUDITLINK__" hidden="1">{"fdsup://directions/FAT%20Viewer?VAR:TM=NTMA&amp;VAR:PCT=0.495890&amp;VAR:Y0=2007&amp;VAR:Y1=2008&amp;VAR:V0=16.078330&amp;VAR:V1=14.441639&amp;VAR:V=15.209395&amp;VAR:AUDIT_ID=00000117&amp;VAR:DATE=20070703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Mean&amp;VAR:CHGPERIOD=NA&amp;VAR:FQLFORMULA=FMA_PE&amp;VAR:","CURRENCY=NA&amp;VAR:P=1524.871100&amp;VAR:V=15.209395&amp;VAR:null=.html"}</definedName>
    <definedName name="_135__FDSAUDITLINK__" hidden="1">{"fdsup://directions/FAT%20Viewer?VAR:TM=NTMA&amp;VAR:PCT=0.512329&amp;VAR:Y0=2007&amp;VAR:Y1=2008&amp;VAR:V0=15.892796&amp;VAR:V1=14.276009&amp;VAR:V=15.060982&amp;VAR:AUDIT_ID=00000117&amp;VAR:DATE=20070627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Mean&amp;VAR:CHGPERIOD=NA&amp;VAR:FQLFORMULA=FMA_PE&amp;VAR:","CURRENCY=NA&amp;VAR:P=1506.344600&amp;VAR:V=15.060982&amp;VAR:null=.html"}</definedName>
    <definedName name="_136__FDSAUDITLINK__" hidden="1">{"fdsup://directions/FAT%20Viewer?VAR:TM=NTMA&amp;VAR:PCT=0.531507&amp;VAR:Y0=2007&amp;VAR:Y1=2008&amp;VAR:V0=15.970933&amp;VAR:V1=14.361560&amp;VAR:V=15.174285&amp;VAR:AUDIT_ID=00000117&amp;VAR:DATE=20070620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Mean&amp;VAR:CHGPERIOD=NA&amp;VAR:FQLFORMULA=FMA_PE&amp;VAR:","CURRENCY=NA&amp;VAR:P=1512.838300&amp;VAR:V=15.174285&amp;VAR:null=.html"}</definedName>
    <definedName name="_137__FDSAUDITLINK__" hidden="1">{"fdsup://directions/FAT%20Viewer?VAR:TM=NTMA&amp;VAR:PCT=0.550685&amp;VAR:Y0=2007&amp;VAR:Y1=2008&amp;VAR:V0=15.981171&amp;VAR:V1=14.391972&amp;VAR:V=15.225752&amp;VAR:AUDIT_ID=00000117&amp;VAR:DATE=20070613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Mean&amp;VAR:CHGPERIOD=NA&amp;VAR:FQLFORMULA=FMA_PE&amp;VAR:","CURRENCY=NA&amp;VAR:P=1515.673200&amp;VAR:V=15.225752&amp;VAR:null=.html"}</definedName>
    <definedName name="_138__FDSAUDITLINK__" hidden="1">{"fdsup://directions/FAT%20Viewer?VAR:TM=NTMA&amp;VAR:PCT=0.569863&amp;VAR:Y0=2007&amp;VAR:Y1=2008&amp;VAR:V0=16.014193&amp;VAR:V1=14.416838&amp;VAR:V=15.285703&amp;VAR:AUDIT_ID=00000117&amp;VAR:DATE=20070606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Mean&amp;VAR:CHGPERIOD=NA&amp;VAR:FQLFORMULA=FMA_PE&amp;VAR:","CURRENCY=NA&amp;VAR:P=1517.378500&amp;VAR:V=15.285703&amp;VAR:null=.html"}</definedName>
    <definedName name="_139__FDSAUDITLINK__" hidden="1">{"fdsup://directions/FAT%20Viewer?VAR:TM=NTMA&amp;VAR:PCT=0.589041&amp;VAR:Y0=2007&amp;VAR:Y1=2008&amp;VAR:V0=16.194330&amp;VAR:V1=14.557854&amp;VAR:V=15.479241&amp;VAR:AUDIT_ID=00000117&amp;VAR:DATE=20070530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Mean&amp;VAR:CHGPERIOD=NA&amp;VAR:FQLFORMULA=FMA_PE&amp;VAR:","CURRENCY=NA&amp;VAR:P=1530.230800&amp;VAR:V=15.479241&amp;VAR:null=.html"}</definedName>
    <definedName name="_14__FDSAUDITLINK__" hidden="1">{"fdsup://directions/FAT%20Viewer?VAR:TM=NTMA&amp;VAR:PCT=0.194521&amp;VAR:Y0=2009&amp;VAR:Y1=2010&amp;VAR:V0=17.742458&amp;VAR:V1=14.138943&amp;VAR:V=14.720512&amp;VAR:AUDIT_ID=00000117&amp;VAR:DATE=20091021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Mean&amp;VAR:CHGPERIOD=NA&amp;VAR:FQLFORMULA=FMA_PE&amp;VAR:","CURRENCY=NA&amp;VAR:P=1081.400641&amp;VAR:V=14.720512&amp;VAR:null=.html"}</definedName>
    <definedName name="_140__FDSAUDITLINK__" hidden="1">{"fdsup://directions/FAT%20Viewer?VAR:TM=NTMA&amp;VAR:PCT=0.608219&amp;VAR:Y0=2007&amp;VAR:Y1=2008&amp;VAR:V0=16.116035&amp;VAR:V1=14.479986&amp;VAR:V=15.432881&amp;VAR:AUDIT_ID=00000117&amp;VAR:DATE=20070523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Mean&amp;VAR:CHGPERIOD=NA&amp;VAR:FQLFORMULA=FMA_PE&amp;VAR:","CURRENCY=NA&amp;VAR:P=1522.275400&amp;VAR:V=15.432881&amp;VAR:null=.html"}</definedName>
    <definedName name="_141__FDSAUDITLINK__" hidden="1">{"fdsup://directions/FAT%20Viewer?VAR:TM=NTMA&amp;VAR:PCT=0.627397&amp;VAR:Y0=2007&amp;VAR:Y1=2008&amp;VAR:V0=16.050690&amp;VAR:V1=14.411290&amp;VAR:V=15.398021&amp;VAR:AUDIT_ID=00000117&amp;VAR:DATE=20070516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Mean&amp;VAR:CHGPERIOD=NA&amp;VAR:FQLFORMULA=FMA_PE&amp;VAR:","CURRENCY=NA&amp;VAR:P=1514.143100&amp;VAR:V=15.398021&amp;VAR:null=.html"}</definedName>
    <definedName name="_142__FDSAUDITLINK__" hidden="1">{"fdsup://directions/FAT%20Viewer?VAR:TM=NTMA&amp;VAR:PCT=0.646575&amp;VAR:Y0=2007&amp;VAR:Y1=2008&amp;VAR:V0=16.037346&amp;VAR:V1=14.416434&amp;VAR:V=15.424421&amp;VAR:AUDIT_ID=00000117&amp;VAR:DATE=20070509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Mean&amp;VAR:CHGPERIOD=NA&amp;VAR:FQLFORMULA=FMA_PE&amp;VAR:","CURRENCY=NA&amp;VAR:P=1512.579600&amp;VAR:V=15.424421&amp;VAR:null=.html"}</definedName>
    <definedName name="_143__FDSAUDITLINK__" hidden="1">{"fdsup://directions/FAT%20Viewer?VAR:TM=NTMA&amp;VAR:PCT=0.665753&amp;VAR:Y0=2007&amp;VAR:Y1=2008&amp;VAR:V0=15.859286&amp;VAR:V1=14.247064&amp;VAR:V=15.281288&amp;VAR:AUDIT_ID=00000117&amp;VAR:DATE=20070502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Mean&amp;VAR:CHGPERIOD=NA&amp;VAR:FQLFORMULA=FMA_PE&amp;VAR:","CURRENCY=NA&amp;VAR:P=1495.918300&amp;VAR:V=15.281288&amp;VAR:null=.html"}</definedName>
    <definedName name="_144__FDSAUDITLINK__" hidden="1">{"fdsup://directions/FAT%20Viewer?VAR:TM=NTMA&amp;VAR:PCT=0.684932&amp;VAR:Y0=2007&amp;VAR:Y1=2008&amp;VAR:V0=15.950359&amp;VAR:V1=14.287546&amp;VAR:V=15.386174&amp;VAR:AUDIT_ID=00000117&amp;VAR:DATE=20070425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Mean&amp;VAR:CHGPERIOD=NA&amp;VAR:FQLFORMULA=FMA_PE&amp;VAR:","CURRENCY=NA&amp;VAR:P=1495.417700&amp;VAR:V=15.386174&amp;VAR:null=.html"}</definedName>
    <definedName name="_145__FDSAUDITLINK__" hidden="1">{"fdsup://directions/FAT%20Viewer?VAR:TM=NTMA&amp;VAR:PCT=0.704110&amp;VAR:Y0=2007&amp;VAR:Y1=2008&amp;VAR:V0=15.746002&amp;VAR:V1=14.125628&amp;VAR:V=15.229095&amp;VAR:AUDIT_ID=00000117&amp;VAR:DATE=20070418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Mean&amp;VAR:CHGPERIOD=NA&amp;VAR:FQLFORMULA=FMA_PE&amp;VAR:","CURRENCY=NA&amp;VAR:P=1472.503400&amp;VAR:V=15.229095&amp;VAR:null=.html"}</definedName>
    <definedName name="_146__FDSAUDITLINK__" hidden="1">{"fdsup://directions/FAT%20Viewer?VAR:TM=NTMA&amp;VAR:PCT=0.723288&amp;VAR:Y0=2007&amp;VAR:Y1=2008&amp;VAR:V0=15.392545&amp;VAR:V1=13.811353&amp;VAR:V=14.919892&amp;VAR:AUDIT_ID=00000117&amp;VAR:DATE=20070411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Mean&amp;VAR:CHGPERIOD=NA&amp;VAR:FQLFORMULA=FMA_PE&amp;VAR:","CURRENCY=NA&amp;VAR:P=1438.871500&amp;VAR:V=14.919892&amp;VAR:null=.html"}</definedName>
    <definedName name="_147__FDSAUDITLINK__" hidden="1">{"fdsup://directions/FAT%20Viewer?VAR:TM=NTMA&amp;VAR:PCT=0.742466&amp;VAR:Y0=2007&amp;VAR:Y1=2008&amp;VAR:V0=15.393046&amp;VAR:V1=13.827224&amp;VAR:V=14.956849&amp;VAR:AUDIT_ID=00000117&amp;VAR:DATE=20070404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Mean&amp;VAR:CHGPERIOD=NA&amp;VAR:FQLFORMULA=FMA_PE&amp;VAR:","CURRENCY=NA&amp;VAR:P=1439.366200&amp;VAR:V=14.956849&amp;VAR:null=.html"}</definedName>
    <definedName name="_148__FDSAUDITLINK__" hidden="1">{"fdsup://directions/FAT%20Viewer?VAR:TM=NTMA&amp;VAR:PCT=0.761644&amp;VAR:Y0=2007&amp;VAR:Y1=2008&amp;VAR:V0=15.163485&amp;VAR:V1=13.625440&amp;VAR:V=14.766190&amp;VAR:AUDIT_ID=00000117&amp;VAR:DATE=20070328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Mean&amp;VAR:CHGPERIOD=NA&amp;VAR:FQLFORMULA=FMA_PE&amp;VAR:","CURRENCY=NA&amp;VAR:P=1417.228000&amp;VAR:V=14.766190&amp;VAR:null=.html"}</definedName>
    <definedName name="_149__FDSAUDITLINK__" hidden="1">{"fdsup://directions/FAT%20Viewer?VAR:TM=NTMA&amp;VAR:PCT=0.780822&amp;VAR:Y0=2007&amp;VAR:Y1=2008&amp;VAR:V0=15.323136&amp;VAR:V1=13.780080&amp;VAR:V=14.956070&amp;VAR:AUDIT_ID=00000117&amp;VAR:DATE=20070321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Mean&amp;VAR:CHGPERIOD=NA&amp;VAR:FQLFORMULA=FMA_PE&amp;VAR:","CURRENCY=NA&amp;VAR:P=1435.042500&amp;VAR:V=14.956070&amp;VAR:null=.html"}</definedName>
    <definedName name="_15__FDSAUDITLINK__" hidden="1">{"fdsup://directions/FAT%20Viewer?VAR:TM=NTMA&amp;VAR:PCT=0.213699&amp;VAR:Y0=2009&amp;VAR:Y1=2010&amp;VAR:V0=18.079996&amp;VAR:V1=14.394527&amp;VAR:V=15.050123&amp;VAR:AUDIT_ID=00000117&amp;VAR:DATE=20091014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Mean&amp;VAR:CHGPERIOD=NA&amp;VAR:FQLFORMULA=FMA_PE&amp;VAR:","CURRENCY=NA&amp;VAR:P=1092.022253&amp;VAR:V=15.050123&amp;VAR:null=.html"}</definedName>
    <definedName name="_150__FDSAUDITLINK__" hidden="1">{"fdsup://directions/FAT%20Viewer?VAR:TM=NTMA&amp;VAR:PCT=0.800000&amp;VAR:Y0=2007&amp;VAR:Y1=2008&amp;VAR:V0=14.773967&amp;VAR:V1=13.282761&amp;VAR:V=14.449528&amp;VAR:AUDIT_ID=00000117&amp;VAR:DATE=20070314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Mean&amp;VAR:CHGPERIOD=NA&amp;VAR:FQLFORMULA=FMA_PE&amp;VAR:","CURRENCY=NA&amp;VAR:P=1387.171500&amp;VAR:V=14.449528&amp;VAR:null=.html"}</definedName>
    <definedName name="_151__FDSAUDITLINK__" hidden="1">{"fdsup://directions/FAT%20Viewer?VAR:TM=NTMA&amp;VAR:PCT=0.819178&amp;VAR:Y0=2007&amp;VAR:Y1=2008&amp;VAR:V0=14.824002&amp;VAR:V1=13.338001&amp;VAR:V=14.531262&amp;VAR:AUDIT_ID=00000117&amp;VAR:DATE=20070307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Mean&amp;VAR:CHGPERIOD=NA&amp;VAR:FQLFORMULA=FMA_PE&amp;VAR:","CURRENCY=NA&amp;VAR:P=1391.967200&amp;VAR:V=14.531262&amp;VAR:null=.html"}</definedName>
    <definedName name="_152__FDSAUDITLINK__" hidden="1">{"fdsup://directions/FAT%20Viewer?VAR:TM=NTMA&amp;VAR:PCT=0.838356&amp;VAR:Y0=2007&amp;VAR:Y1=2008&amp;VAR:V0=14.987655&amp;VAR:V1=13.505307&amp;VAR:V=14.726378&amp;VAR:AUDIT_ID=00000117&amp;VAR:DATE=20070228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Mean&amp;VAR:CHGPERIOD=NA&amp;VAR:FQLFORMULA=FMA_PE&amp;VAR:","CURRENCY=NA&amp;VAR:P=1406.819000&amp;VAR:V=14.726378&amp;VAR:null=.html"}</definedName>
    <definedName name="_153__FDSAUDITLINK__" hidden="1">{"fdsup://directions/FAT%20Viewer?VAR:TM=NTMA&amp;VAR:PCT=0.857534&amp;VAR:Y0=2007&amp;VAR:Y1=2008&amp;VAR:V0=15.511992&amp;VAR:V1=13.982826&amp;VAR:V=15.274021&amp;VAR:AUDIT_ID=00000117&amp;VAR:DATE=20070221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Mean&amp;VAR:CHGPERIOD=NA&amp;VAR:FQLFORMULA=FMA_PE&amp;VAR:","CURRENCY=NA&amp;VAR:P=1457.627700&amp;VAR:V=15.274021&amp;VAR:null=.html"}</definedName>
    <definedName name="_154__FDSAUDITLINK__" hidden="1">{"fdsup://directions/FAT%20Viewer?VAR:TM=NTMA&amp;VAR:PCT=0.876712&amp;VAR:Y0=2007&amp;VAR:Y1=2008&amp;VAR:V0=15.484102&amp;VAR:V1=13.963476&amp;VAR:V=15.278966&amp;VAR:AUDIT_ID=00000117&amp;VAR:DATE=20070214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Mean&amp;VAR:CHGPERIOD=NA&amp;VAR:FQLFORMULA=FMA_PE&amp;VAR:","CURRENCY=NA&amp;VAR:P=1455.301100&amp;VAR:V=15.278966&amp;VAR:null=.html"}</definedName>
    <definedName name="_155__FDSAUDITLINK__" hidden="1">{"fdsup://directions/FAT%20Viewer?VAR:TM=NTMA&amp;VAR:PCT=0.895890&amp;VAR:Y0=2007&amp;VAR:Y1=2008&amp;VAR:V0=15.423594&amp;VAR:V1=13.931126&amp;VAR:V=15.253465&amp;VAR:AUDIT_ID=00000117&amp;VAR:DATE=20070207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Mean&amp;VAR:CHGPERIOD=NA&amp;VAR:FQLFORMULA=FMA_PE&amp;VAR:","CURRENCY=NA&amp;VAR:P=1450.015700&amp;VAR:V=15.253465&amp;VAR:null=.html"}</definedName>
    <definedName name="_156__FDSAUDITLINK__" hidden="1">{"fdsup://directions/FAT%20Viewer?VAR:TM=NTMA&amp;VAR:PCT=0.915068&amp;VAR:Y0=2007&amp;VAR:Y1=2008&amp;VAR:V0=15.258494&amp;VAR:V1=13.723666&amp;VAR:V=15.114924&amp;VAR:AUDIT_ID=00000117&amp;VAR:DATE=20070131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Mean&amp;VAR:CHGPERIOD=NA&amp;VAR:FQLFORMULA=FMA_PE&amp;VAR:","CURRENCY=NA&amp;VAR:P=1438.242900&amp;VAR:V=15.114924&amp;VAR:null=.html"}</definedName>
    <definedName name="_157__FDSAUDITLINK__" hidden="1">{"fdsup://directions/FAT%20Viewer?VAR:TM=NTMA&amp;VAR:PCT=0.934247&amp;VAR:Y0=2007&amp;VAR:Y1=2008&amp;VAR:V0=15.243369&amp;VAR:V1=13.737207&amp;VAR:V=15.134262&amp;VAR:AUDIT_ID=00000117&amp;VAR:DATE=20070124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Mean&amp;VAR:CHGPERIOD=NA&amp;VAR:FQLFORMULA=FMA_PE&amp;VAR:","CURRENCY=NA&amp;VAR:P=1440.131300&amp;VAR:V=15.134262&amp;VAR:null=.html"}</definedName>
    <definedName name="_158__FDSAUDITLINK__" hidden="1">{"fdsup://directions/FAT%20Viewer?VAR:TM=NTMA&amp;VAR:PCT=0.953425&amp;VAR:Y0=2007&amp;VAR:Y1=2008&amp;VAR:V0=15.084905&amp;VAR:V1=13.703467&amp;VAR:V=15.014409&amp;VAR:AUDIT_ID=00000117&amp;VAR:DATE=20070117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Mean&amp;VAR:CHGPERIOD=NA&amp;VAR:FQLFORMULA=FMA_PE&amp;VAR:","CURRENCY=NA&amp;VAR:P=1430.618700&amp;VAR:V=15.014409&amp;VAR:null=.html"}</definedName>
    <definedName name="_159__FDSAUDITLINK__" hidden="1">{"fdsup://directions/FAT%20Viewer?VAR:TM=NTMA&amp;VAR:PCT=0.972603&amp;VAR:Y0=2007&amp;VAR:Y1=2008&amp;VAR:V0=14.890145&amp;VAR:V1=13.539783&amp;VAR:V=14.849570&amp;VAR:AUDIT_ID=00000117&amp;VAR:DATE=20070110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Mean&amp;VAR:CHGPERIOD=NA&amp;VAR:FQLFORMULA=FMA_PE&amp;VAR:","CURRENCY=NA&amp;VAR:P=1414.850000&amp;VAR:V=14.849570&amp;VAR:null=.html"}</definedName>
    <definedName name="_16__FDSAUDITLINK__" hidden="1">{"fdsup://directions/FAT%20Viewer?VAR:TM=NTMA&amp;VAR:PCT=0.232877&amp;VAR:Y0=2009&amp;VAR:Y1=2010&amp;VAR:V0=17.601420&amp;VAR:V1=13.989414&amp;VAR:V=14.691504&amp;VAR:AUDIT_ID=00000117&amp;VAR:DATE=20091007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Mean&amp;VAR:CHGPERIOD=NA&amp;VAR:FQLFORMULA=FMA_PE&amp;VAR:","CURRENCY=NA&amp;VAR:P=1057.584917&amp;VAR:V=14.691504&amp;VAR:null=.html"}</definedName>
    <definedName name="_160__FDSAUDITLINK__" hidden="1">{"fdsup://directions/FAT%20Viewer?VAR:TM=NTMA&amp;VAR:PCT=0.991781&amp;VAR:Y0=2007&amp;VAR:Y1=2008&amp;VAR:V0=14.802524&amp;VAR:V1=13.452315&amp;VAR:V=14.790323&amp;VAR:AUDIT_ID=00000117&amp;VAR:DATE=20070103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Mean&amp;VAR:CHGPERIOD=NA&amp;VAR:FQLFORMULA=FMA_PE&amp;VAR:","CURRENCY=NA&amp;VAR:P=1416.602000&amp;VAR:V=14.790323&amp;VAR:null=.html"}</definedName>
    <definedName name="_161__FDSAUDITLINK__" hidden="1">{"fdsup://directions/FAT%20Viewer?VAR:TM=NTMA&amp;VAR:PCT=0.010959&amp;VAR:Y0=2006&amp;VAR:Y1=2007&amp;VAR:V0=16.347440&amp;VAR:V1=14.998883&amp;VAR:V=15.012455&amp;VAR:AUDIT_ID=00000117&amp;VAR:DATE=20061227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Mean&amp;VAR:CHGPERIOD=NA&amp;VAR:FQLFORMULA=FMA_PE&amp;VAR:","CURRENCY=NA&amp;VAR:P=1426.835800&amp;VAR:V=15.012455&amp;VAR:null=.html"}</definedName>
    <definedName name="_162__FDSAUDITLINK__" hidden="1">{"fdsup://directions/FAT%20Viewer?VAR:TM=NTMA&amp;VAR:PCT=0.030137&amp;VAR:Y0=2006&amp;VAR:Y1=2007&amp;VAR:V0=16.305658&amp;VAR:V1=14.958488&amp;VAR:V=14.995826&amp;VAR:AUDIT_ID=00000117&amp;VAR:DATE=20061220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Mean&amp;VAR:CHGPERIOD=NA&amp;VAR:FQLFORMULA=FMA_PE&amp;VAR:","CURRENCY=NA&amp;VAR:P=1423.526100&amp;VAR:V=14.995826&amp;VAR:null=.html"}</definedName>
    <definedName name="_163__FDSAUDITLINK__" hidden="1">{"fdsup://directions/FAT%20Viewer?VAR:TM=NTMA&amp;VAR:PCT=0.049315&amp;VAR:Y0=2006&amp;VAR:Y1=2007&amp;VAR:V0=16.187407&amp;VAR:V1=14.840766&amp;VAR:V=14.901902&amp;VAR:AUDIT_ID=00000117&amp;VAR:DATE=20061213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Mean&amp;VAR:CHGPERIOD=NA&amp;VAR:FQLFORMULA=FMA_PE&amp;VAR:","CURRENCY=NA&amp;VAR:P=1413.214200&amp;VAR:V=14.901902&amp;VAR:null=.html"}</definedName>
    <definedName name="_164__FDSAUDITLINK__" hidden="1">{"fdsup://directions/FAT%20Viewer?VAR:TM=NTMA&amp;VAR:PCT=0.068493&amp;VAR:Y0=2006&amp;VAR:Y1=2007&amp;VAR:V0=16.196144&amp;VAR:V1=14.826606&amp;VAR:V=14.912978&amp;VAR:AUDIT_ID=00000117&amp;VAR:DATE=20061206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Mean&amp;VAR:CHGPERIOD=NA&amp;VAR:FQLFORMULA=FMA_PE&amp;VAR:","CURRENCY=NA&amp;VAR:P=1412.899700&amp;VAR:V=14.912978&amp;VAR:null=.html"}</definedName>
    <definedName name="_165__FDSAUDITLINK__" hidden="1">{"fdsup://directions/FAT%20Viewer?VAR:TM=NTMA&amp;VAR:PCT=0.087671&amp;VAR:Y0=2006&amp;VAR:Y1=2007&amp;VAR:V0=16.042078&amp;VAR:V1=14.683194&amp;VAR:V=14.793053&amp;VAR:AUDIT_ID=00000117&amp;VAR:DATE=20061129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Mean&amp;VAR:CHGPERIOD=NA&amp;VAR:FQLFORMULA=FMA_PE&amp;VAR:","CURRENCY=NA&amp;VAR:P=1399.484300&amp;VAR:V=14.793053&amp;VAR:null=.html"}</definedName>
    <definedName name="_166__FDSAUDITLINK__" hidden="1">{"fdsup://directions/FAT%20Viewer?VAR:TM=NTMA&amp;VAR:PCT=0.106849&amp;VAR:Y0=2006&amp;VAR:Y1=2007&amp;VAR:V0=16.123842&amp;VAR:V1=14.747293&amp;VAR:V=14.883057&amp;VAR:AUDIT_ID=00000117&amp;VAR:DATE=20061122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Mean&amp;VAR:CHGPERIOD=NA&amp;VAR:FQLFORMULA=FMA_PE&amp;VAR:","CURRENCY=NA&amp;VAR:P=1406.091100&amp;VAR:V=14.883057&amp;VAR:null=.html"}</definedName>
    <definedName name="_167__FDSAUDITLINK__" hidden="1">{"fdsup://directions/FAT%20Viewer?VAR:TM=NTMA&amp;VAR:PCT=0.126027&amp;VAR:Y0=2006&amp;VAR:Y1=2007&amp;VAR:V0=16.013748&amp;VAR:V1=14.645274&amp;VAR:V=14.804718&amp;VAR:AUDIT_ID=00000117&amp;VAR:DATE=20061115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Mean&amp;VAR:CHGPERIOD=NA&amp;VAR:FQLFORMULA=FMA_PE&amp;VAR:","CURRENCY=NA&amp;VAR:P=1396.570800&amp;VAR:V=14.804718&amp;VAR:null=.html"}</definedName>
    <definedName name="_168__FDSAUDITLINK__" hidden="1">{"fdsup://directions/FAT%20Viewer?VAR:TM=NTMA&amp;VAR:PCT=0.145205&amp;VAR:Y0=2006&amp;VAR:Y1=2007&amp;VAR:V0=15.894709&amp;VAR:V1=14.533325&amp;VAR:V=14.716350&amp;VAR:AUDIT_ID=00000117&amp;VAR:DATE=20061108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Mean&amp;VAR:CHGPERIOD=NA&amp;VAR:FQLFORMULA=FMA_PE&amp;VAR:","CURRENCY=NA&amp;VAR:P=1385.716900&amp;VAR:V=14.716350&amp;VAR:null=.html"}</definedName>
    <definedName name="_169__FDSAUDITLINK__" hidden="1">{"fdsup://directions/FAT%20Viewer?VAR:TM=NTMA&amp;VAR:PCT=0.164384&amp;VAR:Y0=2006&amp;VAR:Y1=2007&amp;VAR:V0=15.672894&amp;VAR:V1=14.323911&amp;VAR:V=14.529484&amp;VAR:AUDIT_ID=00000117&amp;VAR:DATE=20061101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Mean&amp;VAR:CHGPERIOD=NA&amp;VAR:FQLFORMULA=FMA_PE&amp;VAR:","CURRENCY=NA&amp;VAR:P=1367.806600&amp;VAR:V=14.529484&amp;VAR:null=.html"}</definedName>
    <definedName name="_17__FDSAUDITLINK__" hidden="1">{"fdsup://directions/FAT%20Viewer?VAR:TM=NTMA&amp;VAR:PCT=0.252055&amp;VAR:Y0=2009&amp;VAR:Y1=2010&amp;VAR:V0=17.561546&amp;VAR:V1=13.985313&amp;VAR:V=14.741997&amp;VAR:AUDIT_ID=00000117&amp;VAR:DATE=20090930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Mean&amp;VAR:CHGPERIOD=NA&amp;VAR:FQLFORMULA=FMA_PE&amp;VAR:","CURRENCY=NA&amp;VAR:P=1057.078558&amp;VAR:V=14.741997&amp;VAR:null=.html"}</definedName>
    <definedName name="_170__FDSAUDITLINK__" hidden="1">{"fdsup://directions/FAT%20Viewer?VAR:TM=NTMA&amp;VAR:PCT=0.183562&amp;VAR:Y0=2006&amp;VAR:Y1=2007&amp;VAR:V0=15.882895&amp;VAR:V1=14.470308&amp;VAR:V=14.710464&amp;VAR:AUDIT_ID=00000117&amp;VAR:DATE=20061025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Mean&amp;VAR:CHGPERIOD=NA&amp;VAR:FQLFORMULA=FMA_PE&amp;VAR:","CURRENCY=NA&amp;VAR:P=1382.224600&amp;VAR:V=14.710464&amp;VAR:null=.html"}</definedName>
    <definedName name="_171__FDSAUDITLINK__" hidden="1">{"fdsup://directions/FAT%20Viewer?VAR:TM=NTMA&amp;VAR:PCT=0.202740&amp;VAR:Y0=2006&amp;VAR:Y1=2007&amp;VAR:V0=15.729761&amp;VAR:V1=14.314143&amp;VAR:V=14.580170&amp;VAR:AUDIT_ID=00000117&amp;VAR:DATE=20061018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Mean&amp;VAR:CHGPERIOD=NA&amp;VAR:FQLFORMULA=FMA_PE&amp;VAR:","CURRENCY=NA&amp;VAR:P=1365.961900&amp;VAR:V=14.580170&amp;VAR:null=.html"}</definedName>
    <definedName name="_172__FDSAUDITLINK__" hidden="1">{"fdsup://directions/FAT%20Viewer?VAR:TM=NTMA&amp;VAR:PCT=0.221918&amp;VAR:Y0=2006&amp;VAR:Y1=2007&amp;VAR:V0=15.561542&amp;VAR:V1=14.135307&amp;VAR:V=14.428775&amp;VAR:AUDIT_ID=00000117&amp;VAR:DATE=20061011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Mean&amp;VAR:CHGPERIOD=NA&amp;VAR:FQLFORMULA=FMA_PE&amp;VAR:","CURRENCY=NA&amp;VAR:P=1349.953500&amp;VAR:V=14.428775&amp;VAR:null=.html"}</definedName>
    <definedName name="_173__FDSAUDITLINK__" hidden="1">{"fdsup://directions/FAT%20Viewer?VAR:TM=NTMA&amp;VAR:PCT=0.241096&amp;VAR:Y0=2006&amp;VAR:Y1=2007&amp;VAR:V0=15.558382&amp;VAR:V1=14.111854&amp;VAR:V=14.435434&amp;VAR:AUDIT_ID=00000117&amp;VAR:DATE=20061004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Mean&amp;VAR:CHGPERIOD=NA&amp;VAR:FQLFORMULA=FMA_PE&amp;VAR:","CURRENCY=NA&amp;VAR:P=1350.217500&amp;VAR:V=14.435434&amp;VAR:null=.html"}</definedName>
    <definedName name="_174__FDSAUDITLINK__" hidden="1">{"fdsup://directions/FAT%20Viewer?VAR:TM=NTMA&amp;VAR:PCT=0.260274&amp;VAR:Y0=2006&amp;VAR:Y1=2007&amp;VAR:V0=15.386395&amp;VAR:V1=13.957548&amp;VAR:V=14.303260&amp;VAR:AUDIT_ID=00000117&amp;VAR:DATE=20060927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Mean&amp;VAR:CHGPERIOD=NA&amp;VAR:FQLFORMULA=FMA_PE&amp;VAR:","CURRENCY=NA&amp;VAR:P=1336.590700&amp;VAR:V=14.303260&amp;VAR:null=.html"}</definedName>
    <definedName name="_175__FDSAUDITLINK__" hidden="1">{"fdsup://directions/FAT%20Viewer?VAR:TM=NTMA&amp;VAR:PCT=0.279452&amp;VAR:Y0=2006&amp;VAR:Y1=2007&amp;VAR:V0=15.244107&amp;VAR:V1=13.841422&amp;VAR:V=14.206730&amp;VAR:AUDIT_ID=00000117&amp;VAR:DATE=20060920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Mean&amp;VAR:CHGPERIOD=NA&amp;VAR:FQLFORMULA=FMA_PE&amp;VAR:","CURRENCY=NA&amp;VAR:P=1325.175000&amp;VAR:V=14.206730&amp;VAR:null=.html"}</definedName>
    <definedName name="_176__FDSAUDITLINK__" hidden="1">{"fdsup://directions/FAT%20Viewer?VAR:TM=NTMA&amp;VAR:PCT=0.298630&amp;VAR:Y0=2006&amp;VAR:Y1=2007&amp;VAR:V0=15.157392&amp;VAR:V1=13.771050&amp;VAR:V=14.157750&amp;VAR:AUDIT_ID=00000117&amp;VAR:DATE=20060913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Mean&amp;VAR:CHGPERIOD=NA&amp;VAR:FQLFORMULA=FMA_PE&amp;VAR:","CURRENCY=NA&amp;VAR:P=1318.067400&amp;VAR:V=14.157750&amp;VAR:null=.html"}</definedName>
    <definedName name="_177__FDSAUDITLINK__" hidden="1">{"fdsup://directions/FAT%20Viewer?VAR:TM=NTMA&amp;VAR:PCT=0.317808&amp;VAR:Y0=2006&amp;VAR:Y1=2007&amp;VAR:V0=14.941862&amp;VAR:V1=13.572969&amp;VAR:V=13.980009&amp;VAR:AUDIT_ID=00000117&amp;VAR:DATE=20060906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Mean&amp;VAR:CHGPERIOD=NA&amp;VAR:FQLFORMULA=FMA_PE&amp;VAR:","CURRENCY=NA&amp;VAR:P=1300.259400&amp;VAR:V=13.980009&amp;VAR:null=.html"}</definedName>
    <definedName name="_178__FDSAUDITLINK__" hidden="1">{"fdsup://directions/FAT%20Viewer?VAR:TM=NTMA&amp;VAR:PCT=0.336986&amp;VAR:Y0=2006&amp;VAR:Y1=2007&amp;VAR:V0=14.982584&amp;VAR:V1=13.626705&amp;VAR:V=14.055340&amp;VAR:AUDIT_ID=00000117&amp;VAR:DATE=20060830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Mean&amp;VAR:CHGPERIOD=NA&amp;VAR:FQLFORMULA=FMA_PE&amp;VAR:","CURRENCY=NA&amp;VAR:P=1304.266200&amp;VAR:V=14.055340&amp;VAR:null=.html"}</definedName>
    <definedName name="_179__FDSAUDITLINK__" hidden="1">{"fdsup://directions/FAT%20Viewer?VAR:TM=NTMA&amp;VAR:PCT=0.356164&amp;VAR:Y0=2006&amp;VAR:Y1=2007&amp;VAR:V0=14.852181&amp;VAR:V1=13.506065&amp;VAR:V=13.956593&amp;VAR:AUDIT_ID=00000117&amp;VAR:DATE=20060823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Mean&amp;VAR:CHGPERIOD=NA&amp;VAR:FQLFORMULA=FMA_PE&amp;VAR:","CURRENCY=NA&amp;VAR:P=1292.993200&amp;VAR:V=13.956593&amp;VAR:null=.html"}</definedName>
    <definedName name="_18__FDSAUDITLINK__" hidden="1">{"fdsup://directions/FAT%20Viewer?VAR:TM=NTMA&amp;VAR:PCT=0.271233&amp;VAR:Y0=2009&amp;VAR:Y1=2010&amp;VAR:V0=17.639053&amp;VAR:V1=14.054587&amp;VAR:V=14.874432&amp;VAR:AUDIT_ID=00000117&amp;VAR:DATE=20090923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Mean&amp;VAR:CHGPERIOD=NA&amp;VAR:FQLFORMULA=FMA_PE&amp;VAR:","CURRENCY=NA&amp;VAR:P=1060.865308&amp;VAR:V=14.874432&amp;VAR:null=.html"}</definedName>
    <definedName name="_180__FDSAUDITLINK__" hidden="1">{"fdsup://directions/FAT%20Viewer?VAR:TM=NTMA&amp;VAR:PCT=0.375342&amp;VAR:Y0=2006&amp;VAR:Y1=2007&amp;VAR:V0=14.869858&amp;VAR:V1=13.529614&amp;VAR:V=14.003350&amp;VAR:AUDIT_ID=00000117&amp;VAR:DATE=20060816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Mean&amp;VAR:CHGPERIOD=NA&amp;VAR:FQLFORMULA=FMA_PE&amp;VAR:","CURRENCY=NA&amp;VAR:P=1295.426100&amp;VAR:V=14.003350&amp;VAR:null=.html"}</definedName>
    <definedName name="_181__FDSAUDITLINK__" hidden="1">{"fdsup://directions/FAT%20Viewer?VAR:TM=NTMA&amp;VAR:PCT=0.394521&amp;VAR:Y0=2006&amp;VAR:Y1=2007&amp;VAR:V0=14.524922&amp;VAR:V1=13.210639&amp;VAR:V=13.699692&amp;VAR:AUDIT_ID=00000117&amp;VAR:DATE=20060809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Mean&amp;VAR:CHGPERIOD=NA&amp;VAR:FQLFORMULA=FMA_PE&amp;VAR:","CURRENCY=NA&amp;VAR:P=1265.949500&amp;VAR:V=13.699692&amp;VAR:null=.html"}</definedName>
    <definedName name="_182__FDSAUDITLINK__" hidden="1">{"fdsup://directions/FAT%20Viewer?VAR:TM=NTMA&amp;VAR:PCT=0.413699&amp;VAR:Y0=2006&amp;VAR:Y1=2007&amp;VAR:V0=14.667194&amp;VAR:V1=13.329585&amp;VAR:V=13.852204&amp;VAR:AUDIT_ID=00000117&amp;VAR:DATE=20060802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Mean&amp;VAR:CHGPERIOD=NA&amp;VAR:FQLFORMULA=FMA_PE&amp;VAR:","CURRENCY=NA&amp;VAR:P=1278.549100&amp;VAR:V=13.852204&amp;VAR:null=.html"}</definedName>
    <definedName name="_183__FDSAUDITLINK__" hidden="1">{"fdsup://directions/FAT%20Viewer?VAR:TM=NTMA&amp;VAR:PCT=0.432877&amp;VAR:Y0=2006&amp;VAR:Y1=2007&amp;VAR:V0=14.576071&amp;VAR:V1=13.250731&amp;VAR:V=13.793644&amp;VAR:AUDIT_ID=00000117&amp;VAR:DATE=20060726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Mean&amp;VAR:CHGPERIOD=NA&amp;VAR:FQLFORMULA=FMA_PE&amp;VAR:","CURRENCY=NA&amp;VAR:P=1268.399900&amp;VAR:V=13.793644&amp;VAR:null=.html"}</definedName>
    <definedName name="_184__FDSAUDITLINK__" hidden="1">{"fdsup://directions/FAT%20Viewer?VAR:TM=NTMA&amp;VAR:PCT=0.452055&amp;VAR:Y0=2006&amp;VAR:Y1=2007&amp;VAR:V0=14.537385&amp;VAR:V1=13.178212&amp;VAR:V=13.759767&amp;VAR:AUDIT_ID=00000117&amp;VAR:DATE=20060719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Mean&amp;VAR:CHGPERIOD=NA&amp;VAR:FQLFORMULA=FMA_PE&amp;VAR:","CURRENCY=NA&amp;VAR:P=1259.812500&amp;VAR:V=13.759767&amp;VAR:null=.html"}</definedName>
    <definedName name="_185__FDSAUDITLINK__" hidden="1">{"fdsup://directions/FAT%20Viewer?VAR:TM=NTMA&amp;VAR:PCT=0.471233&amp;VAR:Y0=2006&amp;VAR:Y1=2007&amp;VAR:V0=14.553108&amp;VAR:V1=13.149563&amp;VAR:V=13.775625&amp;VAR:AUDIT_ID=00000117&amp;VAR:DATE=20060712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Mean&amp;VAR:CHGPERIOD=NA&amp;VAR:FQLFORMULA=FMA_PE&amp;VAR:","CURRENCY=NA&amp;VAR:P=1258.601700&amp;VAR:V=13.775625&amp;VAR:null=.html"}</definedName>
    <definedName name="_186__FDSAUDITLINK__" hidden="1">{"fdsup://directions/FAT%20Viewer?VAR:TM=NTMA&amp;VAR:PCT=0.490411&amp;VAR:Y0=2006&amp;VAR:Y1=2007&amp;VAR:V0=14.700470&amp;VAR:V1=13.278042&amp;VAR:V=13.939507&amp;VAR:AUDIT_ID=00000117&amp;VAR:DATE=20060705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Mean&amp;VAR:CHGPERIOD=NA&amp;VAR:FQLFORMULA=FMA_PE&amp;VAR:","CURRENCY=NA&amp;VAR:P=1270.905400&amp;VAR:V=13.939507&amp;VAR:null=.html"}</definedName>
    <definedName name="_187__FDSAUDITLINK__" hidden="1">{"fdsup://directions/FAT%20Viewer?VAR:TM=NTMA&amp;VAR:PCT=0.509589&amp;VAR:Y0=2006&amp;VAR:Y1=2007&amp;VAR:V0=14.407576&amp;VAR:V1=13.034095&amp;VAR:V=13.699613&amp;VAR:AUDIT_ID=00000117&amp;VAR:DATE=20060628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Mean&amp;VAR:CHGPERIOD=NA&amp;VAR:FQLFORMULA=FMA_PE&amp;VAR:","CURRENCY=NA&amp;VAR:P=1246.003200&amp;VAR:V=13.699613&amp;VAR:null=.html"}</definedName>
    <definedName name="_188__FDSAUDITLINK__" hidden="1">{"fdsup://directions/FAT%20Viewer?VAR:TM=NTMA&amp;VAR:PCT=0.528767&amp;VAR:Y0=2006&amp;VAR:Y1=2007&amp;VAR:V0=14.498305&amp;VAR:V1=13.116126&amp;VAR:V=13.812401&amp;VAR:AUDIT_ID=00000117&amp;VAR:DATE=20060621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Mean&amp;VAR:CHGPERIOD=NA&amp;VAR:FQLFORMULA=FMA_PE&amp;VAR:","CURRENCY=NA&amp;VAR:P=1252.204700&amp;VAR:V=13.812401&amp;VAR:null=.html"}</definedName>
    <definedName name="_189__FDSAUDITLINK__" hidden="1">{"fdsup://directions/FAT%20Viewer?VAR:TM=NTMA&amp;VAR:PCT=0.547945&amp;VAR:Y0=2006&amp;VAR:Y1=2007&amp;VAR:V0=14.231303&amp;VAR:V1=12.896456&amp;VAR:V=13.595186&amp;VAR:AUDIT_ID=00000117&amp;VAR:DATE=20060614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Mean&amp;VAR:CHGPERIOD=NA&amp;VAR:FQLFORMULA=FMA_PE&amp;VAR:","CURRENCY=NA&amp;VAR:P=1230.043100&amp;VAR:V=13.595186&amp;VAR:null=.html"}</definedName>
    <definedName name="_19__FDSAUDITLINK__" hidden="1">{"fdsup://directions/FAT%20Viewer?VAR:TM=NTMA&amp;VAR:PCT=0.290411&amp;VAR:Y0=2009&amp;VAR:Y1=2010&amp;VAR:V0=17.741405&amp;VAR:V1=14.166389&amp;VAR:V=15.046933&amp;VAR:AUDIT_ID=00000117&amp;VAR:DATE=20090916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Mean&amp;VAR:CHGPERIOD=NA&amp;VAR:FQLFORMULA=FMA_PE&amp;VAR:","CURRENCY=NA&amp;VAR:P=1068.757108&amp;VAR:V=15.046933&amp;VAR:null=.html"}</definedName>
    <definedName name="_190__FDSAUDITLINK__" hidden="1">{"fdsup://directions/FAT%20Viewer?VAR:TM=NTMA&amp;VAR:PCT=0.567123&amp;VAR:Y0=2006&amp;VAR:Y1=2007&amp;VAR:V0=14.547811&amp;VAR:V1=13.210473&amp;VAR:V=13.937068&amp;VAR:AUDIT_ID=00000117&amp;VAR:DATE=20060607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Mean&amp;VAR:CHGPERIOD=NA&amp;VAR:FQLFORMULA=FMA_PE&amp;VAR:","CURRENCY=NA&amp;VAR:P=1256.153200&amp;VAR:V=13.937068&amp;VAR:null=.html"}</definedName>
    <definedName name="_191__FDSAUDITLINK__" hidden="1">{"fdsup://directions/FAT%20Viewer?VAR:TM=NTMA&amp;VAR:PCT=0.586301&amp;VAR:Y0=2006&amp;VAR:Y1=2007&amp;VAR:V0=14.727345&amp;VAR:V1=13.361270&amp;VAR:V=14.129699&amp;VAR:AUDIT_ID=00000117&amp;VAR:DATE=20060531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Mean&amp;VAR:CHGPERIOD=NA&amp;VAR:FQLFORMULA=FMA_PE&amp;VAR:","CURRENCY=NA&amp;VAR:P=1270.089800&amp;VAR:V=14.129699&amp;VAR:null=.html"}</definedName>
    <definedName name="_192__FDSAUDITLINK__" hidden="1">{"fdsup://directions/FAT%20Viewer?VAR:TM=NTMA&amp;VAR:PCT=0.605479&amp;VAR:Y0=2006&amp;VAR:Y1=2007&amp;VAR:V0=14.601209&amp;VAR:V1=13.243680&amp;VAR:V=14.033688&amp;VAR:AUDIT_ID=00000117&amp;VAR:DATE=20060524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Mean&amp;VAR:CHGPERIOD=NA&amp;VAR:FQLFORMULA=FMA_PE&amp;VAR:","CURRENCY=NA&amp;VAR:P=1258.565400&amp;VAR:V=14.033688&amp;VAR:null=.html"}</definedName>
    <definedName name="_193__FDSAUDITLINK__" hidden="1">{"fdsup://directions/FAT%20Viewer?VAR:TM=NTMA&amp;VAR:PCT=0.624658&amp;VAR:Y0=2006&amp;VAR:Y1=2007&amp;VAR:V0=14.750978&amp;VAR:V1=13.374577&amp;VAR:V=14.202381&amp;VAR:AUDIT_ID=00000117&amp;VAR:DATE=20060517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Mean&amp;VAR:CHGPERIOD=NA&amp;VAR:FQLFORMULA=FMA_PE&amp;VAR:","CURRENCY=NA&amp;VAR:P=1270.321500&amp;VAR:V=14.202381&amp;VAR:null=.html"}</definedName>
    <definedName name="_194__FDSAUDITLINK__" hidden="1">{"fdsup://directions/FAT%20Viewer?VAR:TM=NTMA&amp;VAR:PCT=0.643836&amp;VAR:Y0=2006&amp;VAR:Y1=2007&amp;VAR:V0=15.385399&amp;VAR:V1=13.942937&amp;VAR:V=14.838642&amp;VAR:AUDIT_ID=00000117&amp;VAR:DATE=20060510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Mean&amp;VAR:CHGPERIOD=NA&amp;VAR:FQLFORMULA=FMA_PE&amp;VAR:","CURRENCY=NA&amp;VAR:P=1322.852000&amp;VAR:V=14.838642&amp;VAR:null=.html"}</definedName>
    <definedName name="_195__FDSAUDITLINK__" hidden="1">{"fdsup://directions/FAT%20Viewer?VAR:TM=NTMA&amp;VAR:PCT=0.663014&amp;VAR:Y0=2006&amp;VAR:Y1=2007&amp;VAR:V0=15.208925&amp;VAR:V1=13.767617&amp;VAR:V=14.690660&amp;VAR:AUDIT_ID=00000117&amp;VAR:DATE=20060503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Mean&amp;VAR:CHGPERIOD=NA&amp;VAR:FQLFORMULA=FMA_PE&amp;VAR:","CURRENCY=NA&amp;VAR:P=1307.849500&amp;VAR:V=14.690660&amp;VAR:null=.html"}</definedName>
    <definedName name="_196__FDSAUDITLINK__" hidden="1">{"fdsup://directions/FAT%20Viewer?VAR:TM=NTMA&amp;VAR:PCT=0.682192&amp;VAR:Y0=2006&amp;VAR:Y1=2007&amp;VAR:V0=15.179228&amp;VAR:V1=13.711325&amp;VAR:V=14.679766&amp;VAR:AUDIT_ID=00000117&amp;VAR:DATE=20060426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Mean&amp;VAR:CHGPERIOD=NA&amp;VAR:FQLFORMULA=FMA_PE&amp;VAR:","CURRENCY=NA&amp;VAR:P=1305.406300&amp;VAR:V=14.679766&amp;VAR:null=.html"}</definedName>
    <definedName name="_197__FDSAUDITLINK__" hidden="1">{"fdsup://directions/FAT%20Viewer?VAR:TM=NTMA&amp;VAR:PCT=0.701370&amp;VAR:Y0=2006&amp;VAR:Y1=2007&amp;VAR:V0=15.325954&amp;VAR:V1=13.853734&amp;VAR:V=14.854544&amp;VAR:AUDIT_ID=00000117&amp;VAR:DATE=20060419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Mean&amp;VAR:CHGPERIOD=NA&amp;VAR:FQLFORMULA=FMA_PE&amp;VAR:","CURRENCY=NA&amp;VAR:P=1309.930700&amp;VAR:V=14.854544&amp;VAR:null=.html"}</definedName>
    <definedName name="_198__FDSAUDITLINK__" hidden="1">{"fdsup://directions/FAT%20Viewer?VAR:TM=NTMA&amp;VAR:PCT=0.720548&amp;VAR:Y0=2006&amp;VAR:Y1=2007&amp;VAR:V0=15.070594&amp;VAR:V1=13.658307&amp;VAR:V=14.647348&amp;VAR:AUDIT_ID=00000117&amp;VAR:DATE=20060412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Mean&amp;VAR:CHGPERIOD=NA&amp;VAR:FQLFORMULA=FMA_PE&amp;VAR:","CURRENCY=NA&amp;VAR:P=1288.124900&amp;VAR:V=14.647348&amp;VAR:null=.html"}</definedName>
    <definedName name="_199__FDSAUDITLINK__" hidden="1">{"fdsup://directions/FAT%20Viewer?VAR:TM=NTMA&amp;VAR:PCT=0.739726&amp;VAR:Y0=2006&amp;VAR:Y1=2007&amp;VAR:V0=15.356078&amp;VAR:V1=13.941190&amp;VAR:V=14.960884&amp;VAR:AUDIT_ID=00000117&amp;VAR:DATE=20060405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Mean&amp;VAR:CHGPERIOD=NA&amp;VAR:FQLFORMULA=FMA_PE&amp;VAR:","CURRENCY=NA&amp;VAR:P=1311.558300&amp;VAR:V=14.960884&amp;VAR:null=.html"}</definedName>
    <definedName name="_2__FDSAUDITLINK__" hidden="1">{"fdsup://directions/FAT%20Viewer?VAR:TM=NTMA&amp;VAR:PCT=0.964384&amp;VAR:Y0=2010&amp;VAR:Y1=2011&amp;VAR:V0=14.668804&amp;VAR:V1=12.130272&amp;VAR:V=14.560278&amp;VAR:AUDIT_ID=00000117&amp;VAR:DATE=20100113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Mean&amp;VAR:CHGPERIOD=NA&amp;VAR:FQLFORMULA=FMA_PE&amp;VAR:","CURRENCY=NA&amp;VAR:P=1145.676014&amp;VAR:V=14.560278&amp;VAR:null=.html"}</definedName>
    <definedName name="_20__FDSAUDITLINK__" hidden="1">{"fdsup://directions/FAT%20Viewer?VAR:TM=NTMA&amp;VAR:PCT=0.309589&amp;VAR:Y0=2009&amp;VAR:Y1=2010&amp;VAR:V0=17.146646&amp;VAR:V1=13.711088&amp;VAR:V=14.617836&amp;VAR:AUDIT_ID=00000117&amp;VAR:DATE=20090909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Mean&amp;VAR:CHGPERIOD=NA&amp;VAR:FQLFORMULA=FMA_PE&amp;VAR:","CURRENCY=NA&amp;VAR:P=1033.374070&amp;VAR:V=14.617836&amp;VAR:null=.html"}</definedName>
    <definedName name="_200__FDSAUDITLINK__" hidden="1">{"fdsup://directions/FAT%20Viewer?VAR:TM=NTMA&amp;VAR:PCT=0.758904&amp;VAR:Y0=2006&amp;VAR:Y1=2007&amp;VAR:V0=15.193389&amp;VAR:V1=13.812219&amp;VAR:V=14.835719&amp;VAR:AUDIT_ID=00000117&amp;VAR:DATE=20060329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Mean&amp;VAR:CHGPERIOD=NA&amp;VAR:FQLFORMULA=FMA_PE&amp;VAR:","CURRENCY=NA&amp;VAR:P=1302.893000&amp;VAR:V=14.835719&amp;VAR:null=.html"}</definedName>
    <definedName name="_201__FDSAUDITLINK__" hidden="1">{"fdsup://directions/FAT%20Viewer?VAR:TM=NTMA&amp;VAR:PCT=0.778082&amp;VAR:Y0=2006&amp;VAR:Y1=2007&amp;VAR:V0=15.228109&amp;VAR:V1=13.835408&amp;VAR:V=14.895366&amp;VAR:AUDIT_ID=00000117&amp;VAR:DATE=20060322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Mean&amp;VAR:CHGPERIOD=NA&amp;VAR:FQLFORMULA=FMA_PE&amp;VAR:","CURRENCY=NA&amp;VAR:P=1305.041300&amp;VAR:V=14.895366&amp;VAR:null=.html"}</definedName>
    <definedName name="_202__FDSAUDITLINK__" hidden="1">{"fdsup://directions/FAT%20Viewer?VAR:TM=NTMA&amp;VAR:PCT=0.797260&amp;VAR:Y0=2006&amp;VAR:Y1=2007&amp;VAR:V0=15.209410&amp;VAR:V1=13.823441&amp;VAR:V=14.906405&amp;VAR:AUDIT_ID=00000117&amp;VAR:DATE=20060315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Mean&amp;VAR:CHGPERIOD=NA&amp;VAR:FQLFORMULA=FMA_PE&amp;VAR:","CURRENCY=NA&amp;VAR:P=1303.023200&amp;VAR:V=14.906405&amp;VAR:null=.html"}</definedName>
    <definedName name="_203__FDSAUDITLINK__" hidden="1">{"fdsup://directions/FAT%20Viewer?VAR:TM=NTMA&amp;VAR:PCT=0.816438&amp;VAR:Y0=2006&amp;VAR:Y1=2007&amp;VAR:V0=14.938814&amp;VAR:V1=13.568245&amp;VAR:V=14.666859&amp;VAR:AUDIT_ID=00000117&amp;VAR:DATE=20060308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Mean&amp;VAR:CHGPERIOD=NA&amp;VAR:FQLFORMULA=FMA_PE&amp;VAR:","CURRENCY=NA&amp;VAR:P=1278.474900&amp;VAR:V=14.666859&amp;VAR:null=.html"}</definedName>
    <definedName name="_204__FDSAUDITLINK__" hidden="1">{"fdsup://directions/FAT%20Viewer?VAR:TM=NTMA&amp;VAR:PCT=0.835616&amp;VAR:Y0=2006&amp;VAR:Y1=2007&amp;VAR:V0=15.073504&amp;VAR:V1=13.695795&amp;VAR:V=14.828304&amp;VAR:AUDIT_ID=00000117&amp;VAR:DATE=20060301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Mean&amp;VAR:CHGPERIOD=NA&amp;VAR:FQLFORMULA=FMA_PE&amp;VAR:","CURRENCY=NA&amp;VAR:P=1291.242300&amp;VAR:V=14.828304&amp;VAR:null=.html"}</definedName>
    <definedName name="_205__FDSAUDITLINK__" hidden="1">{"fdsup://directions/FAT%20Viewer?VAR:TM=NTMA&amp;VAR:PCT=0.854795&amp;VAR:Y0=2006&amp;VAR:Y1=2007&amp;VAR:V0=15.077252&amp;VAR:V1=13.744162&amp;VAR:V=14.867854&amp;VAR:AUDIT_ID=00000117&amp;VAR:DATE=20060222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Mean&amp;VAR:CHGPERIOD=NA&amp;VAR:FQLFORMULA=FMA_PE&amp;VAR:","CURRENCY=NA&amp;VAR:P=1292.671000&amp;VAR:V=14.867854&amp;VAR:null=.html"}</definedName>
    <definedName name="_206__FDSAUDITLINK__" hidden="1">{"fdsup://directions/FAT%20Viewer?VAR:TM=NTMA&amp;VAR:PCT=0.873973&amp;VAR:Y0=2006&amp;VAR:Y1=2007&amp;VAR:V0=14.923301&amp;VAR:V1=13.609112&amp;VAR:V=14.743867&amp;VAR:AUDIT_ID=00000117&amp;VAR:DATE=20060215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Mean&amp;VAR:CHGPERIOD=NA&amp;VAR:FQLFORMULA=FMA_PE&amp;VAR:","CURRENCY=NA&amp;VAR:P=1280.001600&amp;VAR:V=14.743867&amp;VAR:null=.html"}</definedName>
    <definedName name="_207__FDSAUDITLINK__" hidden="1">{"fdsup://directions/FAT%20Viewer?VAR:TM=NTMA&amp;VAR:PCT=0.893151&amp;VAR:Y0=2006&amp;VAR:Y1=2007&amp;VAR:V0=14.758513&amp;VAR:V1=13.474730&amp;VAR:V=14.609787&amp;VAR:AUDIT_ID=00000117&amp;VAR:DATE=20060208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Mean&amp;VAR:CHGPERIOD=NA&amp;VAR:FQLFORMULA=FMA_PE&amp;VAR:","CURRENCY=NA&amp;VAR:P=1265.650000&amp;VAR:V=14.609787&amp;VAR:null=.html"}</definedName>
    <definedName name="_208__FDSAUDITLINK__" hidden="1">{"fdsup://directions/FAT%20Viewer?VAR:TM=NTMA&amp;VAR:PCT=0.912329&amp;VAR:Y0=2006&amp;VAR:Y1=2007&amp;VAR:V0=14.934685&amp;VAR:V1=13.678883&amp;VAR:V=14.815439&amp;VAR:AUDIT_ID=00000117&amp;VAR:DATE=20060201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Mean&amp;VAR:CHGPERIOD=NA&amp;VAR:FQLFORMULA=FMA_PE&amp;VAR:","CURRENCY=NA&amp;VAR:P=1282.458500&amp;VAR:V=14.815439&amp;VAR:null=.html"}</definedName>
    <definedName name="_209__FDSAUDITLINK__" hidden="1">{"fdsup://directions/FAT%20Viewer?VAR:TM=NTMA&amp;VAR:PCT=0.931507&amp;VAR:Y0=2006&amp;VAR:Y1=2007&amp;VAR:V0=14.747599&amp;VAR:V1=13.540483&amp;VAR:V=14.658096&amp;VAR:AUDIT_ID=00000117&amp;VAR:DATE=20060125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Mean&amp;VAR:CHGPERIOD=NA&amp;VAR:FQLFORMULA=FMA_PE&amp;VAR:","CURRENCY=NA&amp;VAR:P=1264.682600&amp;VAR:V=14.658096&amp;VAR:null=.html"}</definedName>
    <definedName name="_21__FDSAUDITLINK__" hidden="1">{"fdsup://directions/FAT%20Viewer?VAR:TM=NTMA&amp;VAR:PCT=0.328767&amp;VAR:Y0=2009&amp;VAR:Y1=2010&amp;VAR:V0=16.536028&amp;VAR:V1=13.215304&amp;VAR:V=14.149484&amp;VAR:AUDIT_ID=00000117&amp;VAR:DATE=20090902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Mean&amp;VAR:CHGPERIOD=NA&amp;VAR:FQLFORMULA=FMA_PE&amp;VAR:","CURRENCY=NA&amp;VAR:P=994.754644&amp;VAR:V=14.149484&amp;VAR:null=.html"}</definedName>
    <definedName name="_210__FDSAUDITLINK__" hidden="1">{"fdsup://directions/FAT%20Viewer?VAR:TM=NTMA&amp;VAR:PCT=0.950685&amp;VAR:Y0=2006&amp;VAR:Y1=2007&amp;VAR:V0=14.888611&amp;VAR:V1=13.679888&amp;VAR:V=14.824017&amp;VAR:AUDIT_ID=00000117&amp;VAR:DATE=20060118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Mean&amp;VAR:CHGPERIOD=NA&amp;VAR:FQLFORMULA=FMA_PE&amp;VAR:","CURRENCY=NA&amp;VAR:P=1277.933200&amp;VAR:V=14.824017&amp;VAR:null=.html"}</definedName>
    <definedName name="_211__FDSAUDITLINK__" hidden="1">{"fdsup://directions/FAT%20Viewer?VAR:TM=NTMA&amp;VAR:PCT=0.969863&amp;VAR:Y0=2006&amp;VAR:Y1=2007&amp;VAR:V0=15.046974&amp;VAR:V1=13.892077&amp;VAR:V=15.009370&amp;VAR:AUDIT_ID=00000117&amp;VAR:DATE=20060111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Mean&amp;VAR:CHGPERIOD=NA&amp;VAR:FQLFORMULA=FMA_PE&amp;VAR:","CURRENCY=NA&amp;VAR:P=1294.178600&amp;VAR:V=15.009370&amp;VAR:null=.html"}</definedName>
    <definedName name="_212__FDSAUDITLINK__" hidden="1">{"fdsup://directions/FAT%20Viewer?VAR:TM=NTMA&amp;VAR:PCT=0.989041&amp;VAR:Y0=2006&amp;VAR:Y1=2007&amp;VAR:V0=14.801243&amp;VAR:V1=13.711211&amp;VAR:V=14.788359&amp;VAR:AUDIT_ID=00000117&amp;VAR:DATE=20060104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Mean&amp;VAR:CHGPERIOD=NA&amp;VAR:FQLFORMULA=FMA_PE&amp;VAR:","CURRENCY=NA&amp;VAR:P=1273.459200&amp;VAR:V=14.788359&amp;VAR:null=.html"}</definedName>
    <definedName name="_213__FDSAUDITLINK__" hidden="1">{"fdsup://directions/FAT%20Viewer?VAR:TM=NTMA&amp;VAR:PCT=0.008219&amp;VAR:Y0=2005&amp;VAR:Y1=2006&amp;VAR:V0=16.536371&amp;VAR:V1=14.615594&amp;VAR:V=14.629561&amp;VAR:AUDIT_ID=00000117&amp;VAR:DATE=20051228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Mean&amp;VAR:CHGPERIOD=NA&amp;VAR:FQLFORMULA=FMA_PE&amp;VAR:","CURRENCY=NA&amp;VAR:P=1258.168800&amp;VAR:V=14.629561&amp;VAR:null=.html"}</definedName>
    <definedName name="_214__FDSAUDITLINK__" hidden="1">{"fdsup://directions/FAT%20Viewer?VAR:TM=NTMA&amp;VAR:PCT=0.027397&amp;VAR:Y0=2005&amp;VAR:Y1=2006&amp;VAR:V0=16.589941&amp;VAR:V1=14.662563&amp;VAR:V=14.709382&amp;VAR:AUDIT_ID=00000117&amp;VAR:DATE=20051221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Mean&amp;VAR:CHGPERIOD=NA&amp;VAR:FQLFORMULA=FMA_PE&amp;VAR:","CURRENCY=NA&amp;VAR:P=1262.794900&amp;VAR:V=14.709382&amp;VAR:null=.html"}</definedName>
    <definedName name="_215__FDSAUDITLINK__" hidden="1">{"fdsup://directions/FAT%20Viewer?VAR:TM=NTMA&amp;VAR:PCT=0.046575&amp;VAR:Y0=2005&amp;VAR:Y1=2006&amp;VAR:V0=16.718596&amp;VAR:V1=14.773397&amp;VAR:V=14.853890&amp;VAR:AUDIT_ID=00000117&amp;VAR:DATE=20051214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Mean&amp;VAR:CHGPERIOD=NA&amp;VAR:FQLFORMULA=FMA_PE&amp;VAR:","CURRENCY=NA&amp;VAR:P=1272.736600&amp;VAR:V=14.853890&amp;VAR:null=.html"}</definedName>
    <definedName name="_216__FDSAUDITLINK__" hidden="1">{"fdsup://directions/FAT%20Viewer?VAR:TM=NTMA&amp;VAR:PCT=0.065753&amp;VAR:Y0=2005&amp;VAR:Y1=2006&amp;VAR:V0=16.490324&amp;VAR:V1=14.594874&amp;VAR:V=14.706021&amp;VAR:AUDIT_ID=00000117&amp;VAR:DATE=20051207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Mean&amp;VAR:CHGPERIOD=NA&amp;VAR:FQLFORMULA=FMA_PE&amp;VAR:","CURRENCY=NA&amp;VAR:P=1257.365100&amp;VAR:V=14.706021&amp;VAR:null=.html"}</definedName>
    <definedName name="_217__FDSAUDITLINK__" hidden="1">{"fdsup://directions/FAT%20Viewer?VAR:TM=NTMA&amp;VAR:PCT=0.084932&amp;VAR:Y0=2005&amp;VAR:Y1=2006&amp;VAR:V0=16.366348&amp;VAR:V1=14.534458&amp;VAR:V=14.673955&amp;VAR:AUDIT_ID=00000117&amp;VAR:DATE=20051130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Mean&amp;VAR:CHGPERIOD=NA&amp;VAR:FQLFORMULA=FMA_PE&amp;VAR:","CURRENCY=NA&amp;VAR:P=1249.479100&amp;VAR:V=14.673955&amp;VAR:null=.html"}</definedName>
    <definedName name="_218__FDSAUDITLINK__" hidden="1">{"fdsup://directions/FAT%20Viewer?VAR:TM=NTMA&amp;VAR:PCT=0.104110&amp;VAR:Y0=2005&amp;VAR:Y1=2006&amp;VAR:V0=16.576681&amp;VAR:V1=14.718791&amp;VAR:V=14.892564&amp;VAR:AUDIT_ID=00000117&amp;VAR:DATE=20051123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Mean&amp;VAR:CHGPERIOD=NA&amp;VAR:FQLFORMULA=FMA_PE&amp;VAR:","CURRENCY=NA&amp;VAR:P=1265.607000&amp;VAR:V=14.892564&amp;VAR:null=.html"}</definedName>
    <definedName name="_219__FDSAUDITLINK__" hidden="1">{"fdsup://directions/FAT%20Viewer?VAR:TM=NTMA&amp;VAR:PCT=0.123288&amp;VAR:Y0=2005&amp;VAR:Y1=2006&amp;VAR:V0=16.055067&amp;VAR:V1=14.309222&amp;VAR:V=14.503664&amp;VAR:AUDIT_ID=00000117&amp;VAR:DATE=20051116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Mean&amp;VAR:CHGPERIOD=NA&amp;VAR:FQLFORMULA=FMA_PE&amp;VAR:","CURRENCY=NA&amp;VAR:P=1231.214000&amp;VAR:V=14.503664&amp;VAR:null=.html"}</definedName>
    <definedName name="_22__FDSAUDITLINK__" hidden="1">{"fdsup://directions/FAT%20Viewer?VAR:TM=NTMA&amp;VAR:PCT=0.347945&amp;VAR:Y0=2009&amp;VAR:Y1=2010&amp;VAR:V0=17.066788&amp;VAR:V1=13.670279&amp;VAR:V=14.687310&amp;VAR:AUDIT_ID=00000117&amp;VAR:DATE=20090826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Mean&amp;VAR:CHGPERIOD=NA&amp;VAR:FQLFORMULA=FMA_PE&amp;VAR:","CURRENCY=NA&amp;VAR:P=1028.123778&amp;VAR:V=14.687310&amp;VAR:null=.html"}</definedName>
    <definedName name="_220__FDSAUDITLINK__" hidden="1">{"fdsup://directions/FAT%20Viewer?VAR:TM=NTMA&amp;VAR:PCT=0.142466&amp;VAR:Y0=2005&amp;VAR:Y1=2006&amp;VAR:V0=15.904988&amp;VAR:V1=14.182417&amp;VAR:V=14.404675&amp;VAR:AUDIT_ID=00000117&amp;VAR:DATE=20051109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Mean&amp;VAR:CHGPERIOD=NA&amp;VAR:FQLFORMULA=FMA_PE&amp;VAR:","CURRENCY=NA&amp;VAR:P=1220.651100&amp;VAR:V=14.404675&amp;VAR:null=.html"}</definedName>
    <definedName name="_221__FDSAUDITLINK__" hidden="1">{"fdsup://directions/FAT%20Viewer?VAR:TM=NTMA&amp;VAR:PCT=0.161644&amp;VAR:Y0=2005&amp;VAR:Y1=2006&amp;VAR:V0=15.802159&amp;VAR:V1=14.123378&amp;VAR:V=14.370151&amp;VAR:AUDIT_ID=00000117&amp;VAR:DATE=20051102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Mean&amp;VAR:CHGPERIOD=NA&amp;VAR:FQLFORMULA=FMA_PE&amp;VAR:","CURRENCY=NA&amp;VAR:P=1214.756800&amp;VAR:V=14.370151&amp;VAR:null=.html"}</definedName>
    <definedName name="_222__FDSAUDITLINK__" hidden="1">{"fdsup://directions/FAT%20Viewer?VAR:TM=NTMA&amp;VAR:PCT=0.180822&amp;VAR:Y0=2005&amp;VAR:Y1=2006&amp;VAR:V0=15.441503&amp;VAR:V1=13.836089&amp;VAR:V=14.101186&amp;VAR:AUDIT_ID=00000117&amp;VAR:DATE=20051026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Mean&amp;VAR:CHGPERIOD=NA&amp;VAR:FQLFORMULA=FMA_PE&amp;VAR:","CURRENCY=NA&amp;VAR:P=1191.382600&amp;VAR:V=14.101186&amp;VAR:null=.html"}</definedName>
    <definedName name="_223__FDSAUDITLINK__" hidden="1">{"fdsup://directions/FAT%20Viewer?VAR:TM=NTMA&amp;VAR:PCT=0.200000&amp;VAR:Y0=2005&amp;VAR:Y1=2006&amp;VAR:V0=15.493042&amp;VAR:V1=13.884222&amp;VAR:V=14.178689&amp;VAR:AUDIT_ID=00000117&amp;VAR:DATE=20051019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Mean&amp;VAR:CHGPERIOD=NA&amp;VAR:FQLFORMULA=FMA_PE&amp;VAR:","CURRENCY=NA&amp;VAR:P=1195.755700&amp;VAR:V=14.178689&amp;VAR:null=.html"}</definedName>
    <definedName name="_224__FDSAUDITLINK__" hidden="1">{"fdsup://directions/FAT%20Viewer?VAR:TM=NTMA&amp;VAR:PCT=0.219178&amp;VAR:Y0=2005&amp;VAR:Y1=2006&amp;VAR:V0=15.254003&amp;VAR:V1=13.688988&amp;VAR:V=14.003894&amp;VAR:AUDIT_ID=00000117&amp;VAR:DATE=20051012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Mean&amp;VAR:CHGPERIOD=NA&amp;VAR:FQLFORMULA=FMA_PE&amp;VAR:","CURRENCY=NA&amp;VAR:P=1177.682500&amp;VAR:V=14.003894&amp;VAR:null=.html"}</definedName>
    <definedName name="_225__FDSAUDITLINK__" hidden="1">{"fdsup://directions/FAT%20Viewer?VAR:TM=NTMA&amp;VAR:PCT=0.238356&amp;VAR:Y0=2005&amp;VAR:Y1=2006&amp;VAR:V0=15.567582&amp;VAR:V1=14.001228&amp;VAR:V=14.345264&amp;VAR:AUDIT_ID=00000117&amp;VAR:DATE=20051005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Mean&amp;VAR:CHGPERIOD=NA&amp;VAR:FQLFORMULA=FMA_PE&amp;VAR:","CURRENCY=NA&amp;VAR:P=1196.388500&amp;VAR:V=14.345264&amp;VAR:null=.html"}</definedName>
    <definedName name="_226__FDSAUDITLINK__" hidden="1">{"fdsup://directions/FAT%20Viewer?VAR:TM=NTMA&amp;VAR:PCT=0.257534&amp;VAR:Y0=2005&amp;VAR:Y1=2006&amp;VAR:V0=15.818895&amp;VAR:V1=14.254338&amp;VAR:V=14.626903&amp;VAR:AUDIT_ID=00000117&amp;VAR:DATE=20050928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Mean&amp;VAR:CHGPERIOD=NA&amp;VAR:FQLFORMULA=FMA_PE&amp;VAR:","CURRENCY=NA&amp;VAR:P=1216.893700&amp;VAR:V=14.626903&amp;VAR:null=.html"}</definedName>
    <definedName name="_227__FDSAUDITLINK__" hidden="1">{"fdsup://directions/FAT%20Viewer?VAR:TM=NTMA&amp;VAR:PCT=0.276712&amp;VAR:Y0=2005&amp;VAR:Y1=2006&amp;VAR:V0=15.721671&amp;VAR:V1=14.182527&amp;VAR:V=14.577430&amp;VAR:AUDIT_ID=00000117&amp;VAR:DATE=20050921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Mean&amp;VAR:CHGPERIOD=NA&amp;VAR:FQLFORMULA=FMA_PE&amp;VAR:","CURRENCY=NA&amp;VAR:P=1210.201400&amp;VAR:V=14.577430&amp;VAR:null=.html"}</definedName>
    <definedName name="_228__FDSAUDITLINK__" hidden="1">{"fdsup://directions/FAT%20Viewer?VAR:TM=NTMA&amp;VAR:PCT=0.295890&amp;VAR:Y0=2005&amp;VAR:Y1=2006&amp;VAR:V0=16.010946&amp;VAR:V1=14.453114&amp;VAR:V=14.881547&amp;VAR:AUDIT_ID=00000117&amp;VAR:DATE=20050914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Mean&amp;VAR:CHGPERIOD=NA&amp;VAR:FQLFORMULA=FMA_PE&amp;VAR:","CURRENCY=NA&amp;VAR:P=1227.162100&amp;VAR:V=14.881547&amp;VAR:null=.html"}</definedName>
    <definedName name="_229__FDSAUDITLINK__" hidden="1">{"fdsup://directions/FAT%20Viewer?VAR:TM=NTMA&amp;VAR:PCT=0.315068&amp;VAR:Y0=2005&amp;VAR:Y1=2006&amp;VAR:V0=16.169620&amp;VAR:V1=14.607820&amp;VAR:V=15.066318&amp;VAR:AUDIT_ID=00000117&amp;VAR:DATE=20050907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Mean&amp;VAR:CHGPERIOD=NA&amp;VAR:FQLFORMULA=FMA_PE&amp;VAR:","CURRENCY=NA&amp;VAR:P=1236.360000&amp;VAR:V=15.066318&amp;VAR:null=.html"}</definedName>
    <definedName name="_23__FDSAUDITLINK__" hidden="1">{"fdsup://directions/FAT%20Viewer?VAR:TM=NTMA&amp;VAR:PCT=0.367123&amp;VAR:Y0=2009&amp;VAR:Y1=2010&amp;VAR:V0=16.557682&amp;VAR:V1=13.263195&amp;VAR:V=14.308373&amp;VAR:AUDIT_ID=00000117&amp;VAR:DATE=20090819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Mean&amp;VAR:CHGPERIOD=NA&amp;VAR:FQLFORMULA=FMA_PE&amp;VAR:","CURRENCY=NA&amp;VAR:P=996.464477&amp;VAR:V=14.308373&amp;VAR:null=.html"}</definedName>
    <definedName name="_230__FDSAUDITLINK__" hidden="1">{"fdsup://directions/FAT%20Viewer?VAR:TM=NTMA&amp;VAR:PCT=0.334247&amp;VAR:Y0=2005&amp;VAR:Y1=2006&amp;VAR:V0=15.983737&amp;VAR:V1=14.465925&amp;VAR:V=14.940124&amp;VAR:AUDIT_ID=00000117&amp;VAR:DATE=20050831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Mean&amp;VAR:CHGPERIOD=NA&amp;VAR:FQLFORMULA=FMA_PE&amp;VAR:","CURRENCY=NA&amp;VAR:P=1220.330900&amp;VAR:V=14.940124&amp;VAR:null=.html"}</definedName>
    <definedName name="_231__FDSAUDITLINK__" hidden="1">{"fdsup://directions/FAT%20Viewer?VAR:TM=NTMA&amp;VAR:PCT=0.353425&amp;VAR:Y0=2005&amp;VAR:Y1=2006&amp;VAR:V0=15.858086&amp;VAR:V1=14.353595&amp;VAR:V=14.851571&amp;VAR:AUDIT_ID=00000117&amp;VAR:DATE=20050824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Mean&amp;VAR:CHGPERIOD=NA&amp;VAR:FQLFORMULA=FMA_PE&amp;VAR:","CURRENCY=NA&amp;VAR:P=1209.585400&amp;VAR:V=14.851571&amp;VAR:null=.html"}</definedName>
    <definedName name="_232__FDSAUDITLINK__" hidden="1">{"fdsup://directions/FAT%20Viewer?VAR:TM=NTMA&amp;VAR:PCT=0.372603&amp;VAR:Y0=2005&amp;VAR:Y1=2006&amp;VAR:V0=16.061693&amp;VAR:V1=14.521567&amp;VAR:V=15.059620&amp;VAR:AUDIT_ID=00000117&amp;VAR:DATE=20050817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Mean&amp;VAR:CHGPERIOD=NA&amp;VAR:FQLFORMULA=FMA_PE&amp;VAR:","CURRENCY=NA&amp;VAR:P=1220.236700&amp;VAR:V=15.059620&amp;VAR:null=.html"}</definedName>
    <definedName name="_233__FDSAUDITLINK__" hidden="1">{"fdsup://directions/FAT%20Viewer?VAR:TM=NTMA&amp;VAR:PCT=0.391781&amp;VAR:Y0=2005&amp;VAR:Y1=2006&amp;VAR:V0=16.207304&amp;VAR:V1=14.673240&amp;VAR:V=15.238324&amp;VAR:AUDIT_ID=00000117&amp;VAR:DATE=20050810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Mean&amp;VAR:CHGPERIOD=NA&amp;VAR:FQLFORMULA=FMA_PE&amp;VAR:","CURRENCY=NA&amp;VAR:P=1229.128800&amp;VAR:V=15.238324&amp;VAR:null=.html"}</definedName>
    <definedName name="_234__FDSAUDITLINK__" hidden="1">{"fdsup://directions/FAT%20Viewer?VAR:TM=NTMA&amp;VAR:PCT=0.410959&amp;VAR:Y0=2005&amp;VAR:Y1=2006&amp;VAR:V0=16.457047&amp;VAR:V1=14.889765&amp;VAR:V=15.496250&amp;VAR:AUDIT_ID=00000117&amp;VAR:DATE=20050803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Mean&amp;VAR:CHGPERIOD=NA&amp;VAR:FQLFORMULA=FMA_PE&amp;VAR:","CURRENCY=NA&amp;VAR:P=1245.044600&amp;VAR:V=15.496250&amp;VAR:null=.html"}</definedName>
    <definedName name="_235__FDSAUDITLINK__" hidden="1">{"fdsup://directions/FAT%20Viewer?VAR:TM=NTMA&amp;VAR:PCT=0.430137&amp;VAR:Y0=2005&amp;VAR:Y1=2006&amp;VAR:V0=16.409405&amp;VAR:V1=14.858623&amp;VAR:V=15.488225&amp;VAR:AUDIT_ID=00000117&amp;VAR:DATE=20050727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Mean&amp;VAR:CHGPERIOD=NA&amp;VAR:FQLFORMULA=FMA_PE&amp;VAR:","CURRENCY=NA&amp;VAR:P=1236.787100&amp;VAR:V=15.488225&amp;VAR:null=.html"}</definedName>
    <definedName name="_236__FDSAUDITLINK__" hidden="1">{"fdsup://directions/FAT%20Viewer?VAR:TM=NTMA&amp;VAR:PCT=0.449315&amp;VAR:Y0=2005&amp;VAR:Y1=2006&amp;VAR:V0=16.435804&amp;VAR:V1=14.929385&amp;VAR:V=15.570612&amp;VAR:AUDIT_ID=00000117&amp;VAR:DATE=20050720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Mean&amp;VAR:CHGPERIOD=NA&amp;VAR:FQLFORMULA=FMA_PE&amp;VAR:","CURRENCY=NA&amp;VAR:P=1235.202300&amp;VAR:V=15.570612&amp;VAR:null=.html"}</definedName>
    <definedName name="_237__FDSAUDITLINK__" hidden="1">{"fdsup://directions/FAT%20Viewer?VAR:TM=NTMA&amp;VAR:PCT=0.468493&amp;VAR:Y0=2005&amp;VAR:Y1=2006&amp;VAR:V0=16.297730&amp;VAR:V1=14.805358&amp;VAR:V=15.468971&amp;VAR:AUDIT_ID=00000117&amp;VAR:DATE=20050713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Mean&amp;VAR:CHGPERIOD=NA&amp;VAR:FQLFORMULA=FMA_PE&amp;VAR:","CURRENCY=NA&amp;VAR:P=1223.288300&amp;VAR:V=15.468971&amp;VAR:null=.html"}</definedName>
    <definedName name="_238__FDSAUDITLINK__" hidden="1">{"fdsup://directions/FAT%20Viewer?VAR:TM=NTMA&amp;VAR:PCT=0.487671&amp;VAR:Y0=2005&amp;VAR:Y1=2006&amp;VAR:V0=15.956590&amp;VAR:V1=14.512171&amp;VAR:V=15.182396&amp;VAR:AUDIT_ID=00000117&amp;VAR:DATE=20050706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Mean&amp;VAR:CHGPERIOD=NA&amp;VAR:FQLFORMULA=FMA_PE&amp;VAR:","CURRENCY=NA&amp;VAR:P=1194.944000&amp;VAR:V=15.182396&amp;VAR:null=.html"}</definedName>
    <definedName name="_239__FDSAUDITLINK__" hidden="1">{"fdsup://directions/FAT%20Viewer?VAR:TM=NTMA&amp;VAR:PCT=0.506849&amp;VAR:Y0=2005&amp;VAR:Y1=2006&amp;VAR:V0=16.044450&amp;VAR:V1=14.566295&amp;VAR:V=15.279791&amp;VAR:AUDIT_ID=00000117&amp;VAR:DATE=20050629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Mean&amp;VAR:CHGPERIOD=NA&amp;VAR:FQLFORMULA=FMA_PE&amp;VAR:","CURRENCY=NA&amp;VAR:P=1199.850800&amp;VAR:V=15.279791&amp;VAR:null=.html"}</definedName>
    <definedName name="_24__FDSAUDITLINK__" hidden="1">{"fdsup://directions/FAT%20Viewer?VAR:TM=NTMA&amp;VAR:PCT=0.386301&amp;VAR:Y0=2009&amp;VAR:Y1=2010&amp;VAR:V0=16.715923&amp;VAR:V1=13.391581&amp;VAR:V=14.506002&amp;VAR:AUDIT_ID=00000117&amp;VAR:DATE=20090812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Mean&amp;VAR:CHGPERIOD=NA&amp;VAR:FQLFORMULA=FMA_PE&amp;VAR:","CURRENCY=NA&amp;VAR:P=1005.806137&amp;VAR:V=14.506002&amp;VAR:null=.html"}</definedName>
    <definedName name="_240__FDSAUDITLINK__" hidden="1">{"fdsup://directions/FAT%20Viewer?VAR:TM=NTMA&amp;VAR:PCT=0.526027&amp;VAR:Y0=2005&amp;VAR:Y1=2006&amp;VAR:V0=16.241144&amp;VAR:V1=14.743775&amp;VAR:V=15.495258&amp;VAR:AUDIT_ID=00000117&amp;VAR:DATE=20050622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Mean&amp;VAR:CHGPERIOD=NA&amp;VAR:FQLFORMULA=FMA_PE&amp;VAR:","CURRENCY=NA&amp;VAR:P=1213.878500&amp;VAR:V=15.495258&amp;VAR:null=.html"}</definedName>
    <definedName name="_241__FDSAUDITLINK__" hidden="1">{"fdsup://directions/FAT%20Viewer?VAR:TM=NTMA&amp;VAR:PCT=0.545205&amp;VAR:Y0=2005&amp;VAR:Y1=2006&amp;VAR:V0=16.132547&amp;VAR:V1=14.694405&amp;VAR:V=15.445075&amp;VAR:AUDIT_ID=00000117&amp;VAR:DATE=20050615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Mean&amp;VAR:CHGPERIOD=NA&amp;VAR:FQLFORMULA=FMA_PE&amp;VAR:","CURRENCY=NA&amp;VAR:P=1206.582800&amp;VAR:V=15.445075&amp;VAR:null=.html"}</definedName>
    <definedName name="_242__FDSAUDITLINK__" hidden="1">{"fdsup://directions/FAT%20Viewer?VAR:TM=NTMA&amp;VAR:PCT=0.564384&amp;VAR:Y0=2005&amp;VAR:Y1=2006&amp;VAR:V0=15.979070&amp;VAR:V1=14.548873&amp;VAR:V=15.322907&amp;VAR:AUDIT_ID=00000117&amp;VAR:DATE=20050608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Mean&amp;VAR:CHGPERIOD=NA&amp;VAR:FQLFORMULA=FMA_PE&amp;VAR:","CURRENCY=NA&amp;VAR:P=1194.669200&amp;VAR:V=15.322907&amp;VAR:null=.html"}</definedName>
    <definedName name="_243__FDSAUDITLINK__" hidden="1">{"fdsup://directions/FAT%20Viewer?VAR:TM=NTMA&amp;VAR:PCT=0.583562&amp;VAR:Y0=2005&amp;VAR:Y1=2006&amp;VAR:V0=16.074804&amp;VAR:V1=14.652290&amp;VAR:V=15.450157&amp;VAR:AUDIT_ID=00000117&amp;VAR:DATE=20050601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Mean&amp;VAR:CHGPERIOD=NA&amp;VAR:FQLFORMULA=FMA_PE&amp;VAR:","CURRENCY=NA&amp;VAR:P=1202.271400&amp;VAR:V=15.450157&amp;VAR:null=.html"}</definedName>
    <definedName name="_244__FDSAUDITLINK__" hidden="1">{"fdsup://directions/FAT%20Viewer?VAR:TM=NTMA&amp;VAR:PCT=0.602740&amp;VAR:Y0=2005&amp;VAR:Y1=2006&amp;VAR:V0=15.894574&amp;VAR:V1=14.499186&amp;VAR:V=15.309271&amp;VAR:AUDIT_ID=00000117&amp;VAR:DATE=20050525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Mean&amp;VAR:CHGPERIOD=NA&amp;VAR:FQLFORMULA=FMA_PE&amp;VAR:","CURRENCY=NA&amp;VAR:P=1190.005200&amp;VAR:V=15.309271&amp;VAR:null=.html"}</definedName>
    <definedName name="_245__FDSAUDITLINK__" hidden="1">{"fdsup://directions/FAT%20Viewer?VAR:TM=NTMA&amp;VAR:PCT=0.621918&amp;VAR:Y0=2005&amp;VAR:Y1=2006&amp;VAR:V0=15.812288&amp;VAR:V1=14.431810&amp;VAR:V=15.260388&amp;VAR:AUDIT_ID=00000117&amp;VAR:DATE=20050518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Mean&amp;VAR:CHGPERIOD=NA&amp;VAR:FQLFORMULA=FMA_PE&amp;VAR:","CURRENCY=NA&amp;VAR:P=1185.562000&amp;VAR:V=15.260388&amp;VAR:null=.html"}</definedName>
    <definedName name="_246__FDSAUDITLINK__" hidden="1">{"fdsup://directions/FAT%20Viewer?VAR:TM=NTMA&amp;VAR:PCT=0.641096&amp;VAR:Y0=2005&amp;VAR:Y1=2006&amp;VAR:V0=15.623049&amp;VAR:V1=14.275680&amp;VAR:V=15.111171&amp;VAR:AUDIT_ID=00000117&amp;VAR:DATE=20050511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Mean&amp;VAR:CHGPERIOD=NA&amp;VAR:FQLFORMULA=FMA_PE&amp;VAR:","CURRENCY=NA&amp;VAR:P=1171.106900&amp;VAR:V=15.111171&amp;VAR:null=.html"}</definedName>
    <definedName name="_247__FDSAUDITLINK__" hidden="1">{"fdsup://directions/FAT%20Viewer?VAR:TM=NTMA&amp;VAR:PCT=0.660274&amp;VAR:Y0=2005&amp;VAR:Y1=2006&amp;VAR:V0=15.711429&amp;VAR:V1=14.352044&amp;VAR:V=15.221629&amp;VAR:AUDIT_ID=00000117&amp;VAR:DATE=20050504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Mean&amp;VAR:CHGPERIOD=NA&amp;VAR:FQLFORMULA=FMA_PE&amp;VAR:","CURRENCY=NA&amp;VAR:P=1175.650900&amp;VAR:V=15.221629&amp;VAR:null=.html"}</definedName>
    <definedName name="_248__FDSAUDITLINK__" hidden="1">{"fdsup://directions/FAT%20Viewer?VAR:TM=NTMA&amp;VAR:PCT=0.679452&amp;VAR:Y0=2005&amp;VAR:Y1=2006&amp;VAR:V0=15.480028&amp;VAR:V1=14.121914&amp;VAR:V=15.017091&amp;VAR:AUDIT_ID=00000117&amp;VAR:DATE=20050427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Mean&amp;VAR:CHGPERIOD=NA&amp;VAR:FQLFORMULA=FMA_PE&amp;VAR:","CURRENCY=NA&amp;VAR:P=1156.382300&amp;VAR:V=15.017091&amp;VAR:null=.html"}</definedName>
    <definedName name="_249__FDSAUDITLINK__" hidden="1">{"fdsup://directions/FAT%20Viewer?VAR:TM=NTMA&amp;VAR:PCT=0.698630&amp;VAR:Y0=2005&amp;VAR:Y1=2006&amp;VAR:V0=15.294860&amp;VAR:V1=13.909067&amp;VAR:V=14.849001&amp;VAR:AUDIT_ID=00000117&amp;VAR:DATE=20050420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Mean&amp;VAR:CHGPERIOD=NA&amp;VAR:FQLFORMULA=FMA_PE&amp;VAR:","CURRENCY=NA&amp;VAR:P=1137.500100&amp;VAR:V=14.849001&amp;VAR:null=.html"}</definedName>
    <definedName name="_25__FDSAUDITLINK__" hidden="1">{"fdsup://directions/FAT%20Viewer?VAR:TM=NTMA&amp;VAR:PCT=0.405479&amp;VAR:Y0=2009&amp;VAR:Y1=2010&amp;VAR:V0=16.606817&amp;VAR:V1=13.358848&amp;VAR:V=14.509508&amp;VAR:AUDIT_ID=00000117&amp;VAR:DATE=20090805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Mean&amp;VAR:CHGPERIOD=NA&amp;VAR:FQLFORMULA=FMA_PE&amp;VAR:","CURRENCY=NA&amp;VAR:P=1002.723049&amp;VAR:V=14.509508&amp;VAR:null=.html"}</definedName>
    <definedName name="_250__FDSAUDITLINK__" hidden="1">{"fdsup://directions/FAT%20Viewer?VAR:TM=NTMA&amp;VAR:PCT=0.717808&amp;VAR:Y0=2005&amp;VAR:Y1=2006&amp;VAR:V0=15.802485&amp;VAR:V1=14.344729&amp;VAR:V=15.361947&amp;VAR:AUDIT_ID=00000117&amp;VAR:DATE=20050413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Mean&amp;VAR:CHGPERIOD=NA&amp;VAR:FQLFORMULA=FMA_PE&amp;VAR:","CURRENCY=NA&amp;VAR:P=1173.792700&amp;VAR:V=15.361947&amp;VAR:null=.html"}</definedName>
    <definedName name="_251__FDSAUDITLINK__" hidden="1">{"fdsup://directions/FAT%20Viewer?VAR:TM=NTMA&amp;VAR:PCT=0.736986&amp;VAR:Y0=2005&amp;VAR:Y1=2006&amp;VAR:V0=15.918290&amp;VAR:V1=14.433467&amp;VAR:V=15.498933&amp;VAR:AUDIT_ID=00000117&amp;VAR:DATE=20050406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Mean&amp;VAR:CHGPERIOD=NA&amp;VAR:FQLFORMULA=FMA_PE&amp;VAR:","CURRENCY=NA&amp;VAR:P=1184.065300&amp;VAR:V=15.498933&amp;VAR:null=.html"}</definedName>
    <definedName name="_252__FDSAUDITLINK__" hidden="1">{"fdsup://directions/FAT%20Viewer?VAR:TM=NTMA&amp;VAR:PCT=0.756164&amp;VAR:Y0=2005&amp;VAR:Y1=2006&amp;VAR:V0=15.887772&amp;VAR:V1=14.384204&amp;VAR:V=15.492890&amp;VAR:AUDIT_ID=00000117&amp;VAR:DATE=20050330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Mean&amp;VAR:CHGPERIOD=NA&amp;VAR:FQLFORMULA=FMA_PE&amp;VAR:","CURRENCY=NA&amp;VAR:P=1181.410600&amp;VAR:V=15.492890&amp;VAR:null=.html"}</definedName>
    <definedName name="_253__FDSAUDITLINK__" hidden="1">{"fdsup://directions/FAT%20Viewer?VAR:TM=NTMA&amp;VAR:PCT=0.775342&amp;VAR:Y0=2005&amp;VAR:Y1=2006&amp;VAR:V0=15.800459&amp;VAR:V1=14.307975&amp;VAR:V=15.438664&amp;VAR:AUDIT_ID=00000117&amp;VAR:DATE=20050323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Mean&amp;VAR:CHGPERIOD=NA&amp;VAR:FQLFORMULA=FMA_PE&amp;VAR:","CURRENCY=NA&amp;VAR:P=1172.529800&amp;VAR:V=15.438664&amp;VAR:null=.html"}</definedName>
    <definedName name="_254__FDSAUDITLINK__" hidden="1">{"fdsup://directions/FAT%20Viewer?VAR:TM=NTMA&amp;VAR:PCT=0.945205&amp;VAR:Y0=2010&amp;VAR:Y1=2011&amp;VAR:V0=13.340643&amp;VAR:V1=12.385119&amp;VAR:V=13.284484&amp;VAR:AUDIT_ID=99900521&amp;VAR:DATE=20100120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Mean&amp;VAR:CHGPERIOD=NA&amp;VAR:FQLFORMULA=FMA_PE&amp;VAR:","CURRENCY=NA&amp;VAR:P=266.523626&amp;VAR:V=13.284484&amp;VAR:null=.html"}</definedName>
    <definedName name="_255__FDSAUDITLINK__" hidden="1">{"fdsup://directions/FAT%20Viewer?VAR:TM=NTMA&amp;VAR:PCT=0.964384&amp;VAR:Y0=2010&amp;VAR:Y1=2011&amp;VAR:V0=13.447194&amp;VAR:V1=12.466843&amp;VAR:V=13.409637&amp;VAR:AUDIT_ID=99900521&amp;VAR:DATE=20100113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Mean&amp;VAR:CHGPERIOD=NA&amp;VAR:FQLFORMULA=FMA_PE&amp;VAR:","CURRENCY=NA&amp;VAR:P=268.330615&amp;VAR:V=13.409637&amp;VAR:null=.html"}</definedName>
    <definedName name="_256__FDSAUDITLINK__" hidden="1">{"fdsup://directions/FAT%20Viewer?VAR:TM=NTMA&amp;VAR:PCT=0.983562&amp;VAR:Y0=2010&amp;VAR:Y1=2011&amp;VAR:V0=13.369285&amp;VAR:V1=12.388433&amp;VAR:V=13.351907&amp;VAR:AUDIT_ID=99900521&amp;VAR:DATE=20100106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Mean&amp;VAR:CHGPERIOD=NA&amp;VAR:FQLFORMULA=FMA_PE&amp;VAR:","CURRENCY=NA&amp;VAR:P=266.633347&amp;VAR:V=13.351907&amp;VAR:null=.html"}</definedName>
    <definedName name="_257__FDSAUDITLINK__" hidden="1">{"fdsup://directions/FAT%20Viewer?VAR:TM=NTMA&amp;VAR:PCT=0.002740&amp;VAR:Y0=2009&amp;VAR:Y1=2010&amp;VAR:V0=14.603574&amp;VAR:V1=13.280659&amp;VAR:V=13.283956&amp;VAR:AUDIT_ID=99900521&amp;VAR:DATE=20091230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Mean&amp;VAR:CHGPERIOD=NA&amp;VAR:FQLFORMULA=FMA_PE&amp;VAR:","CURRENCY=NA&amp;VAR:P=264.653513&amp;VAR:V=13.283956&amp;VAR:null=.html"}</definedName>
    <definedName name="_258__FDSAUDITLINK__" hidden="1">{"fdsup://directions/FAT%20Viewer?VAR:TM=NTMA&amp;VAR:PCT=0.021918&amp;VAR:Y0=2009&amp;VAR:Y1=2010&amp;VAR:V0=14.485219&amp;VAR:V1=13.171116&amp;VAR:V=13.197357&amp;VAR:AUDIT_ID=99900521&amp;VAR:DATE=20091223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Mean&amp;VAR:CHGPERIOD=NA&amp;VAR:FQLFORMULA=FMA_PE&amp;VAR:","CURRENCY=NA&amp;VAR:P=262.508636&amp;VAR:V=13.197357&amp;VAR:null=.html"}</definedName>
    <definedName name="_259__FDSAUDITLINK__" hidden="1">{"fdsup://directions/FAT%20Viewer?VAR:TM=NTMA&amp;VAR:PCT=0.041096&amp;VAR:Y0=2009&amp;VAR:Y1=2010&amp;VAR:V0=14.362815&amp;VAR:V1=13.069809&amp;VAR:V=13.118342&amp;VAR:AUDIT_ID=99900521&amp;VAR:DATE=20091216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Mean&amp;VAR:CHGPERIOD=NA&amp;VAR:FQLFORMULA=FMA_PE&amp;VAR:","CURRENCY=NA&amp;VAR:P=259.547692&amp;VAR:V=13.118342&amp;VAR:null=.html"}</definedName>
    <definedName name="_26__FDSAUDITLINK__" hidden="1">{"fdsup://directions/FAT%20Viewer?VAR:TM=NTMA&amp;VAR:PCT=0.424658&amp;VAR:Y0=2009&amp;VAR:Y1=2010&amp;VAR:V0=16.126780&amp;VAR:V1=12.979543&amp;VAR:V=14.152417&amp;VAR:AUDIT_ID=00000117&amp;VAR:DATE=20090729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Mean&amp;VAR:CHGPERIOD=NA&amp;VAR:FQLFORMULA=FMA_PE&amp;VAR:","CURRENCY=NA&amp;VAR:P=975.147031&amp;VAR:V=14.152417&amp;VAR:null=.html"}</definedName>
    <definedName name="_260__FDSAUDITLINK__" hidden="1">{"fdsup://directions/FAT%20Viewer?VAR:TM=NTMA&amp;VAR:PCT=0.060274&amp;VAR:Y0=2009&amp;VAR:Y1=2010&amp;VAR:V0=14.245433&amp;VAR:V1=12.981121&amp;VAR:V=13.050936&amp;VAR:AUDIT_ID=99900521&amp;VAR:DATE=20091209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Mean&amp;VAR:CHGPERIOD=NA&amp;VAR:FQLFORMULA=FMA_PE&amp;VAR:","CURRENCY=NA&amp;VAR:P=257.280930&amp;VAR:V=13.050936&amp;VAR:null=.html"}</definedName>
    <definedName name="_261__FDSAUDITLINK__" hidden="1">{"fdsup://directions/FAT%20Viewer?VAR:TM=NTMA&amp;VAR:PCT=0.079452&amp;VAR:Y0=2009&amp;VAR:Y1=2010&amp;VAR:V0=14.351855&amp;VAR:V1=13.089449&amp;VAR:V=13.181571&amp;VAR:AUDIT_ID=99900521&amp;VAR:DATE=20091202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Mean&amp;VAR:CHGPERIOD=NA&amp;VAR:FQLFORMULA=FMA_PE&amp;VAR:","CURRENCY=NA&amp;VAR:P=258.966127&amp;VAR:V=13.181571&amp;VAR:null=.html"}</definedName>
    <definedName name="_262__FDSAUDITLINK__" hidden="1">{"fdsup://directions/FAT%20Viewer?VAR:TM=NTMA&amp;VAR:PCT=0.098630&amp;VAR:Y0=2009&amp;VAR:Y1=2010&amp;VAR:V0=14.379369&amp;VAR:V1=13.144233&amp;VAR:V=13.256542&amp;VAR:AUDIT_ID=99900521&amp;VAR:DATE=20091125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Mean&amp;VAR:CHGPERIOD=NA&amp;VAR:FQLFORMULA=FMA_PE&amp;VAR:","CURRENCY=NA&amp;VAR:P=259.380803&amp;VAR:V=13.256542&amp;VAR:null=.html"}</definedName>
    <definedName name="_263__FDSAUDITLINK__" hidden="1">{"fdsup://directions/FAT%20Viewer?VAR:TM=NTMA&amp;VAR:PCT=0.117808&amp;VAR:Y0=2009&amp;VAR:Y1=2010&amp;VAR:V0=14.408734&amp;VAR:V1=13.158195&amp;VAR:V=13.294122&amp;VAR:AUDIT_ID=99900521&amp;VAR:DATE=20091118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Mean&amp;VAR:CHGPERIOD=NA&amp;VAR:FQLFORMULA=FMA_PE&amp;VAR:","CURRENCY=NA&amp;VAR:P=258.818479&amp;VAR:V=13.294122&amp;VAR:null=.html"}</definedName>
    <definedName name="_264__FDSAUDITLINK__" hidden="1">{"fdsup://directions/FAT%20Viewer?VAR:TM=NTMA&amp;VAR:PCT=0.136986&amp;VAR:Y0=2009&amp;VAR:Y1=2010&amp;VAR:V0=14.283243&amp;VAR:V1=13.063266&amp;VAR:V=13.217921&amp;VAR:AUDIT_ID=99900521&amp;VAR:DATE=20091111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Mean&amp;VAR:CHGPERIOD=NA&amp;VAR:FQLFORMULA=FMA_PE&amp;VAR:","CURRENCY=NA&amp;VAR:P=256.687820&amp;VAR:V=13.217921&amp;VAR:null=.html"}</definedName>
    <definedName name="_265__FDSAUDITLINK__" hidden="1">{"fdsup://directions/FAT%20Viewer?VAR:TM=NTMA&amp;VAR:PCT=0.156164&amp;VAR:Y0=2009&amp;VAR:Y1=2010&amp;VAR:V0=14.014989&amp;VAR:V1=12.820043&amp;VAR:V=12.993044&amp;VAR:AUDIT_ID=99900521&amp;VAR:DATE=20091104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Mean&amp;VAR:CHGPERIOD=NA&amp;VAR:FQLFORMULA=FMA_PE&amp;VAR:","CURRENCY=NA&amp;VAR:P=251.106763&amp;VAR:V=12.993044&amp;VAR:null=.html"}</definedName>
    <definedName name="_266__FDSAUDITLINK__" hidden="1">{"fdsup://directions/FAT%20Viewer?VAR:TM=NTMA&amp;VAR:PCT=0.175342&amp;VAR:Y0=2009&amp;VAR:Y1=2010&amp;VAR:V0=14.005443&amp;VAR:V1=12.829709&amp;VAR:V=13.021380&amp;VAR:AUDIT_ID=99900521&amp;VAR:DATE=20091028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Mean&amp;VAR:CHGPERIOD=NA&amp;VAR:FQLFORMULA=FMA_PE&amp;VAR:","CURRENCY=NA&amp;VAR:P=248.419066&amp;VAR:V=13.021380&amp;VAR:null=.html"}</definedName>
    <definedName name="_267__FDSAUDITLINK__" hidden="1">{"fdsup://directions/FAT%20Viewer?VAR:TM=NTMA&amp;VAR:PCT=0.194521&amp;VAR:Y0=2009&amp;VAR:Y1=2010&amp;VAR:V0=14.401950&amp;VAR:V1=13.233551&amp;VAR:V=13.445739&amp;VAR:AUDIT_ID=99900521&amp;VAR:DATE=20091021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Mean&amp;VAR:CHGPERIOD=NA&amp;VAR:FQLFORMULA=FMA_PE&amp;VAR:","CURRENCY=NA&amp;VAR:P=254.699681&amp;VAR:V=13.445739&amp;VAR:null=.html"}</definedName>
    <definedName name="_268__FDSAUDITLINK__" hidden="1">{"fdsup://directions/FAT%20Viewer?VAR:TM=NTMA&amp;VAR:PCT=0.213699&amp;VAR:Y0=2009&amp;VAR:Y1=2010&amp;VAR:V0=14.057518&amp;VAR:V1=12.928759&amp;VAR:V=13.154478&amp;VAR:AUDIT_ID=99900521&amp;VAR:DATE=20091014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Mean&amp;VAR:CHGPERIOD=NA&amp;VAR:FQLFORMULA=FMA_PE&amp;VAR:","CURRENCY=NA&amp;VAR:P=248.041620&amp;VAR:V=13.154478&amp;VAR:null=.html"}</definedName>
    <definedName name="_269__FDSAUDITLINK__" hidden="1">{"fdsup://directions/FAT%20Viewer?VAR:TM=NTMA&amp;VAR:PCT=0.232877&amp;VAR:Y0=2009&amp;VAR:Y1=2010&amp;VAR:V0=13.966851&amp;VAR:V1=12.792050&amp;VAR:V=13.047628&amp;VAR:AUDIT_ID=99900521&amp;VAR:DATE=20091007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Mean&amp;VAR:CHGPERIOD=NA&amp;VAR:FQLFORMULA=FMA_PE&amp;VAR:","CURRENCY=NA&amp;VAR:P=246.255057&amp;VAR:V=13.047628&amp;VAR:null=.html"}</definedName>
    <definedName name="_27__FDSAUDITLINK__" hidden="1">{"fdsup://directions/FAT%20Viewer?VAR:TM=NTMA&amp;VAR:PCT=0.443836&amp;VAR:Y0=2009&amp;VAR:Y1=2010&amp;VAR:V0=15.931093&amp;VAR:V1=12.729620&amp;VAR:V=13.976185&amp;VAR:AUDIT_ID=00000117&amp;VAR:DATE=20090722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Mean&amp;VAR:CHGPERIOD=NA&amp;VAR:FQLFORMULA=FMA_PE&amp;VAR:","CURRENCY=NA&amp;VAR:P=954.072126&amp;VAR:V=13.976185&amp;VAR:null=.html"}</definedName>
    <definedName name="_270__FDSAUDITLINK__" hidden="1">{"fdsup://directions/FAT%20Viewer?VAR:TM=NTMA&amp;VAR:PCT=0.252055&amp;VAR:Y0=2009&amp;VAR:Y1=2010&amp;VAR:V0=13.992453&amp;VAR:V1=12.819618&amp;VAR:V=13.096304&amp;VAR:AUDIT_ID=99900521&amp;VAR:DATE=20090930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Mean&amp;VAR:CHGPERIOD=NA&amp;VAR:FQLFORMULA=FMA_PE&amp;VAR:","CURRENCY=NA&amp;VAR:P=246.554020&amp;VAR:V=13.096304&amp;VAR:null=.html"}</definedName>
    <definedName name="_271__FDSAUDITLINK__" hidden="1">{"fdsup://directions/FAT%20Viewer?VAR:TM=NTMA&amp;VAR:PCT=0.271233&amp;VAR:Y0=2009&amp;VAR:Y1=2010&amp;VAR:V0=13.978913&amp;VAR:V1=12.804170&amp;VAR:V=13.102830&amp;VAR:AUDIT_ID=99900521&amp;VAR:DATE=20090923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Mean&amp;VAR:CHGPERIOD=NA&amp;VAR:FQLFORMULA=FMA_PE&amp;VAR:","CURRENCY=NA&amp;VAR:P=246.325423&amp;VAR:V=13.102830&amp;VAR:null=.html"}</definedName>
    <definedName name="_272__FDSAUDITLINK__" hidden="1">{"fdsup://directions/FAT%20Viewer?VAR:TM=NTMA&amp;VAR:PCT=0.290411&amp;VAR:Y0=2009&amp;VAR:Y1=2010&amp;VAR:V0=13.901879&amp;VAR:V1=12.765005&amp;VAR:V=13.075541&amp;VAR:AUDIT_ID=99900521&amp;VAR:DATE=20090916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Mean&amp;VAR:CHGPERIOD=NA&amp;VAR:FQLFORMULA=FMA_PE&amp;VAR:","CURRENCY=NA&amp;VAR:P=243.823835&amp;VAR:V=13.075541&amp;VAR:null=.html"}</definedName>
    <definedName name="_273__FDSAUDITLINK__" hidden="1">{"fdsup://directions/FAT%20Viewer?VAR:TM=NTMA&amp;VAR:PCT=0.309589&amp;VAR:Y0=2009&amp;VAR:Y1=2010&amp;VAR:V0=13.921125&amp;VAR:V1=12.779213&amp;VAR:V=13.112194&amp;VAR:AUDIT_ID=99900521&amp;VAR:DATE=20090909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Mean&amp;VAR:CHGPERIOD=NA&amp;VAR:FQLFORMULA=FMA_PE&amp;VAR:","CURRENCY=NA&amp;VAR:P=243.839386&amp;VAR:V=13.112194&amp;VAR:null=.html"}</definedName>
    <definedName name="_274__FDSAUDITLINK__" hidden="1">{"fdsup://directions/FAT%20Viewer?VAR:TM=NTMA&amp;VAR:PCT=0.328767&amp;VAR:Y0=2009&amp;VAR:Y1=2010&amp;VAR:V0=13.676989&amp;VAR:V1=12.550580&amp;VAR:V=12.899864&amp;VAR:AUDIT_ID=99900521&amp;VAR:DATE=20090902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Mean&amp;VAR:CHGPERIOD=NA&amp;VAR:FQLFORMULA=FMA_PE&amp;VAR:","CURRENCY=NA&amp;VAR:P=239.580613&amp;VAR:V=12.899864&amp;VAR:null=.html"}</definedName>
    <definedName name="_275__FDSAUDITLINK__" hidden="1">{"fdsup://directions/FAT%20Viewer?VAR:TM=NTMA&amp;VAR:PCT=0.347945&amp;VAR:Y0=2009&amp;VAR:Y1=2010&amp;VAR:V0=13.905003&amp;VAR:V1=12.803350&amp;VAR:V=13.166301&amp;VAR:AUDIT_ID=99900521&amp;VAR:DATE=20090826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Mean&amp;VAR:CHGPERIOD=NA&amp;VAR:FQLFORMULA=FMA_PE&amp;VAR:","CURRENCY=NA&amp;VAR:P=243.448291&amp;VAR:V=13.166301&amp;VAR:null=.html"}</definedName>
    <definedName name="_276__FDSAUDITLINK__" hidden="1">{"fdsup://directions/FAT%20Viewer?VAR:TM=NTMA&amp;VAR:PCT=0.367123&amp;VAR:Y0=2009&amp;VAR:Y1=2010&amp;VAR:V0=13.751812&amp;VAR:V1=12.676498&amp;VAR:V=13.051157&amp;VAR:AUDIT_ID=99900521&amp;VAR:DATE=20090819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Mean&amp;VAR:CHGPERIOD=NA&amp;VAR:FQLFORMULA=FMA_PE&amp;VAR:","CURRENCY=NA&amp;VAR:P=240.397741&amp;VAR:V=13.051157&amp;VAR:null=.html"}</definedName>
    <definedName name="_277__FDSAUDITLINK__" hidden="1">{"fdsup://directions/FAT%20Viewer?VAR:TM=NTMA&amp;VAR:PCT=0.386301&amp;VAR:Y0=2009&amp;VAR:Y1=2010&amp;VAR:V0=13.753601&amp;VAR:V1=12.704219&amp;VAR:V=13.090039&amp;VAR:AUDIT_ID=99900521&amp;VAR:DATE=20090812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Mean&amp;VAR:CHGPERIOD=NA&amp;VAR:FQLFORMULA=FMA_PE&amp;VAR:","CURRENCY=NA&amp;VAR:P=240.351841&amp;VAR:V=13.090039&amp;VAR:null=.html"}</definedName>
    <definedName name="_278__FDSAUDITLINK__" hidden="1">{"fdsup://directions/FAT%20Viewer?VAR:TM=NTMA&amp;VAR:PCT=0.405479&amp;VAR:Y0=2009&amp;VAR:Y1=2010&amp;VAR:V0=13.836680&amp;VAR:V1=12.759025&amp;VAR:V=13.175099&amp;VAR:AUDIT_ID=99900521&amp;VAR:DATE=20090805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Mean&amp;VAR:CHGPERIOD=NA&amp;VAR:FQLFORMULA=FMA_PE&amp;VAR:","CURRENCY=NA&amp;VAR:P=241.724406&amp;VAR:V=13.175099&amp;VAR:null=.html"}</definedName>
    <definedName name="_279__FDSAUDITLINK__" hidden="1">{"fdsup://directions/FAT%20Viewer?VAR:TM=NTMA&amp;VAR:PCT=0.424658&amp;VAR:Y0=2009&amp;VAR:Y1=2010&amp;VAR:V0=13.969960&amp;VAR:V1=13.167223&amp;VAR:V=13.496560&amp;VAR:AUDIT_ID=99900521&amp;VAR:DATE=20090729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Mean&amp;VAR:CHGPERIOD=NA&amp;VAR:FQLFORMULA=FMA_PE&amp;VAR:","CURRENCY=NA&amp;VAR:P=247.543360&amp;VAR:V=13.496560&amp;VAR:null=.html"}</definedName>
    <definedName name="_28__FDSAUDITLINK__" hidden="1">{"fdsup://directions/FAT%20Viewer?VAR:TM=NTMA&amp;VAR:PCT=0.463014&amp;VAR:Y0=2009&amp;VAR:Y1=2010&amp;VAR:V0=15.692122&amp;VAR:V1=12.441793&amp;VAR:V=13.761593&amp;VAR:AUDIT_ID=00000117&amp;VAR:DATE=20090715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Mean&amp;VAR:CHGPERIOD=NA&amp;VAR:FQLFORMULA=FMA_PE&amp;VAR:","CURRENCY=NA&amp;VAR:P=932.676713&amp;VAR:V=13.761593&amp;VAR:null=.html"}</definedName>
    <definedName name="_280__FDSAUDITLINK__" hidden="1">{"fdsup://directions/FAT%20Viewer?VAR:TM=NTMA&amp;VAR:PCT=0.443836&amp;VAR:Y0=2009&amp;VAR:Y1=2010&amp;VAR:V0=13.710256&amp;VAR:V1=12.939610&amp;VAR:V=13.270684&amp;VAR:AUDIT_ID=99900521&amp;VAR:DATE=20090722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Mean&amp;VAR:CHGPERIOD=NA&amp;VAR:FQLFORMULA=FMA_PE&amp;VAR:","CURRENCY=NA&amp;VAR:P=242.297120&amp;VAR:V=13.270684&amp;VAR:null=.html"}</definedName>
    <definedName name="_281__FDSAUDITLINK__" hidden="1">{"fdsup://directions/FAT%20Viewer?VAR:TM=NTMA&amp;VAR:PCT=0.463014&amp;VAR:Y0=2009&amp;VAR:Y1=2010&amp;VAR:V0=13.606145&amp;VAR:V1=12.855111&amp;VAR:V=13.192272&amp;VAR:AUDIT_ID=99900521&amp;VAR:DATE=20090715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Mean&amp;VAR:CHGPERIOD=NA&amp;VAR:FQLFORMULA=FMA_PE&amp;VAR:","CURRENCY=NA&amp;VAR:P=239.983618&amp;VAR:V=13.192272&amp;VAR:null=.html"}</definedName>
    <definedName name="_282__FDSAUDITLINK__" hidden="1">{"fdsup://directions/FAT%20Viewer?VAR:TM=NTMA&amp;VAR:PCT=0.482192&amp;VAR:Y0=2009&amp;VAR:Y1=2010&amp;VAR:V0=13.160734&amp;VAR:V1=12.412469&amp;VAR:V=12.762354&amp;VAR:AUDIT_ID=99900521&amp;VAR:DATE=20090708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Mean&amp;VAR:CHGPERIOD=NA&amp;VAR:FQLFORMULA=FMA_PE&amp;VAR:","CURRENCY=NA&amp;VAR:P=231.316461&amp;VAR:V=12.762354&amp;VAR:null=.html"}</definedName>
    <definedName name="_283__FDSAUDITLINK__" hidden="1">{"fdsup://directions/FAT%20Viewer?VAR:TM=NTMA&amp;VAR:PCT=0.501370&amp;VAR:Y0=2009&amp;VAR:Y1=2010&amp;VAR:V0=13.425720&amp;VAR:V1=12.683308&amp;VAR:V=13.044975&amp;VAR:AUDIT_ID=99900521&amp;VAR:DATE=20090701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Mean&amp;VAR:CHGPERIOD=NA&amp;VAR:FQLFORMULA=FMA_PE&amp;VAR:","CURRENCY=NA&amp;VAR:P=235.505706&amp;VAR:V=13.044975&amp;VAR:null=.html"}</definedName>
    <definedName name="_284__FDSAUDITLINK__" hidden="1">{"fdsup://directions/FAT%20Viewer?VAR:TM=NTMA&amp;VAR:PCT=0.520548&amp;VAR:Y0=2009&amp;VAR:Y1=2010&amp;VAR:V0=12.985877&amp;VAR:V1=12.296656&amp;VAR:V=12.646040&amp;VAR:AUDIT_ID=99900521&amp;VAR:DATE=20090624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Mean&amp;VAR:CHGPERIOD=NA&amp;VAR:FQLFORMULA=FMA_PE&amp;VAR:","CURRENCY=NA&amp;VAR:P=227.484445&amp;VAR:V=12.646040&amp;VAR:null=.html"}</definedName>
    <definedName name="_285__FDSAUDITLINK__" hidden="1">{"fdsup://directions/FAT%20Viewer?VAR:TM=NTMA&amp;VAR:PCT=0.539726&amp;VAR:Y0=2009&amp;VAR:Y1=2010&amp;VAR:V0=12.752878&amp;VAR:V1=12.068025&amp;VAR:V=12.428249&amp;VAR:AUDIT_ID=99900521&amp;VAR:DATE=20090617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Mean&amp;VAR:CHGPERIOD=NA&amp;VAR:FQLFORMULA=FMA_PE&amp;VAR:","CURRENCY=NA&amp;VAR:P=221.909688&amp;VAR:V=12.428249&amp;VAR:null=.html"}</definedName>
    <definedName name="_286__FDSAUDITLINK__" hidden="1">{"fdsup://directions/FAT%20Viewer?VAR:TM=NTMA&amp;VAR:PCT=0.558904&amp;VAR:Y0=2009&amp;VAR:Y1=2010&amp;VAR:V0=13.049629&amp;VAR:V1=12.354963&amp;VAR:V=12.733819&amp;VAR:AUDIT_ID=99900521&amp;VAR:DATE=20090610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Mean&amp;VAR:CHGPERIOD=NA&amp;VAR:FQLFORMULA=FMA_PE&amp;VAR:","CURRENCY=NA&amp;VAR:P=227.018193&amp;VAR:V=12.733819&amp;VAR:null=.html"}</definedName>
    <definedName name="_287__FDSAUDITLINK__" hidden="1">{"fdsup://directions/FAT%20Viewer?VAR:TM=NTMA&amp;VAR:PCT=0.578082&amp;VAR:Y0=2009&amp;VAR:Y1=2010&amp;VAR:V0=13.161332&amp;VAR:V1=12.464021&amp;VAR:V=12.857828&amp;VAR:AUDIT_ID=99900521&amp;VAR:DATE=20090603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Mean&amp;VAR:CHGPERIOD=NA&amp;VAR:FQLFORMULA=FMA_PE&amp;VAR:","CURRENCY=NA&amp;VAR:P=228.877324&amp;VAR:V=12.857828&amp;VAR:null=.html"}</definedName>
    <definedName name="_288__FDSAUDITLINK__" hidden="1">{"fdsup://directions/FAT%20Viewer?VAR:TM=NTMA&amp;VAR:PCT=0.597260&amp;VAR:Y0=2009&amp;VAR:Y1=2010&amp;VAR:V0=12.724381&amp;VAR:V1=12.055163&amp;VAR:V=12.446120&amp;VAR:AUDIT_ID=99900521&amp;VAR:DATE=20090527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Mean&amp;VAR:CHGPERIOD=NA&amp;VAR:FQLFORMULA=FMA_PE&amp;VAR:","CURRENCY=NA&amp;VAR:P=221.044104&amp;VAR:V=12.446120&amp;VAR:null=.html"}</definedName>
    <definedName name="_289__FDSAUDITLINK__" hidden="1">{"fdsup://directions/FAT%20Viewer?VAR:TM=NTMA&amp;VAR:PCT=0.616438&amp;VAR:Y0=2009&amp;VAR:Y1=2010&amp;VAR:V0=12.690440&amp;VAR:V1=12.016064&amp;VAR:V=12.423015&amp;VAR:AUDIT_ID=99900521&amp;VAR:DATE=20090520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Mean&amp;VAR:CHGPERIOD=NA&amp;VAR:FQLFORMULA=FMA_PE&amp;VAR:","CURRENCY=NA&amp;VAR:P=220.248328&amp;VAR:V=12.423015&amp;VAR:null=.html"}</definedName>
    <definedName name="_29__FDSAUDITLINK__" hidden="1">{"fdsup://directions/FAT%20Viewer?VAR:TM=NTMA&amp;VAR:PCT=0.482192&amp;VAR:Y0=2009&amp;VAR:Y1=2010&amp;VAR:V0=14.844204&amp;VAR:V1=11.773982&amp;VAR:V=13.078302&amp;VAR:AUDIT_ID=00000117&amp;VAR:DATE=20090708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Mean&amp;VAR:CHGPERIOD=NA&amp;VAR:FQLFORMULA=FMA_PE&amp;VAR:","CURRENCY=NA&amp;VAR:P=879.559901&amp;VAR:V=13.078302&amp;VAR:null=.html"}</definedName>
    <definedName name="_290__FDSAUDITLINK__" hidden="1">{"fdsup://directions/FAT%20Viewer?VAR:TM=NTMA&amp;VAR:PCT=0.635616&amp;VAR:Y0=2009&amp;VAR:Y1=2010&amp;VAR:V0=12.537915&amp;VAR:V1=11.863922&amp;VAR:V=12.283635&amp;VAR:AUDIT_ID=99900521&amp;VAR:DATE=20090513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Mean&amp;VAR:CHGPERIOD=NA&amp;VAR:FQLFORMULA=FMA_PE&amp;VAR:","CURRENCY=NA&amp;VAR:P=216.897347&amp;VAR:V=12.283635&amp;VAR:null=.html"}</definedName>
    <definedName name="_291__FDSAUDITLINK__" hidden="1">{"fdsup://directions/FAT%20Viewer?VAR:TM=NTMA&amp;VAR:PCT=0.654795&amp;VAR:Y0=2009&amp;VAR:Y1=2010&amp;VAR:V0=12.457435&amp;VAR:V1=11.799679&amp;VAR:V=12.222243&amp;VAR:AUDIT_ID=99900521&amp;VAR:DATE=20090506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Mean&amp;VAR:CHGPERIOD=NA&amp;VAR:FQLFORMULA=FMA_PE&amp;VAR:","CURRENCY=NA&amp;VAR:P=215.117673&amp;VAR:V=12.222243&amp;VAR:null=.html"}</definedName>
    <definedName name="_292__FDSAUDITLINK__" hidden="1">{"fdsup://directions/FAT%20Viewer?VAR:TM=NTMA&amp;VAR:PCT=0.673973&amp;VAR:Y0=2009&amp;VAR:Y1=2010&amp;VAR:V0=11.823883&amp;VAR:V1=11.047445&amp;VAR:V=11.559021&amp;VAR:AUDIT_ID=99900521&amp;VAR:DATE=20090429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Mean&amp;VAR:CHGPERIOD=NA&amp;VAR:FQLFORMULA=FMA_PE&amp;VAR:","CURRENCY=NA&amp;VAR:P=207.059995&amp;VAR:V=11.559021&amp;VAR:null=.html"}</definedName>
    <definedName name="_293__FDSAUDITLINK__" hidden="1">{"fdsup://directions/FAT%20Viewer?VAR:TM=NTMA&amp;VAR:PCT=0.693151&amp;VAR:Y0=2009&amp;VAR:Y1=2010&amp;VAR:V0=11.695430&amp;VAR:V1=10.927691&amp;VAR:V=11.448620&amp;VAR:AUDIT_ID=99900521&amp;VAR:DATE=20090422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Mean&amp;VAR:CHGPERIOD=NA&amp;VAR:FQLFORMULA=FMA_PE&amp;VAR:","CURRENCY=NA&amp;VAR:P=204.994553&amp;VAR:V=11.448620&amp;VAR:null=.html"}</definedName>
    <definedName name="_294__FDSAUDITLINK__" hidden="1">{"fdsup://directions/FAT%20Viewer?VAR:TM=NTMA&amp;VAR:PCT=0.712329&amp;VAR:Y0=2009&amp;VAR:Y1=2010&amp;VAR:V0=11.844669&amp;VAR:V1=11.042271&amp;VAR:V=11.602139&amp;VAR:AUDIT_ID=99900521&amp;VAR:DATE=20090415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Mean&amp;VAR:CHGPERIOD=NA&amp;VAR:FQLFORMULA=FMA_PE&amp;VAR:","CURRENCY=NA&amp;VAR:P=207.730576&amp;VAR:V=11.602139&amp;VAR:null=.html"}</definedName>
    <definedName name="_295__FDSAUDITLINK__" hidden="1">{"fdsup://directions/FAT%20Viewer?VAR:TM=NTMA&amp;VAR:PCT=0.731507&amp;VAR:Y0=2009&amp;VAR:Y1=2010&amp;VAR:V0=11.714457&amp;VAR:V1=10.919602&amp;VAR:V=11.489898&amp;VAR:AUDIT_ID=99900521&amp;VAR:DATE=20090408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Mean&amp;VAR:CHGPERIOD=NA&amp;VAR:FQLFORMULA=FMA_PE&amp;VAR:","CURRENCY=NA&amp;VAR:P=205.467093&amp;VAR:V=11.489898&amp;VAR:null=.html"}</definedName>
    <definedName name="_296__FDSAUDITLINK__" hidden="1">{"fdsup://directions/FAT%20Viewer?VAR:TM=NTMA&amp;VAR:PCT=0.750685&amp;VAR:Y0=2009&amp;VAR:Y1=2010&amp;VAR:V0=11.771677&amp;VAR:V1=10.998256&amp;VAR:V=11.568848&amp;VAR:AUDIT_ID=99900521&amp;VAR:DATE=20090401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Mean&amp;VAR:CHGPERIOD=NA&amp;VAR:FQLFORMULA=FMA_PE&amp;VAR:","CURRENCY=NA&amp;VAR:P=208.049415&amp;VAR:V=11.568848&amp;VAR:null=.html"}</definedName>
    <definedName name="_297__FDSAUDITLINK__" hidden="1">{"fdsup://directions/FAT%20Viewer?VAR:TM=NTMA&amp;VAR:PCT=0.769863&amp;VAR:Y0=2009&amp;VAR:Y1=2010&amp;VAR:V0=11.772314&amp;VAR:V1=11.000539&amp;VAR:V=11.585259&amp;VAR:AUDIT_ID=99900521&amp;VAR:DATE=20090325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Mean&amp;VAR:CHGPERIOD=NA&amp;VAR:FQLFORMULA=FMA_PE&amp;VAR:","CURRENCY=NA&amp;VAR:P=207.741407&amp;VAR:V=11.585259&amp;VAR:null=.html"}</definedName>
    <definedName name="_298__FDSAUDITLINK__" hidden="1">{"fdsup://directions/FAT%20Viewer?VAR:TM=NTMA&amp;VAR:PCT=0.789041&amp;VAR:Y0=2009&amp;VAR:Y1=2010&amp;VAR:V0=11.514566&amp;VAR:V1=10.765722&amp;VAR:V=11.348046&amp;VAR:AUDIT_ID=99900521&amp;VAR:DATE=20090318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Mean&amp;VAR:CHGPERIOD=NA&amp;VAR:FQLFORMULA=FMA_PE&amp;VAR:","CURRENCY=NA&amp;VAR:P=203.337635&amp;VAR:V=11.348046&amp;VAR:null=.html"}</definedName>
    <definedName name="_299__FDSAUDITLINK__" hidden="1">{"fdsup://directions/FAT%20Viewer?VAR:TM=NTMA&amp;VAR:PCT=0.808219&amp;VAR:Y0=2009&amp;VAR:Y1=2010&amp;VAR:V0=11.012958&amp;VAR:V1=10.256290&amp;VAR:V=10.859312&amp;VAR:AUDIT_ID=99900521&amp;VAR:DATE=20090311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Mean&amp;VAR:CHGPERIOD=NA&amp;VAR:FQLFORMULA=FMA_PE&amp;VAR:","CURRENCY=NA&amp;VAR:P=195.023759&amp;VAR:V=10.859312&amp;VAR:null=.html"}</definedName>
    <definedName name="_3__FDSAUDITLINK__" hidden="1">{"fdsup://directions/FAT%20Viewer?VAR:TM=NTMA&amp;VAR:PCT=0.983562&amp;VAR:Y0=2010&amp;VAR:Y1=2011&amp;VAR:V0=14.572070&amp;VAR:V1=12.040250&amp;VAR:V=14.521873&amp;VAR:AUDIT_ID=00000117&amp;VAR:DATE=20100106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Mean&amp;VAR:CHGPERIOD=NA&amp;VAR:FQLFORMULA=FMA_PE&amp;VAR:","CURRENCY=NA&amp;VAR:P=1137.137830&amp;VAR:V=14.521873&amp;VAR:null=.html"}</definedName>
    <definedName name="_30__FDSAUDITLINK__" hidden="1">{"fdsup://directions/FAT%20Viewer?VAR:TM=NTMA&amp;VAR:PCT=0.501370&amp;VAR:Y0=2009&amp;VAR:Y1=2010&amp;VAR:V0=15.669693&amp;VAR:V1=12.403035&amp;VAR:V=13.850719&amp;VAR:AUDIT_ID=00000117&amp;VAR:DATE=20090701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Mean&amp;VAR:CHGPERIOD=NA&amp;VAR:FQLFORMULA=FMA_PE&amp;VAR:","CURRENCY=NA&amp;VAR:P=923.328036&amp;VAR:V=13.850719&amp;VAR:null=.html"}</definedName>
    <definedName name="_300__FDSAUDITLINK__" hidden="1">{"fdsup://directions/FAT%20Viewer?VAR:TM=NTMA&amp;VAR:PCT=0.827397&amp;VAR:Y0=2009&amp;VAR:Y1=2010&amp;VAR:V0=11.310698&amp;VAR:V1=10.544524&amp;VAR:V=11.170602&amp;VAR:AUDIT_ID=99900521&amp;VAR:DATE=20090304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Mean&amp;VAR:CHGPERIOD=NA&amp;VAR:FQLFORMULA=FMA_PE&amp;VAR:","CURRENCY=NA&amp;VAR:P=200.250860&amp;VAR:V=11.170602&amp;VAR:null=.html"}</definedName>
    <definedName name="_301__FDSAUDITLINK__" hidden="1">{"fdsup://directions/FAT%20Viewer?VAR:TM=NTMA&amp;VAR:PCT=0.846575&amp;VAR:Y0=2009&amp;VAR:Y1=2010&amp;VAR:V0=11.888390&amp;VAR:V1=11.085791&amp;VAR:V=11.757787&amp;VAR:AUDIT_ID=99900521&amp;VAR:DATE=20090225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Mean&amp;VAR:CHGPERIOD=NA&amp;VAR:FQLFORMULA=FMA_PE&amp;VAR:","CURRENCY=NA&amp;VAR:P=211.189928&amp;VAR:V=11.757787&amp;VAR:null=.html"}</definedName>
    <definedName name="_302__FDSAUDITLINK__" hidden="1">{"fdsup://directions/FAT%20Viewer?VAR:TM=NTMA&amp;VAR:PCT=0.865753&amp;VAR:Y0=2009&amp;VAR:Y1=2010&amp;VAR:V0=11.978145&amp;VAR:V1=11.186102&amp;VAR:V=11.865359&amp;VAR:AUDIT_ID=99900521&amp;VAR:DATE=20090218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Mean&amp;VAR:CHGPERIOD=NA&amp;VAR:FQLFORMULA=FMA_PE&amp;VAR:","CURRENCY=NA&amp;VAR:P=214.394958&amp;VAR:V=11.865359&amp;VAR:null=.html"}</definedName>
    <definedName name="_303__FDSAUDITLINK__" hidden="1">{"fdsup://directions/FAT%20Viewer?VAR:TM=NTMA&amp;VAR:PCT=0.884932&amp;VAR:Y0=2009&amp;VAR:Y1=2010&amp;VAR:V0=12.404372&amp;VAR:V1=11.590151&amp;VAR:V=12.304903&amp;VAR:AUDIT_ID=99900521&amp;VAR:DATE=20090211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Mean&amp;VAR:CHGPERIOD=NA&amp;VAR:FQLFORMULA=FMA_PE&amp;VAR:","CURRENCY=NA&amp;VAR:P=221.959855&amp;VAR:V=12.304903&amp;VAR:null=.html"}</definedName>
    <definedName name="_304__FDSAUDITLINK__" hidden="1">{"fdsup://directions/FAT%20Viewer?VAR:TM=NTMA&amp;VAR:PCT=0.904110&amp;VAR:Y0=2009&amp;VAR:Y1=2010&amp;VAR:V0=12.631474&amp;VAR:V1=11.832481&amp;VAR:V=12.550211&amp;VAR:AUDIT_ID=99900521&amp;VAR:DATE=20090204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Mean&amp;VAR:CHGPERIOD=NA&amp;VAR:FQLFORMULA=FMA_PE&amp;VAR:","CURRENCY=NA&amp;VAR:P=227.362821&amp;VAR:V=12.550211&amp;VAR:null=.html"}</definedName>
    <definedName name="_305__FDSAUDITLINK__" hidden="1">{"fdsup://directions/FAT%20Viewer?VAR:TM=NTMA&amp;VAR:PCT=0.923288&amp;VAR:Y0=2009&amp;VAR:Y1=2010&amp;VAR:V0=13.269771&amp;VAR:V1=12.416317&amp;VAR:V=13.200167&amp;VAR:AUDIT_ID=99900521&amp;VAR:DATE=20090128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Mean&amp;VAR:CHGPERIOD=NA&amp;VAR:FQLFORMULA=FMA_PE&amp;VAR:","CURRENCY=NA&amp;VAR:P=240.927157&amp;VAR:V=13.200167&amp;VAR:null=.html"}</definedName>
    <definedName name="_306__FDSAUDITLINK__" hidden="1">{"fdsup://directions/FAT%20Viewer?VAR:TM=NTMA&amp;VAR:PCT=0.942466&amp;VAR:Y0=2009&amp;VAR:Y1=2010&amp;VAR:V0=12.739487&amp;VAR:V1=11.951523&amp;VAR:V=12.691346&amp;VAR:AUDIT_ID=99900521&amp;VAR:DATE=20090121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Mean&amp;VAR:CHGPERIOD=NA&amp;VAR:FQLFORMULA=FMA_PE&amp;VAR:","CURRENCY=NA&amp;VAR:P=232.339509&amp;VAR:V=12.691346&amp;VAR:null=.html"}</definedName>
    <definedName name="_307__FDSAUDITLINK__" hidden="1">{"fdsup://directions/FAT%20Viewer?VAR:TM=NTMA&amp;VAR:PCT=0.961644&amp;VAR:Y0=2009&amp;VAR:Y1=2010&amp;VAR:V0=12.352558&amp;VAR:V1=11.594799&amp;VAR:V=12.321671&amp;VAR:AUDIT_ID=99900521&amp;VAR:DATE=20090114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Mean&amp;VAR:CHGPERIOD=NA&amp;VAR:FQLFORMULA=FMA_PE&amp;VAR:","CURRENCY=NA&amp;VAR:P=225.681941&amp;VAR:V=12.321671&amp;VAR:null=.html"}</definedName>
    <definedName name="_308__FDSAUDITLINK__" hidden="1">{"fdsup://directions/FAT%20Viewer?VAR:TM=NTMA&amp;VAR:PCT=0.980822&amp;VAR:Y0=2009&amp;VAR:Y1=2010&amp;VAR:V0=12.709552&amp;VAR:V1=11.874885&amp;VAR:V=12.692443&amp;VAR:AUDIT_ID=99900521&amp;VAR:DATE=20090107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Mean&amp;VAR:CHGPERIOD=NA&amp;VAR:FQLFORMULA=FMA_PE&amp;VAR:","CURRENCY=NA&amp;VAR:P=232.504906&amp;VAR:V=12.692443&amp;VAR:null=.html"}</definedName>
    <definedName name="_309__FDSAUDITLINK__" hidden="1">{"fdsup://directions/FAT%20Viewer?VAR:TM=NTMA&amp;VAR:PCT=0.000000&amp;VAR:Y0=2008&amp;VAR:Y1=2009&amp;VAR:V0=13.247364&amp;VAR:V1=12.606615&amp;VAR:V=12.606615&amp;VAR:AUDIT_ID=99900521&amp;VAR:DATE=20081231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Mean&amp;VAR:CHGPERIOD=NA&amp;VAR:FQLFORMULA=FMA_PE&amp;VAR:","CURRENCY=NA&amp;VAR:P=231.331210&amp;VAR:V=12.606615&amp;VAR:null=.html"}</definedName>
    <definedName name="_31__FDSAUDITLINK__" hidden="1">{"fdsup://directions/FAT%20Viewer?VAR:TM=NTMA&amp;VAR:PCT=0.520548&amp;VAR:Y0=2009&amp;VAR:Y1=2010&amp;VAR:V0=15.275622&amp;VAR:V1=12.067292&amp;VAR:V=13.548561&amp;VAR:AUDIT_ID=00000117&amp;VAR:DATE=20090624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Mean&amp;VAR:CHGPERIOD=NA&amp;VAR:FQLFORMULA=FMA_PE&amp;VAR:","CURRENCY=NA&amp;VAR:P=900.940587&amp;VAR:V=13.548561&amp;VAR:null=.html"}</definedName>
    <definedName name="_310__FDSAUDITLINK__" hidden="1">{"fdsup://directions/FAT%20Viewer?VAR:TM=NTMA&amp;VAR:PCT=0.019126&amp;VAR:Y0=2008&amp;VAR:Y1=2009&amp;VAR:V0=12.894088&amp;VAR:V1=12.260468&amp;VAR:V=12.272002&amp;VAR:AUDIT_ID=99900521&amp;VAR:DATE=20081224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Mean&amp;VAR:CHGPERIOD=NA&amp;VAR:FQLFORMULA=FMA_PE&amp;VAR:","CURRENCY=NA&amp;VAR:P=225.001089&amp;VAR:V=12.272002&amp;VAR:null=.html"}</definedName>
    <definedName name="_311__FDSAUDITLINK__" hidden="1">{"fdsup://directions/FAT%20Viewer?VAR:TM=NTMA&amp;VAR:PCT=0.038251&amp;VAR:Y0=2008&amp;VAR:Y1=2009&amp;VAR:V0=13.184161&amp;VAR:V1=12.492249&amp;VAR:V=12.517377&amp;VAR:AUDIT_ID=99900521&amp;VAR:DATE=20081217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Mean&amp;VAR:CHGPERIOD=NA&amp;VAR:FQLFORMULA=FMA_PE&amp;VAR:","CURRENCY=NA&amp;VAR:P=230.086747&amp;VAR:V=12.517377&amp;VAR:null=.html"}</definedName>
    <definedName name="_312__FDSAUDITLINK__" hidden="1">{"fdsup://directions/FAT%20Viewer?VAR:TM=NTMA&amp;VAR:PCT=0.057377&amp;VAR:Y0=2008&amp;VAR:Y1=2009&amp;VAR:V0=12.886376&amp;VAR:V1=12.215412&amp;VAR:V=12.252015&amp;VAR:AUDIT_ID=99900521&amp;VAR:DATE=20081210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Mean&amp;VAR:CHGPERIOD=NA&amp;VAR:FQLFORMULA=FMA_PE&amp;VAR:","CURRENCY=NA&amp;VAR:P=224.681159&amp;VAR:V=12.252015&amp;VAR:null=.html"}</definedName>
    <definedName name="_313__FDSAUDITLINK__" hidden="1">{"fdsup://directions/FAT%20Viewer?VAR:TM=NTMA&amp;VAR:PCT=0.076503&amp;VAR:Y0=2008&amp;VAR:Y1=2009&amp;VAR:V0=12.741201&amp;VAR:V1=12.076706&amp;VAR:V=12.125083&amp;VAR:AUDIT_ID=99900521&amp;VAR:DATE=20081203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Mean&amp;VAR:CHGPERIOD=NA&amp;VAR:FQLFORMULA=FMA_PE&amp;VAR:","CURRENCY=NA&amp;VAR:P=222.186392&amp;VAR:V=12.125083&amp;VAR:null=.html"}</definedName>
    <definedName name="_314__FDSAUDITLINK__" hidden="1">{"fdsup://directions/FAT%20Viewer?VAR:TM=NTMA&amp;VAR:PCT=0.095628&amp;VAR:Y0=2008&amp;VAR:Y1=2009&amp;VAR:V0=13.016097&amp;VAR:V1=12.272448&amp;VAR:V=12.339867&amp;VAR:AUDIT_ID=99900521&amp;VAR:DATE=20081126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Mean&amp;VAR:CHGPERIOD=NA&amp;VAR:FQLFORMULA=FMA_PE&amp;VAR:","CURRENCY=NA&amp;VAR:P=227.250626&amp;VAR:V=12.339867&amp;VAR:null=.html"}</definedName>
    <definedName name="_315__FDSAUDITLINK__" hidden="1">{"fdsup://directions/FAT%20Viewer?VAR:TM=NTMA&amp;VAR:PCT=0.114754&amp;VAR:Y0=2008&amp;VAR:Y1=2009&amp;VAR:V0=12.603471&amp;VAR:V1=11.832208&amp;VAR:V=11.915885&amp;VAR:AUDIT_ID=99900521&amp;VAR:DATE=20081119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Mean&amp;VAR:CHGPERIOD=NA&amp;VAR:FQLFORMULA=FMA_PE&amp;VAR:","CURRENCY=NA&amp;VAR:P=220.436957&amp;VAR:V=11.915885&amp;VAR:null=.html"}</definedName>
    <definedName name="_316__FDSAUDITLINK__" hidden="1">{"fdsup://directions/FAT%20Viewer?VAR:TM=NTMA&amp;VAR:PCT=0.133880&amp;VAR:Y0=2008&amp;VAR:Y1=2009&amp;VAR:V0=13.098999&amp;VAR:V1=12.340451&amp;VAR:V=12.436872&amp;VAR:AUDIT_ID=99900521&amp;VAR:DATE=20081112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Mean&amp;VAR:CHGPERIOD=NA&amp;VAR:FQLFORMULA=FMA_PE&amp;VAR:","CURRENCY=NA&amp;VAR:P=229.116048&amp;VAR:V=12.436872&amp;VAR:null=.html"}</definedName>
    <definedName name="_317__FDSAUDITLINK__" hidden="1">{"fdsup://directions/FAT%20Viewer?VAR:TM=NTMA&amp;VAR:PCT=0.153005&amp;VAR:Y0=2008&amp;VAR:Y1=2009&amp;VAR:V0=14.003865&amp;VAR:V1=13.075266&amp;VAR:V=13.209285&amp;VAR:AUDIT_ID=99900521&amp;VAR:DATE=20081105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Mean&amp;VAR:CHGPERIOD=NA&amp;VAR:FQLFORMULA=FMA_PE&amp;VAR:","CURRENCY=NA&amp;VAR:P=244.029190&amp;VAR:V=13.209285&amp;VAR:null=.html"}</definedName>
    <definedName name="_318__FDSAUDITLINK__" hidden="1">{"fdsup://directions/FAT%20Viewer?VAR:TM=NTMA&amp;VAR:PCT=0.172131&amp;VAR:Y0=2008&amp;VAR:Y1=2009&amp;VAR:V0=14.089297&amp;VAR:V1=13.153579&amp;VAR:V=13.305687&amp;VAR:AUDIT_ID=99900521&amp;VAR:DATE=20081029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Mean&amp;VAR:CHGPERIOD=NA&amp;VAR:FQLFORMULA=FMA_PE&amp;VAR:","CURRENCY=NA&amp;VAR:P=240.264020&amp;VAR:V=13.305687&amp;VAR:null=.html"}</definedName>
    <definedName name="_319__FDSAUDITLINK__" hidden="1">{"fdsup://directions/FAT%20Viewer?VAR:TM=NTMA&amp;VAR:PCT=0.191257&amp;VAR:Y0=2008&amp;VAR:Y1=2009&amp;VAR:V0=13.674364&amp;VAR:V1=12.724380&amp;VAR:V=12.895725&amp;VAR:AUDIT_ID=99900521&amp;VAR:DATE=20081022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Mean&amp;VAR:CHGPERIOD=NA&amp;VAR:FQLFORMULA=FMA_PE&amp;VAR:","CURRENCY=NA&amp;VAR:P=234.031700&amp;VAR:V=12.895725&amp;VAR:null=.html"}</definedName>
    <definedName name="_32__FDSAUDITLINK__" hidden="1">{"fdsup://directions/FAT%20Viewer?VAR:TM=NTMA&amp;VAR:PCT=0.539726&amp;VAR:Y0=2009&amp;VAR:Y1=2010&amp;VAR:V0=15.370886&amp;VAR:V1=12.236196&amp;VAR:V=13.749617&amp;VAR:AUDIT_ID=00000117&amp;VAR:DATE=20090617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Mean&amp;VAR:CHGPERIOD=NA&amp;VAR:FQLFORMULA=FMA_PE&amp;VAR:","CURRENCY=NA&amp;VAR:P=910.706141&amp;VAR:V=13.749617&amp;VAR:null=.html"}</definedName>
    <definedName name="_320__FDSAUDITLINK__" hidden="1">{"fdsup://directions/FAT%20Viewer?VAR:TM=NTMA&amp;VAR:PCT=0.210383&amp;VAR:Y0=2008&amp;VAR:Y1=2009&amp;VAR:V0=13.189105&amp;VAR:V1=12.256683&amp;VAR:V=12.441732&amp;VAR:AUDIT_ID=99900521&amp;VAR:DATE=20081015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Mean&amp;VAR:CHGPERIOD=NA&amp;VAR:FQLFORMULA=FMA_PE&amp;VAR:","CURRENCY=NA&amp;VAR:P=225.878200&amp;VAR:V=12.441732&amp;VAR:null=.html"}</definedName>
    <definedName name="_321__FDSAUDITLINK__" hidden="1">{"fdsup://directions/FAT%20Viewer?VAR:TM=NTMA&amp;VAR:PCT=0.229508&amp;VAR:Y0=2008&amp;VAR:Y1=2009&amp;VAR:V0=14.465727&amp;VAR:V1=13.435106&amp;VAR:V=13.658442&amp;VAR:AUDIT_ID=99900521&amp;VAR:DATE=20081008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Mean&amp;VAR:CHGPERIOD=NA&amp;VAR:FQLFORMULA=FMA_PE&amp;VAR:","CURRENCY=NA&amp;VAR:P=247.410030&amp;VAR:V=13.658442&amp;VAR:null=.html"}</definedName>
    <definedName name="_322__FDSAUDITLINK__" hidden="1">{"fdsup://directions/FAT%20Viewer?VAR:TM=NTMA&amp;VAR:PCT=0.248634&amp;VAR:Y0=2008&amp;VAR:Y1=2009&amp;VAR:V0=16.733795&amp;VAR:V1=15.547709&amp;VAR:V=15.826623&amp;VAR:AUDIT_ID=99900521&amp;VAR:DATE=20081001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Mean&amp;VAR:CHGPERIOD=NA&amp;VAR:FQLFORMULA=FMA_PE&amp;VAR:","CURRENCY=NA&amp;VAR:P=271.986500&amp;VAR:V=15.826623&amp;VAR:null=.html"}</definedName>
    <definedName name="_323__FDSAUDITLINK__" hidden="1">{"fdsup://directions/FAT%20Viewer?VAR:TM=NTMA&amp;VAR:PCT=0.267760&amp;VAR:Y0=2008&amp;VAR:Y1=2009&amp;VAR:V0=16.506092&amp;VAR:V1=15.339285&amp;VAR:V=15.635225&amp;VAR:AUDIT_ID=99900521&amp;VAR:DATE=20080924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Mean&amp;VAR:CHGPERIOD=NA&amp;VAR:FQLFORMULA=FMA_PE&amp;VAR:","CURRENCY=NA&amp;VAR:P=269.263900&amp;VAR:V=15.635225&amp;VAR:null=.html"}</definedName>
    <definedName name="_324__FDSAUDITLINK__" hidden="1">{"fdsup://directions/FAT%20Viewer?VAR:TM=NTMA&amp;VAR:PCT=0.286885&amp;VAR:Y0=2008&amp;VAR:Y1=2009&amp;VAR:V0=16.436455&amp;VAR:V1=15.267472&amp;VAR:V=15.585473&amp;VAR:AUDIT_ID=99900521&amp;VAR:DATE=20080917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Mean&amp;VAR:CHGPERIOD=NA&amp;VAR:FQLFORMULA=FMA_PE&amp;VAR:","CURRENCY=NA&amp;VAR:P=268.224880&amp;VAR:V=15.585473&amp;VAR:null=.html"}</definedName>
    <definedName name="_325__FDSAUDITLINK__" hidden="1">{"fdsup://directions/FAT%20Viewer?VAR:TM=NTMA&amp;VAR:PCT=0.306011&amp;VAR:Y0=2008&amp;VAR:Y1=2009&amp;VAR:V0=16.553070&amp;VAR:V1=15.401172&amp;VAR:V=15.736272&amp;VAR:AUDIT_ID=99900521&amp;VAR:DATE=20080910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Mean&amp;VAR:CHGPERIOD=NA&amp;VAR:FQLFORMULA=FMA_PE&amp;VAR:","CURRENCY=NA&amp;VAR:P=270.230500&amp;VAR:V=15.736272&amp;VAR:null=.html"}</definedName>
    <definedName name="_326__FDSAUDITLINK__" hidden="1">{"fdsup://directions/FAT%20Viewer?VAR:TM=NTMA&amp;VAR:PCT=0.325137&amp;VAR:Y0=2008&amp;VAR:Y1=2009&amp;VAR:V0=16.450540&amp;VAR:V1=15.285117&amp;VAR:V=15.645495&amp;VAR:AUDIT_ID=99900521&amp;VAR:DATE=20080903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Mean&amp;VAR:CHGPERIOD=NA&amp;VAR:FQLFORMULA=FMA_PE&amp;VAR:","CURRENCY=NA&amp;VAR:P=268.479500&amp;VAR:V=15.645495&amp;VAR:null=.html"}</definedName>
    <definedName name="_327__FDSAUDITLINK__" hidden="1">{"fdsup://directions/FAT%20Viewer?VAR:TM=NTMA&amp;VAR:PCT=0.344262&amp;VAR:Y0=2008&amp;VAR:Y1=2009&amp;VAR:V0=16.669847&amp;VAR:V1=15.406364&amp;VAR:V=15.819136&amp;VAR:AUDIT_ID=99900521&amp;VAR:DATE=20080827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Mean&amp;VAR:CHGPERIOD=NA&amp;VAR:FQLFORMULA=FMA_PE&amp;VAR:","CURRENCY=NA&amp;VAR:P=272.667600&amp;VAR:V=15.819136&amp;VAR:null=.html"}</definedName>
    <definedName name="_328__FDSAUDITLINK__" hidden="1">{"fdsup://directions/FAT%20Viewer?VAR:TM=NTMA&amp;VAR:PCT=0.363388&amp;VAR:Y0=2008&amp;VAR:Y1=2009&amp;VAR:V0=16.860239&amp;VAR:V1=15.607056&amp;VAR:V=16.040301&amp;VAR:AUDIT_ID=99900521&amp;VAR:DATE=20080820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Mean&amp;VAR:CHGPERIOD=NA&amp;VAR:FQLFORMULA=FMA_PE&amp;VAR:","CURRENCY=NA&amp;VAR:P=276.081240&amp;VAR:V=16.040301&amp;VAR:null=.html"}</definedName>
    <definedName name="_329__FDSAUDITLINK__" hidden="1">{"fdsup://directions/FAT%20Viewer?VAR:TM=NTMA&amp;VAR:PCT=0.382514&amp;VAR:Y0=2008&amp;VAR:Y1=2009&amp;VAR:V0=17.006520&amp;VAR:V1=15.764883&amp;VAR:V=16.217799&amp;VAR:AUDIT_ID=99900521&amp;VAR:DATE=20080813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Mean&amp;VAR:CHGPERIOD=NA&amp;VAR:FQLFORMULA=FMA_PE&amp;VAR:","CURRENCY=NA&amp;VAR:P=278.621120&amp;VAR:V=16.217799&amp;VAR:null=.html"}</definedName>
    <definedName name="_33__FDSAUDITLINK__" hidden="1">{"fdsup://directions/FAT%20Viewer?VAR:TM=NTMA&amp;VAR:PCT=0.558904&amp;VAR:Y0=2009&amp;VAR:Y1=2010&amp;VAR:V0=15.868688&amp;VAR:V1=12.636173&amp;VAR:V=14.259648&amp;VAR:AUDIT_ID=00000117&amp;VAR:DATE=20090610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Mean&amp;VAR:CHGPERIOD=NA&amp;VAR:FQLFORMULA=FMA_PE&amp;VAR:","CURRENCY=NA&amp;VAR:P=939.153168&amp;VAR:V=14.259648&amp;VAR:null=.html"}</definedName>
    <definedName name="_330__FDSAUDITLINK__" hidden="1">{"fdsup://directions/FAT%20Viewer?VAR:TM=NTMA&amp;VAR:PCT=0.401639&amp;VAR:Y0=2008&amp;VAR:Y1=2009&amp;VAR:V0=16.853258&amp;VAR:V1=15.591860&amp;VAR:V=16.075095&amp;VAR:AUDIT_ID=99900521&amp;VAR:DATE=20080806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Mean&amp;VAR:CHGPERIOD=NA&amp;VAR:FQLFORMULA=FMA_PE&amp;VAR:","CURRENCY=NA&amp;VAR:P=276.694670&amp;VAR:V=16.075095&amp;VAR:null=.html"}</definedName>
    <definedName name="_331__FDSAUDITLINK__" hidden="1">{"fdsup://directions/FAT%20Viewer?VAR:TM=NTMA&amp;VAR:PCT=0.420765&amp;VAR:Y0=2008&amp;VAR:Y1=2009&amp;VAR:V0=16.465858&amp;VAR:V1=15.197644&amp;VAR:V=15.706660&amp;VAR:AUDIT_ID=99900521&amp;VAR:DATE=20080730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Mean&amp;VAR:CHGPERIOD=NA&amp;VAR:FQLFORMULA=FMA_PE&amp;VAR:","CURRENCY=NA&amp;VAR:P=273.748720&amp;VAR:V=15.706660&amp;VAR:null=.html"}</definedName>
    <definedName name="_332__FDSAUDITLINK__" hidden="1">{"fdsup://directions/FAT%20Viewer?VAR:TM=NTMA&amp;VAR:PCT=0.439891&amp;VAR:Y0=2008&amp;VAR:Y1=2009&amp;VAR:V0=16.222631&amp;VAR:V1=14.938319&amp;VAR:V=15.477320&amp;VAR:AUDIT_ID=99900521&amp;VAR:DATE=20080723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Mean&amp;VAR:CHGPERIOD=NA&amp;VAR:FQLFORMULA=FMA_PE&amp;VAR:","CURRENCY=NA&amp;VAR:P=268.655330&amp;VAR:V=15.477320&amp;VAR:null=.html"}</definedName>
    <definedName name="_333__FDSAUDITLINK__" hidden="1">{"fdsup://directions/FAT%20Viewer?VAR:TM=NTMA&amp;VAR:PCT=0.459016&amp;VAR:Y0=2008&amp;VAR:Y1=2009&amp;VAR:V0=15.866626&amp;VAR:V1=14.474491&amp;VAR:V=15.081900&amp;VAR:AUDIT_ID=99900521&amp;VAR:DATE=20080716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Mean&amp;VAR:CHGPERIOD=NA&amp;VAR:FQLFORMULA=FMA_PE&amp;VAR:","CURRENCY=NA&amp;VAR:P=263.040070&amp;VAR:V=15.081900&amp;VAR:null=.html"}</definedName>
    <definedName name="_334__FDSAUDITLINK__" hidden="1">{"fdsup://directions/FAT%20Viewer?VAR:TM=NTMA&amp;VAR:PCT=0.478142&amp;VAR:Y0=2008&amp;VAR:Y1=2009&amp;VAR:V0=15.724654&amp;VAR:V1=14.349050&amp;VAR:V=14.975446&amp;VAR:AUDIT_ID=99900521&amp;VAR:DATE=20080709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Mean&amp;VAR:CHGPERIOD=NA&amp;VAR:FQLFORMULA=FMA_PE&amp;VAR:","CURRENCY=NA&amp;VAR:P=260.710480&amp;VAR:V=14.975446&amp;VAR:null=.html"}</definedName>
    <definedName name="_335__FDSAUDITLINK__" hidden="1">{"fdsup://directions/FAT%20Viewer?VAR:TM=NTMA&amp;VAR:PCT=0.497268&amp;VAR:Y0=2008&amp;VAR:Y1=2009&amp;VAR:V0=15.371716&amp;VAR:V1=13.949650&amp;VAR:V=14.622323&amp;VAR:AUDIT_ID=99900521&amp;VAR:DATE=20080702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Mean&amp;VAR:CHGPERIOD=NA&amp;VAR:FQLFORMULA=FMA_PE&amp;VAR:","CURRENCY=NA&amp;VAR:P=255.169830&amp;VAR:V=14.622323&amp;VAR:null=.html"}</definedName>
    <definedName name="_336__FDSAUDITLINK__" hidden="1">{"fdsup://directions/FAT%20Viewer?VAR:TM=NTMA&amp;VAR:PCT=0.516393&amp;VAR:Y0=2008&amp;VAR:Y1=2009&amp;VAR:V0=15.875326&amp;VAR:V1=14.452538&amp;VAR:V=15.153867&amp;VAR:AUDIT_ID=99900521&amp;VAR:DATE=20080625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Mean&amp;VAR:CHGPERIOD=NA&amp;VAR:FQLFORMULA=FMA_PE&amp;VAR:","CURRENCY=NA&amp;VAR:P=263.527740&amp;VAR:V=15.153867&amp;VAR:null=.html"}</definedName>
    <definedName name="_337__FDSAUDITLINK__" hidden="1">{"fdsup://directions/FAT%20Viewer?VAR:TM=NTMA&amp;VAR:PCT=0.535519&amp;VAR:Y0=2008&amp;VAR:Y1=2009&amp;VAR:V0=15.868024&amp;VAR:V1=14.406292&amp;VAR:V=15.153846&amp;VAR:AUDIT_ID=99900521&amp;VAR:DATE=20080618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Mean&amp;VAR:CHGPERIOD=NA&amp;VAR:FQLFORMULA=FMA_PE&amp;VAR:","CURRENCY=NA&amp;VAR:P=264.691960&amp;VAR:V=15.153846&amp;VAR:null=.html"}</definedName>
    <definedName name="_338__FDSAUDITLINK__" hidden="1">{"fdsup://directions/FAT%20Viewer?VAR:TM=NTMA&amp;VAR:PCT=0.554645&amp;VAR:Y0=2008&amp;VAR:Y1=2009&amp;VAR:V0=16.322845&amp;VAR:V1=14.852225&amp;VAR:V=15.633447&amp;VAR:AUDIT_ID=99900521&amp;VAR:DATE=20080611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Mean&amp;VAR:CHGPERIOD=NA&amp;VAR:FQLFORMULA=FMA_PE&amp;VAR:","CURRENCY=NA&amp;VAR:P=273.030580&amp;VAR:V=15.633447&amp;VAR:null=.html"}</definedName>
    <definedName name="_339__FDSAUDITLINK__" hidden="1">{"fdsup://directions/FAT%20Viewer?VAR:TM=NTMA&amp;VAR:PCT=0.573770&amp;VAR:Y0=2008&amp;VAR:Y1=2009&amp;VAR:V0=16.744560&amp;VAR:V1=15.246610&amp;VAR:V=16.071544&amp;VAR:AUDIT_ID=99900521&amp;VAR:DATE=20080604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Mean&amp;VAR:CHGPERIOD=NA&amp;VAR:FQLFORMULA=FMA_PE&amp;VAR:","CURRENCY=NA&amp;VAR:P=280.066250&amp;VAR:V=16.071544&amp;VAR:null=.html"}</definedName>
    <definedName name="_34__FDSAUDITLINK__" hidden="1">{"fdsup://directions/FAT%20Viewer?VAR:TM=NTMA&amp;VAR:PCT=0.578082&amp;VAR:Y0=2009&amp;VAR:Y1=2010&amp;VAR:V0=15.772628&amp;VAR:V1=12.576950&amp;VAR:V=14.245443&amp;VAR:AUDIT_ID=00000117&amp;VAR:DATE=20090603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Mean&amp;VAR:CHGPERIOD=NA&amp;VAR:FQLFORMULA=FMA_PE&amp;VAR:","CURRENCY=NA&amp;VAR:P=931.762292&amp;VAR:V=14.245443&amp;VAR:null=.html"}</definedName>
    <definedName name="_340__FDSAUDITLINK__" hidden="1">{"fdsup://directions/FAT%20Viewer?VAR:TM=NTMA&amp;VAR:PCT=0.592896&amp;VAR:Y0=2008&amp;VAR:Y1=2009&amp;VAR:V0=16.824532&amp;VAR:V1=15.338477&amp;VAR:V=16.186121&amp;VAR:AUDIT_ID=99900521&amp;VAR:DATE=20080528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Mean&amp;VAR:CHGPERIOD=NA&amp;VAR:FQLFORMULA=FMA_PE&amp;VAR:","CURRENCY=NA&amp;VAR:P=281.024800&amp;VAR:V=16.186121&amp;VAR:null=.html"}</definedName>
    <definedName name="_341__FDSAUDITLINK__" hidden="1">{"fdsup://directions/FAT%20Viewer?VAR:TM=NTMA&amp;VAR:PCT=0.612022&amp;VAR:Y0=2008&amp;VAR:Y1=2009&amp;VAR:V0=16.976450&amp;VAR:V1=15.320724&amp;VAR:V=16.293286&amp;VAR:AUDIT_ID=99900521&amp;VAR:DATE=20080521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Mean&amp;VAR:CHGPERIOD=NA&amp;VAR:FQLFORMULA=FMA_PE&amp;VAR:","CURRENCY=NA&amp;VAR:P=283.471560&amp;VAR:V=16.293286&amp;VAR:null=.html"}</definedName>
    <definedName name="_342__FDSAUDITLINK__" hidden="1">{"fdsup://directions/FAT%20Viewer?VAR:TM=NTMA&amp;VAR:PCT=0.631148&amp;VAR:Y0=2008&amp;VAR:Y1=2009&amp;VAR:V0=17.015240&amp;VAR:V1=15.348173&amp;VAR:V=16.359809&amp;VAR:AUDIT_ID=99900521&amp;VAR:DATE=20080514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Mean&amp;VAR:CHGPERIOD=NA&amp;VAR:FQLFORMULA=FMA_PE&amp;VAR:","CURRENCY=NA&amp;VAR:P=284.247650&amp;VAR:V=16.359809&amp;VAR:null=.html"}</definedName>
    <definedName name="_343__FDSAUDITLINK__" hidden="1">{"fdsup://directions/FAT%20Viewer?VAR:TM=NTMA&amp;VAR:PCT=0.650273&amp;VAR:Y0=2008&amp;VAR:Y1=2009&amp;VAR:V0=16.853489&amp;VAR:V1=15.142468&amp;VAR:V=16.212802&amp;VAR:AUDIT_ID=99900521&amp;VAR:DATE=20080507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Mean&amp;VAR:CHGPERIOD=NA&amp;VAR:FQLFORMULA=FMA_PE&amp;VAR:","CURRENCY=NA&amp;VAR:P=281.843960&amp;VAR:V=16.212802&amp;VAR:null=.html"}</definedName>
    <definedName name="_344__FDSAUDITLINK__" hidden="1">{"fdsup://directions/FAT%20Viewer?VAR:TM=NTMA&amp;VAR:PCT=0.669399&amp;VAR:Y0=2008&amp;VAR:Y1=2009&amp;VAR:V0=16.934734&amp;VAR:V1=15.211993&amp;VAR:V=16.323576&amp;VAR:AUDIT_ID=99900521&amp;VAR:DATE=20080430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Mean&amp;VAR:CHGPERIOD=NA&amp;VAR:FQLFORMULA=FMA_PE&amp;VAR:","CURRENCY=NA&amp;VAR:P=283.356660&amp;VAR:V=16.323576&amp;VAR:null=.html"}</definedName>
    <definedName name="_345__FDSAUDITLINK__" hidden="1">{"fdsup://directions/FAT%20Viewer?VAR:TM=NTMA&amp;VAR:PCT=0.688525&amp;VAR:Y0=2008&amp;VAR:Y1=2009&amp;VAR:V0=16.970327&amp;VAR:V1=15.296170&amp;VAR:V=16.410867&amp;VAR:AUDIT_ID=99900521&amp;VAR:DATE=20080423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Mean&amp;VAR:CHGPERIOD=NA&amp;VAR:FQLFORMULA=FMA_PE&amp;VAR:","CURRENCY=NA&amp;VAR:P=281.183720&amp;VAR:V=16.410867&amp;VAR:null=.html"}</definedName>
    <definedName name="_346__FDSAUDITLINK__" hidden="1">{"fdsup://directions/FAT%20Viewer?VAR:TM=NTMA&amp;VAR:PCT=0.707650&amp;VAR:Y0=2008&amp;VAR:Y1=2009&amp;VAR:V0=16.906284&amp;VAR:V1=15.203716&amp;VAR:V=16.370345&amp;VAR:AUDIT_ID=99900521&amp;VAR:DATE=20080416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Mean&amp;VAR:CHGPERIOD=NA&amp;VAR:FQLFORMULA=FMA_PE&amp;VAR:","CURRENCY=NA&amp;VAR:P=279.617370&amp;VAR:V=16.370345&amp;VAR:null=.html"}</definedName>
    <definedName name="_347__FDSAUDITLINK__" hidden="1">{"fdsup://directions/FAT%20Viewer?VAR:TM=NTMA&amp;VAR:PCT=0.726776&amp;VAR:Y0=2008&amp;VAR:Y1=2009&amp;VAR:V0=16.788631&amp;VAR:V1=14.980017&amp;VAR:V=16.252498&amp;VAR:AUDIT_ID=99900521&amp;VAR:DATE=20080409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Mean&amp;VAR:CHGPERIOD=NA&amp;VAR:FQLFORMULA=FMA_PE&amp;VAR:","CURRENCY=NA&amp;VAR:P=277.671500&amp;VAR:V=16.252498&amp;VAR:null=.html"}</definedName>
    <definedName name="_348__FDSAUDITLINK__" hidden="1">{"fdsup://directions/FAT%20Viewer?VAR:TM=NTMA&amp;VAR:PCT=0.745902&amp;VAR:Y0=2008&amp;VAR:Y1=2009&amp;VAR:V0=16.752920&amp;VAR:V1=14.936251&amp;VAR:V=16.250684&amp;VAR:AUDIT_ID=99900521&amp;VAR:DATE=20080402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Mean&amp;VAR:CHGPERIOD=NA&amp;VAR:FQLFORMULA=FMA_PE&amp;VAR:","CURRENCY=NA&amp;VAR:P=276.921630&amp;VAR:V=16.250684&amp;VAR:null=.html"}</definedName>
    <definedName name="_349__FDSAUDITLINK__" hidden="1">{"fdsup://directions/FAT%20Viewer?VAR:TM=NTMA&amp;VAR:PCT=0.765027&amp;VAR:Y0=2008&amp;VAR:Y1=2009&amp;VAR:V0=16.397446&amp;VAR:V1=14.555140&amp;VAR:V=15.923847&amp;VAR:AUDIT_ID=99900521&amp;VAR:DATE=20080326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Mean&amp;VAR:CHGPERIOD=NA&amp;VAR:FQLFORMULA=FMA_PE&amp;VAR:","CURRENCY=NA&amp;VAR:P=269.860570&amp;VAR:V=15.923847&amp;VAR:null=.html"}</definedName>
    <definedName name="_35__FDSAUDITLINK__" hidden="1">{"fdsup://directions/FAT%20Viewer?VAR:TM=NTMA&amp;VAR:PCT=0.597260&amp;VAR:Y0=2009&amp;VAR:Y1=2010&amp;VAR:V0=15.576571&amp;VAR:V1=12.140075&amp;VAR:V=13.982513&amp;VAR:AUDIT_ID=00000117&amp;VAR:DATE=20090527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Mean&amp;VAR:CHGPERIOD=NA&amp;VAR:FQLFORMULA=FMA_PE&amp;VAR:","CURRENCY=NA&amp;VAR:P=893.059786&amp;VAR:V=13.982513&amp;VAR:null=.html"}</definedName>
    <definedName name="_350__FDSAUDITLINK__" hidden="1">{"fdsup://directions/FAT%20Viewer?VAR:TM=NTMA&amp;VAR:PCT=0.784153&amp;VAR:Y0=2008&amp;VAR:Y1=2009&amp;VAR:V0=16.196896&amp;VAR:V1=14.373654&amp;VAR:V=15.765254&amp;VAR:AUDIT_ID=99900521&amp;VAR:DATE=20080319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Mean&amp;VAR:CHGPERIOD=NA&amp;VAR:FQLFORMULA=FMA_PE&amp;VAR:","CURRENCY=NA&amp;VAR:P=266.525450&amp;VAR:V=15.765254&amp;VAR:null=.html"}</definedName>
    <definedName name="_351__FDSAUDITLINK__" hidden="1">{"fdsup://directions/FAT%20Viewer?VAR:TM=NTMA&amp;VAR:PCT=0.803279&amp;VAR:Y0=2008&amp;VAR:Y1=2009&amp;VAR:V0=16.422228&amp;VAR:V1=14.670380&amp;VAR:V=16.045303&amp;VAR:AUDIT_ID=99900521&amp;VAR:DATE=20080312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Mean&amp;VAR:CHGPERIOD=NA&amp;VAR:FQLFORMULA=FMA_PE&amp;VAR:","CURRENCY=NA&amp;VAR:P=269.294950&amp;VAR:V=16.045303&amp;VAR:null=.html"}</definedName>
    <definedName name="_352__FDSAUDITLINK__" hidden="1">{"fdsup://directions/FAT%20Viewer?VAR:TM=NTMA&amp;VAR:PCT=0.822404&amp;VAR:Y0=2008&amp;VAR:Y1=2009&amp;VAR:V0=16.429740&amp;VAR:V1=14.660866&amp;VAR:V=16.085079&amp;VAR:AUDIT_ID=99900521&amp;VAR:DATE=20080305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Mean&amp;VAR:CHGPERIOD=NA&amp;VAR:FQLFORMULA=FMA_PE&amp;VAR:","CURRENCY=NA&amp;VAR:P=270.151860&amp;VAR:V=16.085079&amp;VAR:null=.html"}</definedName>
    <definedName name="_353__FDSAUDITLINK__" hidden="1">{"fdsup://directions/FAT%20Viewer?VAR:TM=NTMA&amp;VAR:PCT=0.841530&amp;VAR:Y0=2008&amp;VAR:Y1=2009&amp;VAR:V0=16.635480&amp;VAR:V1=14.852702&amp;VAR:V=16.324959&amp;VAR:AUDIT_ID=99900521&amp;VAR:DATE=20080227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Mean&amp;VAR:CHGPERIOD=NA&amp;VAR:FQLFORMULA=FMA_PE&amp;VAR:","CURRENCY=NA&amp;VAR:P=273.699280&amp;VAR:V=16.324959&amp;VAR:null=.html"}</definedName>
    <definedName name="_354__FDSAUDITLINK__" hidden="1">{"fdsup://directions/FAT%20Viewer?VAR:TM=NTMA&amp;VAR:PCT=0.860656&amp;VAR:Y0=2008&amp;VAR:Y1=2009&amp;VAR:V0=16.375843&amp;VAR:V1=14.645003&amp;VAR:V=16.110525&amp;VAR:AUDIT_ID=99900521&amp;VAR:DATE=20080220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Mean&amp;VAR:CHGPERIOD=NA&amp;VAR:FQLFORMULA=FMA_PE&amp;VAR:","CURRENCY=NA&amp;VAR:P=270.695200&amp;VAR:V=16.110525&amp;VAR:null=.html"}</definedName>
    <definedName name="_355__FDSAUDITLINK__" hidden="1">{"fdsup://directions/FAT%20Viewer?VAR:TM=NTMA&amp;VAR:PCT=0.879781&amp;VAR:Y0=2008&amp;VAR:Y1=2009&amp;VAR:V0=15.879928&amp;VAR:V1=14.201557&amp;VAR:V=15.657471&amp;VAR:AUDIT_ID=99900521&amp;VAR:DATE=20080213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Mean&amp;VAR:CHGPERIOD=NA&amp;VAR:FQLFORMULA=FMA_PE&amp;VAR:","CURRENCY=NA&amp;VAR:P=262.231870&amp;VAR:V=15.657471&amp;VAR:null=.html"}</definedName>
    <definedName name="_356__FDSAUDITLINK__" hidden="1">{"fdsup://directions/FAT%20Viewer?VAR:TM=NTMA&amp;VAR:PCT=0.898907&amp;VAR:Y0=2008&amp;VAR:Y1=2009&amp;VAR:V0=15.508599&amp;VAR:V1=13.857264&amp;VAR:V=15.323991&amp;VAR:AUDIT_ID=99900521&amp;VAR:DATE=20080206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Mean&amp;VAR:CHGPERIOD=NA&amp;VAR:FQLFORMULA=FMA_PE&amp;VAR:","CURRENCY=NA&amp;VAR:P=256.462460&amp;VAR:V=15.323991&amp;VAR:null=.html"}</definedName>
    <definedName name="_357__FDSAUDITLINK__" hidden="1">{"fdsup://directions/FAT%20Viewer?VAR:TM=NTMA&amp;VAR:PCT=0.918033&amp;VAR:Y0=2008&amp;VAR:Y1=2009&amp;VAR:V0=15.820139&amp;VAR:V1=14.161811&amp;VAR:V=15.669737&amp;VAR:AUDIT_ID=99900521&amp;VAR:DATE=20080130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Mean&amp;VAR:CHGPERIOD=NA&amp;VAR:FQLFORMULA=FMA_PE&amp;VAR:","CURRENCY=NA&amp;VAR:P=261.085940&amp;VAR:V=15.669737&amp;VAR:null=.html"}</definedName>
    <definedName name="_358__FDSAUDITLINK__" hidden="1">{"fdsup://directions/FAT%20Viewer?VAR:TM=NTMA&amp;VAR:PCT=0.937158&amp;VAR:Y0=2008&amp;VAR:Y1=2009&amp;VAR:V0=15.636823&amp;VAR:V1=14.012746&amp;VAR:V=15.523758&amp;VAR:AUDIT_ID=99900521&amp;VAR:DATE=20080123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Mean&amp;VAR:CHGPERIOD=NA&amp;VAR:FQLFORMULA=FMA_PE&amp;VAR:","CURRENCY=NA&amp;VAR:P=260.543500&amp;VAR:V=15.523758&amp;VAR:null=.html"}</definedName>
    <definedName name="_359__FDSAUDITLINK__" hidden="1">{"fdsup://directions/FAT%20Viewer?VAR:TM=NTMA&amp;VAR:PCT=0.956284&amp;VAR:Y0=2008&amp;VAR:Y1=2009&amp;VAR:V0=16.079758&amp;VAR:V1=14.644607&amp;VAR:V=16.011165&amp;VAR:AUDIT_ID=99900521&amp;VAR:DATE=20080116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Mean&amp;VAR:CHGPERIOD=NA&amp;VAR:FQLFORMULA=FMA_PE&amp;VAR:","CURRENCY=NA&amp;VAR:P=268.408500&amp;VAR:V=16.011165&amp;VAR:null=.html"}</definedName>
    <definedName name="_36__FDSAUDITLINK__" hidden="1">{"fdsup://directions/FAT%20Viewer?VAR:TM=NTMA&amp;VAR:PCT=0.616438&amp;VAR:Y0=2009&amp;VAR:Y1=2010&amp;VAR:V0=15.756701&amp;VAR:V1=12.314142&amp;VAR:V=14.230751&amp;VAR:AUDIT_ID=00000117&amp;VAR:DATE=20090520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Mean&amp;VAR:CHGPERIOD=NA&amp;VAR:FQLFORMULA=FMA_PE&amp;VAR:","CURRENCY=NA&amp;VAR:P=903.472369&amp;VAR:V=14.230751&amp;VAR:null=.html"}</definedName>
    <definedName name="_360__FDSAUDITLINK__" hidden="1">{"fdsup://directions/FAT%20Viewer?VAR:TM=NTMA&amp;VAR:PCT=0.975410&amp;VAR:Y0=2008&amp;VAR:Y1=2009&amp;VAR:V0=16.659729&amp;VAR:V1=15.216158&amp;VAR:V=16.620954&amp;VAR:AUDIT_ID=99900521&amp;VAR:DATE=20080109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Mean&amp;VAR:CHGPERIOD=NA&amp;VAR:FQLFORMULA=FMA_PE&amp;VAR:","CURRENCY=NA&amp;VAR:P=278.102720&amp;VAR:V=16.620954&amp;VAR:null=.html"}</definedName>
    <definedName name="_361__FDSAUDITLINK__" hidden="1">{"fdsup://directions/FAT%20Viewer?VAR:TM=NTMA&amp;VAR:PCT=0.994536&amp;VAR:Y0=2008&amp;VAR:Y1=2009&amp;VAR:V0=16.667515&amp;VAR:V1=15.213072&amp;VAR:V=16.658812&amp;VAR:AUDIT_ID=99900521&amp;VAR:DATE=20080102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Mean&amp;VAR:CHGPERIOD=NA&amp;VAR:FQLFORMULA=FMA_PE&amp;VAR:","CURRENCY=NA&amp;VAR:P=277.731570&amp;VAR:V=16.658812&amp;VAR:null=.html"}</definedName>
    <definedName name="_362__FDSAUDITLINK__" hidden="1">{"fdsup://directions/FAT%20Viewer?VAR:TM=NTMA&amp;VAR:PCT=0.013699&amp;VAR:Y0=2007&amp;VAR:Y1=2008&amp;VAR:V0=18.850600&amp;VAR:V1=17.205479&amp;VAR:V=17.226073&amp;VAR:AUDIT_ID=99900521&amp;VAR:DATE=20071226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Mean&amp;VAR:CHGPERIOD=NA&amp;VAR:FQLFORMULA=FMA_PE&amp;VAR:","CURRENCY=NA&amp;VAR:P=286.910300&amp;VAR:V=17.226073&amp;VAR:null=.html"}</definedName>
    <definedName name="_363__FDSAUDITLINK__" hidden="1">{"fdsup://directions/FAT%20Viewer?VAR:TM=NTMA&amp;VAR:PCT=0.032877&amp;VAR:Y0=2007&amp;VAR:Y1=2008&amp;VAR:V0=18.499262&amp;VAR:V1=16.870832&amp;VAR:V=16.919798&amp;VAR:AUDIT_ID=99900521&amp;VAR:DATE=20071219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Mean&amp;VAR:CHGPERIOD=NA&amp;VAR:FQLFORMULA=FMA_PE&amp;VAR:","CURRENCY=NA&amp;VAR:P=281.074430&amp;VAR:V=16.919798&amp;VAR:null=.html"}</definedName>
    <definedName name="_364__FDSAUDITLINK__" hidden="1">{"fdsup://directions/FAT%20Viewer?VAR:TM=NTMA&amp;VAR:PCT=0.052055&amp;VAR:Y0=2007&amp;VAR:Y1=2008&amp;VAR:V0=18.699453&amp;VAR:V1=17.057913&amp;VAR:V=17.136220&amp;VAR:AUDIT_ID=99900521&amp;VAR:DATE=20071212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Mean&amp;VAR:CHGPERIOD=NA&amp;VAR:FQLFORMULA=FMA_PE&amp;VAR:","CURRENCY=NA&amp;VAR:P=283.955080&amp;VAR:V=17.136220&amp;VAR:null=.html"}</definedName>
    <definedName name="_365__FDSAUDITLINK__" hidden="1">{"fdsup://directions/FAT%20Viewer?VAR:TM=NTMA&amp;VAR:PCT=0.071233&amp;VAR:Y0=2007&amp;VAR:Y1=2008&amp;VAR:V0=18.790188&amp;VAR:V1=17.140797&amp;VAR:V=17.248649&amp;VAR:AUDIT_ID=99900521&amp;VAR:DATE=20071205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Mean&amp;VAR:CHGPERIOD=NA&amp;VAR:FQLFORMULA=FMA_PE&amp;VAR:","CURRENCY=NA&amp;VAR:P=285.214000&amp;VAR:V=17.248649&amp;VAR:null=.html"}</definedName>
    <definedName name="_366__FDSAUDITLINK__" hidden="1">{"fdsup://directions/FAT%20Viewer?VAR:TM=NTMA&amp;VAR:PCT=0.090411&amp;VAR:Y0=2007&amp;VAR:Y1=2008&amp;VAR:V0=18.547665&amp;VAR:V1=16.894430&amp;VAR:V=17.031684&amp;VAR:AUDIT_ID=99900521&amp;VAR:DATE=20071128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Mean&amp;VAR:CHGPERIOD=NA&amp;VAR:FQLFORMULA=FMA_PE&amp;VAR:","CURRENCY=NA&amp;VAR:P=281.391780&amp;VAR:V=17.031684&amp;VAR:null=.html"}</definedName>
    <definedName name="_367__FDSAUDITLINK__" hidden="1">{"fdsup://directions/FAT%20Viewer?VAR:TM=NTMA&amp;VAR:PCT=0.109589&amp;VAR:Y0=2007&amp;VAR:Y1=2008&amp;VAR:V0=17.920048&amp;VAR:V1=16.320467&amp;VAR:V=16.481693&amp;VAR:AUDIT_ID=99900521&amp;VAR:DATE=20071121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Mean&amp;VAR:CHGPERIOD=NA&amp;VAR:FQLFORMULA=FMA_PE&amp;VAR:","CURRENCY=NA&amp;VAR:P=271.485500&amp;VAR:V=16.481693&amp;VAR:null=.html"}</definedName>
    <definedName name="_368__FDSAUDITLINK__" hidden="1">{"fdsup://directions/FAT%20Viewer?VAR:TM=NTMA&amp;VAR:PCT=0.128767&amp;VAR:Y0=2007&amp;VAR:Y1=2008&amp;VAR:V0=18.208857&amp;VAR:V1=16.533370&amp;VAR:V=16.731615&amp;VAR:AUDIT_ID=99900521&amp;VAR:DATE=20071114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Mean&amp;VAR:CHGPERIOD=NA&amp;VAR:FQLFORMULA=FMA_PE&amp;VAR:","CURRENCY=NA&amp;VAR:P=276.152100&amp;VAR:V=16.731615&amp;VAR:null=.html"}</definedName>
    <definedName name="_369__FDSAUDITLINK__" hidden="1">{"fdsup://directions/FAT%20Viewer?VAR:TM=NTMA&amp;VAR:PCT=0.147945&amp;VAR:Y0=2007&amp;VAR:Y1=2008&amp;VAR:V0=17.901570&amp;VAR:V1=16.111599&amp;VAR:V=16.353516&amp;VAR:AUDIT_ID=99900521&amp;VAR:DATE=20071107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Mean&amp;VAR:CHGPERIOD=NA&amp;VAR:FQLFORMULA=FMA_PE&amp;VAR:","CURRENCY=NA&amp;VAR:P=273.168400&amp;VAR:V=16.353516&amp;VAR:null=.html"}</definedName>
    <definedName name="_37__FDSAUDITLINK__" hidden="1">{"fdsup://directions/FAT%20Viewer?VAR:TM=NTMA&amp;VAR:PCT=0.635616&amp;VAR:Y0=2009&amp;VAR:Y1=2010&amp;VAR:V0=15.352901&amp;VAR:V1=12.020435&amp;VAR:V=13.944262&amp;VAR:AUDIT_ID=00000117&amp;VAR:DATE=20090513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Mean&amp;VAR:CHGPERIOD=NA&amp;VAR:FQLFORMULA=FMA_PE&amp;VAR:","CURRENCY=NA&amp;VAR:P=883.916046&amp;VAR:V=13.944262&amp;VAR:null=.html"}</definedName>
    <definedName name="_370__FDSAUDITLINK__" hidden="1">{"fdsup://directions/FAT%20Viewer?VAR:TM=NTMA&amp;VAR:PCT=0.167123&amp;VAR:Y0=2007&amp;VAR:Y1=2008&amp;VAR:V0=18.335846&amp;VAR:V1=16.567320&amp;VAR:V=16.838750&amp;VAR:AUDIT_ID=99900521&amp;VAR:DATE=20071031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Mean&amp;VAR:CHGPERIOD=NA&amp;VAR:FQLFORMULA=FMA_PE&amp;VAR:","CURRENCY=NA&amp;VAR:P=278.046200&amp;VAR:V=16.838750&amp;VAR:null=.html"}</definedName>
    <definedName name="_371__FDSAUDITLINK__" hidden="1">{"fdsup://directions/FAT%20Viewer?VAR:TM=NTMA&amp;VAR:PCT=0.186301&amp;VAR:Y0=2007&amp;VAR:Y1=2008&amp;VAR:V0=18.074087&amp;VAR:V1=16.348827&amp;VAR:V=16.644828&amp;VAR:AUDIT_ID=99900521&amp;VAR:DATE=20071024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Mean&amp;VAR:CHGPERIOD=NA&amp;VAR:FQLFORMULA=FMA_PE&amp;VAR:","CURRENCY=NA&amp;VAR:P=273.713500&amp;VAR:V=16.644828&amp;VAR:null=.html"}</definedName>
    <definedName name="_372__FDSAUDITLINK__" hidden="1">{"fdsup://directions/FAT%20Viewer?VAR:TM=NTMA&amp;VAR:PCT=0.205479&amp;VAR:Y0=2007&amp;VAR:Y1=2008&amp;VAR:V0=18.518175&amp;VAR:V1=16.709450&amp;VAR:V=17.051673&amp;VAR:AUDIT_ID=99900521&amp;VAR:DATE=20071017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Mean&amp;VAR:CHGPERIOD=NA&amp;VAR:FQLFORMULA=FMA_PE&amp;VAR:","CURRENCY=NA&amp;VAR:P=281.507420&amp;VAR:V=17.051673&amp;VAR:null=.html"}</definedName>
    <definedName name="_373__FDSAUDITLINK__" hidden="1">{"fdsup://directions/FAT%20Viewer?VAR:TM=NTMA&amp;VAR:PCT=0.224658&amp;VAR:Y0=2007&amp;VAR:Y1=2008&amp;VAR:V0=18.510822&amp;VAR:V1=16.695372&amp;VAR:V=17.071514&amp;VAR:AUDIT_ID=99900521&amp;VAR:DATE=20071010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Mean&amp;VAR:CHGPERIOD=NA&amp;VAR:FQLFORMULA=FMA_PE&amp;VAR:","CURRENCY=NA&amp;VAR:P=281.565950&amp;VAR:V=17.071514&amp;VAR:null=.html"}</definedName>
    <definedName name="_374__FDSAUDITLINK__" hidden="1">{"fdsup://directions/FAT%20Viewer?VAR:TM=NTMA&amp;VAR:PCT=0.243836&amp;VAR:Y0=2007&amp;VAR:Y1=2008&amp;VAR:V0=18.466623&amp;VAR:V1=16.604008&amp;VAR:V=17.022667&amp;VAR:AUDIT_ID=99900521&amp;VAR:DATE=20071003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Mean&amp;VAR:CHGPERIOD=NA&amp;VAR:FQLFORMULA=FMA_PE&amp;VAR:","CURRENCY=NA&amp;VAR:P=280.736450&amp;VAR:V=17.022667&amp;VAR:null=.html"}</definedName>
    <definedName name="_375__FDSAUDITLINK__" hidden="1">{"fdsup://directions/FAT%20Viewer?VAR:TM=NTMA&amp;VAR:PCT=0.263014&amp;VAR:Y0=2007&amp;VAR:Y1=2008&amp;VAR:V0=18.459190&amp;VAR:V1=16.624170&amp;VAR:V=17.070497&amp;VAR:AUDIT_ID=99900521&amp;VAR:DATE=20070926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Mean&amp;VAR:CHGPERIOD=NA&amp;VAR:FQLFORMULA=FMA_PE&amp;VAR:","CURRENCY=NA&amp;VAR:P=282.134580&amp;VAR:V=17.070497&amp;VAR:null=.html"}</definedName>
    <definedName name="_376__FDSAUDITLINK__" hidden="1">{"fdsup://directions/FAT%20Viewer?VAR:TM=NTMA&amp;VAR:PCT=0.282192&amp;VAR:Y0=2007&amp;VAR:Y1=2008&amp;VAR:V0=18.498785&amp;VAR:V1=16.656920&amp;VAR:V=17.138458&amp;VAR:AUDIT_ID=99900521&amp;VAR:DATE=20070919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Mean&amp;VAR:CHGPERIOD=NA&amp;VAR:FQLFORMULA=FMA_PE&amp;VAR:","CURRENCY=NA&amp;VAR:P=283.287260&amp;VAR:V=17.138458&amp;VAR:null=.html"}</definedName>
    <definedName name="_377__FDSAUDITLINK__" hidden="1">{"fdsup://directions/FAT%20Viewer?VAR:TM=NTMA&amp;VAR:PCT=0.301370&amp;VAR:Y0=2007&amp;VAR:Y1=2008&amp;VAR:V0=18.246530&amp;VAR:V1=16.472788&amp;VAR:V=16.969941&amp;VAR:AUDIT_ID=99900521&amp;VAR:DATE=20070912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Mean&amp;VAR:CHGPERIOD=NA&amp;VAR:FQLFORMULA=FMA_PE&amp;VAR:","CURRENCY=NA&amp;VAR:P=279.531400&amp;VAR:V=16.969941&amp;VAR:null=.html"}</definedName>
    <definedName name="_378__FDSAUDITLINK__" hidden="1">{"fdsup://directions/FAT%20Viewer?VAR:TM=NTMA&amp;VAR:PCT=0.320548&amp;VAR:Y0=2007&amp;VAR:Y1=2008&amp;VAR:V0=17.958393&amp;VAR:V1=16.214987&amp;VAR:V=16.735786&amp;VAR:AUDIT_ID=99900521&amp;VAR:DATE=20070905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Mean&amp;VAR:CHGPERIOD=NA&amp;VAR:FQLFORMULA=FMA_PE&amp;VAR:","CURRENCY=NA&amp;VAR:P=275.286100&amp;VAR:V=16.735786&amp;VAR:null=.html"}</definedName>
    <definedName name="_379__FDSAUDITLINK__" hidden="1">{"fdsup://directions/FAT%20Viewer?VAR:TM=NTMA&amp;VAR:PCT=0.339726&amp;VAR:Y0=2007&amp;VAR:Y1=2008&amp;VAR:V0=17.848612&amp;VAR:V1=16.094786&amp;VAR:V=16.650615&amp;VAR:AUDIT_ID=99900521&amp;VAR:DATE=20070829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Mean&amp;VAR:CHGPERIOD=NA&amp;VAR:FQLFORMULA=FMA_PE&amp;VAR:","CURRENCY=NA&amp;VAR:P=274.074200&amp;VAR:V=16.650615&amp;VAR:null=.html"}</definedName>
    <definedName name="_38__FDSAUDITLINK__" hidden="1">{"fdsup://directions/FAT%20Viewer?VAR:TM=NTMA&amp;VAR:PCT=0.654795&amp;VAR:Y0=2009&amp;VAR:Y1=2010&amp;VAR:V0=15.890823&amp;VAR:V1=12.489716&amp;VAR:V=14.525382&amp;VAR:AUDIT_ID=00000117&amp;VAR:DATE=20090506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Mean&amp;VAR:CHGPERIOD=NA&amp;VAR:FQLFORMULA=FMA_PE&amp;VAR:","CURRENCY=NA&amp;VAR:P=919.534676&amp;VAR:V=14.525382&amp;VAR:null=.html"}</definedName>
    <definedName name="_380__FDSAUDITLINK__" hidden="1">{"fdsup://directions/FAT%20Viewer?VAR:TM=NTMA&amp;VAR:PCT=0.358904&amp;VAR:Y0=2007&amp;VAR:Y1=2008&amp;VAR:V0=17.975657&amp;VAR:V1=16.222952&amp;VAR:V=16.811257&amp;VAR:AUDIT_ID=99900521&amp;VAR:DATE=20070822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Mean&amp;VAR:CHGPERIOD=NA&amp;VAR:FQLFORMULA=FMA_PE&amp;VAR:","CURRENCY=NA&amp;VAR:P=275.932070&amp;VAR:V=16.811257&amp;VAR:null=.html"}</definedName>
    <definedName name="_381__FDSAUDITLINK__" hidden="1">{"fdsup://directions/FAT%20Viewer?VAR:TM=NTMA&amp;VAR:PCT=0.378082&amp;VAR:Y0=2007&amp;VAR:Y1=2008&amp;VAR:V0=17.639212&amp;VAR:V1=15.917626&amp;VAR:V=16.527504&amp;VAR:AUDIT_ID=99900521&amp;VAR:DATE=20070815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Mean&amp;VAR:CHGPERIOD=NA&amp;VAR:FQLFORMULA=FMA_PE&amp;VAR:","CURRENCY=NA&amp;VAR:P=271.136930&amp;VAR:V=16.527504&amp;VAR:null=.html"}</definedName>
    <definedName name="_382__FDSAUDITLINK__" hidden="1">{"fdsup://directions/FAT%20Viewer?VAR:TM=NTMA&amp;VAR:PCT=0.397260&amp;VAR:Y0=2007&amp;VAR:Y1=2008&amp;VAR:V0=18.242659&amp;VAR:V1=16.502161&amp;VAR:V=17.152264&amp;VAR:AUDIT_ID=99900521&amp;VAR:DATE=20070808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Mean&amp;VAR:CHGPERIOD=NA&amp;VAR:FQLFORMULA=FMA_PE&amp;VAR:","CURRENCY=NA&amp;VAR:P=280.943360&amp;VAR:V=17.152264&amp;VAR:null=.html"}</definedName>
    <definedName name="_383__FDSAUDITLINK__" hidden="1">{"fdsup://directions/FAT%20Viewer?VAR:TM=NTMA&amp;VAR:PCT=0.416438&amp;VAR:Y0=2007&amp;VAR:Y1=2008&amp;VAR:V0=17.872564&amp;VAR:V1=16.170176&amp;VAR:V=16.838081&amp;VAR:AUDIT_ID=99900521&amp;VAR:DATE=20070801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Mean&amp;VAR:CHGPERIOD=NA&amp;VAR:FQLFORMULA=FMA_PE&amp;VAR:","CURRENCY=NA&amp;VAR:P=275.080230&amp;VAR:V=16.838081&amp;VAR:null=.html"}</definedName>
    <definedName name="_384__FDSAUDITLINK__" hidden="1">{"fdsup://directions/FAT%20Viewer?VAR:TM=NTMA&amp;VAR:PCT=0.435616&amp;VAR:Y0=2007&amp;VAR:Y1=2008&amp;VAR:V0=18.532412&amp;VAR:V1=16.755241&amp;VAR:V=17.485680&amp;VAR:AUDIT_ID=99900521&amp;VAR:DATE=20070725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Mean&amp;VAR:CHGPERIOD=NA&amp;VAR:FQLFORMULA=FMA_PE&amp;VAR:","CURRENCY=NA&amp;VAR:P=285.709700&amp;VAR:V=17.485680&amp;VAR:null=.html"}</definedName>
    <definedName name="_385__FDSAUDITLINK__" hidden="1">{"fdsup://directions/FAT%20Viewer?VAR:TM=NTMA&amp;VAR:PCT=0.454795&amp;VAR:Y0=2007&amp;VAR:Y1=2008&amp;VAR:V0=18.854593&amp;VAR:V1=17.050499&amp;VAR:V=17.826240&amp;VAR:AUDIT_ID=99900521&amp;VAR:DATE=20070718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Mean&amp;VAR:CHGPERIOD=NA&amp;VAR:FQLFORMULA=FMA_PE&amp;VAR:","CURRENCY=NA&amp;VAR:P=291.152160&amp;VAR:V=17.826240&amp;VAR:null=.html"}</definedName>
    <definedName name="_386__FDSAUDITLINK__" hidden="1">{"fdsup://directions/FAT%20Viewer?VAR:TM=NTMA&amp;VAR:PCT=0.473973&amp;VAR:Y0=2007&amp;VAR:Y1=2008&amp;VAR:V0=18.621643&amp;VAR:V1=16.825040&amp;VAR:V=17.631293&amp;VAR:AUDIT_ID=99900521&amp;VAR:DATE=20070711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Mean&amp;VAR:CHGPERIOD=NA&amp;VAR:FQLFORMULA=FMA_PE&amp;VAR:","CURRENCY=NA&amp;VAR:P=287.525570&amp;VAR:V=17.631293&amp;VAR:null=.html"}</definedName>
    <definedName name="_387__FDSAUDITLINK__" hidden="1">{"fdsup://directions/FAT%20Viewer?VAR:TM=NTMA&amp;VAR:PCT=0.495890&amp;VAR:Y0=2007&amp;VAR:Y1=2008&amp;VAR:V0=18.671167&amp;VAR:V1=16.894857&amp;VAR:V=17.731375&amp;VAR:AUDIT_ID=99900521&amp;VAR:DATE=20070703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Mean&amp;VAR:CHGPERIOD=NA&amp;VAR:FQLFORMULA=FMA_PE&amp;VAR:","CURRENCY=NA&amp;VAR:P=288.317000&amp;VAR:V=17.731375&amp;VAR:null=.html"}</definedName>
    <definedName name="_388__FDSAUDITLINK__" hidden="1">{"fdsup://directions/FAT%20Viewer?VAR:TM=NTMA&amp;VAR:PCT=0.512329&amp;VAR:Y0=2007&amp;VAR:Y1=2008&amp;VAR:V0=18.658270&amp;VAR:V1=16.894001&amp;VAR:V=17.754084&amp;VAR:AUDIT_ID=99900521&amp;VAR:DATE=20070627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Mean&amp;VAR:CHGPERIOD=NA&amp;VAR:FQLFORMULA=FMA_PE&amp;VAR:","CURRENCY=NA&amp;VAR:P=288.145720&amp;VAR:V=17.754084&amp;VAR:null=.html"}</definedName>
    <definedName name="_389__FDSAUDITLINK__" hidden="1">{"fdsup://directions/FAT%20Viewer?VAR:TM=NTMA&amp;VAR:PCT=0.531507&amp;VAR:Y0=2007&amp;VAR:Y1=2008&amp;VAR:V0=18.485548&amp;VAR:V1=16.720116&amp;VAR:V=17.614226&amp;VAR:AUDIT_ID=99900521&amp;VAR:DATE=20070620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Mean&amp;VAR:CHGPERIOD=NA&amp;VAR:FQLFORMULA=FMA_PE&amp;VAR:","CURRENCY=NA&amp;VAR:P=284.949980&amp;VAR:V=17.614226&amp;VAR:null=.html"}</definedName>
    <definedName name="_39__FDSAUDITLINK__" hidden="1">{"fdsup://directions/FAT%20Viewer?VAR:TM=NTMA&amp;VAR:PCT=0.673973&amp;VAR:Y0=2009&amp;VAR:Y1=2010&amp;VAR:V0=14.970070&amp;VAR:V1=11.783023&amp;VAR:V=13.756939&amp;VAR:AUDIT_ID=00000117&amp;VAR:DATE=20090429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Mean&amp;VAR:CHGPERIOD=NA&amp;VAR:FQLFORMULA=FMA_PE&amp;VAR:","CURRENCY=NA&amp;VAR:P=873.643140&amp;VAR:V=13.756939&amp;VAR:null=.html"}</definedName>
    <definedName name="_390__FDSAUDITLINK__" hidden="1">{"fdsup://directions/FAT%20Viewer?VAR:TM=NTMA&amp;VAR:PCT=0.550685&amp;VAR:Y0=2007&amp;VAR:Y1=2008&amp;VAR:V0=18.799772&amp;VAR:V1=17.018543&amp;VAR:V=17.955382&amp;VAR:AUDIT_ID=99900521&amp;VAR:DATE=20070613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Mean&amp;VAR:CHGPERIOD=NA&amp;VAR:FQLFORMULA=FMA_PE&amp;VAR:","CURRENCY=NA&amp;VAR:P=289.645870&amp;VAR:V=17.955382&amp;VAR:null=.html"}</definedName>
    <definedName name="_391__FDSAUDITLINK__" hidden="1">{"fdsup://directions/FAT%20Viewer?VAR:TM=NTMA&amp;VAR:PCT=0.569863&amp;VAR:Y0=2007&amp;VAR:Y1=2008&amp;VAR:V0=18.623764&amp;VAR:V1=16.888110&amp;VAR:V=17.835322&amp;VAR:AUDIT_ID=99900521&amp;VAR:DATE=20070606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Mean&amp;VAR:CHGPERIOD=NA&amp;VAR:FQLFORMULA=FMA_PE&amp;VAR:","CURRENCY=NA&amp;VAR:P=287.438050&amp;VAR:V=17.835322&amp;VAR:null=.html"}</definedName>
    <definedName name="_392__FDSAUDITLINK__" hidden="1">{"fdsup://directions/FAT%20Viewer?VAR:TM=NTMA&amp;VAR:PCT=0.589041&amp;VAR:Y0=2007&amp;VAR:Y1=2008&amp;VAR:V0=18.767551&amp;VAR:V1=17.017164&amp;VAR:V=18.006398&amp;VAR:AUDIT_ID=99900521&amp;VAR:DATE=20070530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Mean&amp;VAR:CHGPERIOD=NA&amp;VAR:FQLFORMULA=FMA_PE&amp;VAR:","CURRENCY=NA&amp;VAR:P=289.690220&amp;VAR:V=18.006398&amp;VAR:null=.html"}</definedName>
    <definedName name="_393__FDSAUDITLINK__" hidden="1">{"fdsup://directions/FAT%20Viewer?VAR:TM=NTMA&amp;VAR:PCT=0.608219&amp;VAR:Y0=2007&amp;VAR:Y1=2008&amp;VAR:V0=18.601103&amp;VAR:V1=16.859846&amp;VAR:V=17.877726&amp;VAR:AUDIT_ID=99900521&amp;VAR:DATE=20070523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Mean&amp;VAR:CHGPERIOD=NA&amp;VAR:FQLFORMULA=FMA_PE&amp;VAR:","CURRENCY=NA&amp;VAR:P=287.125430&amp;VAR:V=17.877726&amp;VAR:null=.html"}</definedName>
    <definedName name="_394__FDSAUDITLINK__" hidden="1">{"fdsup://directions/FAT%20Viewer?VAR:TM=NTMA&amp;VAR:PCT=0.627397&amp;VAR:Y0=2007&amp;VAR:Y1=2008&amp;VAR:V0=18.573300&amp;VAR:V1=16.834452&amp;VAR:V=17.884970&amp;VAR:AUDIT_ID=99900521&amp;VAR:DATE=20070516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Mean&amp;VAR:CHGPERIOD=NA&amp;VAR:FQLFORMULA=FMA_PE&amp;VAR:","CURRENCY=NA&amp;VAR:P=286.624100&amp;VAR:V=17.884970&amp;VAR:null=.html"}</definedName>
    <definedName name="_395__FDSAUDITLINK__" hidden="1">{"fdsup://directions/FAT%20Viewer?VAR:TM=NTMA&amp;VAR:PCT=0.646575&amp;VAR:Y0=2007&amp;VAR:Y1=2008&amp;VAR:V0=18.477484&amp;VAR:V1=16.777891&amp;VAR:V=17.838823&amp;VAR:AUDIT_ID=99900521&amp;VAR:DATE=20070509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Mean&amp;VAR:CHGPERIOD=NA&amp;VAR:FQLFORMULA=FMA_PE&amp;VAR:","CURRENCY=NA&amp;VAR:P=285.678400&amp;VAR:V=17.838823&amp;VAR:null=.html"}</definedName>
    <definedName name="_396__FDSAUDITLINK__" hidden="1">{"fdsup://directions/FAT%20Viewer?VAR:TM=NTMA&amp;VAR:PCT=0.665753&amp;VAR:Y0=2007&amp;VAR:Y1=2008&amp;VAR:V0=18.589397&amp;VAR:V1=16.895330&amp;VAR:V=17.986588&amp;VAR:AUDIT_ID=99900521&amp;VAR:DATE=20070502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Mean&amp;VAR:CHGPERIOD=NA&amp;VAR:FQLFORMULA=FMA_PE&amp;VAR:","CURRENCY=NA&amp;VAR:P=287.885930&amp;VAR:V=17.986588&amp;VAR:null=.html"}</definedName>
    <definedName name="_397__FDSAUDITLINK__" hidden="1">{"fdsup://directions/FAT%20Viewer?VAR:TM=NTMA&amp;VAR:PCT=0.684932&amp;VAR:Y0=2007&amp;VAR:Y1=2008&amp;VAR:V0=18.816341&amp;VAR:V1=17.162266&amp;VAR:V=18.261806&amp;VAR:AUDIT_ID=99900521&amp;VAR:DATE=20070425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Mean&amp;VAR:CHGPERIOD=NA&amp;VAR:FQLFORMULA=FMA_PE&amp;VAR:","CURRENCY=NA&amp;VAR:P=291.009520&amp;VAR:V=18.261806&amp;VAR:null=.html"}</definedName>
    <definedName name="_398__FDSAUDITLINK__" hidden="1">{"fdsup://directions/FAT%20Viewer?VAR:TM=NTMA&amp;VAR:PCT=0.704110&amp;VAR:Y0=2007&amp;VAR:Y1=2008&amp;VAR:V0=18.384200&amp;VAR:V1=16.750624&amp;VAR:V=17.868581&amp;VAR:AUDIT_ID=99900521&amp;VAR:DATE=20070418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Mean&amp;VAR:CHGPERIOD=NA&amp;VAR:FQLFORMULA=FMA_PE&amp;VAR:","CURRENCY=NA&amp;VAR:P=283.917970&amp;VAR:V=17.868581&amp;VAR:null=.html"}</definedName>
    <definedName name="_399__FDSAUDITLINK__" hidden="1">{"fdsup://directions/FAT%20Viewer?VAR:TM=NTMA&amp;VAR:PCT=0.723288&amp;VAR:Y0=2007&amp;VAR:Y1=2008&amp;VAR:V0=18.190617&amp;VAR:V1=16.585620&amp;VAR:V=17.716220&amp;VAR:AUDIT_ID=99900521&amp;VAR:DATE=20070411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Mean&amp;VAR:CHGPERIOD=NA&amp;VAR:FQLFORMULA=FMA_PE&amp;VAR:","CURRENCY=NA&amp;VAR:P=281.121250&amp;VAR:V=17.716220&amp;VAR:null=.html"}</definedName>
    <definedName name="_4__FDSAUDITLINK__" hidden="1">{"fdsup://directions/FAT%20Viewer?VAR:TM=NTMA&amp;VAR:PCT=0.002740&amp;VAR:Y0=2009&amp;VAR:Y1=2010&amp;VAR:V0=18.392294&amp;VAR:V1=14.453985&amp;VAR:V=14.462469&amp;VAR:AUDIT_ID=00000117&amp;VAR:DATE=20091230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Mean&amp;VAR:CHGPERIOD=NA&amp;VAR:FQLFORMULA=FMA_PE&amp;VAR:","CURRENCY=NA&amp;VAR:P=1126.421119&amp;VAR:V=14.462469&amp;VAR:null=.html"}</definedName>
    <definedName name="_40__FDSAUDITLINK__" hidden="1">{"fdsup://directions/FAT%20Viewer?VAR:TM=NTMA&amp;VAR:PCT=0.693151&amp;VAR:Y0=2009&amp;VAR:Y1=2010&amp;VAR:V0=14.303138&amp;VAR:V1=11.313143&amp;VAR:V=13.230191&amp;VAR:AUDIT_ID=00000117&amp;VAR:DATE=20090422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Mean&amp;VAR:CHGPERIOD=NA&amp;VAR:FQLFORMULA=FMA_PE&amp;VAR:","CURRENCY=NA&amp;VAR:P=843.553510&amp;VAR:V=13.230191&amp;VAR:null=.html"}</definedName>
    <definedName name="_400__FDSAUDITLINK__" hidden="1">{"fdsup://directions/FAT%20Viewer?VAR:TM=NTMA&amp;VAR:PCT=0.742466&amp;VAR:Y0=2007&amp;VAR:Y1=2008&amp;VAR:V0=17.978537&amp;VAR:V1=16.417488&amp;VAR:V=17.548810&amp;VAR:AUDIT_ID=99900521&amp;VAR:DATE=20070404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Mean&amp;VAR:CHGPERIOD=NA&amp;VAR:FQLFORMULA=FMA_PE&amp;VAR:","CURRENCY=NA&amp;VAR:P=278.271420&amp;VAR:V=17.548810&amp;VAR:null=.html"}</definedName>
    <definedName name="_401__FDSAUDITLINK__" hidden="1">{"fdsup://directions/FAT%20Viewer?VAR:TM=NTMA&amp;VAR:PCT=0.761644&amp;VAR:Y0=2007&amp;VAR:Y1=2008&amp;VAR:V0=18.353731&amp;VAR:V1=16.732792&amp;VAR:V=17.939507&amp;VAR:AUDIT_ID=99900521&amp;VAR:DATE=20070328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Mean&amp;VAR:CHGPERIOD=NA&amp;VAR:FQLFORMULA=FMA_PE&amp;VAR:","CURRENCY=NA&amp;VAR:P=277.863800&amp;VAR:V=17.939507&amp;VAR:null=.html"}</definedName>
    <definedName name="_402__FDSAUDITLINK__" hidden="1">{"fdsup://directions/FAT%20Viewer?VAR:TM=NTMA&amp;VAR:PCT=0.780822&amp;VAR:Y0=2007&amp;VAR:Y1=2008&amp;VAR:V0=18.409739&amp;VAR:V1=16.797537&amp;VAR:V=18.030444&amp;VAR:AUDIT_ID=99900521&amp;VAR:DATE=20070321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Mean&amp;VAR:CHGPERIOD=NA&amp;VAR:FQLFORMULA=FMA_PE&amp;VAR:","CURRENCY=NA&amp;VAR:P=277.873000&amp;VAR:V=18.030444&amp;VAR:null=.html"}</definedName>
    <definedName name="_403__FDSAUDITLINK__" hidden="1">{"fdsup://directions/FAT%20Viewer?VAR:TM=NTMA&amp;VAR:PCT=0.800000&amp;VAR:Y0=2007&amp;VAR:Y1=2008&amp;VAR:V0=17.864138&amp;VAR:V1=16.238512&amp;VAR:V=17.513485&amp;VAR:AUDIT_ID=99900521&amp;VAR:DATE=20070314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Mean&amp;VAR:CHGPERIOD=NA&amp;VAR:FQLFORMULA=FMA_PE&amp;VAR:","CURRENCY=NA&amp;VAR:P=268.741060&amp;VAR:V=17.513485&amp;VAR:null=.html"}</definedName>
    <definedName name="_404__FDSAUDITLINK__" hidden="1">{"fdsup://directions/FAT%20Viewer?VAR:TM=NTMA&amp;VAR:PCT=0.819178&amp;VAR:Y0=2007&amp;VAR:Y1=2008&amp;VAR:V0=17.805510&amp;VAR:V1=16.180658&amp;VAR:V=17.487963&amp;VAR:AUDIT_ID=99900521&amp;VAR:DATE=20070307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Mean&amp;VAR:CHGPERIOD=NA&amp;VAR:FQLFORMULA=FMA_PE&amp;VAR:","CURRENCY=NA&amp;VAR:P=267.897130&amp;VAR:V=17.487963&amp;VAR:null=.html"}</definedName>
    <definedName name="_405__FDSAUDITLINK__" hidden="1">{"fdsup://directions/FAT%20Viewer?VAR:TM=NTMA&amp;VAR:PCT=0.838356&amp;VAR:Y0=2007&amp;VAR:Y1=2008&amp;VAR:V0=17.870235&amp;VAR:V1=16.101633&amp;VAR:V=17.558485&amp;VAR:AUDIT_ID=99900521&amp;VAR:DATE=20070228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Mean&amp;VAR:CHGPERIOD=NA&amp;VAR:FQLFORMULA=FMA_PE&amp;VAR:","CURRENCY=NA&amp;VAR:P=271.515840&amp;VAR:V=17.558485&amp;VAR:null=.html"}</definedName>
    <definedName name="_406__FDSAUDITLINK__" hidden="1">{"fdsup://directions/FAT%20Viewer?VAR:TM=NTMA&amp;VAR:PCT=0.857534&amp;VAR:Y0=2007&amp;VAR:Y1=2008&amp;VAR:V0=18.301165&amp;VAR:V1=16.513607&amp;VAR:V=18.023219&amp;VAR:AUDIT_ID=99900521&amp;VAR:DATE=20070221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Mean&amp;VAR:CHGPERIOD=NA&amp;VAR:FQLFORMULA=FMA_PE&amp;VAR:","CURRENCY=NA&amp;VAR:P=278.313020&amp;VAR:V=18.023219&amp;VAR:null=.html"}</definedName>
    <definedName name="_407__FDSAUDITLINK__" hidden="1">{"fdsup://directions/FAT%20Viewer?VAR:TM=NTMA&amp;VAR:PCT=0.876712&amp;VAR:Y0=2007&amp;VAR:Y1=2008&amp;VAR:V0=18.134958&amp;VAR:V1=16.413792&amp;VAR:V=17.903500&amp;VAR:AUDIT_ID=99900521&amp;VAR:DATE=20070214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Mean&amp;VAR:CHGPERIOD=NA&amp;VAR:FQLFORMULA=FMA_PE&amp;VAR:","CURRENCY=NA&amp;VAR:P=274.955020&amp;VAR:V=17.903500&amp;VAR:null=.html"}</definedName>
    <definedName name="_408__FDSAUDITLINK__" hidden="1">{"fdsup://directions/FAT%20Viewer?VAR:TM=NTMA&amp;VAR:PCT=0.895890&amp;VAR:Y0=2007&amp;VAR:Y1=2008&amp;VAR:V0=17.942568&amp;VAR:V1=16.345192&amp;VAR:V=17.761852&amp;VAR:AUDIT_ID=99900521&amp;VAR:DATE=20070207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Mean&amp;VAR:CHGPERIOD=NA&amp;VAR:FQLFORMULA=FMA_PE&amp;VAR:","CURRENCY=NA&amp;VAR:P=271.799650&amp;VAR:V=17.761852&amp;VAR:null=.html"}</definedName>
    <definedName name="_409__FDSAUDITLINK__" hidden="1">{"fdsup://directions/FAT%20Viewer?VAR:TM=NTMA&amp;VAR:PCT=0.915068&amp;VAR:Y0=2007&amp;VAR:Y1=2008&amp;VAR:V0=17.787445&amp;VAR:V1=15.882938&amp;VAR:V=17.608123&amp;VAR:AUDIT_ID=99900521&amp;VAR:DATE=20070131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Mean&amp;VAR:CHGPERIOD=NA&amp;VAR:FQLFORMULA=FMA_PE&amp;VAR:","CURRENCY=NA&amp;VAR:P=269.877720&amp;VAR:V=17.608123&amp;VAR:null=.html"}</definedName>
    <definedName name="_41__FDSAUDITLINK__" hidden="1">{"fdsup://directions/FAT%20Viewer?VAR:TM=NTMA&amp;VAR:PCT=0.712329&amp;VAR:Y0=2009&amp;VAR:Y1=2010&amp;VAR:V0=14.322602&amp;VAR:V1=11.387378&amp;VAR:V=13.333888&amp;VAR:AUDIT_ID=00000117&amp;VAR:DATE=20090415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Mean&amp;VAR:CHGPERIOD=NA&amp;VAR:FQLFORMULA=FMA_PE&amp;VAR:","CURRENCY=NA&amp;VAR:P=852.061563&amp;VAR:V=13.333888&amp;VAR:null=.html"}</definedName>
    <definedName name="_410__FDSAUDITLINK__" hidden="1">{"fdsup://directions/FAT%20Viewer?VAR:TM=NTMA&amp;VAR:PCT=0.934247&amp;VAR:Y0=2007&amp;VAR:Y1=2008&amp;VAR:V0=17.843815&amp;VAR:V1=15.735513&amp;VAR:V=17.687986&amp;VAR:AUDIT_ID=99900521&amp;VAR:DATE=20070124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Mean&amp;VAR:CHGPERIOD=NA&amp;VAR:FQLFORMULA=FMA_PE&amp;VAR:","CURRENCY=NA&amp;VAR:P=269.762660&amp;VAR:V=17.687986&amp;VAR:null=.html"}</definedName>
    <definedName name="_411__FDSAUDITLINK__" hidden="1">{"fdsup://directions/FAT%20Viewer?VAR:TM=NTMA&amp;VAR:PCT=0.953425&amp;VAR:Y0=2007&amp;VAR:Y1=2008&amp;VAR:V0=17.593441&amp;VAR:V1=15.509390&amp;VAR:V=17.484017&amp;VAR:AUDIT_ID=99900521&amp;VAR:DATE=20070117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Mean&amp;VAR:CHGPERIOD=NA&amp;VAR:FQLFORMULA=FMA_PE&amp;VAR:","CURRENCY=NA&amp;VAR:P=266.649600&amp;VAR:V=17.484017&amp;VAR:null=.html"}</definedName>
    <definedName name="_412__FDSAUDITLINK__" hidden="1">{"fdsup://directions/FAT%20Viewer?VAR:TM=NTMA&amp;VAR:PCT=0.972603&amp;VAR:Y0=2007&amp;VAR:Y1=2008&amp;VAR:V0=17.648207&amp;VAR:V1=15.524155&amp;VAR:V=17.582299&amp;VAR:AUDIT_ID=99900521&amp;VAR:DATE=20070110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Mean&amp;VAR:CHGPERIOD=NA&amp;VAR:FQLFORMULA=FMA_PE&amp;VAR:","CURRENCY=NA&amp;VAR:P=267.463870&amp;VAR:V=17.582299&amp;VAR:null=.html"}</definedName>
    <definedName name="_413__FDSAUDITLINK__" hidden="1">{"fdsup://directions/FAT%20Viewer?VAR:TM=NTMA&amp;VAR:PCT=0.991781&amp;VAR:Y0=2007&amp;VAR:Y1=2008&amp;VAR:V0=17.755570&amp;VAR:V1=15.613755&amp;VAR:V=17.735574&amp;VAR:AUDIT_ID=99900521&amp;VAR:DATE=20070103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Mean&amp;VAR:CHGPERIOD=NA&amp;VAR:FQLFORMULA=FMA_PE&amp;VAR:","CURRENCY=NA&amp;VAR:P=269.067930&amp;VAR:V=17.735574&amp;VAR:null=.html"}</definedName>
    <definedName name="_414__FDSAUDITLINK__" hidden="1">{"fdsup://directions/FAT%20Viewer?VAR:TM=NTMA&amp;VAR:PCT=0.010959&amp;VAR:Y0=2006&amp;VAR:Y1=2007&amp;VAR:V0=20.191670&amp;VAR:V1=17.898594&amp;VAR:V=17.920898&amp;VAR:AUDIT_ID=99900521&amp;VAR:DATE=20061227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Mean&amp;VAR:CHGPERIOD=NA&amp;VAR:FQLFORMULA=FMA_PE&amp;VAR:","CURRENCY=NA&amp;VAR:P=270.567600&amp;VAR:V=17.920898&amp;VAR:null=.html"}</definedName>
    <definedName name="_415__FDSAUDITLINK__" hidden="1">{"fdsup://directions/FAT%20Viewer?VAR:TM=NTMA&amp;VAR:PCT=0.030137&amp;VAR:Y0=2006&amp;VAR:Y1=2007&amp;VAR:V0=20.286173&amp;VAR:V1=17.942320&amp;VAR:V=18.005014&amp;VAR:AUDIT_ID=99900521&amp;VAR:DATE=20061220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Mean&amp;VAR:CHGPERIOD=NA&amp;VAR:FQLFORMULA=FMA_PE&amp;VAR:","CURRENCY=NA&amp;VAR:P=270.477360&amp;VAR:V=18.005014&amp;VAR:null=.html"}</definedName>
    <definedName name="_416__FDSAUDITLINK__" hidden="1">{"fdsup://directions/FAT%20Viewer?VAR:TM=NTMA&amp;VAR:PCT=0.049315&amp;VAR:Y0=2006&amp;VAR:Y1=2007&amp;VAR:V0=20.399980&amp;VAR:V1=18.049320&amp;VAR:V=18.152471&amp;VAR:AUDIT_ID=99900521&amp;VAR:DATE=20061213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Mean&amp;VAR:CHGPERIOD=NA&amp;VAR:FQLFORMULA=FMA_PE&amp;VAR:","CURRENCY=NA&amp;VAR:P=271.566800&amp;VAR:V=18.152471&amp;VAR:null=.html"}</definedName>
    <definedName name="_417__FDSAUDITLINK__" hidden="1">{"fdsup://directions/FAT%20Viewer?VAR:TM=NTMA&amp;VAR:PCT=0.068493&amp;VAR:Y0=2006&amp;VAR:Y1=2007&amp;VAR:V0=20.373264&amp;VAR:V1=18.071678&amp;VAR:V=18.212602&amp;VAR:AUDIT_ID=99900521&amp;VAR:DATE=20061206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Mean&amp;VAR:CHGPERIOD=NA&amp;VAR:FQLFORMULA=FMA_PE&amp;VAR:","CURRENCY=NA&amp;VAR:P=271.319000&amp;VAR:V=18.212602&amp;VAR:null=.html"}</definedName>
    <definedName name="_418__FDSAUDITLINK__" hidden="1">{"fdsup://directions/FAT%20Viewer?VAR:TM=NTMA&amp;VAR:PCT=0.087671&amp;VAR:Y0=2006&amp;VAR:Y1=2007&amp;VAR:V0=20.174220&amp;VAR:V1=17.882635&amp;VAR:V=18.062512&amp;VAR:AUDIT_ID=99900521&amp;VAR:DATE=20061129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Mean&amp;VAR:CHGPERIOD=NA&amp;VAR:FQLFORMULA=FMA_PE&amp;VAR:","CURRENCY=NA&amp;VAR:P=268.836730&amp;VAR:V=18.062512&amp;VAR:null=.html"}</definedName>
    <definedName name="_419__FDSAUDITLINK__" hidden="1">{"fdsup://directions/FAT%20Viewer?VAR:TM=NTMA&amp;VAR:PCT=0.106849&amp;VAR:Y0=2006&amp;VAR:Y1=2007&amp;VAR:V0=20.137732&amp;VAR:V1=17.844378&amp;VAR:V=18.064190&amp;VAR:AUDIT_ID=99900521&amp;VAR:DATE=20061122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Mean&amp;VAR:CHGPERIOD=NA&amp;VAR:FQLFORMULA=FMA_PE&amp;VAR:","CURRENCY=NA&amp;VAR:P=268.360140&amp;VAR:V=18.064190&amp;VAR:null=.html"}</definedName>
    <definedName name="_42__FDSAUDITLINK__" hidden="1">{"fdsup://directions/FAT%20Viewer?VAR:TM=NTMA&amp;VAR:PCT=0.731507&amp;VAR:Y0=2009&amp;VAR:Y1=2010&amp;VAR:V0=13.775108&amp;VAR:V1=10.961830&amp;VAR:V=12.887098&amp;VAR:AUDIT_ID=00000117&amp;VAR:DATE=20090408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Mean&amp;VAR:CHGPERIOD=NA&amp;VAR:FQLFORMULA=FMA_PE&amp;VAR:","CURRENCY=NA&amp;VAR:P=825.156669&amp;VAR:V=12.887098&amp;VAR:null=.html"}</definedName>
    <definedName name="_420__FDSAUDITLINK__" hidden="1">{"fdsup://directions/FAT%20Viewer?VAR:TM=NTMA&amp;VAR:PCT=0.126027&amp;VAR:Y0=2006&amp;VAR:Y1=2007&amp;VAR:V0=20.107658&amp;VAR:V1=17.846767&amp;VAR:V=18.103299&amp;VAR:AUDIT_ID=99900521&amp;VAR:DATE=20061115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Mean&amp;VAR:CHGPERIOD=NA&amp;VAR:FQLFORMULA=FMA_PE&amp;VAR:","CURRENCY=NA&amp;VAR:P=268.443820&amp;VAR:V=18.103299&amp;VAR:null=.html"}</definedName>
    <definedName name="_421__FDSAUDITLINK__" hidden="1">{"fdsup://directions/FAT%20Viewer?VAR:TM=NTMA&amp;VAR:PCT=0.145205&amp;VAR:Y0=2006&amp;VAR:Y1=2007&amp;VAR:V0=20.047466&amp;VAR:V1=17.833778&amp;VAR:V=18.124383&amp;VAR:AUDIT_ID=99900521&amp;VAR:DATE=20061108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Mean&amp;VAR:CHGPERIOD=NA&amp;VAR:FQLFORMULA=FMA_PE&amp;VAR:","CURRENCY=NA&amp;VAR:P=267.806520&amp;VAR:V=18.124383&amp;VAR:null=.html"}</definedName>
    <definedName name="_422__FDSAUDITLINK__" hidden="1">{"fdsup://directions/FAT%20Viewer?VAR:TM=NTMA&amp;VAR:PCT=0.164384&amp;VAR:Y0=2006&amp;VAR:Y1=2007&amp;VAR:V0=20.120020&amp;VAR:V1=17.913776&amp;VAR:V=18.242605&amp;VAR:AUDIT_ID=99900521&amp;VAR:DATE=20061101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Mean&amp;VAR:CHGPERIOD=NA&amp;VAR:FQLFORMULA=FMA_PE&amp;VAR:","CURRENCY=NA&amp;VAR:P=269.732760&amp;VAR:V=18.242605&amp;VAR:null=.html"}</definedName>
    <definedName name="_423__FDSAUDITLINK__" hidden="1">{"fdsup://directions/FAT%20Viewer?VAR:TM=NTMA&amp;VAR:PCT=0.183562&amp;VAR:Y0=2006&amp;VAR:Y1=2007&amp;VAR:V0=20.282522&amp;VAR:V1=18.042002&amp;VAR:V=18.415416&amp;VAR:AUDIT_ID=99900521&amp;VAR:DATE=20061025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Mean&amp;VAR:CHGPERIOD=NA&amp;VAR:FQLFORMULA=FMA_PE&amp;VAR:","CURRENCY=NA&amp;VAR:P=271.814540&amp;VAR:V=18.415416&amp;VAR:null=.html"}</definedName>
    <definedName name="_424__FDSAUDITLINK__" hidden="1">{"fdsup://directions/FAT%20Viewer?VAR:TM=NTMA&amp;VAR:PCT=0.202740&amp;VAR:Y0=2006&amp;VAR:Y1=2007&amp;VAR:V0=19.939766&amp;VAR:V1=17.722445&amp;VAR:V=18.131210&amp;VAR:AUDIT_ID=99900521&amp;VAR:DATE=20061018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Mean&amp;VAR:CHGPERIOD=NA&amp;VAR:FQLFORMULA=FMA_PE&amp;VAR:","CURRENCY=NA&amp;VAR:P=266.846130&amp;VAR:V=18.131210&amp;VAR:null=.html"}</definedName>
    <definedName name="_425__FDSAUDITLINK__" hidden="1">{"fdsup://directions/FAT%20Viewer?VAR:TM=NTMA&amp;VAR:PCT=0.221918&amp;VAR:Y0=2006&amp;VAR:Y1=2007&amp;VAR:V0=19.714008&amp;VAR:V1=17.510462&amp;VAR:V=17.955857&amp;VAR:AUDIT_ID=99900521&amp;VAR:DATE=20061011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Mean&amp;VAR:CHGPERIOD=NA&amp;VAR:FQLFORMULA=FMA_PE&amp;VAR:","CURRENCY=NA&amp;VAR:P=263.951080&amp;VAR:V=17.955857&amp;VAR:null=.html"}</definedName>
    <definedName name="_426__FDSAUDITLINK__" hidden="1">{"fdsup://directions/FAT%20Viewer?VAR:TM=NTMA&amp;VAR:PCT=0.241096&amp;VAR:Y0=2006&amp;VAR:Y1=2007&amp;VAR:V0=19.770760&amp;VAR:V1=17.546944&amp;VAR:V=18.036054&amp;VAR:AUDIT_ID=99900521&amp;VAR:DATE=20061004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Mean&amp;VAR:CHGPERIOD=NA&amp;VAR:FQLFORMULA=FMA_PE&amp;VAR:","CURRENCY=NA&amp;VAR:P=265.155580&amp;VAR:V=18.036054&amp;VAR:null=.html"}</definedName>
    <definedName name="_427__FDSAUDITLINK__" hidden="1">{"fdsup://directions/FAT%20Viewer?VAR:TM=NTMA&amp;VAR:PCT=0.260274&amp;VAR:Y0=2006&amp;VAR:Y1=2007&amp;VAR:V0=19.865290&amp;VAR:V1=17.544683&amp;VAR:V=18.094847&amp;VAR:AUDIT_ID=99900521&amp;VAR:DATE=20060927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Mean&amp;VAR:CHGPERIOD=NA&amp;VAR:FQLFORMULA=FMA_PE&amp;VAR:","CURRENCY=NA&amp;VAR:P=266.543180&amp;VAR:V=18.094847&amp;VAR:null=.html"}</definedName>
    <definedName name="_428__FDSAUDITLINK__" hidden="1">{"fdsup://directions/FAT%20Viewer?VAR:TM=NTMA&amp;VAR:PCT=0.279452&amp;VAR:Y0=2006&amp;VAR:Y1=2007&amp;VAR:V0=19.672733&amp;VAR:V1=17.432768&amp;VAR:V=18.005687&amp;VAR:AUDIT_ID=99900521&amp;VAR:DATE=20060920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Mean&amp;VAR:CHGPERIOD=NA&amp;VAR:FQLFORMULA=FMA_PE&amp;VAR:","CURRENCY=NA&amp;VAR:P=261.457150&amp;VAR:V=18.005687&amp;VAR:null=.html"}</definedName>
    <definedName name="_429__FDSAUDITLINK__" hidden="1">{"fdsup://directions/FAT%20Viewer?VAR:TM=NTMA&amp;VAR:PCT=0.298630&amp;VAR:Y0=2006&amp;VAR:Y1=2007&amp;VAR:V0=19.490250&amp;VAR:V1=17.262224&amp;VAR:V=17.872348&amp;VAR:AUDIT_ID=99900521&amp;VAR:DATE=20060913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Mean&amp;VAR:CHGPERIOD=NA&amp;VAR:FQLFORMULA=FMA_PE&amp;VAR:","CURRENCY=NA&amp;VAR:P=259.800930&amp;VAR:V=17.872348&amp;VAR:null=.html"}</definedName>
    <definedName name="_43__FDSAUDITLINK__" hidden="1">{"fdsup://directions/FAT%20Viewer?VAR:TM=NTMA&amp;VAR:PCT=0.750685&amp;VAR:Y0=2009&amp;VAR:Y1=2010&amp;VAR:V0=13.385272&amp;VAR:V1=10.652945&amp;VAR:V=12.580785&amp;VAR:AUDIT_ID=00000117&amp;VAR:DATE=20090401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Mean&amp;VAR:CHGPERIOD=NA&amp;VAR:FQLFORMULA=FMA_PE&amp;VAR:","CURRENCY=NA&amp;VAR:P=811.075471&amp;VAR:V=12.580785&amp;VAR:null=.html"}</definedName>
    <definedName name="_430__FDSAUDITLINK__" hidden="1">{"fdsup://directions/FAT%20Viewer?VAR:TM=NTMA&amp;VAR:PCT=0.317808&amp;VAR:Y0=2006&amp;VAR:Y1=2007&amp;VAR:V0=19.881914&amp;VAR:V1=17.648043&amp;VAR:V=18.301554&amp;VAR:AUDIT_ID=99900521&amp;VAR:DATE=20060906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Mean&amp;VAR:CHGPERIOD=NA&amp;VAR:FQLFORMULA=FMA_PE&amp;VAR:","CURRENCY=NA&amp;VAR:P=265.330230&amp;VAR:V=18.301554&amp;VAR:null=.html"}</definedName>
    <definedName name="_431__FDSAUDITLINK__" hidden="1">{"fdsup://directions/FAT%20Viewer?VAR:TM=NTMA&amp;VAR:PCT=0.336986&amp;VAR:Y0=2006&amp;VAR:Y1=2007&amp;VAR:V0=19.894814&amp;VAR:V1=17.661720&amp;VAR:V=18.356038&amp;VAR:AUDIT_ID=99900521&amp;VAR:DATE=20060830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Mean&amp;VAR:CHGPERIOD=NA&amp;VAR:FQLFORMULA=FMA_PE&amp;VAR:","CURRENCY=NA&amp;VAR:P=265.546780&amp;VAR:V=18.356038&amp;VAR:null=.html"}</definedName>
    <definedName name="_432__FDSAUDITLINK__" hidden="1">{"fdsup://directions/FAT%20Viewer?VAR:TM=NTMA&amp;VAR:PCT=0.356164&amp;VAR:Y0=2006&amp;VAR:Y1=2007&amp;VAR:V0=19.734423&amp;VAR:V1=17.572672&amp;VAR:V=18.286105&amp;VAR:AUDIT_ID=99900521&amp;VAR:DATE=20060823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Mean&amp;VAR:CHGPERIOD=NA&amp;VAR:FQLFORMULA=FMA_PE&amp;VAR:","CURRENCY=NA&amp;VAR:P=262.829100&amp;VAR:V=18.286105&amp;VAR:null=.html"}</definedName>
    <definedName name="_433__FDSAUDITLINK__" hidden="1">{"fdsup://directions/FAT%20Viewer?VAR:TM=NTMA&amp;VAR:PCT=0.375342&amp;VAR:Y0=2006&amp;VAR:Y1=2007&amp;VAR:V0=19.669277&amp;VAR:V1=17.518850&amp;VAR:V=18.268515&amp;VAR:AUDIT_ID=99900521&amp;VAR:DATE=20060816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Mean&amp;VAR:CHGPERIOD=NA&amp;VAR:FQLFORMULA=FMA_PE&amp;VAR:","CURRENCY=NA&amp;VAR:P=262.161440&amp;VAR:V=18.268515&amp;VAR:null=.html"}</definedName>
    <definedName name="_434__FDSAUDITLINK__" hidden="1">{"fdsup://directions/FAT%20Viewer?VAR:TM=NTMA&amp;VAR:PCT=0.394521&amp;VAR:Y0=2006&amp;VAR:Y1=2007&amp;VAR:V0=19.522215&amp;VAR:V1=17.401924&amp;VAR:V=18.180951&amp;VAR:AUDIT_ID=99900521&amp;VAR:DATE=20060809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Mean&amp;VAR:CHGPERIOD=NA&amp;VAR:FQLFORMULA=FMA_PE&amp;VAR:","CURRENCY=NA&amp;VAR:P=260.144320&amp;VAR:V=18.180951&amp;VAR:null=.html"}</definedName>
    <definedName name="_435__FDSAUDITLINK__" hidden="1">{"fdsup://directions/FAT%20Viewer?VAR:TM=NTMA&amp;VAR:PCT=0.413699&amp;VAR:Y0=2006&amp;VAR:Y1=2007&amp;VAR:V0=19.197210&amp;VAR:V1=16.969124&amp;VAR:V=17.824993&amp;VAR:AUDIT_ID=99900521&amp;VAR:DATE=20060802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Mean&amp;VAR:CHGPERIOD=NA&amp;VAR:FQLFORMULA=FMA_PE&amp;VAR:","CURRENCY=NA&amp;VAR:P=261.693730&amp;VAR:V=17.824993&amp;VAR:null=.html"}</definedName>
    <definedName name="_436__FDSAUDITLINK__" hidden="1">{"fdsup://directions/FAT%20Viewer?VAR:TM=NTMA&amp;VAR:PCT=0.432877&amp;VAR:Y0=2006&amp;VAR:Y1=2007&amp;VAR:V0=19.171581&amp;VAR:V1=16.819994&amp;VAR:V=17.763159&amp;VAR:AUDIT_ID=99900521&amp;VAR:DATE=20060726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Mean&amp;VAR:CHGPERIOD=NA&amp;VAR:FQLFORMULA=FMA_PE&amp;VAR:","CURRENCY=NA&amp;VAR:P=260.649230&amp;VAR:V=17.763159&amp;VAR:null=.html"}</definedName>
    <definedName name="_437__FDSAUDITLINK__" hidden="1">{"fdsup://directions/FAT%20Viewer?VAR:TM=NTMA&amp;VAR:PCT=0.452055&amp;VAR:Y0=2006&amp;VAR:Y1=2007&amp;VAR:V0=19.154713&amp;VAR:V1=16.796950&amp;VAR:V=17.786665&amp;VAR:AUDIT_ID=99900521&amp;VAR:DATE=20060719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Mean&amp;VAR:CHGPERIOD=NA&amp;VAR:FQLFORMULA=FMA_PE&amp;VAR:","CURRENCY=NA&amp;VAR:P=261.248780&amp;VAR:V=17.786665&amp;VAR:null=.html"}</definedName>
    <definedName name="_438__FDSAUDITLINK__" hidden="1">{"fdsup://directions/FAT%20Viewer?VAR:TM=NTMA&amp;VAR:PCT=0.471233&amp;VAR:Y0=2006&amp;VAR:Y1=2007&amp;VAR:V0=19.212313&amp;VAR:V1=16.878763&amp;VAR:V=17.903496&amp;VAR:AUDIT_ID=99900521&amp;VAR:DATE=20060712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Mean&amp;VAR:CHGPERIOD=NA&amp;VAR:FQLFORMULA=FMA_PE&amp;VAR:","CURRENCY=NA&amp;VAR:P=263.425000&amp;VAR:V=17.903496&amp;VAR:null=.html"}</definedName>
    <definedName name="_439__FDSAUDITLINK__" hidden="1">{"fdsup://directions/FAT%20Viewer?VAR:TM=NTMA&amp;VAR:PCT=0.490411&amp;VAR:Y0=2006&amp;VAR:Y1=2007&amp;VAR:V0=18.960575&amp;VAR:V1=16.677876&amp;VAR:V=17.724348&amp;VAR:AUDIT_ID=99900521&amp;VAR:DATE=20060705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Mean&amp;VAR:CHGPERIOD=NA&amp;VAR:FQLFORMULA=FMA_PE&amp;VAR:","CURRENCY=NA&amp;VAR:P=260.087620&amp;VAR:V=17.724348&amp;VAR:null=.html"}</definedName>
    <definedName name="_44__FDSAUDITLINK__" hidden="1">{"fdsup://directions/FAT%20Viewer?VAR:TM=NTMA&amp;VAR:PCT=0.769863&amp;VAR:Y0=2009&amp;VAR:Y1=2010&amp;VAR:V0=13.339820&amp;VAR:V1=10.618291&amp;VAR:V=12.596793&amp;VAR:AUDIT_ID=00000117&amp;VAR:DATE=20090325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Mean&amp;VAR:CHGPERIOD=NA&amp;VAR:FQLFORMULA=FMA_PE&amp;VAR:","CURRENCY=NA&amp;VAR:P=813.880172&amp;VAR:V=12.596793&amp;VAR:null=.html"}</definedName>
    <definedName name="_440__FDSAUDITLINK__" hidden="1">{"fdsup://directions/FAT%20Viewer?VAR:TM=NTMA&amp;VAR:PCT=0.509589&amp;VAR:Y0=2006&amp;VAR:Y1=2007&amp;VAR:V0=18.564901&amp;VAR:V1=16.301607&amp;VAR:V=17.381434&amp;VAR:AUDIT_ID=99900521&amp;VAR:DATE=20060628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Mean&amp;VAR:CHGPERIOD=NA&amp;VAR:FQLFORMULA=FMA_PE&amp;VAR:","CURRENCY=NA&amp;VAR:P=254.937710&amp;VAR:V=17.381434&amp;VAR:null=.html"}</definedName>
    <definedName name="_441__FDSAUDITLINK__" hidden="1">{"fdsup://directions/FAT%20Viewer?VAR:TM=NTMA&amp;VAR:PCT=0.528767&amp;VAR:Y0=2006&amp;VAR:Y1=2007&amp;VAR:V0=18.439934&amp;VAR:V1=16.218071&amp;VAR:V=17.321672&amp;VAR:AUDIT_ID=99900521&amp;VAR:DATE=20060621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Mean&amp;VAR:CHGPERIOD=NA&amp;VAR:FQLFORMULA=FMA_PE&amp;VAR:","CURRENCY=NA&amp;VAR:P=253.874800&amp;VAR:V=17.321672&amp;VAR:null=.html"}</definedName>
    <definedName name="_442__FDSAUDITLINK__" hidden="1">{"fdsup://directions/FAT%20Viewer?VAR:TM=NTMA&amp;VAR:PCT=0.547945&amp;VAR:Y0=2006&amp;VAR:Y1=2007&amp;VAR:V0=18.354513&amp;VAR:V1=16.144794&amp;VAR:V=17.285049&amp;VAR:AUDIT_ID=99900521&amp;VAR:DATE=20060614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Mean&amp;VAR:CHGPERIOD=NA&amp;VAR:FQLFORMULA=FMA_PE&amp;VAR:","CURRENCY=NA&amp;VAR:P=253.070630&amp;VAR:V=17.285049&amp;VAR:null=.html"}</definedName>
    <definedName name="_443__FDSAUDITLINK__" hidden="1">{"fdsup://directions/FAT%20Viewer?VAR:TM=NTMA&amp;VAR:PCT=0.567123&amp;VAR:Y0=2006&amp;VAR:Y1=2007&amp;VAR:V0=18.868216&amp;VAR:V1=16.593280&amp;VAR:V=17.811171&amp;VAR:AUDIT_ID=99900521&amp;VAR:DATE=20060607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Mean&amp;VAR:CHGPERIOD=NA&amp;VAR:FQLFORMULA=FMA_PE&amp;VAR:","CURRENCY=NA&amp;VAR:P=260.606320&amp;VAR:V=17.811171&amp;VAR:null=.html"}</definedName>
    <definedName name="_444__FDSAUDITLINK__" hidden="1">{"fdsup://directions/FAT%20Viewer?VAR:TM=NTMA&amp;VAR:PCT=0.586301&amp;VAR:Y0=2006&amp;VAR:Y1=2007&amp;VAR:V0=19.131178&amp;VAR:V1=16.962753&amp;VAR:V=18.170245&amp;VAR:AUDIT_ID=99900521&amp;VAR:DATE=20060531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Mean&amp;VAR:CHGPERIOD=NA&amp;VAR:FQLFORMULA=FMA_PE&amp;VAR:","CURRENCY=NA&amp;VAR:P=261.361200&amp;VAR:V=18.170245&amp;VAR:null=.html"}</definedName>
    <definedName name="_445__FDSAUDITLINK__" hidden="1">{"fdsup://directions/FAT%20Viewer?VAR:TM=NTMA&amp;VAR:PCT=0.605479&amp;VAR:Y0=2006&amp;VAR:Y1=2007&amp;VAR:V0=18.964100&amp;VAR:V1=16.804823&amp;VAR:V=18.049143&amp;VAR:AUDIT_ID=99900521&amp;VAR:DATE=20060524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Mean&amp;VAR:CHGPERIOD=NA&amp;VAR:FQLFORMULA=FMA_PE&amp;VAR:","CURRENCY=NA&amp;VAR:P=259.168580&amp;VAR:V=18.049143&amp;VAR:null=.html"}</definedName>
    <definedName name="_446__FDSAUDITLINK__" hidden="1">{"fdsup://directions/FAT%20Viewer?VAR:TM=NTMA&amp;VAR:PCT=0.624658&amp;VAR:Y0=2006&amp;VAR:Y1=2007&amp;VAR:V0=18.937769&amp;VAR:V1=16.780407&amp;VAR:V=18.065983&amp;VAR:AUDIT_ID=99900521&amp;VAR:DATE=20060517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Mean&amp;VAR:CHGPERIOD=NA&amp;VAR:FQLFORMULA=FMA_PE&amp;VAR:","CURRENCY=NA&amp;VAR:P=258.665530&amp;VAR:V=18.065983&amp;VAR:null=.html"}</definedName>
    <definedName name="_447__FDSAUDITLINK__" hidden="1">{"fdsup://directions/FAT%20Viewer?VAR:TM=NTMA&amp;VAR:PCT=0.643836&amp;VAR:Y0=2006&amp;VAR:Y1=2007&amp;VAR:V0=19.420320&amp;VAR:V1=17.220198&amp;VAR:V=18.575062&amp;VAR:AUDIT_ID=99900521&amp;VAR:DATE=20060510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Mean&amp;VAR:CHGPERIOD=NA&amp;VAR:FQLFORMULA=FMA_PE&amp;VAR:","CURRENCY=NA&amp;VAR:P=265.328550&amp;VAR:V=18.575062&amp;VAR:null=.html"}</definedName>
    <definedName name="_448__FDSAUDITLINK__" hidden="1">{"fdsup://directions/FAT%20Viewer?VAR:TM=NTMA&amp;VAR:PCT=0.663014&amp;VAR:Y0=2006&amp;VAR:Y1=2007&amp;VAR:V0=18.980553&amp;VAR:V1=16.653680&amp;VAR:V=18.127056&amp;VAR:AUDIT_ID=99900521&amp;VAR:DATE=20060503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Mean&amp;VAR:CHGPERIOD=NA&amp;VAR:FQLFORMULA=FMA_PE&amp;VAR:","CURRENCY=NA&amp;VAR:P=260.450320&amp;VAR:V=18.127056&amp;VAR:null=.html"}</definedName>
    <definedName name="_449__FDSAUDITLINK__" hidden="1">{"fdsup://directions/FAT%20Viewer?VAR:TM=NTMA&amp;VAR:PCT=0.682192&amp;VAR:Y0=2006&amp;VAR:Y1=2007&amp;VAR:V0=18.586363&amp;VAR:V1=16.257431&amp;VAR:V=17.777026&amp;VAR:AUDIT_ID=99900521&amp;VAR:DATE=20060426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Mean&amp;VAR:CHGPERIOD=NA&amp;VAR:FQLFORMULA=FMA_PE&amp;VAR:","CURRENCY=NA&amp;VAR:P=250.754140&amp;VAR:V=17.777026&amp;VAR:null=.html"}</definedName>
    <definedName name="_45__FDSAUDITLINK__" hidden="1">{"fdsup://directions/FAT%20Viewer?VAR:TM=NTMA&amp;VAR:PCT=0.789041&amp;VAR:Y0=2009&amp;VAR:Y1=2010&amp;VAR:V0=12.904606&amp;VAR:V1=10.292007&amp;VAR:V=12.248673&amp;VAR:AUDIT_ID=00000117&amp;VAR:DATE=20090318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Mean&amp;VAR:CHGPERIOD=NA&amp;VAR:FQLFORMULA=FMA_PE&amp;VAR:","CURRENCY=NA&amp;VAR:P=794.349336&amp;VAR:V=12.248673&amp;VAR:null=.html"}</definedName>
    <definedName name="_450__FDSAUDITLINK__" hidden="1">{"fdsup://directions/FAT%20Viewer?VAR:TM=NTMA&amp;VAR:PCT=0.701370&amp;VAR:Y0=2006&amp;VAR:Y1=2007&amp;VAR:V0=18.244028&amp;VAR:V1=16.122099&amp;VAR:V=17.554073&amp;VAR:AUDIT_ID=99900521&amp;VAR:DATE=20060419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Mean&amp;VAR:CHGPERIOD=NA&amp;VAR:FQLFORMULA=FMA_PE&amp;VAR:","CURRENCY=NA&amp;VAR:P=247.123340&amp;VAR:V=17.554073&amp;VAR:null=.html"}</definedName>
    <definedName name="_451__FDSAUDITLINK__" hidden="1">{"fdsup://directions/FAT%20Viewer?VAR:TM=NTMA&amp;VAR:PCT=0.720548&amp;VAR:Y0=2006&amp;VAR:Y1=2007&amp;VAR:V0=17.958992&amp;VAR:V1=16.009022&amp;VAR:V=17.367818&amp;VAR:AUDIT_ID=99900521&amp;VAR:DATE=20060412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Mean&amp;VAR:CHGPERIOD=NA&amp;VAR:FQLFORMULA=FMA_PE&amp;VAR:","CURRENCY=NA&amp;VAR:P=245.639770&amp;VAR:V=17.367818&amp;VAR:null=.html"}</definedName>
    <definedName name="_452__FDSAUDITLINK__" hidden="1">{"fdsup://directions/FAT%20Viewer?VAR:TM=NTMA&amp;VAR:PCT=0.739726&amp;VAR:Y0=2006&amp;VAR:Y1=2007&amp;VAR:V0=18.259710&amp;VAR:V1=16.321466&amp;VAR:V=17.712248&amp;VAR:AUDIT_ID=99900521&amp;VAR:DATE=20060405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Mean&amp;VAR:CHGPERIOD=NA&amp;VAR:FQLFORMULA=FMA_PE&amp;VAR:","CURRENCY=NA&amp;VAR:P=250.336650&amp;VAR:V=17.712248&amp;VAR:null=.html"}</definedName>
    <definedName name="_453__FDSAUDITLINK__" hidden="1">{"fdsup://directions/FAT%20Viewer?VAR:TM=NTMA&amp;VAR:PCT=0.758904&amp;VAR:Y0=2006&amp;VAR:Y1=2007&amp;VAR:V0=17.982630&amp;VAR:V1=16.020447&amp;VAR:V=17.466844&amp;VAR:AUDIT_ID=99900521&amp;VAR:DATE=20060329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Mean&amp;VAR:CHGPERIOD=NA&amp;VAR:FQLFORMULA=FMA_PE&amp;VAR:","CURRENCY=NA&amp;VAR:P=247.331670&amp;VAR:V=17.466844&amp;VAR:null=.html"}</definedName>
    <definedName name="_454__FDSAUDITLINK__" hidden="1">{"fdsup://directions/FAT%20Viewer?VAR:TM=NTMA&amp;VAR:PCT=0.778082&amp;VAR:Y0=2006&amp;VAR:Y1=2007&amp;VAR:V0=18.100180&amp;VAR:V1=16.098072&amp;VAR:V=17.614036&amp;VAR:AUDIT_ID=99900521&amp;VAR:DATE=20060322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Mean&amp;VAR:CHGPERIOD=NA&amp;VAR:FQLFORMULA=FMA_PE&amp;VAR:","CURRENCY=NA&amp;VAR:P=248.728650&amp;VAR:V=17.614036&amp;VAR:null=.html"}</definedName>
    <definedName name="_455__FDSAUDITLINK__" hidden="1">{"fdsup://directions/FAT%20Viewer?VAR:TM=NTMA&amp;VAR:PCT=0.797260&amp;VAR:Y0=2006&amp;VAR:Y1=2007&amp;VAR:V0=17.699755&amp;VAR:V1=15.881240&amp;VAR:V=17.298175&amp;VAR:AUDIT_ID=99900521&amp;VAR:DATE=20060315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Mean&amp;VAR:CHGPERIOD=NA&amp;VAR:FQLFORMULA=FMA_PE&amp;VAR:","CURRENCY=NA&amp;VAR:P=245.774490&amp;VAR:V=17.298175&amp;VAR:null=.html"}</definedName>
    <definedName name="_456__FDSAUDITLINK__" hidden="1">{"fdsup://directions/FAT%20Viewer?VAR:TM=NTMA&amp;VAR:PCT=0.816438&amp;VAR:Y0=2006&amp;VAR:Y1=2007&amp;VAR:V0=17.311940&amp;VAR:V1=15.484030&amp;VAR:V=16.944752&amp;VAR:AUDIT_ID=99900521&amp;VAR:DATE=20060308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Mean&amp;VAR:CHGPERIOD=NA&amp;VAR:FQLFORMULA=FMA_PE&amp;VAR:","CURRENCY=NA&amp;VAR:P=240.369000&amp;VAR:V=16.944752&amp;VAR:null=.html"}</definedName>
    <definedName name="_457__FDSAUDITLINK__" hidden="1">{"fdsup://directions/FAT%20Viewer?VAR:TM=NTMA&amp;VAR:PCT=0.835616&amp;VAR:Y0=2006&amp;VAR:Y1=2007&amp;VAR:V0=17.227598&amp;VAR:V1=15.339564&amp;VAR:V=16.885949&amp;VAR:AUDIT_ID=99900521&amp;VAR:DATE=20060301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Mean&amp;VAR:CHGPERIOD=NA&amp;VAR:FQLFORMULA=FMA_PE&amp;VAR:","CURRENCY=NA&amp;VAR:P=239.348300&amp;VAR:V=16.885949&amp;VAR:null=.html"}</definedName>
    <definedName name="_458__FDSAUDITLINK__" hidden="1">{"fdsup://directions/FAT%20Viewer?VAR:TM=NTMA&amp;VAR:PCT=0.854795&amp;VAR:Y0=2006&amp;VAR:Y1=2007&amp;VAR:V0=17.115330&amp;VAR:V1=15.270407&amp;VAR:V=16.820248&amp;VAR:AUDIT_ID=99900521&amp;VAR:DATE=20060222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Mean&amp;VAR:CHGPERIOD=NA&amp;VAR:FQLFORMULA=FMA_PE&amp;VAR:","CURRENCY=NA&amp;VAR:P=240.025480&amp;VAR:V=16.820248&amp;VAR:null=.html"}</definedName>
    <definedName name="_459__FDSAUDITLINK__" hidden="1">{"fdsup://directions/FAT%20Viewer?VAR:TM=NTMA&amp;VAR:PCT=0.873973&amp;VAR:Y0=2006&amp;VAR:Y1=2007&amp;VAR:V0=16.898320&amp;VAR:V1=15.047593&amp;VAR:V=16.640389&amp;VAR:AUDIT_ID=99900521&amp;VAR:DATE=20060215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Mean&amp;VAR:CHGPERIOD=NA&amp;VAR:FQLFORMULA=FMA_PE&amp;VAR:","CURRENCY=NA&amp;VAR:P=236.853670&amp;VAR:V=16.640389&amp;VAR:null=.html"}</definedName>
    <definedName name="_46__FDSAUDITLINK__" hidden="1">{"fdsup://directions/FAT%20Viewer?VAR:TM=NTMA&amp;VAR:PCT=0.808219&amp;VAR:Y0=2009&amp;VAR:Y1=2010&amp;VAR:V0=11.567380&amp;VAR:V1=9.211104&amp;VAR:V=11.026433&amp;VAR:AUDIT_ID=00000117&amp;VAR:DATE=20090311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Mean&amp;VAR:CHGPERIOD=NA&amp;VAR:FQLFORMULA=FMA_PE&amp;VAR:C","URRENCY=NA&amp;VAR:P=721.358022&amp;VAR:V=11.026433&amp;VAR:null=.html"}</definedName>
    <definedName name="_460__FDSAUDITLINK__" hidden="1">{"fdsup://directions/FAT%20Viewer?VAR:TM=NTMA&amp;VAR:PCT=0.893151&amp;VAR:Y0=2006&amp;VAR:Y1=2007&amp;VAR:V0=16.580355&amp;VAR:V1=14.834292&amp;VAR:V=16.374420&amp;VAR:AUDIT_ID=99900521&amp;VAR:DATE=20060208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Mean&amp;VAR:CHGPERIOD=NA&amp;VAR:FQLFORMULA=FMA_PE&amp;VAR:","CURRENCY=NA&amp;VAR:P=232.396620&amp;VAR:V=16.374420&amp;VAR:null=.html"}</definedName>
    <definedName name="_461__FDSAUDITLINK__" hidden="1">{"fdsup://directions/FAT%20Viewer?VAR:TM=NTMA&amp;VAR:PCT=0.912329&amp;VAR:Y0=2006&amp;VAR:Y1=2007&amp;VAR:V0=16.783974&amp;VAR:V1=15.101963&amp;VAR:V=16.621671&amp;VAR:AUDIT_ID=99900521&amp;VAR:DATE=20060201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Mean&amp;VAR:CHGPERIOD=NA&amp;VAR:FQLFORMULA=FMA_PE&amp;VAR:","CURRENCY=NA&amp;VAR:P=235.808150&amp;VAR:V=16.621671&amp;VAR:null=.html"}</definedName>
    <definedName name="_462__FDSAUDITLINK__" hidden="1">{"fdsup://directions/FAT%20Viewer?VAR:TM=NTMA&amp;VAR:PCT=0.931507&amp;VAR:Y0=2006&amp;VAR:Y1=2007&amp;VAR:V0=16.656334&amp;VAR:V1=14.976046&amp;VAR:V=16.529309&amp;VAR:AUDIT_ID=99900521&amp;VAR:DATE=20060125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Mean&amp;VAR:CHGPERIOD=NA&amp;VAR:FQLFORMULA=FMA_PE&amp;VAR:","CURRENCY=NA&amp;VAR:P=233.763340&amp;VAR:V=16.529309&amp;VAR:null=.html"}</definedName>
    <definedName name="_463__FDSAUDITLINK__" hidden="1">{"fdsup://directions/FAT%20Viewer?VAR:TM=NTMA&amp;VAR:PCT=0.950685&amp;VAR:Y0=2006&amp;VAR:Y1=2007&amp;VAR:V0=16.859865&amp;VAR:V1=15.191865&amp;VAR:V=16.769068&amp;VAR:AUDIT_ID=99900521&amp;VAR:DATE=20060118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Mean&amp;VAR:CHGPERIOD=NA&amp;VAR:FQLFORMULA=FMA_PE&amp;VAR:","CURRENCY=NA&amp;VAR:P=237.299330&amp;VAR:V=16.769068&amp;VAR:null=.html"}</definedName>
    <definedName name="_464__FDSAUDITLINK__" hidden="1">{"fdsup://directions/FAT%20Viewer?VAR:TM=NTMA&amp;VAR:PCT=0.969863&amp;VAR:Y0=2006&amp;VAR:Y1=2007&amp;VAR:V0=16.712465&amp;VAR:V1=15.853542&amp;VAR:V=16.685222&amp;VAR:AUDIT_ID=99900521&amp;VAR:DATE=20060111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Mean&amp;VAR:CHGPERIOD=NA&amp;VAR:FQLFORMULA=FMA_PE&amp;VAR:","CURRENCY=NA&amp;VAR:P=234.948870&amp;VAR:V=16.685222&amp;VAR:null=.html"}</definedName>
    <definedName name="_465__FDSAUDITLINK__" hidden="1">{"fdsup://directions/FAT%20Viewer?VAR:TM=NTMA&amp;VAR:PCT=0.989041&amp;VAR:Y0=2006&amp;VAR:Y1=2007&amp;VAR:V0=16.702800&amp;VAR:V1=15.043879&amp;VAR:V=16.682640&amp;VAR:AUDIT_ID=99900521&amp;VAR:DATE=20060104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Mean&amp;VAR:CHGPERIOD=NA&amp;VAR:FQLFORMULA=FMA_PE&amp;VAR:","CURRENCY=NA&amp;VAR:P=235.546500&amp;VAR:V=16.682640&amp;VAR:null=.html"}</definedName>
    <definedName name="_466__FDSAUDITLINK__" hidden="1">{"fdsup://directions/FAT%20Viewer?VAR:TM=NTMA&amp;VAR:PCT=0.008219&amp;VAR:Y0=2005&amp;VAR:Y1=2006&amp;VAR:V0=17.398413&amp;VAR:V1=16.648310&amp;VAR:V=16.654212&amp;VAR:AUDIT_ID=99900521&amp;VAR:DATE=20051228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Mean&amp;VAR:CHGPERIOD=NA&amp;VAR:FQLFORMULA=FMA_PE&amp;VAR:","CURRENCY=NA&amp;VAR:P=234.602430&amp;VAR:V=16.654212&amp;VAR:null=.html"}</definedName>
    <definedName name="_467__FDSAUDITLINK__" hidden="1">{"fdsup://directions/FAT%20Viewer?VAR:TM=NTMA&amp;VAR:PCT=0.027397&amp;VAR:Y0=2005&amp;VAR:Y1=2006&amp;VAR:V0=17.426302&amp;VAR:V1=16.645247&amp;VAR:V=16.665712&amp;VAR:AUDIT_ID=99900521&amp;VAR:DATE=20051221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Mean&amp;VAR:CHGPERIOD=NA&amp;VAR:FQLFORMULA=FMA_PE&amp;VAR:","CURRENCY=NA&amp;VAR:P=235.044850&amp;VAR:V=16.665712&amp;VAR:null=.html"}</definedName>
    <definedName name="_468__FDSAUDITLINK__" hidden="1">{"fdsup://directions/FAT%20Viewer?VAR:TM=NTMA&amp;VAR:PCT=0.046575&amp;VAR:Y0=2005&amp;VAR:Y1=2006&amp;VAR:V0=17.382635&amp;VAR:V1=16.616976&amp;VAR:V=16.651136&amp;VAR:AUDIT_ID=99900521&amp;VAR:DATE=20051214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Mean&amp;VAR:CHGPERIOD=NA&amp;VAR:FQLFORMULA=FMA_PE&amp;VAR:","CURRENCY=NA&amp;VAR:P=234.441270&amp;VAR:V=16.651136&amp;VAR:null=.html"}</definedName>
    <definedName name="_469__FDSAUDITLINK__" hidden="1">{"fdsup://directions/FAT%20Viewer?VAR:TM=NTMA&amp;VAR:PCT=0.065753&amp;VAR:Y0=2005&amp;VAR:Y1=2006&amp;VAR:V0=17.032835&amp;VAR:V1=16.229965&amp;VAR:V=16.280424&amp;VAR:AUDIT_ID=99900521&amp;VAR:DATE=20051207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Mean&amp;VAR:CHGPERIOD=NA&amp;VAR:FQLFORMULA=FMA_PE&amp;VAR:","CURRENCY=NA&amp;VAR:P=230.133940&amp;VAR:V=16.280424&amp;VAR:null=.html"}</definedName>
    <definedName name="_47__FDSAUDITLINK__" hidden="1">{"fdsup://directions/FAT%20Viewer?VAR:TM=NTMA&amp;VAR:PCT=0.827397&amp;VAR:Y0=2009&amp;VAR:Y1=2010&amp;VAR:V0=11.304354&amp;VAR:V1=8.976431&amp;VAR:V=10.820025&amp;VAR:AUDIT_ID=00000117&amp;VAR:DATE=20090304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Mean&amp;VAR:CHGPERIOD=NA&amp;VAR:FQLFORMULA=FMA_PE&amp;VAR:C","URRENCY=NA&amp;VAR:P=712.865752&amp;VAR:V=10.820025&amp;VAR:null=.html"}</definedName>
    <definedName name="_470__FDSAUDITLINK__" hidden="1">{"fdsup://directions/FAT%20Viewer?VAR:TM=NTMA&amp;VAR:PCT=0.084932&amp;VAR:Y0=2005&amp;VAR:Y1=2006&amp;VAR:V0=17.031126&amp;VAR:V1=16.187574&amp;VAR:V=16.255957&amp;VAR:AUDIT_ID=99900521&amp;VAR:DATE=20051130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Mean&amp;VAR:CHGPERIOD=NA&amp;VAR:FQLFORMULA=FMA_PE&amp;VAR:","CURRENCY=NA&amp;VAR:P=231.017600&amp;VAR:V=16.255957&amp;VAR:null=.html"}</definedName>
    <definedName name="_471__FDSAUDITLINK__" hidden="1">{"fdsup://directions/FAT%20Viewer?VAR:TM=NTMA&amp;VAR:PCT=0.104110&amp;VAR:Y0=2005&amp;VAR:Y1=2006&amp;VAR:V0=17.363358&amp;VAR:V1=16.494726&amp;VAR:V=16.581085&amp;VAR:AUDIT_ID=99900521&amp;VAR:DATE=20051123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Mean&amp;VAR:CHGPERIOD=NA&amp;VAR:FQLFORMULA=FMA_PE&amp;VAR:","CURRENCY=NA&amp;VAR:P=235.452580&amp;VAR:V=16.581085&amp;VAR:null=.html"}</definedName>
    <definedName name="_472__FDSAUDITLINK__" hidden="1">{"fdsup://directions/FAT%20Viewer?VAR:TM=NTMA&amp;VAR:PCT=0.123288&amp;VAR:Y0=2005&amp;VAR:Y1=2006&amp;VAR:V0=17.134596&amp;VAR:V1=16.267416&amp;VAR:V=16.369555&amp;VAR:AUDIT_ID=99900521&amp;VAR:DATE=20051116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Mean&amp;VAR:CHGPERIOD=NA&amp;VAR:FQLFORMULA=FMA_PE&amp;VAR:","CURRENCY=NA&amp;VAR:P=232.393700&amp;VAR:V=16.369555&amp;VAR:null=.html"}</definedName>
    <definedName name="_473__FDSAUDITLINK__" hidden="1">{"fdsup://directions/FAT%20Viewer?VAR:TM=NTMA&amp;VAR:PCT=0.142466&amp;VAR:Y0=2005&amp;VAR:Y1=2006&amp;VAR:V0=17.245787&amp;VAR:V1=16.302370&amp;VAR:V=16.430420&amp;VAR:AUDIT_ID=99900521&amp;VAR:DATE=20051109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Mean&amp;VAR:CHGPERIOD=NA&amp;VAR:FQLFORMULA=FMA_PE&amp;VAR:","CURRENCY=NA&amp;VAR:P=234.483930&amp;VAR:V=16.430420&amp;VAR:null=.html"}</definedName>
    <definedName name="_474__FDSAUDITLINK__" hidden="1">{"fdsup://directions/FAT%20Viewer?VAR:TM=NTMA&amp;VAR:PCT=0.161644&amp;VAR:Y0=2005&amp;VAR:Y1=2006&amp;VAR:V0=17.279894&amp;VAR:V1=16.333320&amp;VAR:V=16.479238&amp;VAR:AUDIT_ID=99900521&amp;VAR:DATE=20051102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Mean&amp;VAR:CHGPERIOD=NA&amp;VAR:FQLFORMULA=FMA_PE&amp;VAR:","CURRENCY=NA&amp;VAR:P=235.301800&amp;VAR:V=16.479238&amp;VAR:null=.html"}</definedName>
    <definedName name="_475__FDSAUDITLINK__" hidden="1">{"fdsup://directions/FAT%20Viewer?VAR:TM=NTMA&amp;VAR:PCT=0.180822&amp;VAR:Y0=2005&amp;VAR:Y1=2006&amp;VAR:V0=17.349413&amp;VAR:V1=16.357113&amp;VAR:V=16.528048&amp;VAR:AUDIT_ID=99900521&amp;VAR:DATE=20051026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Mean&amp;VAR:CHGPERIOD=NA&amp;VAR:FQLFORMULA=FMA_PE&amp;VAR:","CURRENCY=NA&amp;VAR:P=236.901610&amp;VAR:V=16.528048&amp;VAR:null=.html"}</definedName>
    <definedName name="_476__FDSAUDITLINK__" hidden="1">{"fdsup://directions/FAT%20Viewer?VAR:TM=NTMA&amp;VAR:PCT=0.200000&amp;VAR:Y0=2005&amp;VAR:Y1=2006&amp;VAR:V0=17.667595&amp;VAR:V1=16.648285&amp;VAR:V=16.842628&amp;VAR:AUDIT_ID=99900521&amp;VAR:DATE=20051019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Mean&amp;VAR:CHGPERIOD=NA&amp;VAR:FQLFORMULA=FMA_PE&amp;VAR:","CURRENCY=NA&amp;VAR:P=241.344130&amp;VAR:V=16.842628&amp;VAR:null=.html"}</definedName>
    <definedName name="_477__FDSAUDITLINK__" hidden="1">{"fdsup://directions/FAT%20Viewer?VAR:TM=NTMA&amp;VAR:PCT=0.219178&amp;VAR:Y0=2005&amp;VAR:Y1=2006&amp;VAR:V0=17.422440&amp;VAR:V1=16.415330&amp;VAR:V=16.625976&amp;VAR:AUDIT_ID=99900521&amp;VAR:DATE=20051012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Mean&amp;VAR:CHGPERIOD=NA&amp;VAR:FQLFORMULA=FMA_PE&amp;VAR:","CURRENCY=NA&amp;VAR:P=238.094480&amp;VAR:V=16.625976&amp;VAR:null=.html"}</definedName>
    <definedName name="_478__FDSAUDITLINK__" hidden="1">{"fdsup://directions/FAT%20Viewer?VAR:TM=NTMA&amp;VAR:PCT=0.238356&amp;VAR:Y0=2005&amp;VAR:Y1=2006&amp;VAR:V0=17.635181&amp;VAR:V1=16.595190&amp;VAR:V=16.831785&amp;VAR:AUDIT_ID=99900521&amp;VAR:DATE=20051005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Mean&amp;VAR:CHGPERIOD=NA&amp;VAR:FQLFORMULA=FMA_PE&amp;VAR:","CURRENCY=NA&amp;VAR:P=240.953740&amp;VAR:V=16.831785&amp;VAR:null=.html"}</definedName>
    <definedName name="_479__FDSAUDITLINK__" hidden="1">{"fdsup://directions/FAT%20Viewer?VAR:TM=NTMA&amp;VAR:PCT=0.257534&amp;VAR:Y0=2005&amp;VAR:Y1=2006&amp;VAR:V0=17.438484&amp;VAR:V1=16.416327&amp;VAR:V=16.667936&amp;VAR:AUDIT_ID=99900521&amp;VAR:DATE=20050928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Mean&amp;VAR:CHGPERIOD=NA&amp;VAR:FQLFORMULA=FMA_PE&amp;VAR:","CURRENCY=NA&amp;VAR:P=238.358300&amp;VAR:V=16.667936&amp;VAR:null=.html"}</definedName>
    <definedName name="_48__FDSAUDITLINK__" hidden="1">{"fdsup://directions/FAT%20Viewer?VAR:TM=NTMA&amp;VAR:PCT=0.846575&amp;VAR:Y0=2009&amp;VAR:Y1=2010&amp;VAR:V0=12.106050&amp;VAR:V1=9.498280&amp;VAR:V=11.616719&amp;VAR:AUDIT_ID=00000117&amp;VAR:DATE=20090225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Mean&amp;VAR:CHGPERIOD=NA&amp;VAR:FQLFORMULA=FMA_PE&amp;VAR:C","URRENCY=NA&amp;VAR:P=764.902466&amp;VAR:V=11.616719&amp;VAR:null=.html"}</definedName>
    <definedName name="_480__FDSAUDITLINK__" hidden="1">{"fdsup://directions/FAT%20Viewer?VAR:TM=NTMA&amp;VAR:PCT=0.276712&amp;VAR:Y0=2005&amp;VAR:Y1=2006&amp;VAR:V0=16.780268&amp;VAR:V1=15.831185&amp;VAR:V=16.082894&amp;VAR:AUDIT_ID=99900521&amp;VAR:DATE=20050921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Mean&amp;VAR:CHGPERIOD=NA&amp;VAR:FQLFORMULA=FMA_PE&amp;VAR:","CURRENCY=NA&amp;VAR:P=229.450760&amp;VAR:V=16.082894&amp;VAR:null=.html"}</definedName>
    <definedName name="_481__FDSAUDITLINK__" hidden="1">{"fdsup://directions/FAT%20Viewer?VAR:TM=NTMA&amp;VAR:PCT=0.295890&amp;VAR:Y0=2005&amp;VAR:Y1=2006&amp;VAR:V0=17.365843&amp;VAR:V1=16.346483&amp;VAR:V=16.635415&amp;VAR:AUDIT_ID=99900521&amp;VAR:DATE=20050914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Mean&amp;VAR:CHGPERIOD=NA&amp;VAR:FQLFORMULA=FMA_PE&amp;VAR:","CURRENCY=NA&amp;VAR:P=234.259600&amp;VAR:V=16.635415&amp;VAR:null=.html"}</definedName>
    <definedName name="_482__FDSAUDITLINK__" hidden="1">{"fdsup://directions/FAT%20Viewer?VAR:TM=NTMA&amp;VAR:PCT=0.315068&amp;VAR:Y0=2005&amp;VAR:Y1=2006&amp;VAR:V0=17.685510&amp;VAR:V1=16.573214&amp;VAR:V=16.908262&amp;VAR:AUDIT_ID=99900521&amp;VAR:DATE=20050907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Mean&amp;VAR:CHGPERIOD=NA&amp;VAR:FQLFORMULA=FMA_PE&amp;VAR:","CURRENCY=NA&amp;VAR:P=237.980100&amp;VAR:V=16.908262&amp;VAR:null=.html"}</definedName>
    <definedName name="_483__FDSAUDITLINK__" hidden="1">{"fdsup://directions/FAT%20Viewer?VAR:TM=NTMA&amp;VAR:PCT=0.334247&amp;VAR:Y0=2005&amp;VAR:Y1=2006&amp;VAR:V0=17.549776&amp;VAR:V1=16.450296&amp;VAR:V=16.802138&amp;VAR:AUDIT_ID=99900521&amp;VAR:DATE=20050831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Mean&amp;VAR:CHGPERIOD=NA&amp;VAR:FQLFORMULA=FMA_PE&amp;VAR:","CURRENCY=NA&amp;VAR:P=236.395500&amp;VAR:V=16.802138&amp;VAR:null=.html"}</definedName>
    <definedName name="_484__FDSAUDITLINK__" hidden="1">{"fdsup://directions/FAT%20Viewer?VAR:TM=NTMA&amp;VAR:PCT=0.353425&amp;VAR:Y0=2005&amp;VAR:Y1=2006&amp;VAR:V0=17.595854&amp;VAR:V1=16.480465&amp;VAR:V=16.858144&amp;VAR:AUDIT_ID=99900521&amp;VAR:DATE=20050824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Mean&amp;VAR:CHGPERIOD=NA&amp;VAR:FQLFORMULA=FMA_PE&amp;VAR:","CURRENCY=NA&amp;VAR:P=237.117920&amp;VAR:V=16.858144&amp;VAR:null=.html"}</definedName>
    <definedName name="_485__FDSAUDITLINK__" hidden="1">{"fdsup://directions/FAT%20Viewer?VAR:TM=NTMA&amp;VAR:PCT=0.372603&amp;VAR:Y0=2005&amp;VAR:Y1=2006&amp;VAR:V0=17.610502&amp;VAR:V1=16.443650&amp;VAR:V=16.859891&amp;VAR:AUDIT_ID=99900521&amp;VAR:DATE=20050817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Mean&amp;VAR:CHGPERIOD=NA&amp;VAR:FQLFORMULA=FMA_PE&amp;VAR:","CURRENCY=NA&amp;VAR:P=237.687520&amp;VAR:V=16.859891&amp;VAR:null=.html"}</definedName>
    <definedName name="_486__FDSAUDITLINK__" hidden="1">{"fdsup://directions/FAT%20Viewer?VAR:TM=NTMA&amp;VAR:PCT=0.391781&amp;VAR:Y0=2005&amp;VAR:Y1=2006&amp;VAR:V0=17.811062&amp;VAR:V1=16.728012&amp;VAR:V=17.136254&amp;VAR:AUDIT_ID=99900521&amp;VAR:DATE=20050810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Mean&amp;VAR:CHGPERIOD=NA&amp;VAR:FQLFORMULA=FMA_PE&amp;VAR:","CURRENCY=NA&amp;VAR:P=239.054140&amp;VAR:V=17.136254&amp;VAR:null=.html"}</definedName>
    <definedName name="_487__FDSAUDITLINK__" hidden="1">{"fdsup://directions/FAT%20Viewer?VAR:TM=NTMA&amp;VAR:PCT=0.410959&amp;VAR:Y0=2005&amp;VAR:Y1=2006&amp;VAR:V0=17.781730&amp;VAR:V1=16.624207&amp;VAR:V=17.081160&amp;VAR:AUDIT_ID=99900521&amp;VAR:DATE=20050803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Mean&amp;VAR:CHGPERIOD=NA&amp;VAR:FQLFORMULA=FMA_PE&amp;VAR:","CURRENCY=NA&amp;VAR:P=241.079570&amp;VAR:V=17.081160&amp;VAR:null=.html"}</definedName>
    <definedName name="_488__FDSAUDITLINK__" hidden="1">{"fdsup://directions/FAT%20Viewer?VAR:TM=NTMA&amp;VAR:PCT=0.430137&amp;VAR:Y0=2005&amp;VAR:Y1=2006&amp;VAR:V0=17.964739&amp;VAR:V1=16.644798&amp;VAR:V=17.188006&amp;VAR:AUDIT_ID=99900521&amp;VAR:DATE=20050727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Mean&amp;VAR:CHGPERIOD=NA&amp;VAR:FQLFORMULA=FMA_PE&amp;VAR:","CURRENCY=NA&amp;VAR:P=240.979000&amp;VAR:V=17.188006&amp;VAR:null=.html"}</definedName>
    <definedName name="_489__FDSAUDITLINK__" hidden="1">{"fdsup://directions/FAT%20Viewer?VAR:TM=NTMA&amp;VAR:PCT=0.449315&amp;VAR:Y0=2005&amp;VAR:Y1=2006&amp;VAR:V0=17.736576&amp;VAR:V1=16.432228&amp;VAR:V=16.993746&amp;VAR:AUDIT_ID=99900521&amp;VAR:DATE=20050720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Mean&amp;VAR:CHGPERIOD=NA&amp;VAR:FQLFORMULA=FMA_PE&amp;VAR:","CURRENCY=NA&amp;VAR:P=237.882280&amp;VAR:V=16.993746&amp;VAR:null=.html"}</definedName>
    <definedName name="_49__FDSAUDITLINK__" hidden="1">{"fdsup://directions/FAT%20Viewer?VAR:TM=NTMA&amp;VAR:PCT=0.865753&amp;VAR:Y0=2009&amp;VAR:Y1=2010&amp;VAR:V0=12.362420&amp;VAR:V1=9.674221&amp;VAR:V=11.917844&amp;VAR:AUDIT_ID=00000117&amp;VAR:DATE=20090218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Mean&amp;VAR:CHGPERIOD=NA&amp;VAR:FQLFORMULA=FMA_PE&amp;VAR:C","URRENCY=NA&amp;VAR:P=788.416115&amp;VAR:V=11.917844&amp;VAR:null=.html"}</definedName>
    <definedName name="_490__FDSAUDITLINK__" hidden="1">{"fdsup://directions/FAT%20Viewer?VAR:TM=NTMA&amp;VAR:PCT=0.468493&amp;VAR:Y0=2005&amp;VAR:Y1=2006&amp;VAR:V0=17.584045&amp;VAR:V1=16.281150&amp;VAR:V=16.866644&amp;VAR:AUDIT_ID=99900521&amp;VAR:DATE=20050713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Mean&amp;VAR:CHGPERIOD=NA&amp;VAR:FQLFORMULA=FMA_PE&amp;VAR:","CURRENCY=NA&amp;VAR:P=236.321500&amp;VAR:V=16.866644&amp;VAR:null=.html"}</definedName>
    <definedName name="_491__FDSAUDITLINK__" hidden="1">{"fdsup://directions/FAT%20Viewer?VAR:TM=NTMA&amp;VAR:PCT=0.487671&amp;VAR:Y0=2005&amp;VAR:Y1=2006&amp;VAR:V0=17.410536&amp;VAR:V1=16.116058&amp;VAR:V=16.722386&amp;VAR:AUDIT_ID=99900521&amp;VAR:DATE=20050706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Mean&amp;VAR:CHGPERIOD=NA&amp;VAR:FQLFORMULA=FMA_PE&amp;VAR:","CURRENCY=NA&amp;VAR:P=233.964430&amp;VAR:V=16.722386&amp;VAR:null=.html"}</definedName>
    <definedName name="_492__FDSAUDITLINK__" hidden="1">{"fdsup://directions/FAT%20Viewer?VAR:TM=NTMA&amp;VAR:PCT=0.506849&amp;VAR:Y0=2005&amp;VAR:Y1=2006&amp;VAR:V0=17.492052&amp;VAR:V1=16.186201&amp;VAR:V=16.822745&amp;VAR:AUDIT_ID=99900521&amp;VAR:DATE=20050629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Mean&amp;VAR:CHGPERIOD=NA&amp;VAR:FQLFORMULA=FMA_PE&amp;VAR:","CURRENCY=NA&amp;VAR:P=236.432710&amp;VAR:V=16.822745&amp;VAR:null=.html"}</definedName>
    <definedName name="_493__FDSAUDITLINK__" hidden="1">{"fdsup://directions/FAT%20Viewer?VAR:TM=NTMA&amp;VAR:PCT=0.526027&amp;VAR:Y0=2005&amp;VAR:Y1=2006&amp;VAR:V0=17.889849&amp;VAR:V1=16.358171&amp;VAR:V=17.129638&amp;VAR:AUDIT_ID=99900521&amp;VAR:DATE=20050622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Mean&amp;VAR:CHGPERIOD=NA&amp;VAR:FQLFORMULA=FMA_PE&amp;VAR:","CURRENCY=NA&amp;VAR:P=242.730560&amp;VAR:V=17.129638&amp;VAR:null=.html"}</definedName>
    <definedName name="_494__FDSAUDITLINK__" hidden="1">{"fdsup://directions/FAT%20Viewer?VAR:TM=NTMA&amp;VAR:PCT=0.545205&amp;VAR:Y0=2005&amp;VAR:Y1=2006&amp;VAR:V0=17.905245&amp;VAR:V1=16.370500&amp;VAR:V=17.173034&amp;VAR:AUDIT_ID=99900521&amp;VAR:DATE=20050615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Mean&amp;VAR:CHGPERIOD=NA&amp;VAR:FQLFORMULA=FMA_PE&amp;VAR:","CURRENCY=NA&amp;VAR:P=242.968520&amp;VAR:V=17.173034&amp;VAR:null=.html"}</definedName>
    <definedName name="_495__FDSAUDITLINK__" hidden="1">{"fdsup://directions/FAT%20Viewer?VAR:TM=NTMA&amp;VAR:PCT=0.564384&amp;VAR:Y0=2005&amp;VAR:Y1=2006&amp;VAR:V0=17.896673&amp;VAR:V1=16.362984&amp;VAR:V=17.194617&amp;VAR:AUDIT_ID=99900521&amp;VAR:DATE=20050608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Mean&amp;VAR:CHGPERIOD=NA&amp;VAR:FQLFORMULA=FMA_PE&amp;VAR:","CURRENCY=NA&amp;VAR:P=243.235380&amp;VAR:V=17.194617&amp;VAR:null=.html"}</definedName>
    <definedName name="_496__FDSAUDITLINK__" hidden="1">{"fdsup://directions/FAT%20Viewer?VAR:TM=NTMA&amp;VAR:PCT=0.583562&amp;VAR:Y0=2005&amp;VAR:Y1=2006&amp;VAR:V0=17.861500&amp;VAR:V1=16.162820&amp;VAR:V=17.112538&amp;VAR:AUDIT_ID=99900521&amp;VAR:DATE=20050601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Mean&amp;VAR:CHGPERIOD=NA&amp;VAR:FQLFORMULA=FMA_PE&amp;VAR:","CURRENCY=NA&amp;VAR:P=244.977940&amp;VAR:V=17.112538&amp;VAR:null=.html"}</definedName>
    <definedName name="_497__FDSAUDITLINK__" hidden="1">{"fdsup://directions/FAT%20Viewer?VAR:TM=NTMA&amp;VAR:PCT=0.602740&amp;VAR:Y0=2005&amp;VAR:Y1=2006&amp;VAR:V0=17.874346&amp;VAR:V1=16.116442&amp;VAR:V=17.131995&amp;VAR:AUDIT_ID=99900521&amp;VAR:DATE=20050525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Mean&amp;VAR:CHGPERIOD=NA&amp;VAR:FQLFORMULA=FMA_PE&amp;VAR:","CURRENCY=NA&amp;VAR:P=245.550300&amp;VAR:V=17.131995&amp;VAR:null=.html"}</definedName>
    <definedName name="_498__FDSAUDITLINK__" hidden="1">{"fdsup://directions/FAT%20Viewer?VAR:TM=NTMA&amp;VAR:PCT=0.621918&amp;VAR:Y0=2005&amp;VAR:Y1=2006&amp;VAR:V0=17.945686&amp;VAR:V1=16.251478&amp;VAR:V=17.265181&amp;VAR:AUDIT_ID=99900521&amp;VAR:DATE=20050518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Mean&amp;VAR:CHGPERIOD=NA&amp;VAR:FQLFORMULA=FMA_PE&amp;VAR:","CURRENCY=NA&amp;VAR:P=246.475310&amp;VAR:V=17.265181&amp;VAR:null=.html"}</definedName>
    <definedName name="_499__FDSAUDITLINK__" hidden="1">{"fdsup://directions/FAT%20Viewer?VAR:TM=NTMA&amp;VAR:PCT=0.641096&amp;VAR:Y0=2005&amp;VAR:Y1=2006&amp;VAR:V0=17.832483&amp;VAR:V1=16.156742&amp;VAR:V=17.192497&amp;VAR:AUDIT_ID=99900521&amp;VAR:DATE=20050511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Mean&amp;VAR:CHGPERIOD=NA&amp;VAR:FQLFORMULA=FMA_PE&amp;VAR:","CURRENCY=NA&amp;VAR:P=245.015850&amp;VAR:V=17.192497&amp;VAR:null=.html"}</definedName>
    <definedName name="_5__FDSAUDITLINK__" hidden="1">{"fdsup://directions/FAT%20Viewer?VAR:TM=NTMA&amp;VAR:PCT=0.021918&amp;VAR:Y0=2009&amp;VAR:Y1=2010&amp;VAR:V0=18.297737&amp;VAR:V1=14.382259&amp;VAR:V=14.450031&amp;VAR:AUDIT_ID=00000117&amp;VAR:DATE=20091223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Mean&amp;VAR:CHGPERIOD=NA&amp;VAR:FQLFORMULA=FMA_PE&amp;VAR:","CURRENCY=NA&amp;VAR:P=1120.592041&amp;VAR:V=14.450031&amp;VAR:null=.html"}</definedName>
    <definedName name="_50__FDSAUDITLINK__" hidden="1">{"fdsup://directions/FAT%20Viewer?VAR:TM=NTMA&amp;VAR:PCT=0.884932&amp;VAR:Y0=2009&amp;VAR:Y1=2010&amp;VAR:V0=12.982617&amp;VAR:V1=10.150523&amp;VAR:V=12.578773&amp;VAR:AUDIT_ID=00000117&amp;VAR:DATE=20090211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Mean&amp;VAR:CHGPERIOD=NA&amp;VAR:FQLFORMULA=FMA_PE&amp;VAR:","CURRENCY=NA&amp;VAR:P=833.735047&amp;VAR:V=12.578773&amp;VAR:null=.html"}</definedName>
    <definedName name="_500__FDSAUDITLINK__" hidden="1">{"fdsup://directions/FAT%20Viewer?VAR:TM=NTMA&amp;VAR:PCT=0.660274&amp;VAR:Y0=2005&amp;VAR:Y1=2006&amp;VAR:V0=17.882496&amp;VAR:V1=16.164461&amp;VAR:V=17.259303&amp;VAR:AUDIT_ID=99900521&amp;VAR:DATE=20050504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Mean&amp;VAR:CHGPERIOD=NA&amp;VAR:FQLFORMULA=FMA_PE&amp;VAR:","CURRENCY=NA&amp;VAR:P=245.968570&amp;VAR:V=17.259303&amp;VAR:null=.html"}</definedName>
    <definedName name="_501__FDSAUDITLINK__" hidden="1">{"fdsup://directions/FAT%20Viewer?VAR:TM=NTMA&amp;VAR:PCT=0.679452&amp;VAR:Y0=2005&amp;VAR:Y1=2006&amp;VAR:V0=17.544466&amp;VAR:V1=15.973762&amp;VAR:V=17.008370&amp;VAR:AUDIT_ID=99900521&amp;VAR:DATE=20050427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Mean&amp;VAR:CHGPERIOD=NA&amp;VAR:FQLFORMULA=FMA_PE&amp;VAR:","CURRENCY=NA&amp;VAR:P=244.387220&amp;VAR:V=17.008370&amp;VAR:null=.html"}</definedName>
    <definedName name="_502__FDSAUDITLINK__" hidden="1">{"fdsup://directions/FAT%20Viewer?VAR:TM=NTMA&amp;VAR:PCT=0.698630&amp;VAR:Y0=2005&amp;VAR:Y1=2006&amp;VAR:V0=16.892880&amp;VAR:V1=15.422864&amp;VAR:V=16.421185&amp;VAR:AUDIT_ID=99900521&amp;VAR:DATE=20050420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Mean&amp;VAR:CHGPERIOD=NA&amp;VAR:FQLFORMULA=FMA_PE&amp;VAR:","CURRENCY=NA&amp;VAR:P=236.601930&amp;VAR:V=16.421185&amp;VAR:null=.html"}</definedName>
    <definedName name="_503__FDSAUDITLINK__" hidden="1">{"fdsup://directions/FAT%20Viewer?VAR:TM=NTMA&amp;VAR:PCT=0.717808&amp;VAR:Y0=2005&amp;VAR:Y1=2006&amp;VAR:V0=17.333189&amp;VAR:V1=15.781102&amp;VAR:V=16.865117&amp;VAR:AUDIT_ID=99900521&amp;VAR:DATE=20050413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Mean&amp;VAR:CHGPERIOD=NA&amp;VAR:FQLFORMULA=FMA_PE&amp;VAR:","CURRENCY=NA&amp;VAR:P=242.589280&amp;VAR:V=16.865117&amp;VAR:null=.html"}</definedName>
    <definedName name="_504__FDSAUDITLINK__" hidden="1">{"fdsup://directions/FAT%20Viewer?VAR:TM=NTMA&amp;VAR:PCT=0.736986&amp;VAR:Y0=2005&amp;VAR:Y1=2006&amp;VAR:V0=17.352318&amp;VAR:V1=15.836831&amp;VAR:V=16.926303&amp;VAR:AUDIT_ID=99900521&amp;VAR:DATE=20050406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Mean&amp;VAR:CHGPERIOD=NA&amp;VAR:FQLFORMULA=FMA_PE&amp;VAR:","CURRENCY=NA&amp;VAR:P=243.132900&amp;VAR:V=16.926303&amp;VAR:null=.html"}</definedName>
    <definedName name="_505__FDSAUDITLINK__" hidden="1">{"fdsup://directions/FAT%20Viewer?VAR:TM=NTMA&amp;VAR:PCT=0.756164&amp;VAR:Y0=2005&amp;VAR:Y1=2006&amp;VAR:V0=17.553919&amp;VAR:V1=16.044294&amp;VAR:V=17.160216&amp;VAR:AUDIT_ID=99900521&amp;VAR:DATE=20050330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Mean&amp;VAR:CHGPERIOD=NA&amp;VAR:FQLFORMULA=FMA_PE&amp;VAR:","CURRENCY=NA&amp;VAR:P=246.068080&amp;VAR:V=17.160216&amp;VAR:null=.html"}</definedName>
    <definedName name="_506__FDSAUDITLINK__" hidden="1">{"fdsup://directions/FAT%20Viewer?VAR:TM=NTMA&amp;VAR:PCT=0.775342&amp;VAR:Y0=2005&amp;VAR:Y1=2006&amp;VAR:V0=17.504333&amp;VAR:V1=15.982777&amp;VAR:V=17.137801&amp;VAR:AUDIT_ID=99900521&amp;VAR:DATE=20050323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Mean&amp;VAR:CHGPERIOD=NA&amp;VAR:FQLFORMULA=FMA_PE&amp;VAR:","CURRENCY=NA&amp;VAR:P=245.587700&amp;VAR:V=17.137801&amp;VAR:null=.html"}</definedName>
    <definedName name="_51__FDSAUDITLINK__" hidden="1">{"fdsup://directions/FAT%20Viewer?VAR:TM=NTMA&amp;VAR:PCT=0.904110&amp;VAR:Y0=2009&amp;VAR:Y1=2010&amp;VAR:V0=12.776376&amp;VAR:V1=10.018988&amp;VAR:V=12.447869&amp;VAR:AUDIT_ID=00000117&amp;VAR:DATE=20090204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Mean&amp;VAR:CHGPERIOD=NA&amp;VAR:FQLFORMULA=FMA_PE&amp;VAR:","CURRENCY=NA&amp;VAR:P=832.227166&amp;VAR:V=12.447869&amp;VAR:null=.html"}</definedName>
    <definedName name="_52__FDSAUDITLINK__" hidden="1">{"fdsup://directions/FAT%20Viewer?VAR:TM=NTMA&amp;VAR:PCT=0.923288&amp;VAR:Y0=2009&amp;VAR:Y1=2010&amp;VAR:V0=12.816905&amp;VAR:V1=10.338702&amp;VAR:V=12.585482&amp;VAR:AUDIT_ID=00000117&amp;VAR:DATE=20090128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Mean&amp;VAR:CHGPERIOD=NA&amp;VAR:FQLFORMULA=FMA_PE&amp;VAR:","CURRENCY=NA&amp;VAR:P=874.093690&amp;VAR:V=12.585482&amp;VAR:null=.html"}</definedName>
    <definedName name="_53__FDSAUDITLINK__" hidden="1">{"fdsup://directions/FAT%20Viewer?VAR:TM=NTMA&amp;VAR:PCT=0.942466&amp;VAR:Y0=2009&amp;VAR:Y1=2010&amp;VAR:V0=11.780716&amp;VAR:V1=9.632253&amp;VAR:V=11.631450&amp;VAR:AUDIT_ID=00000117&amp;VAR:DATE=20090121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Mean&amp;VAR:CHGPERIOD=NA&amp;VAR:FQLFORMULA=FMA_PE&amp;VAR:C","URRENCY=NA&amp;VAR:P=840.244616&amp;VAR:V=11.631450&amp;VAR:null=.html"}</definedName>
    <definedName name="_54__FDSAUDITLINK__" hidden="1">{"fdsup://directions/FAT%20Viewer?VAR:TM=NTMA&amp;VAR:PCT=0.961644&amp;VAR:Y0=2009&amp;VAR:Y1=2010&amp;VAR:V0=11.316018&amp;VAR:V1=9.419010&amp;VAR:V=11.229272&amp;VAR:AUDIT_ID=00000117&amp;VAR:DATE=20090114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Mean&amp;VAR:CHGPERIOD=NA&amp;VAR:FQLFORMULA=FMA_PE&amp;VAR:C","URRENCY=NA&amp;VAR:P=842.616585&amp;VAR:V=11.229272&amp;VAR:null=.html"}</definedName>
    <definedName name="_55__FDSAUDITLINK__" hidden="1">{"fdsup://directions/FAT%20Viewer?VAR:TM=NTMA&amp;VAR:PCT=0.980822&amp;VAR:Y0=2009&amp;VAR:Y1=2010&amp;VAR:V0=11.855859&amp;VAR:V1=9.888972&amp;VAR:V=11.810807&amp;VAR:AUDIT_ID=00000117&amp;VAR:DATE=20090107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Mean&amp;VAR:CHGPERIOD=NA&amp;VAR:FQLFORMULA=FMA_PE&amp;VAR:C","URRENCY=NA&amp;VAR:P=906.646175&amp;VAR:V=11.810807&amp;VAR:null=.html"}</definedName>
    <definedName name="_56__FDSAUDITLINK__" hidden="1">{"fdsup://directions/FAT%20Viewer?VAR:TM=NTMA&amp;VAR:PCT=0.000000&amp;VAR:Y0=2008&amp;VAR:Y1=2009&amp;VAR:V0=12.463821&amp;VAR:V1=11.600195&amp;VAR:V=11.600195&amp;VAR:AUDIT_ID=00000117&amp;VAR:DATE=20081231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Mean&amp;VAR:CHGPERIOD=NA&amp;VAR:FQLFORMULA=FMA_PE&amp;VAR:","CURRENCY=NA&amp;VAR:P=903.254921&amp;VAR:V=11.600195&amp;VAR:null=.html"}</definedName>
    <definedName name="_57__FDSAUDITLINK__" hidden="1">{"fdsup://directions/FAT%20Viewer?VAR:TM=NTMA&amp;VAR:PCT=0.019126&amp;VAR:Y0=2008&amp;VAR:Y1=2009&amp;VAR:V0=11.963550&amp;VAR:V1=11.140057&amp;VAR:V=11.154742&amp;VAR:AUDIT_ID=00000117&amp;VAR:DATE=20081224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Mean&amp;VAR:CHGPERIOD=NA&amp;VAR:FQLFORMULA=FMA_PE&amp;VAR:","CURRENCY=NA&amp;VAR:P=868.152657&amp;VAR:V=11.154742&amp;VAR:null=.html"}</definedName>
    <definedName name="_58__FDSAUDITLINK__" hidden="1">{"fdsup://directions/FAT%20Viewer?VAR:TM=NTMA&amp;VAR:PCT=0.038251&amp;VAR:Y0=2008&amp;VAR:Y1=2009&amp;VAR:V0=12.285027&amp;VAR:V1=11.389475&amp;VAR:V=11.421323&amp;VAR:AUDIT_ID=00000117&amp;VAR:DATE=20081217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Mean&amp;VAR:CHGPERIOD=NA&amp;VAR:FQLFORMULA=FMA_PE&amp;VAR:","CURRENCY=NA&amp;VAR:P=904.422705&amp;VAR:V=11.421323&amp;VAR:null=.html"}</definedName>
    <definedName name="_59__FDSAUDITLINK__" hidden="1">{"fdsup://directions/FAT%20Viewer?VAR:TM=NTMA&amp;VAR:PCT=0.057377&amp;VAR:Y0=2008&amp;VAR:Y1=2009&amp;VAR:V0=12.070944&amp;VAR:V1=11.022185&amp;VAR:V=11.077407&amp;VAR:AUDIT_ID=00000117&amp;VAR:DATE=20081210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Mean&amp;VAR:CHGPERIOD=NA&amp;VAR:FQLFORMULA=FMA_PE&amp;VAR:","CURRENCY=NA&amp;VAR:P=899.239541&amp;VAR:V=11.077407&amp;VAR:null=.html"}</definedName>
    <definedName name="_6__FDSAUDITLINK__" hidden="1">{"fdsup://directions/FAT%20Viewer?VAR:TM=NTMA&amp;VAR:PCT=0.041096&amp;VAR:Y0=2009&amp;VAR:Y1=2010&amp;VAR:V0=17.950983&amp;VAR:V1=14.214603&amp;VAR:V=14.337241&amp;VAR:AUDIT_ID=00000117&amp;VAR:DATE=20091216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Mean&amp;VAR:CHGPERIOD=NA&amp;VAR:FQLFORMULA=FMA_PE&amp;VAR:","CURRENCY=NA&amp;VAR:P=1109.178634&amp;VAR:V=14.337241&amp;VAR:null=.html"}</definedName>
    <definedName name="_60__FDSAUDITLINK__" hidden="1">{"fdsup://directions/FAT%20Viewer?VAR:TM=NTMA&amp;VAR:PCT=0.076503&amp;VAR:Y0=2008&amp;VAR:Y1=2009&amp;VAR:V0=11.554903&amp;VAR:V1=10.431399&amp;VAR:V=10.509574&amp;VAR:AUDIT_ID=00000117&amp;VAR:DATE=20081203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Mean&amp;VAR:CHGPERIOD=NA&amp;VAR:FQLFORMULA=FMA_PE&amp;VAR:","CURRENCY=NA&amp;VAR:P=870.738773&amp;VAR:V=10.509574&amp;VAR:null=.html"}</definedName>
    <definedName name="_61__FDSAUDITLINK__" hidden="1">{"fdsup://directions/FAT%20Viewer?VAR:TM=NTMA&amp;VAR:PCT=0.095628&amp;VAR:Y0=2008&amp;VAR:Y1=2009&amp;VAR:V0=11.646673&amp;VAR:V1=10.459393&amp;VAR:V=10.562360&amp;VAR:AUDIT_ID=00000117&amp;VAR:DATE=20081126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Mean&amp;VAR:CHGPERIOD=NA&amp;VAR:FQLFORMULA=FMA_PE&amp;VAR:","CURRENCY=NA&amp;VAR:P=887.681603&amp;VAR:V=10.562360&amp;VAR:null=.html"}</definedName>
    <definedName name="_62__FDSAUDITLINK__" hidden="1">{"fdsup://directions/FAT%20Viewer?VAR:TM=NTMA&amp;VAR:PCT=0.114754&amp;VAR:Y0=2008&amp;VAR:Y1=2009&amp;VAR:V0=10.500892&amp;VAR:V1=9.345736&amp;VAR:V=9.465221&amp;VAR:AUDIT_ID=00000117&amp;VAR:DATE=20081119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Mean&amp;VAR:CHGPERIOD=NA&amp;VAR:FQLFORMULA=FMA_PE&amp;VAR:CU","RRENCY=NA&amp;VAR:P=806.575894&amp;VAR:V=9.465221&amp;VAR:null=.html"}</definedName>
    <definedName name="_63__FDSAUDITLINK__" hidden="1">{"fdsup://directions/FAT%20Viewer?VAR:TM=NTMA&amp;VAR:PCT=0.133880&amp;VAR:Y0=2008&amp;VAR:Y1=2009&amp;VAR:V0=11.006751&amp;VAR:V1=9.732108&amp;VAR:V=9.885371&amp;VAR:AUDIT_ID=00000117&amp;VAR:DATE=20081112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Mean&amp;VAR:CHGPERIOD=NA&amp;VAR:FQLFORMULA=FMA_PE&amp;VAR:CU","RRENCY=NA&amp;VAR:P=852.301813&amp;VAR:V=9.885371&amp;VAR:null=.html"}</definedName>
    <definedName name="_64__FDSAUDITLINK__" hidden="1">{"fdsup://directions/FAT%20Viewer?VAR:TM=NTMA&amp;VAR:PCT=0.153005&amp;VAR:Y0=2008&amp;VAR:Y1=2009&amp;VAR:V0=12.075264&amp;VAR:V1=10.642122&amp;VAR:V=10.838950&amp;VAR:AUDIT_ID=00000117&amp;VAR:DATE=20081105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Mean&amp;VAR:CHGPERIOD=NA&amp;VAR:FQLFORMULA=FMA_PE&amp;VAR:","CURRENCY=NA&amp;VAR:P=952.767400&amp;VAR:V=10.838950&amp;VAR:null=.html"}</definedName>
    <definedName name="_65__FDSAUDITLINK__" hidden="1">{"fdsup://directions/FAT%20Viewer?VAR:TM=NTMA&amp;VAR:PCT=0.172131&amp;VAR:Y0=2008&amp;VAR:Y1=2009&amp;VAR:V0=11.698779&amp;VAR:V1=10.134911&amp;VAR:V=10.373609&amp;VAR:AUDIT_ID=00000117&amp;VAR:DATE=20081029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Mean&amp;VAR:CHGPERIOD=NA&amp;VAR:FQLFORMULA=FMA_PE&amp;VAR:","CURRENCY=NA&amp;VAR:P=930.092400&amp;VAR:V=10.373609&amp;VAR:null=.html"}</definedName>
    <definedName name="_66__FDSAUDITLINK__" hidden="1">{"fdsup://directions/FAT%20Viewer?VAR:TM=NTMA&amp;VAR:PCT=0.191257&amp;VAR:Y0=2008&amp;VAR:Y1=2009&amp;VAR:V0=11.225050&amp;VAR:V1=9.553846&amp;VAR:V=9.833862&amp;VAR:AUDIT_ID=00000117&amp;VAR:DATE=20081022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Mean&amp;VAR:CHGPERIOD=NA&amp;VAR:FQLFORMULA=FMA_PE&amp;VAR:CU","RRENCY=NA&amp;VAR:P=896.783600&amp;VAR:V=9.833862&amp;VAR:null=.html"}</definedName>
    <definedName name="_67__FDSAUDITLINK__" hidden="1">{"fdsup://directions/FAT%20Viewer?VAR:TM=NTMA&amp;VAR:PCT=0.210383&amp;VAR:Y0=2008&amp;VAR:Y1=2009&amp;VAR:V0=11.167907&amp;VAR:V1=9.293396&amp;VAR:V=9.633580&amp;VAR:AUDIT_ID=00000117&amp;VAR:DATE=20081015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Mean&amp;VAR:CHGPERIOD=NA&amp;VAR:FQLFORMULA=FMA_PE&amp;VAR:CU","RRENCY=NA&amp;VAR:P=907.839840&amp;VAR:V=9.633580&amp;VAR:null=.html"}</definedName>
    <definedName name="_68__FDSAUDITLINK__" hidden="1">{"fdsup://directions/FAT%20Viewer?VAR:TM=NTMA&amp;VAR:PCT=0.229508&amp;VAR:Y0=2008&amp;VAR:Y1=2009&amp;VAR:V0=11.947015&amp;VAR:V1=9.827745&amp;VAR:V=10.244835&amp;VAR:AUDIT_ID=00000117&amp;VAR:DATE=20081008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Mean&amp;VAR:CHGPERIOD=NA&amp;VAR:FQLFORMULA=FMA_PE&amp;VAR:C","URRENCY=NA&amp;VAR:P=984.941500&amp;VAR:V=10.244835&amp;VAR:null=.html"}</definedName>
    <definedName name="_69__FDSAUDITLINK__" hidden="1">{"fdsup://directions/FAT%20Viewer?VAR:TM=NTMA&amp;VAR:PCT=0.248634&amp;VAR:Y0=2008&amp;VAR:Y1=2009&amp;VAR:V0=13.837934&amp;VAR:V1=11.308233&amp;VAR:V=11.846696&amp;VAR:AUDIT_ID=00000117&amp;VAR:DATE=20081001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Mean&amp;VAR:CHGPERIOD=NA&amp;VAR:FQLFORMULA=FMA_PE&amp;VAR:","CURRENCY=NA&amp;VAR:P=1161.064800&amp;VAR:V=11.846696&amp;VAR:null=.html"}</definedName>
    <definedName name="_7__FDSAUDITLINK__" hidden="1">{"fdsup://directions/FAT%20Viewer?VAR:TM=NTMA&amp;VAR:PCT=0.060274&amp;VAR:Y0=2009&amp;VAR:Y1=2010&amp;VAR:V0=17.640696&amp;VAR:V1=14.078139&amp;VAR:V=14.251615&amp;VAR:AUDIT_ID=00000117&amp;VAR:DATE=20091209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Mean&amp;VAR:CHGPERIOD=NA&amp;VAR:FQLFORMULA=FMA_PE&amp;VAR:","CURRENCY=NA&amp;VAR:P=1095.948623&amp;VAR:V=14.251615&amp;VAR:null=.html"}</definedName>
    <definedName name="_70__FDSAUDITLINK__" hidden="1">{"fdsup://directions/FAT%20Viewer?VAR:TM=NTMA&amp;VAR:PCT=0.267760&amp;VAR:Y0=2008&amp;VAR:Y1=2009&amp;VAR:V0=14.126429&amp;VAR:V1=11.393782&amp;VAR:V=12.016171&amp;VAR:AUDIT_ID=00000117&amp;VAR:DATE=20080924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Mean&amp;VAR:CHGPERIOD=NA&amp;VAR:FQLFORMULA=FMA_PE&amp;VAR:","CURRENCY=NA&amp;VAR:P=1185.868200&amp;VAR:V=12.016171&amp;VAR:null=.html"}</definedName>
    <definedName name="_71__FDSAUDITLINK__" hidden="1">{"fdsup://directions/FAT%20Viewer?VAR:TM=NTMA&amp;VAR:PCT=0.286885&amp;VAR:Y0=2008&amp;VAR:Y1=2009&amp;VAR:V0=13.719115&amp;VAR:V1=11.026133&amp;VAR:V=11.684111&amp;VAR:AUDIT_ID=00000117&amp;VAR:DATE=20080917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Mean&amp;VAR:CHGPERIOD=NA&amp;VAR:FQLFORMULA=FMA_PE&amp;VAR:","CURRENCY=NA&amp;VAR:P=1156.386100&amp;VAR:V=11.684111&amp;VAR:null=.html"}</definedName>
    <definedName name="_72__FDSAUDITLINK__" hidden="1">{"fdsup://directions/FAT%20Viewer?VAR:TM=NTMA&amp;VAR:PCT=0.306011&amp;VAR:Y0=2008&amp;VAR:Y1=2009&amp;VAR:V0=14.833522&amp;VAR:V1=11.685600&amp;VAR:V=12.497175&amp;VAR:AUDIT_ID=00000117&amp;VAR:DATE=20080910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Mean&amp;VAR:CHGPERIOD=NA&amp;VAR:FQLFORMULA=FMA_PE&amp;VAR:","CURRENCY=NA&amp;VAR:P=1232.041100&amp;VAR:V=12.497175&amp;VAR:null=.html"}</definedName>
    <definedName name="_73__FDSAUDITLINK__" hidden="1">{"fdsup://directions/FAT%20Viewer?VAR:TM=NTMA&amp;VAR:PCT=0.325137&amp;VAR:Y0=2008&amp;VAR:Y1=2009&amp;VAR:V0=15.239206&amp;VAR:V1=12.056235&amp;VAR:V=12.934631&amp;VAR:AUDIT_ID=00000117&amp;VAR:DATE=20080903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Mean&amp;VAR:CHGPERIOD=NA&amp;VAR:FQLFORMULA=FMA_PE&amp;VAR:","CURRENCY=NA&amp;VAR:P=1274.980300&amp;VAR:V=12.934631&amp;VAR:null=.html"}</definedName>
    <definedName name="_74__FDSAUDITLINK__" hidden="1">{"fdsup://directions/FAT%20Viewer?VAR:TM=NTMA&amp;VAR:PCT=0.344262&amp;VAR:Y0=2008&amp;VAR:Y1=2009&amp;VAR:V0=15.269467&amp;VAR:V1=12.105387&amp;VAR:V=13.035281&amp;VAR:AUDIT_ID=00000117&amp;VAR:DATE=20080827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Mean&amp;VAR:CHGPERIOD=NA&amp;VAR:FQLFORMULA=FMA_PE&amp;VAR:","CURRENCY=NA&amp;VAR:P=1281.663800&amp;VAR:V=13.035281&amp;VAR:null=.html"}</definedName>
    <definedName name="_75__FDSAUDITLINK__" hidden="1">{"fdsup://directions/FAT%20Viewer?VAR:TM=NTMA&amp;VAR:PCT=0.363388&amp;VAR:Y0=2008&amp;VAR:Y1=2009&amp;VAR:V0=15.106835&amp;VAR:V1=12.027602&amp;VAR:V=12.989746&amp;VAR:AUDIT_ID=00000117&amp;VAR:DATE=20080820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Mean&amp;VAR:CHGPERIOD=NA&amp;VAR:FQLFORMULA=FMA_PE&amp;VAR:","CURRENCY=NA&amp;VAR:P=1274.543100&amp;VAR:V=12.989746&amp;VAR:null=.html"}</definedName>
    <definedName name="_76__FDSAUDITLINK__" hidden="1">{"fdsup://directions/FAT%20Viewer?VAR:TM=NTMA&amp;VAR:PCT=0.382514&amp;VAR:Y0=2008&amp;VAR:Y1=2009&amp;VAR:V0=15.146308&amp;VAR:V1=12.103177&amp;VAR:V=13.110780&amp;VAR:AUDIT_ID=00000117&amp;VAR:DATE=20080813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Mean&amp;VAR:CHGPERIOD=NA&amp;VAR:FQLFORMULA=FMA_PE&amp;VAR:","CURRENCY=NA&amp;VAR:P=1285.826900&amp;VAR:V=13.110780&amp;VAR:null=.html"}</definedName>
    <definedName name="_77__FDSAUDITLINK__" hidden="1">{"fdsup://directions/FAT%20Viewer?VAR:TM=NTMA&amp;VAR:PCT=0.401639&amp;VAR:Y0=2008&amp;VAR:Y1=2009&amp;VAR:V0=14.958858&amp;VAR:V1=12.048977&amp;VAR:V=13.070136&amp;VAR:AUDIT_ID=00000117&amp;VAR:DATE=20080806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Mean&amp;VAR:CHGPERIOD=NA&amp;VAR:FQLFORMULA=FMA_PE&amp;VAR:","CURRENCY=NA&amp;VAR:P=1289.188100&amp;VAR:V=13.070136&amp;VAR:null=.html"}</definedName>
    <definedName name="_78__FDSAUDITLINK__" hidden="1">{"fdsup://directions/FAT%20Viewer?VAR:TM=NTMA&amp;VAR:PCT=0.420765&amp;VAR:Y0=2008&amp;VAR:Y1=2009&amp;VAR:V0=14.762057&amp;VAR:V1=11.966117&amp;VAR:V=13.002311&amp;VAR:AUDIT_ID=00000117&amp;VAR:DATE=20080730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Mean&amp;VAR:CHGPERIOD=NA&amp;VAR:FQLFORMULA=FMA_PE&amp;VAR:","CURRENCY=NA&amp;VAR:P=1284.260100&amp;VAR:V=13.002311&amp;VAR:null=.html"}</definedName>
    <definedName name="_79__FDSAUDITLINK__" hidden="1">{"fdsup://directions/FAT%20Viewer?VAR:TM=NTMA&amp;VAR:PCT=0.439891&amp;VAR:Y0=2008&amp;VAR:Y1=2009&amp;VAR:V0=14.533299&amp;VAR:V1=11.914068&amp;VAR:V=12.939923&amp;VAR:AUDIT_ID=00000117&amp;VAR:DATE=20080723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Mean&amp;VAR:CHGPERIOD=NA&amp;VAR:FQLFORMULA=FMA_PE&amp;VAR:","CURRENCY=NA&amp;VAR:P=1282.193100&amp;VAR:V=12.939923&amp;VAR:null=.html"}</definedName>
    <definedName name="_8__FDSAUDITLINK__" hidden="1">{"fdsup://directions/FAT%20Viewer?VAR:TM=NTMA&amp;VAR:PCT=0.079452&amp;VAR:Y0=2009&amp;VAR:Y1=2010&amp;VAR:V0=17.766275&amp;VAR:V1=14.247552&amp;VAR:V=14.475336&amp;VAR:AUDIT_ID=00000117&amp;VAR:DATE=20091202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Mean&amp;VAR:CHGPERIOD=NA&amp;VAR:FQLFORMULA=FMA_PE&amp;VAR:","CURRENCY=NA&amp;VAR:P=1109.235264&amp;VAR:V=14.475336&amp;VAR:null=.html"}</definedName>
    <definedName name="_80__FDSAUDITLINK__" hidden="1">{"fdsup://directions/FAT%20Viewer?VAR:TM=NTMA&amp;VAR:PCT=0.459016&amp;VAR:Y0=2008&amp;VAR:Y1=2009&amp;VAR:V0=13.900918&amp;VAR:V1=11.468903&amp;VAR:V=12.470354&amp;VAR:AUDIT_ID=00000117&amp;VAR:DATE=20080716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Mean&amp;VAR:CHGPERIOD=NA&amp;VAR:FQLFORMULA=FMA_PE&amp;VAR:","CURRENCY=NA&amp;VAR:P=1245.362800&amp;VAR:V=12.470354&amp;VAR:null=.html"}</definedName>
    <definedName name="_81__FDSAUDITLINK__" hidden="1">{"fdsup://directions/FAT%20Viewer?VAR:TM=NTMA&amp;VAR:PCT=0.478142&amp;VAR:Y0=2008&amp;VAR:Y1=2009&amp;VAR:V0=13.722676&amp;VAR:V1=11.407132&amp;VAR:V=12.408241&amp;VAR:AUDIT_ID=00000117&amp;VAR:DATE=20080709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Mean&amp;VAR:CHGPERIOD=NA&amp;VAR:FQLFORMULA=FMA_PE&amp;VAR:","CURRENCY=NA&amp;VAR:P=1244.689500&amp;VAR:V=12.408241&amp;VAR:null=.html"}</definedName>
    <definedName name="_82__FDSAUDITLINK__" hidden="1">{"fdsup://directions/FAT%20Viewer?VAR:TM=NTMA&amp;VAR:PCT=0.497268&amp;VAR:Y0=2008&amp;VAR:Y1=2009&amp;VAR:V0=13.877979&amp;VAR:V1=11.575327&amp;VAR:V=12.616261&amp;VAR:AUDIT_ID=00000117&amp;VAR:DATE=20080702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Mean&amp;VAR:CHGPERIOD=NA&amp;VAR:FQLFORMULA=FMA_PE&amp;VAR:","CURRENCY=NA&amp;VAR:P=1261.517300&amp;VAR:V=12.616261&amp;VAR:null=.html"}</definedName>
    <definedName name="_83__FDSAUDITLINK__" hidden="1">{"fdsup://directions/FAT%20Viewer?VAR:TM=NTMA&amp;VAR:PCT=0.516393&amp;VAR:Y0=2008&amp;VAR:Y1=2009&amp;VAR:V0=14.530966&amp;VAR:V1=12.119233&amp;VAR:V=13.255303&amp;VAR:AUDIT_ID=00000117&amp;VAR:DATE=20080625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Mean&amp;VAR:CHGPERIOD=NA&amp;VAR:FQLFORMULA=FMA_PE&amp;VAR:","CURRENCY=NA&amp;VAR:P=1321.972900&amp;VAR:V=13.255303&amp;VAR:null=.html"}</definedName>
    <definedName name="_84__FDSAUDITLINK__" hidden="1">{"fdsup://directions/FAT%20Viewer?VAR:TM=NTMA&amp;VAR:PCT=0.535519&amp;VAR:Y0=2008&amp;VAR:Y1=2009&amp;VAR:V0=14.571635&amp;VAR:V1=12.229660&amp;VAR:V=13.381389&amp;VAR:AUDIT_ID=00000117&amp;VAR:DATE=20080618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Mean&amp;VAR:CHGPERIOD=NA&amp;VAR:FQLFORMULA=FMA_PE&amp;VAR:","CURRENCY=NA&amp;VAR:P=1337.810000&amp;VAR:V=13.381389&amp;VAR:null=.html"}</definedName>
    <definedName name="_85__FDSAUDITLINK__" hidden="1">{"fdsup://directions/FAT%20Viewer?VAR:TM=NTMA&amp;VAR:PCT=0.554645&amp;VAR:Y0=2008&amp;VAR:Y1=2009&amp;VAR:V0=14.486407&amp;VAR:V1=12.186802&amp;VAR:V=13.363389&amp;VAR:AUDIT_ID=00000117&amp;VAR:DATE=20080611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Mean&amp;VAR:CHGPERIOD=NA&amp;VAR:FQLFORMULA=FMA_PE&amp;VAR:","CURRENCY=NA&amp;VAR:P=1335.487400&amp;VAR:V=13.363389&amp;VAR:null=.html"}</definedName>
    <definedName name="_86__FDSAUDITLINK__" hidden="1">{"fdsup://directions/FAT%20Viewer?VAR:TM=NTMA&amp;VAR:PCT=0.573770&amp;VAR:Y0=2008&amp;VAR:Y1=2009&amp;VAR:V0=14.902646&amp;VAR:V1=12.534602&amp;VAR:V=13.792061&amp;VAR:AUDIT_ID=00000117&amp;VAR:DATE=20080604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Mean&amp;VAR:CHGPERIOD=NA&amp;VAR:FQLFORMULA=FMA_PE&amp;VAR:","CURRENCY=NA&amp;VAR:P=1377.199500&amp;VAR:V=13.792061&amp;VAR:null=.html"}</definedName>
    <definedName name="_87__FDSAUDITLINK__" hidden="1">{"fdsup://directions/FAT%20Viewer?VAR:TM=NTMA&amp;VAR:PCT=0.592896&amp;VAR:Y0=2008&amp;VAR:Y1=2009&amp;VAR:V0=15.064808&amp;VAR:V1=12.668469&amp;VAR:V=13.987662&amp;VAR:AUDIT_ID=00000117&amp;VAR:DATE=20080528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Mean&amp;VAR:CHGPERIOD=NA&amp;VAR:FQLFORMULA=FMA_PE&amp;VAR:","CURRENCY=NA&amp;VAR:P=1390.836700&amp;VAR:V=13.987662&amp;VAR:null=.html"}</definedName>
    <definedName name="_88__FDSAUDITLINK__" hidden="1">{"fdsup://directions/FAT%20Viewer?VAR:TM=NTMA&amp;VAR:PCT=0.612022&amp;VAR:Y0=2008&amp;VAR:Y1=2009&amp;VAR:V0=15.009789&amp;VAR:V1=12.633451&amp;VAR:V=13.988903&amp;VAR:AUDIT_ID=00000117&amp;VAR:DATE=20080521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Mean&amp;VAR:CHGPERIOD=NA&amp;VAR:FQLFORMULA=FMA_PE&amp;VAR:","CURRENCY=NA&amp;VAR:P=1390.711400&amp;VAR:V=13.988903&amp;VAR:null=.html"}</definedName>
    <definedName name="_89__FDSAUDITLINK__" hidden="1">{"fdsup://directions/FAT%20Viewer?VAR:TM=NTMA&amp;VAR:PCT=0.631148&amp;VAR:Y0=2008&amp;VAR:Y1=2009&amp;VAR:V0=15.282859&amp;VAR:V1=12.830144&amp;VAR:V=14.276203&amp;VAR:AUDIT_ID=00000117&amp;VAR:DATE=20080514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Mean&amp;VAR:CHGPERIOD=NA&amp;VAR:FQLFORMULA=FMA_PE&amp;VAR:","CURRENCY=NA&amp;VAR:P=1408.659000&amp;VAR:V=14.276203&amp;VAR:null=.html"}</definedName>
    <definedName name="_9__FDSAUDITLINK__" hidden="1">{"fdsup://directions/FAT%20Viewer?VAR:TM=NTMA&amp;VAR:PCT=0.098630&amp;VAR:Y0=2009&amp;VAR:Y1=2010&amp;VAR:V0=17.761578&amp;VAR:V1=14.270514&amp;VAR:V=14.552630&amp;VAR:AUDIT_ID=00000117&amp;VAR:DATE=20091125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Mean&amp;VAR:CHGPERIOD=NA&amp;VAR:FQLFORMULA=FMA_PE&amp;VAR:","CURRENCY=NA&amp;VAR:P=1110.629658&amp;VAR:V=14.552630&amp;VAR:null=.html"}</definedName>
    <definedName name="_90__FDSAUDITLINK__" hidden="1">{"fdsup://directions/FAT%20Viewer?VAR:TM=NTMA&amp;VAR:PCT=0.650273&amp;VAR:Y0=2008&amp;VAR:Y1=2009&amp;VAR:V0=15.023888&amp;VAR:V1=12.701565&amp;VAR:V=14.120949&amp;VAR:AUDIT_ID=00000117&amp;VAR:DATE=20080507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Mean&amp;VAR:CHGPERIOD=NA&amp;VAR:FQLFORMULA=FMA_PE&amp;VAR:","CURRENCY=NA&amp;VAR:P=1392.570800&amp;VAR:V=14.120949&amp;VAR:null=.html"}</definedName>
    <definedName name="_91__FDSAUDITLINK__" hidden="1">{"fdsup://directions/FAT%20Viewer?VAR:TM=NTMA&amp;VAR:PCT=0.669399&amp;VAR:Y0=2008&amp;VAR:Y1=2009&amp;VAR:V0=14.922815&amp;VAR:V1=12.630392&amp;VAR:V=14.078071&amp;VAR:AUDIT_ID=00000117&amp;VAR:DATE=20080430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Mean&amp;VAR:CHGPERIOD=NA&amp;VAR:FQLFORMULA=FMA_PE&amp;VAR:","CURRENCY=NA&amp;VAR:P=1385.586500&amp;VAR:V=14.078071&amp;VAR:null=.html"}</definedName>
    <definedName name="_92__FDSAUDITLINK__" hidden="1">{"fdsup://directions/FAT%20Viewer?VAR:TM=NTMA&amp;VAR:PCT=0.688525&amp;VAR:Y0=2008&amp;VAR:Y1=2009&amp;VAR:V0=14.854180&amp;VAR:V1=12.608701&amp;VAR:V=14.073515&amp;VAR:AUDIT_ID=00000117&amp;VAR:DATE=20080423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Mean&amp;VAR:CHGPERIOD=NA&amp;VAR:FQLFORMULA=FMA_PE&amp;VAR:","CURRENCY=NA&amp;VAR:P=1379.933100&amp;VAR:V=14.073515&amp;VAR:null=.html"}</definedName>
    <definedName name="_93__FDSAUDITLINK__" hidden="1">{"fdsup://directions/FAT%20Viewer?VAR:TM=NTMA&amp;VAR:PCT=0.707650&amp;VAR:Y0=2008&amp;VAR:Y1=2009&amp;VAR:V0=14.459152&amp;VAR:V1=12.416686&amp;VAR:V=13.795720&amp;VAR:AUDIT_ID=00000117&amp;VAR:DATE=20080416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Mean&amp;VAR:CHGPERIOD=NA&amp;VAR:FQLFORMULA=FMA_PE&amp;VAR:","CURRENCY=NA&amp;VAR:P=1364.706300&amp;VAR:V=13.795720&amp;VAR:null=.html"}</definedName>
    <definedName name="_94__FDSAUDITLINK__" hidden="1">{"fdsup://directions/FAT%20Viewer?VAR:TM=NTMA&amp;VAR:PCT=0.726776&amp;VAR:Y0=2008&amp;VAR:Y1=2009&amp;VAR:V0=14.241631&amp;VAR:V1=12.274486&amp;VAR:V=13.644184&amp;VAR:AUDIT_ID=00000117&amp;VAR:DATE=20080409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Mean&amp;VAR:CHGPERIOD=NA&amp;VAR:FQLFORMULA=FMA_PE&amp;VAR:","CURRENCY=NA&amp;VAR:P=1354.490400&amp;VAR:V=13.644184&amp;VAR:null=.html"}</definedName>
    <definedName name="_95__FDSAUDITLINK__" hidden="1">{"fdsup://directions/FAT%20Viewer?VAR:TM=NTMA&amp;VAR:PCT=0.745902&amp;VAR:Y0=2008&amp;VAR:Y1=2009&amp;VAR:V0=14.253346&amp;VAR:V1=12.403156&amp;VAR:V=13.732816&amp;VAR:AUDIT_ID=00000117&amp;VAR:DATE=20080402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Mean&amp;VAR:CHGPERIOD=NA&amp;VAR:FQLFORMULA=FMA_PE&amp;VAR:","CURRENCY=NA&amp;VAR:P=1367.525400&amp;VAR:V=13.732816&amp;VAR:null=.html"}</definedName>
    <definedName name="_96__FDSAUDITLINK__" hidden="1">{"fdsup://directions/FAT%20Viewer?VAR:TM=NTMA&amp;VAR:PCT=0.765027&amp;VAR:Y0=2008&amp;VAR:Y1=2009&amp;VAR:V0=13.890075&amp;VAR:V1=12.125601&amp;VAR:V=13.430843&amp;VAR:AUDIT_ID=00000117&amp;VAR:DATE=20080326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Mean&amp;VAR:CHGPERIOD=NA&amp;VAR:FQLFORMULA=FMA_PE&amp;VAR:","CURRENCY=NA&amp;VAR:P=1341.127400&amp;VAR:V=13.430843&amp;VAR:null=.html"}</definedName>
    <definedName name="_97__FDSAUDITLINK__" hidden="1">{"fdsup://directions/FAT%20Viewer?VAR:TM=NTMA&amp;VAR:PCT=0.784153&amp;VAR:Y0=2008&amp;VAR:Y1=2009&amp;VAR:V0=13.369380&amp;VAR:V1=11.714379&amp;VAR:V=12.973749&amp;VAR:AUDIT_ID=00000117&amp;VAR:DATE=20080319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Mean&amp;VAR:CHGPERIOD=NA&amp;VAR:FQLFORMULA=FMA_PE&amp;VAR:","CURRENCY=NA&amp;VAR:P=1298.421000&amp;VAR:V=12.973749&amp;VAR:null=.html"}</definedName>
    <definedName name="_98__FDSAUDITLINK__" hidden="1">{"fdsup://directions/FAT%20Viewer?VAR:TM=NTMA&amp;VAR:PCT=0.803279&amp;VAR:Y0=2008&amp;VAR:Y1=2009&amp;VAR:V0=13.403526&amp;VAR:V1=11.787623&amp;VAR:V=13.051558&amp;VAR:AUDIT_ID=00000117&amp;VAR:DATE=20080312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Mean&amp;VAR:CHGPERIOD=NA&amp;VAR:FQLFORMULA=FMA_PE&amp;VAR:","CURRENCY=NA&amp;VAR:P=1308.769800&amp;VAR:V=13.051558&amp;VAR:null=.html"}</definedName>
    <definedName name="_99__FDSAUDITLINK__" hidden="1">{"fdsup://directions/FAT%20Viewer?VAR:TM=NTMA&amp;VAR:PCT=0.822404&amp;VAR:Y0=2008&amp;VAR:Y1=2009&amp;VAR:V0=13.588279&amp;VAR:V1=11.989049&amp;VAR:V=13.273827&amp;VAR:AUDIT_ID=00000117&amp;VAR:DATE=20080305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Mean&amp;VAR:CHGPERIOD=NA&amp;VAR:FQLFORMULA=FMA_PE&amp;VAR:","CURRENCY=NA&amp;VAR:P=1333.702400&amp;VAR:V=13.273827&amp;VAR:null=.html"}</definedName>
    <definedName name="_abc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_bdm.04101DCA972149B7AEFBD4A2B84E9415.edm" localSheetId="5" hidden="1">BS!$A$6:$U$92</definedName>
    <definedName name="_bdm.04AC267E1416467B921C10EDE9012AD8.edm" hidden="1">BS!$1:$1048576</definedName>
    <definedName name="_bdm.053E436B25934121A2B4ADB10C610C0D.edm" localSheetId="5" hidden="1">BS!$A$3:$U$69</definedName>
    <definedName name="_bdm.07B2D819F0D2487BB3B6077E51BD462F.edm" localSheetId="6" hidden="1">CFS!$A$4:$T$51</definedName>
    <definedName name="_bdm.08B44F5E3A5E479A87B0F1FA255F55F2.edm" localSheetId="5" hidden="1">BS!$A$6:$T$83</definedName>
    <definedName name="_bdm.0BB765502CC2426BA45FCCA0D656B60E.edm" localSheetId="6" hidden="1">CFS!$A$6:$K$49</definedName>
    <definedName name="_bdm.1C90AF8A1ADA45B68711F45670995B45.edm" hidden="1">CFS!$1:$1048576</definedName>
    <definedName name="_bdm.3C7143E6095A410591AE3438B288F383.edm" localSheetId="6" hidden="1">CFS!$A$6:$U$57</definedName>
    <definedName name="_bdm.489CD00B248641FB9F6FAA5F0A475C6C.edm" hidden="1">#N/A</definedName>
    <definedName name="_bdm.4A399D12EDBB45339DCFFCFFE0724945.edm" hidden="1">#N/A</definedName>
    <definedName name="_bdm.4B5A3658B71E4C43894A83C9771B8C73.edm" localSheetId="6" hidden="1">CFS!$A$6:$S$57</definedName>
    <definedName name="_bdm.560B5D9FEACA4A82BD34A3B450FF866E.edm" localSheetId="6" hidden="1">CFS!$A$6:$U$60</definedName>
    <definedName name="_bdm.6060AD1A461E4188A7E44A6E9C4D0ACF.edm" localSheetId="5" hidden="1">BS!$A$6:$V$92</definedName>
    <definedName name="_bdm.62A3C1F6A16B47EEA6A71072C347B29C.edm" localSheetId="5" hidden="1">BS!$A$6:$U$89</definedName>
    <definedName name="_bdm.7635A5B4F0E44B899F21E3952499DC8D.edm" localSheetId="5" hidden="1">BS!$A$6:$T$85</definedName>
    <definedName name="_bdm.812CB32DA5834BD59E03E67F4B1941BC.edm" localSheetId="5" hidden="1">BS!$A$6:$U$69</definedName>
    <definedName name="_bdm.B2355D9057E84B2DAA521F2F013769E9.edm" localSheetId="6" hidden="1">CFS!$A$6:$T$49</definedName>
    <definedName name="_bdm.C1E589F1F11443C1A17C903F02E5641C.edm" localSheetId="5" hidden="1">BS!$A$6:$U$83</definedName>
    <definedName name="_bdm.D57048EB021C4482B3D5A319BB11DD8E.edm" localSheetId="5" hidden="1">BS!$A$6:$L$69</definedName>
    <definedName name="_bdm.F0CBD270390A4E8B983B36698544438C.edm" hidden="1">"Formula removed, name can be deleted."</definedName>
    <definedName name="_CMS1">{"CMS"}</definedName>
    <definedName name="_DIS2"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_ok2" hidden="1">{#N/A,#N/A,FALSE,"Cover";#N/A,#N/A,FALSE,"LUMI";#N/A,#N/A,FALSE,"COMD";#N/A,#N/A,FALSE,"Valuation";#N/A,#N/A,FALSE,"Assumptions";#N/A,#N/A,FALSE,"Pooling";#N/A,#N/A,FALSE,"BalanceSheet"}</definedName>
    <definedName name="_Order1" hidden="1">255</definedName>
    <definedName name="_Order2" hidden="1">255</definedName>
    <definedName name="_Prt26" localSheetId="5">BS!$A$1:$L$69</definedName>
    <definedName name="_Prt27" localSheetId="5">BS!$A$163:$L$204</definedName>
    <definedName name="_prt30">CFS!$A$4:$K$49</definedName>
    <definedName name="_qw2" hidden="1">{0,0,0,0;0,0,0,0;0,0,0,0;0,0,0,0;0,0,0,0;0,0,0,0}</definedName>
    <definedName name="_Regression_Int" hidden="1">1</definedName>
    <definedName name="_scenchg_count">1</definedName>
    <definedName name="_try2" hidden="1">{#N/A,#N/A,FALSE,"Cover";#N/A,#N/A,FALSE,"LUMI";#N/A,#N/A,FALSE,"COMD";#N/A,#N/A,FALSE,"Valuation";#N/A,#N/A,FALSE,"Assumptions";#N/A,#N/A,FALSE,"Pooling";#N/A,#N/A,FALSE,"BalanceSheet"}</definedName>
    <definedName name="_try3" hidden="1">{#N/A,#N/A,FALSE,"Cover";#N/A,#N/A,FALSE,"Assumptions";#N/A,#N/A,FALSE,"Acquirer";#N/A,#N/A,FALSE,"Target";#N/A,#N/A,FALSE,"Income Statement";#N/A,#N/A,FALSE,"Summary Tables"}</definedName>
    <definedName name="_try4" hidden="1">{#N/A,#N/A,FALSE,"Cover";#N/A,#N/A,FALSE,"LUMI";#N/A,#N/A,FALSE,"COMD";#N/A,#N/A,FALSE,"Valuation";#N/A,#N/A,FALSE,"Assumptions";#N/A,#N/A,FALSE,"Pooling";#N/A,#N/A,FALSE,"BalanceSheet"}</definedName>
    <definedName name="_try5" hidden="1">{#N/A,#N/A,FALSE,"Cover";#N/A,#N/A,FALSE,"LUMI";#N/A,#N/A,FALSE,"COMD";#N/A,#N/A,FALSE,"Valuation";#N/A,#N/A,FALSE,"Assumptions";#N/A,#N/A,FALSE,"Pooling";#N/A,#N/A,FALSE,"BalanceSheet"}</definedName>
    <definedName name="_w2" hidden="1">{"Model Summary",#N/A,FALSE,"Print Chart";"Holdco",#N/A,FALSE,"Print Chart";"Genco",#N/A,FALSE,"Print Chart";"Servco",#N/A,FALSE,"Print Chart";"Genco_Detail",#N/A,FALSE,"Summary Financials";"Servco_Detail",#N/A,FALSE,"Summary Financials"}</definedName>
    <definedName name="AAA_DOCTOPS" hidden="1">"AAA_SET"</definedName>
    <definedName name="AAA_duser" hidden="1">"OFF"</definedName>
    <definedName name="aaaa">{13}</definedName>
    <definedName name="aaaaaa">{"BMC"}</definedName>
    <definedName name="AAB_Addin5" hidden="1">"AAB_Description for addin 5,Description for addin 5,Description for addin 5,Description for addin 5,Description for addin 5,Description for addin 5"</definedName>
    <definedName name="AAB_GSPPG" hidden="1">"AAB_Goldman Sachs PPG Chart Utilities 1.0g"</definedName>
    <definedName name="abc"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ccessDatabase" hidden="1">"S:\MONTHLY\FCST97.mdb"</definedName>
    <definedName name="Actual" hidden="1">{#N/A,#N/A,TRUE,"Historicals";#N/A,#N/A,TRUE,"Charts";#N/A,#N/A,TRUE,"Forecasts"}</definedName>
    <definedName name="Actual_Price">68.09</definedName>
    <definedName name="Actual1" hidden="1">{#N/A,#N/A,TRUE,"Historicals";#N/A,#N/A,TRUE,"Charts";#N/A,#N/A,TRUE,"Forecasts"}</definedName>
    <definedName name="AdditionalInstructions">IndexInformation!$B$42</definedName>
    <definedName name="Address" localSheetId="2">ImportantDisclosures!$A$2:$A$2</definedName>
    <definedName name="adfk">{"Price","YBTVA","LC125/LC126","N","0","0","V"}</definedName>
    <definedName name="AllTab">{1}</definedName>
    <definedName name="Alltable">{1}</definedName>
    <definedName name="AllTables">{2}</definedName>
    <definedName name="alltables1">{5}</definedName>
    <definedName name="AllTables2">{15}</definedName>
    <definedName name="ANA" localSheetId="8">ModPubIndex!$A$7</definedName>
    <definedName name="anscount" hidden="1">1</definedName>
    <definedName name="AS2DocOpenMode" hidden="1">"AS2DocumentEdit"</definedName>
    <definedName name="Authors" localSheetId="2">ImportantDisclosures!$A$7</definedName>
    <definedName name="Authors" localSheetId="7">IndexInformation!$B$18</definedName>
    <definedName name="blurb" hidden="1">{#N/A,#N/A,FALSE,"Cover";#N/A,#N/A,FALSE,"LUMI";#N/A,#N/A,FALSE,"COMD";#N/A,#N/A,FALSE,"Valuation";#N/A,#N/A,FALSE,"Assumptions";#N/A,#N/A,FALSE,"Pooling";#N/A,#N/A,FALSE,"BalanceSheet"}</definedName>
    <definedName name="blurb2" hidden="1">{#N/A,#N/A,FALSE,"Cover";#N/A,#N/A,FALSE,"LUMI";#N/A,#N/A,FALSE,"COMD";#N/A,#N/A,FALSE,"Valuation";#N/A,#N/A,FALSE,"Assumptions";#N/A,#N/A,FALSE,"Pooling";#N/A,#N/A,FALSE,"BalanceSheet"}</definedName>
    <definedName name="blurb3" hidden="1">{#N/A,#N/A,FALSE,"Cover";#N/A,#N/A,FALSE,"LUMI";#N/A,#N/A,FALSE,"COMD";#N/A,#N/A,FALSE,"Valuation";#N/A,#N/A,FALSE,"Assumptions";#N/A,#N/A,FALSE,"Pooling";#N/A,#N/A,FALSE,"BalanceSheet"}</definedName>
    <definedName name="BRO" localSheetId="8">ModPubIndex!$A$1</definedName>
    <definedName name="Buttons" localSheetId="3">CircularReferenceAlert!$B$13:$B$15</definedName>
    <definedName name="cboCurrHist">"cboActivityType"</definedName>
    <definedName name="Changeme">{"Client Name or Project Name"}</definedName>
    <definedName name="Chart_COE">#REF!:OFFSET(#REF!,0,#REF!)</definedName>
    <definedName name="Chart_RNOA">#REF!:OFFSET(#REF!,0,#REF!)</definedName>
    <definedName name="Chart_ROE">#REF!:OFFSET(#REF!,0,#REF!)</definedName>
    <definedName name="Chart_WACC">#REF!:OFFSET(#REF!,0,#REF!)</definedName>
    <definedName name="Choices_Wrapper">[0]!Choices_Wrapper</definedName>
    <definedName name="CMS">{"CMS"}</definedName>
    <definedName name="ConsolidatedW">{"Client Name or Project Name"}</definedName>
    <definedName name="CopyrightStamp">ImportantDisclosures!$A$27</definedName>
    <definedName name="COU" localSheetId="8">ModPubIndex!$A$5</definedName>
    <definedName name="CQEnd" localSheetId="7">IndexInformation!$B$31</definedName>
    <definedName name="Currency" localSheetId="7">IndexInformation!$B$24</definedName>
    <definedName name="CurrentStockPrice" localSheetId="7">IndexInformation!$B$23</definedName>
    <definedName name="CurrQtrEPS" localSheetId="7">IndexInformation!$B$29</definedName>
    <definedName name="CurrYearEPS" localSheetId="7">IndexInformation!$B$11</definedName>
    <definedName name="CurrYearTotalRevenue" localSheetId="7">IndexInformation!$B$10</definedName>
    <definedName name="CurrYearTotalRevenueActual" localSheetId="7">IndexInformation!$B$32</definedName>
    <definedName name="CUSIP" localSheetId="7">IndexInformation!$B$20</definedName>
    <definedName name="CYEnd" localSheetId="7">IndexInformation!$B$30</definedName>
    <definedName name="d" hidden="1">{#N/A,#N/A,FALSE,"Valuation";#N/A,#N/A,FALSE,"P&amp;L";#N/A,#N/A,FALSE,"Balance Sheet";#N/A,#N/A,FALSE,"Cash Flow";#N/A,#N/A,FALSE,"Revenue Model";#N/A,#N/A,FALSE,"Consumables";#N/A,#N/A,FALSE,"Instruments";#N/A,#N/A,FALSE,"Genomics";#N/A,#N/A,FALSE,"PreAnalytix JV";#N/A,#N/A,FALSE,"DCF Valuation"}</definedName>
    <definedName name="dataseries3">#N/A</definedName>
    <definedName name="dataseries5">#N/A</definedName>
    <definedName name="Date" localSheetId="2">ImportantDisclosures!$A$8</definedName>
    <definedName name="ddd">{13}</definedName>
    <definedName name="ddddd">{"BMC"}</definedName>
    <definedName name="Deleted" localSheetId="7">IndexInformation!$B$27</definedName>
    <definedName name="depn" hidden="1">{#N/A,#N/A,FALSE,"P&amp;L";#N/A,#N/A,FALSE,"fund";#N/A,#N/A,FALSE,"B.S.";#N/A,#N/A,FALSE,"tax-P&amp;L";#N/A,#N/A,FALSE,"tax-tarif1"}</definedName>
    <definedName name="DepreciationAcq" hidden="1">{"Quarterly Analysis",#N/A,FALSE,"Income"}</definedName>
    <definedName name="Description" localSheetId="7">IndexInformation!$B$7</definedName>
    <definedName name="DEVELOPMENT">5</definedName>
    <definedName name="dfasd">{"Project PPaids"}</definedName>
    <definedName name="Discipline" localSheetId="7">IndexInformation!$B$3</definedName>
    <definedName name="DISCIPLINE" localSheetId="8">ModPubIndex!$A$12</definedName>
    <definedName name="Disclaimers" hidden="1">{"standard",#N/A,FALSE,"KLMNUMB"}</definedName>
    <definedName name="Disclaimers2">{"Client Name or Project Name"}</definedName>
    <definedName name="Disclaimers3" hidden="1">{"quarterly",#N/A,FALSE,"KLMNUMB"}</definedName>
    <definedName name="DisclosuresText">ImportantDisclosures!$A$22</definedName>
    <definedName name="Distribution" localSheetId="7">IndexInformation!$B$26</definedName>
    <definedName name="DistTable" localSheetId="2">ImportantDisclosures!#REF!</definedName>
    <definedName name="DistTablePreamble" localSheetId="2">ImportantDisclosures!#REF!</definedName>
    <definedName name="DOCDAT" localSheetId="8">ModPubIndex!$A$2</definedName>
    <definedName name="DOCTIME" localSheetId="8">ModPubIndex!$A$3</definedName>
    <definedName name="DocType" localSheetId="7">IndexInformation!$B$5</definedName>
    <definedName name="dsf" hidden="1">{"Variance Q3",#N/A,FALSE,"Var"}</definedName>
    <definedName name="dsfdsfd" hidden="1">{#N/A,#N/A,FALSE,"Cover";#N/A,#N/A,FALSE,"LUMI";#N/A,#N/A,FALSE,"COMD";#N/A,#N/A,FALSE,"Valuation";#N/A,#N/A,FALSE,"Assumptions";#N/A,#N/A,FALSE,"Pooling";#N/A,#N/A,FALSE,"BalanceSheet"}</definedName>
    <definedName name="DYNO">"TARGET"</definedName>
    <definedName name="dzsf">{"Client Name or Project Name"}</definedName>
    <definedName name="e">{"Client Name or Project Name"}</definedName>
    <definedName name="edwin">{"EMC Financial Projections"}</definedName>
    <definedName name="Elim">{5}</definedName>
    <definedName name="EMAIL_ALERT" localSheetId="8">ModPubIndex!$A$10</definedName>
    <definedName name="EmailAlert" localSheetId="7">IndexInformation!$B$28</definedName>
    <definedName name="Entergy">segments</definedName>
    <definedName name="ERR.MSG">"Calculation not valid for total year."</definedName>
    <definedName name="EssAliasTable">"Default"</definedName>
    <definedName name="EssLatest">"December"</definedName>
    <definedName name="EssOptions">"A2100100000131101000001100000_01000"</definedName>
    <definedName name="ev.Calculation" hidden="1">-4105</definedName>
    <definedName name="ev.Initialized" hidden="1">FALSE</definedName>
    <definedName name="extr" hidden="1">{"P&amp;L",#N/A,TRUE,"HC";"P&amp;L Percents",#N/A,TRUE,"P&amp;L";"M&amp;A3 P&amp;L",#N/A,TRUE,"HC";"M&amp;A3 Pipeline",#N/A,TRUE,"HC";"Franchises",#N/A,TRUE,"HC";"CF&amp;BS",#N/A,TRUE,"HC"}</definedName>
    <definedName name="extr1" hidden="1">{"P&amp;L",#N/A,TRUE,"HC";"P&amp;L Percents",#N/A,TRUE,"P&amp;L";"M&amp;A3 P&amp;L",#N/A,TRUE,"HC";"M&amp;A3 Pipeline",#N/A,TRUE,"HC";"Franchises",#N/A,TRUE,"HC";"CF&amp;BS",#N/A,TRUE,"HC"}</definedName>
    <definedName name="ｆ" hidden="1">"iQShowAnnual"</definedName>
    <definedName name="Falc">{"Inco"}</definedName>
    <definedName name="fd" hidden="1">{#N/A,#N/A,TRUE,"Comps";#N/A,#N/A,TRUE,"Notes";#N/A,#N/A,TRUE,"Trend Analysis 97";#N/A,#N/A,TRUE,"Trend Analysis 98"}</definedName>
    <definedName name="feers" hidden="1">{#N/A,#N/A,FALSE,"Cover";#N/A,#N/A,FALSE,"LUMI";#N/A,#N/A,FALSE,"COMD";#N/A,#N/A,FALSE,"Valuation";#N/A,#N/A,FALSE,"Assumptions";#N/A,#N/A,FALSE,"Pooling";#N/A,#N/A,FALSE,"BalanceSheet"}</definedName>
    <definedName name="ff" hidden="1">{#N/A,#N/A,FALSE,"A"}</definedName>
    <definedName name="fgfdgfgfg" hidden="1">{#N/A,#N/A,FALSE,"Cover";#N/A,#N/A,FALSE,"LUMI";#N/A,#N/A,FALSE,"COMD";#N/A,#N/A,FALSE,"Valuation";#N/A,#N/A,FALSE,"Assumptions";#N/A,#N/A,FALSE,"Pooling";#N/A,#N/A,FALSE,"BalanceSheet"}</definedName>
    <definedName name="fgfdgfgfgfg" hidden="1">{#N/A,#N/A,FALSE,"Cover";#N/A,#N/A,FALSE,"Assumptions";#N/A,#N/A,FALSE,"Acquirer";#N/A,#N/A,FALSE,"Target";#N/A,#N/A,FALSE,"Income Statement";#N/A,#N/A,FALSE,"Summary Tables"}</definedName>
    <definedName name="fgl">{"Client Name or Project Name"}</definedName>
    <definedName name="FiveYearGrowthRate" localSheetId="7">IndexInformation!$B$16</definedName>
    <definedName name="FollowingYearEPS" localSheetId="7">IndexInformation!$B$15</definedName>
    <definedName name="FollowingYearTotalRevenue" localSheetId="7">IndexInformation!$B$14</definedName>
    <definedName name="FollowingYearTotalRevenueActual" localSheetId="7">IndexInformation!$B$34</definedName>
    <definedName name="forecast" hidden="1">{"cover a","1q",FALSE,"Cover";"Op Earn Mgd Q1",#N/A,FALSE,"Op-Earn (Mng)";"Op Earn Rpt Q1",#N/A,FALSE,"Op-Earn (Rpt)";"Loans",#N/A,FALSE,"Loans";"Credit Costs",#N/A,FALSE,"CCosts";"Net Interest Margin",#N/A,FALSE,"Margin";"Nonint Income",#N/A,FALSE,"NonII";"Nonint Exp",#N/A,FALSE,"NonIE";"Valuation",#N/A,FALSE,"Valuation"}</definedName>
    <definedName name="FraChart" hidden="1">{"standard",#N/A,FALSE,"KLMNUMB"}</definedName>
    <definedName name="FSTicker">"NA"</definedName>
    <definedName name="gh" hidden="1">{"Cover",#N/A,FALSE,"Cover";"Summary",#N/A,FALSE,"Summarpage"}</definedName>
    <definedName name="ha" hidden="1">{"Reader",#N/A,FALSE,"Summary";"Reader",#N/A,FALSE,"Buildup";"Reader",#N/A,FALSE,"Financials";"Reader",#N/A,FALSE,"Debt &amp; Other"}</definedName>
    <definedName name="hhh">{"Client Name or Project Name"}</definedName>
    <definedName name="hjhjhj" hidden="1">{#N/A,#N/A,FALSE,"Index";"Stmts_Qtrs",#N/A,FALSE,"Summary";"Stmts_24 mo",#N/A,FALSE,"Summary";"Summary_24",#N/A,FALSE,"Revenue";"Month_24",#N/A,FALSE,"Engineering";"Month_24",#N/A,FALSE,"Marketing";"Month_24",#N/A,FALSE,"G &amp; A";"Month_24",#N/A,FALSE,"Manufacturing"}</definedName>
    <definedName name="HK" hidden="1">{"Reader",#N/A,FALSE,"Summary";"Reader",#N/A,FALSE,"Buildup";"Reader",#N/A,FALSE,"Financials";"Reader",#N/A,FALSE,"Debt &amp; Other"}</definedName>
    <definedName name="hka" hidden="1">{"Reader",#N/A,FALSE,"Summary";"Reader",#N/A,FALSE,"Buildup";"Reader",#N/A,FALSE,"Financials";"Reader",#N/A,FALSE,"Debt &amp; Other"}</definedName>
    <definedName name="HL" localSheetId="8">ModPubIndex!$A$8</definedName>
    <definedName name="hn.ExtDb" hidden="1">FALSE</definedName>
    <definedName name="hn.ModelType" hidden="1">"DEAL"</definedName>
    <definedName name="hn.ModelVersion" hidden="1">1</definedName>
    <definedName name="hn.NoUpload" hidden="1">0</definedName>
    <definedName name="hp">{4}</definedName>
    <definedName name="HPQ">{13}</definedName>
    <definedName name="i" hidden="1">{"Qtr Op Mgd Q3",#N/A,FALSE,"Qtr-Op (Mng)";"Qtr Op Rpt Q3",#N/A,FALSE,"Qtr-Op (Rpt)";"Operating Vs Reported",#N/A,FALSE,"Rpt-Op Inc"}</definedName>
    <definedName name="IND" localSheetId="8">ModPubIndex!$A$9</definedName>
    <definedName name="Industry" localSheetId="2">ImportantDisclosures!$A$12</definedName>
    <definedName name="IndustryId">IndexInformation!$B$40</definedName>
    <definedName name="IndustryRating" localSheetId="2">ImportantDisclosures!$A$13</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30YR_FIXED_MORTGAGE" hidden="1">"c6811"</definedName>
    <definedName name="IQ_30YR_FIXED_MORTGAGE_FC" hidden="1">"c7691"</definedName>
    <definedName name="IQ_30YR_FIXED_MORTGAGE_POP" hidden="1">"c7031"</definedName>
    <definedName name="IQ_30YR_FIXED_MORTGAGE_POP_FC" hidden="1">"c7911"</definedName>
    <definedName name="IQ_30YR_FIXED_MORTGAGE_YOY" hidden="1">"c7251"</definedName>
    <definedName name="IQ_30YR_FIXED_MORTGAGE_YOY_FC" hidden="1">"c8131"</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CTUAL_PRODUCTION_ALUM" hidden="1">"c9247"</definedName>
    <definedName name="IQ_ACTUAL_PRODUCTION_CATHODE_COP" hidden="1">"c9192"</definedName>
    <definedName name="IQ_ACTUAL_PRODUCTION_COAL" hidden="1">"c9821"</definedName>
    <definedName name="IQ_ACTUAL_PRODUCTION_COP" hidden="1">"c9191"</definedName>
    <definedName name="IQ_ACTUAL_PRODUCTION_DIAM" hidden="1">"c9671"</definedName>
    <definedName name="IQ_ACTUAL_PRODUCTION_GOLD" hidden="1">"c9032"</definedName>
    <definedName name="IQ_ACTUAL_PRODUCTION_IRON" hidden="1">"c9406"</definedName>
    <definedName name="IQ_ACTUAL_PRODUCTION_LEAD" hidden="1">"c9459"</definedName>
    <definedName name="IQ_ACTUAL_PRODUCTION_MANG" hidden="1">"c9512"</definedName>
    <definedName name="IQ_ACTUAL_PRODUCTION_MET_COAL" hidden="1">"c9761"</definedName>
    <definedName name="IQ_ACTUAL_PRODUCTION_MOLYB" hidden="1">"c9724"</definedName>
    <definedName name="IQ_ACTUAL_PRODUCTION_NICK" hidden="1">"c9300"</definedName>
    <definedName name="IQ_ACTUAL_PRODUCTION_PLAT" hidden="1">"c9138"</definedName>
    <definedName name="IQ_ACTUAL_PRODUCTION_SILVER" hidden="1">"c9085"</definedName>
    <definedName name="IQ_ACTUAL_PRODUCTION_STEAM" hidden="1">"c9791"</definedName>
    <definedName name="IQ_ACTUAL_PRODUCTION_TITAN" hidden="1">"c9565"</definedName>
    <definedName name="IQ_ACTUAL_PRODUCTION_URAN" hidden="1">"c9618"</definedName>
    <definedName name="IQ_ACTUAL_PRODUCTION_ZINC" hidden="1">"c9353"</definedName>
    <definedName name="IQ_AD" hidden="1">"c7"</definedName>
    <definedName name="IQ_ADD_PAID_IN" hidden="1">"c1344"</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JUSTED_NAV_COVERED" hidden="1">"c9963"</definedName>
    <definedName name="IQ_ADJUSTED_NAV_GROUP" hidden="1">"c9949"</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FO" hidden="1">"c8756"</definedName>
    <definedName name="IQ_AFFO_PER_SHARE_BASIC" hidden="1">"c8869"</definedName>
    <definedName name="IQ_AFFO_PER_SHARE_DILUTED" hidden="1">"c8870"</definedName>
    <definedName name="IQ_AFTER_TAX_INCOME_FDIC" hidden="1">"c6583"</definedName>
    <definedName name="IQ_AGENCY" hidden="1">"c8960"</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AVG_PSGR_FARE" hidden="1">"c10029"</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NUMBER_HRS_FLOWN" hidden="1">"c10037"</definedName>
    <definedName name="IQ_AIR_NUMBER_OPERATING_AIRCRAFT_AVG" hidden="1">"c10035"</definedName>
    <definedName name="IQ_AIR_NUMBER_TRIPS_FLOWN" hidden="1">"c10030"</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EX_PER_ASK_EXCL_FUEL" hidden="1">"c10034"</definedName>
    <definedName name="IQ_AIR_OPEX_PER_ASM_EXCL_FUEL" hidden="1">"c10033"</definedName>
    <definedName name="IQ_AIR_OPTIONS" hidden="1">"c2837"</definedName>
    <definedName name="IQ_AIR_ORDERS" hidden="1">"c2836"</definedName>
    <definedName name="IQ_AIR_OWNED" hidden="1">"c2832"</definedName>
    <definedName name="IQ_AIR_PERCENTAGE_SALES_VIA_INTERNET" hidden="1">"c10036"</definedName>
    <definedName name="IQ_AIR_PSGR_HAUL_AVG_LENGTH_KM" hidden="1">"c10032"</definedName>
    <definedName name="IQ_AIR_PSGR_HAUL_AVG_LENGTH_MILES" hidden="1">"c10031"</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"c1591"</definedName>
    <definedName name="IQ_AMORTIZED_COST_FDIC" hidden="1">"c6426"</definedName>
    <definedName name="IQ_AMT_OUT" hidden="1">"c2145"</definedName>
    <definedName name="IQ_ANNU_DISTRIBUTION_UNIT" hidden="1">"c3004"</definedName>
    <definedName name="IQ_ANNUAL_DIVIDEND" hidden="1">"c229"</definedName>
    <definedName name="IQ_ANNUAL_PREMIUM_EQUIVALENT_NEW_BUSINESS" hidden="1">"c9972"</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AP" hidden="1">"c8883"</definedName>
    <definedName name="IQ_ASSETS_AP_ABS" hidden="1">"c8902"</definedName>
    <definedName name="IQ_ASSETS_CAP_LEASE_DEPR" hidden="1">"c2068"</definedName>
    <definedName name="IQ_ASSETS_CAP_LEASE_GROSS" hidden="1">"c2069"</definedName>
    <definedName name="IQ_ASSETS_HELD_FDIC" hidden="1">"c6305"</definedName>
    <definedName name="IQ_ASSETS_NAME_AP" hidden="1">"c8921"</definedName>
    <definedName name="IQ_ASSETS_NAME_AP_ABS" hidden="1">"c8940"</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M" hidden="1">"c10043"</definedName>
    <definedName name="IQ_AUM_EQUITY_FUNDS" hidden="1">"c10039"</definedName>
    <definedName name="IQ_AUM_FIXED_INCOME_FUNDS" hidden="1">"c10040"</definedName>
    <definedName name="IQ_AUM_MONEY_MARKET_FUNDS" hidden="1">"c10041"</definedName>
    <definedName name="IQ_AUM_OTHER" hidden="1">"c10042"</definedName>
    <definedName name="IQ_AUTO_REGIST_NEW" hidden="1">"c6923"</definedName>
    <definedName name="IQ_AUTO_REGIST_NEW_APR" hidden="1">"c7583"</definedName>
    <definedName name="IQ_AUTO_REGIST_NEW_APR_FC" hidden="1">"c8463"</definedName>
    <definedName name="IQ_AUTO_REGIST_NEW_FC" hidden="1">"c7803"</definedName>
    <definedName name="IQ_AUTO_REGIST_NEW_POP" hidden="1">"c7143"</definedName>
    <definedName name="IQ_AUTO_REGIST_NEW_POP_FC" hidden="1">"c8023"</definedName>
    <definedName name="IQ_AUTO_REGIST_NEW_YOY" hidden="1">"c7363"</definedName>
    <definedName name="IQ_AUTO_REGIST_NEW_YOY_FC" hidden="1">"c8243"</definedName>
    <definedName name="IQ_AUTO_SALES_DOM" hidden="1">"c6852"</definedName>
    <definedName name="IQ_AUTO_SALES_DOM_APR" hidden="1">"c7512"</definedName>
    <definedName name="IQ_AUTO_SALES_DOM_APR_FC" hidden="1">"c8392"</definedName>
    <definedName name="IQ_AUTO_SALES_DOM_FC" hidden="1">"c7732"</definedName>
    <definedName name="IQ_AUTO_SALES_DOM_POP" hidden="1">"c7072"</definedName>
    <definedName name="IQ_AUTO_SALES_DOM_POP_FC" hidden="1">"c7952"</definedName>
    <definedName name="IQ_AUTO_SALES_DOM_YOY" hidden="1">"c7292"</definedName>
    <definedName name="IQ_AUTO_SALES_DOM_YOY_FC" hidden="1">"c8172"</definedName>
    <definedName name="IQ_AUTO_SALES_FOREIGN" hidden="1">"c6873"</definedName>
    <definedName name="IQ_AUTO_SALES_FOREIGN_APR" hidden="1">"c7533"</definedName>
    <definedName name="IQ_AUTO_SALES_FOREIGN_APR_FC" hidden="1">"c8413"</definedName>
    <definedName name="IQ_AUTO_SALES_FOREIGN_FC" hidden="1">"c7753"</definedName>
    <definedName name="IQ_AUTO_SALES_FOREIGN_POP" hidden="1">"c7093"</definedName>
    <definedName name="IQ_AUTO_SALES_FOREIGN_POP_FC" hidden="1">"c7973"</definedName>
    <definedName name="IQ_AUTO_SALES_FOREIGN_YOY" hidden="1">"c7313"</definedName>
    <definedName name="IQ_AUTO_SALES_FOREIGN_YOY_FC" hidden="1">"c8193"</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CIQ" hidden="1">"c3612"</definedName>
    <definedName name="IQ_AVG_BROKER_REC_NO" hidden="1">"c64"</definedName>
    <definedName name="IQ_AVG_BROKER_REC_NO_CIQ" hidden="1">"c4657"</definedName>
    <definedName name="IQ_AVG_BROKER_REC_NO_REUT" hidden="1">"c5315"</definedName>
    <definedName name="IQ_AVG_BROKER_REC_NO_THOM" hidden="1">"c5094"</definedName>
    <definedName name="IQ_AVG_BROKER_REC_REUT" hidden="1">"c3630"</definedName>
    <definedName name="IQ_AVG_BROKER_REC_THOM" hidden="1">"c3648"</definedName>
    <definedName name="IQ_AVG_CALORIFIC_VALUE_COAL" hidden="1">"c9828"</definedName>
    <definedName name="IQ_AVG_CALORIFIC_VALUE_MET_COAL" hidden="1">"c9764"</definedName>
    <definedName name="IQ_AVG_CALORIFIC_VALUE_STEAM" hidden="1">"c9794"</definedName>
    <definedName name="IQ_AVG_DAILY_VOL" hidden="1">"c65"</definedName>
    <definedName name="IQ_AVG_EMPLOYEES" hidden="1">"c6019"</definedName>
    <definedName name="IQ_AVG_GRADE_ALUM" hidden="1">"c9254"</definedName>
    <definedName name="IQ_AVG_GRADE_COP" hidden="1">"c9201"</definedName>
    <definedName name="IQ_AVG_GRADE_DIAM" hidden="1">"c9678"</definedName>
    <definedName name="IQ_AVG_GRADE_GOLD" hidden="1">"c9039"</definedName>
    <definedName name="IQ_AVG_GRADE_IRON" hidden="1">"c9413"</definedName>
    <definedName name="IQ_AVG_GRADE_LEAD" hidden="1">"c9466"</definedName>
    <definedName name="IQ_AVG_GRADE_MANG" hidden="1">"c9519"</definedName>
    <definedName name="IQ_AVG_GRADE_MOLYB" hidden="1">"c9731"</definedName>
    <definedName name="IQ_AVG_GRADE_NICK" hidden="1">"c9307"</definedName>
    <definedName name="IQ_AVG_GRADE_PLAT" hidden="1">"c9145"</definedName>
    <definedName name="IQ_AVG_GRADE_SILVER" hidden="1">"c9092"</definedName>
    <definedName name="IQ_AVG_GRADE_TITAN" hidden="1">"c9572"</definedName>
    <definedName name="IQ_AVG_GRADE_URAN" hidden="1">"c9625"</definedName>
    <definedName name="IQ_AVG_GRADE_ZINC" hidden="1">"c9360"</definedName>
    <definedName name="IQ_AVG_INDUSTRY_REC" hidden="1">"c4455"</definedName>
    <definedName name="IQ_AVG_INDUSTRY_REC_CIQ" hidden="1">"c4984"</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ICE_TARGET" hidden="1">"c82"</definedName>
    <definedName name="IQ_AVG_PRODUCTION_PER_MINE_ALUM" hidden="1">"c9249"</definedName>
    <definedName name="IQ_AVG_PRODUCTION_PER_MINE_COAL" hidden="1">"c9823"</definedName>
    <definedName name="IQ_AVG_PRODUCTION_PER_MINE_COP" hidden="1">"c9194"</definedName>
    <definedName name="IQ_AVG_PRODUCTION_PER_MINE_DIAM" hidden="1">"c9673"</definedName>
    <definedName name="IQ_AVG_PRODUCTION_PER_MINE_GOLD" hidden="1">"c9034"</definedName>
    <definedName name="IQ_AVG_PRODUCTION_PER_MINE_IRON" hidden="1">"c9408"</definedName>
    <definedName name="IQ_AVG_PRODUCTION_PER_MINE_LEAD" hidden="1">"c9461"</definedName>
    <definedName name="IQ_AVG_PRODUCTION_PER_MINE_MANG" hidden="1">"c9514"</definedName>
    <definedName name="IQ_AVG_PRODUCTION_PER_MINE_MOLYB" hidden="1">"c9726"</definedName>
    <definedName name="IQ_AVG_PRODUCTION_PER_MINE_NICK" hidden="1">"c9302"</definedName>
    <definedName name="IQ_AVG_PRODUCTION_PER_MINE_PLAT" hidden="1">"c9140"</definedName>
    <definedName name="IQ_AVG_PRODUCTION_PER_MINE_SILVER" hidden="1">"c9087"</definedName>
    <definedName name="IQ_AVG_PRODUCTION_PER_MINE_TITAN" hidden="1">"c9567"</definedName>
    <definedName name="IQ_AVG_PRODUCTION_PER_MINE_URAN" hidden="1">"c9620"</definedName>
    <definedName name="IQ_AVG_PRODUCTION_PER_MINE_ZINC" hidden="1">"c9355"</definedName>
    <definedName name="IQ_AVG_REAL_PRICE_POST_TREAT_REFINING_ALUM" hidden="1">"c9259"</definedName>
    <definedName name="IQ_AVG_REAL_PRICE_POST_TREAT_REFINING_COP" hidden="1">"c9206"</definedName>
    <definedName name="IQ_AVG_REAL_PRICE_POST_TREAT_REFINING_DIAM" hidden="1">"c9683"</definedName>
    <definedName name="IQ_AVG_REAL_PRICE_POST_TREAT_REFINING_GOLD" hidden="1">"c9044"</definedName>
    <definedName name="IQ_AVG_REAL_PRICE_POST_TREAT_REFINING_IRON" hidden="1">"c9418"</definedName>
    <definedName name="IQ_AVG_REAL_PRICE_POST_TREAT_REFINING_LEAD" hidden="1">"c9471"</definedName>
    <definedName name="IQ_AVG_REAL_PRICE_POST_TREAT_REFINING_MANG" hidden="1">"c9524"</definedName>
    <definedName name="IQ_AVG_REAL_PRICE_POST_TREAT_REFINING_MOLYB" hidden="1">"c9736"</definedName>
    <definedName name="IQ_AVG_REAL_PRICE_POST_TREAT_REFINING_NICK" hidden="1">"c9311"</definedName>
    <definedName name="IQ_AVG_REAL_PRICE_POST_TREAT_REFINING_PLAT" hidden="1">"c9150"</definedName>
    <definedName name="IQ_AVG_REAL_PRICE_POST_TREAT_REFINING_SILVER" hidden="1">"c9097"</definedName>
    <definedName name="IQ_AVG_REAL_PRICE_POST_TREAT_REFINING_TITAN" hidden="1">"c9577"</definedName>
    <definedName name="IQ_AVG_REAL_PRICE_POST_TREAT_REFINING_URAN" hidden="1">"c9630"</definedName>
    <definedName name="IQ_AVG_REAL_PRICE_POST_TREAT_REFINING_ZINC" hidden="1">"c9365"</definedName>
    <definedName name="IQ_AVG_REAL_PRICE_PRE_TREAT_REFINING_ALUM" hidden="1">"c9258"</definedName>
    <definedName name="IQ_AVG_REAL_PRICE_PRE_TREAT_REFINING_COP" hidden="1">"c9205"</definedName>
    <definedName name="IQ_AVG_REAL_PRICE_PRE_TREAT_REFINING_DIAM" hidden="1">"c9682"</definedName>
    <definedName name="IQ_AVG_REAL_PRICE_PRE_TREAT_REFINING_GOLD" hidden="1">"c9043"</definedName>
    <definedName name="IQ_AVG_REAL_PRICE_PRE_TREAT_REFINING_IRON" hidden="1">"c9417"</definedName>
    <definedName name="IQ_AVG_REAL_PRICE_PRE_TREAT_REFINING_LEAD" hidden="1">"c9470"</definedName>
    <definedName name="IQ_AVG_REAL_PRICE_PRE_TREAT_REFINING_MANG" hidden="1">"c9523"</definedName>
    <definedName name="IQ_AVG_REAL_PRICE_PRE_TREAT_REFINING_MOLYB" hidden="1">"c9735"</definedName>
    <definedName name="IQ_AVG_REAL_PRICE_PRE_TREAT_REFINING_NICK" hidden="1">"c9312"</definedName>
    <definedName name="IQ_AVG_REAL_PRICE_PRE_TREAT_REFINING_PLAT" hidden="1">"c9149"</definedName>
    <definedName name="IQ_AVG_REAL_PRICE_PRE_TREAT_REFINING_SILVER" hidden="1">"c9096"</definedName>
    <definedName name="IQ_AVG_REAL_PRICE_PRE_TREAT_REFINING_TITAN" hidden="1">"c9576"</definedName>
    <definedName name="IQ_AVG_REAL_PRICE_PRE_TREAT_REFINING_URAN" hidden="1">"c9629"</definedName>
    <definedName name="IQ_AVG_REAL_PRICE_PRE_TREAT_REFINING_ZINC" hidden="1">"c9364"</definedName>
    <definedName name="IQ_AVG_REALIZED_PRICE_AFTER_HEDGING_ALUM" hidden="1">"c9257"</definedName>
    <definedName name="IQ_AVG_REALIZED_PRICE_AFTER_HEDGING_COAL" hidden="1">"c9830"</definedName>
    <definedName name="IQ_AVG_REALIZED_PRICE_AFTER_HEDGING_COP" hidden="1">"c9204"</definedName>
    <definedName name="IQ_AVG_REALIZED_PRICE_AFTER_HEDGING_DIAM" hidden="1">"c9681"</definedName>
    <definedName name="IQ_AVG_REALIZED_PRICE_AFTER_HEDGING_GOLD" hidden="1">"c9042"</definedName>
    <definedName name="IQ_AVG_REALIZED_PRICE_AFTER_HEDGING_IRON" hidden="1">"c9416"</definedName>
    <definedName name="IQ_AVG_REALIZED_PRICE_AFTER_HEDGING_LEAD" hidden="1">"c9469"</definedName>
    <definedName name="IQ_AVG_REALIZED_PRICE_AFTER_HEDGING_MANG" hidden="1">"c9522"</definedName>
    <definedName name="IQ_AVG_REALIZED_PRICE_AFTER_HEDGING_MET_COAL" hidden="1">"c9766"</definedName>
    <definedName name="IQ_AVG_REALIZED_PRICE_AFTER_HEDGING_MOLYB" hidden="1">"c9734"</definedName>
    <definedName name="IQ_AVG_REALIZED_PRICE_AFTER_HEDGING_NICK" hidden="1">"c9310"</definedName>
    <definedName name="IQ_AVG_REALIZED_PRICE_AFTER_HEDGING_PLAT" hidden="1">"c9148"</definedName>
    <definedName name="IQ_AVG_REALIZED_PRICE_AFTER_HEDGING_SILVER" hidden="1">"c9095"</definedName>
    <definedName name="IQ_AVG_REALIZED_PRICE_AFTER_HEDGING_STEAM" hidden="1">"c9796"</definedName>
    <definedName name="IQ_AVG_REALIZED_PRICE_AFTER_HEDGING_TITAN" hidden="1">"c9575"</definedName>
    <definedName name="IQ_AVG_REALIZED_PRICE_AFTER_HEDGING_URAN" hidden="1">"c9628"</definedName>
    <definedName name="IQ_AVG_REALIZED_PRICE_AFTER_HEDGING_ZINC" hidden="1">"c9363"</definedName>
    <definedName name="IQ_AVG_REALIZED_PRICE_BEFORE_HEDGING_ALUM" hidden="1">"c9256"</definedName>
    <definedName name="IQ_AVG_REALIZED_PRICE_BEFORE_HEDGING_COAL" hidden="1">"c9829"</definedName>
    <definedName name="IQ_AVG_REALIZED_PRICE_BEFORE_HEDGING_COP" hidden="1">"c9203"</definedName>
    <definedName name="IQ_AVG_REALIZED_PRICE_BEFORE_HEDGING_DIAM" hidden="1">"c9680"</definedName>
    <definedName name="IQ_AVG_REALIZED_PRICE_BEFORE_HEDGING_GOLD" hidden="1">"c9041"</definedName>
    <definedName name="IQ_AVG_REALIZED_PRICE_BEFORE_HEDGING_IRON" hidden="1">"c9415"</definedName>
    <definedName name="IQ_AVG_REALIZED_PRICE_BEFORE_HEDGING_LEAD" hidden="1">"c9468"</definedName>
    <definedName name="IQ_AVG_REALIZED_PRICE_BEFORE_HEDGING_MANG" hidden="1">"c9521"</definedName>
    <definedName name="IQ_AVG_REALIZED_PRICE_BEFORE_HEDGING_MET_COAL" hidden="1">"c9765"</definedName>
    <definedName name="IQ_AVG_REALIZED_PRICE_BEFORE_HEDGING_MOLYB" hidden="1">"c9733"</definedName>
    <definedName name="IQ_AVG_REALIZED_PRICE_BEFORE_HEDGING_NICK" hidden="1">"c9309"</definedName>
    <definedName name="IQ_AVG_REALIZED_PRICE_BEFORE_HEDGING_PLAT" hidden="1">"c9147"</definedName>
    <definedName name="IQ_AVG_REALIZED_PRICE_BEFORE_HEDGING_SILVER" hidden="1">"c9094"</definedName>
    <definedName name="IQ_AVG_REALIZED_PRICE_BEFORE_HEDGING_STEAM" hidden="1">"c9795"</definedName>
    <definedName name="IQ_AVG_REALIZED_PRICE_BEFORE_HEDGING_TITAN" hidden="1">"c9574"</definedName>
    <definedName name="IQ_AVG_REALIZED_PRICE_BEFORE_HEDGING_URAN" hidden="1">"c9627"</definedName>
    <definedName name="IQ_AVG_REALIZED_PRICE_BEFORE_HEDGING_ZINC" hidden="1">"c9362"</definedName>
    <definedName name="IQ_AVG_SHAREOUTSTANDING" hidden="1">"c83"</definedName>
    <definedName name="IQ_AVG_TEMP_EMPLOYEES" hidden="1">"c6020"</definedName>
    <definedName name="IQ_AVG_TEV" hidden="1">"c84"</definedName>
    <definedName name="IQ_AVG_VOLUME" hidden="1">"c1346"</definedName>
    <definedName name="IQ_AVG_WAGES" hidden="1">"c6812"</definedName>
    <definedName name="IQ_AVG_WAGES_APR" hidden="1">"c7472"</definedName>
    <definedName name="IQ_AVG_WAGES_APR_FC" hidden="1">"c8352"</definedName>
    <definedName name="IQ_AVG_WAGES_FC" hidden="1">"c7692"</definedName>
    <definedName name="IQ_AVG_WAGES_POP" hidden="1">"c7032"</definedName>
    <definedName name="IQ_AVG_WAGES_POP_FC" hidden="1">"c7912"</definedName>
    <definedName name="IQ_AVG_WAGES_YOY" hidden="1">"c7252"</definedName>
    <definedName name="IQ_AVG_WAGES_YOY_FC" hidden="1">"c8132"</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REAL" hidden="1">"c6952"</definedName>
    <definedName name="IQ_BALANCE_GOODS_REAL_APR" hidden="1">"c7612"</definedName>
    <definedName name="IQ_BALANCE_GOODS_REAL_APR_FC" hidden="1">"c8492"</definedName>
    <definedName name="IQ_BALANCE_GOODS_REAL_FC" hidden="1">"c7832"</definedName>
    <definedName name="IQ_BALANCE_GOODS_REAL_POP" hidden="1">"c7172"</definedName>
    <definedName name="IQ_BALANCE_GOODS_REAL_POP_FC" hidden="1">"c8052"</definedName>
    <definedName name="IQ_BALANCE_GOODS_REAL_SAAR" hidden="1">"c6953"</definedName>
    <definedName name="IQ_BALANCE_GOODS_REAL_SAAR_APR" hidden="1">"c7613"</definedName>
    <definedName name="IQ_BALANCE_GOODS_REAL_SAAR_APR_FC" hidden="1">"c8493"</definedName>
    <definedName name="IQ_BALANCE_GOODS_REAL_SAAR_FC" hidden="1">"c7833"</definedName>
    <definedName name="IQ_BALANCE_GOODS_REAL_SAAR_POP" hidden="1">"c7173"</definedName>
    <definedName name="IQ_BALANCE_GOODS_REAL_SAAR_POP_FC" hidden="1">"c8053"</definedName>
    <definedName name="IQ_BALANCE_GOODS_REAL_SAAR_USD_APR_FC" hidden="1">"c11893"</definedName>
    <definedName name="IQ_BALANCE_GOODS_REAL_SAAR_USD_FC" hidden="1">"c11890"</definedName>
    <definedName name="IQ_BALANCE_GOODS_REAL_SAAR_USD_POP_FC" hidden="1">"c11891"</definedName>
    <definedName name="IQ_BALANCE_GOODS_REAL_SAAR_USD_YOY_FC" hidden="1">"c11892"</definedName>
    <definedName name="IQ_BALANCE_GOODS_REAL_SAAR_YOY" hidden="1">"c7393"</definedName>
    <definedName name="IQ_BALANCE_GOODS_REAL_SAAR_YOY_FC" hidden="1">"c8273"</definedName>
    <definedName name="IQ_BALANCE_GOODS_REAL_USD_APR_FC" hidden="1">"c11889"</definedName>
    <definedName name="IQ_BALANCE_GOODS_REAL_USD_FC" hidden="1">"c11886"</definedName>
    <definedName name="IQ_BALANCE_GOODS_REAL_USD_POP_FC" hidden="1">"c11887"</definedName>
    <definedName name="IQ_BALANCE_GOODS_REAL_USD_YOY_FC" hidden="1">"c11888"</definedName>
    <definedName name="IQ_BALANCE_GOODS_REAL_YOY" hidden="1">"c7392"</definedName>
    <definedName name="IQ_BALANCE_GOODS_REAL_YOY_FC" hidden="1">"c8272"</definedName>
    <definedName name="IQ_BALANCE_GOODS_SAAR" hidden="1">"c6814"</definedName>
    <definedName name="IQ_BALANCE_GOODS_SAAR_APR" hidden="1">"c7474"</definedName>
    <definedName name="IQ_BALANCE_GOODS_SAAR_APR_FC" hidden="1">"c8354"</definedName>
    <definedName name="IQ_BALANCE_GOODS_SAAR_FC" hidden="1">"c7694"</definedName>
    <definedName name="IQ_BALANCE_GOODS_SAAR_POP" hidden="1">"c7034"</definedName>
    <definedName name="IQ_BALANCE_GOODS_SAAR_POP_FC" hidden="1">"c7914"</definedName>
    <definedName name="IQ_BALANCE_GOODS_SAAR_USD_APR_FC" hidden="1">"c11762"</definedName>
    <definedName name="IQ_BALANCE_GOODS_SAAR_USD_FC" hidden="1">"c11759"</definedName>
    <definedName name="IQ_BALANCE_GOODS_SAAR_USD_POP_FC" hidden="1">"c11760"</definedName>
    <definedName name="IQ_BALANCE_GOODS_SAAR_USD_YOY_FC" hidden="1">"c11761"</definedName>
    <definedName name="IQ_BALANCE_GOODS_SAAR_YOY" hidden="1">"c7254"</definedName>
    <definedName name="IQ_BALANCE_GOODS_SAAR_YOY_FC" hidden="1">"c8134"</definedName>
    <definedName name="IQ_BALANCE_GOODS_UNUSED_UNUSED_UNUSED" hidden="1">"c6813"</definedName>
    <definedName name="IQ_BALANCE_GOODS_USD_APR_FC" hidden="1">"c11758"</definedName>
    <definedName name="IQ_BALANCE_GOODS_USD_FC" hidden="1">"c11755"</definedName>
    <definedName name="IQ_BALANCE_GOODS_USD_POP_FC" hidden="1">"c11756"</definedName>
    <definedName name="IQ_BALANCE_GOODS_USD_YOY_FC" hidden="1">"c11757"</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SAAR" hidden="1">"c6816"</definedName>
    <definedName name="IQ_BALANCE_SERV_SAAR_APR" hidden="1">"c7476"</definedName>
    <definedName name="IQ_BALANCE_SERV_SAAR_APR_FC" hidden="1">"c8356"</definedName>
    <definedName name="IQ_BALANCE_SERV_SAAR_FC" hidden="1">"c7696"</definedName>
    <definedName name="IQ_BALANCE_SERV_SAAR_POP" hidden="1">"c7036"</definedName>
    <definedName name="IQ_BALANCE_SERV_SAAR_POP_FC" hidden="1">"c7916"</definedName>
    <definedName name="IQ_BALANCE_SERV_SAAR_YOY" hidden="1">"c7256"</definedName>
    <definedName name="IQ_BALANCE_SERV_SAAR_YOY_FC" hidden="1">"c8136"</definedName>
    <definedName name="IQ_BALANCE_SERV_UNUSED_UNUSED_UNUSED" hidden="1">"c6815"</definedName>
    <definedName name="IQ_BALANCE_SERV_USD_APR_FC" hidden="1">"c11766"</definedName>
    <definedName name="IQ_BALANCE_SERV_USD_FC" hidden="1">"c11763"</definedName>
    <definedName name="IQ_BALANCE_SERV_USD_POP_FC" hidden="1">"c11764"</definedName>
    <definedName name="IQ_BALANCE_SERV_USD_YOY_FC" hidden="1">"c11765"</definedName>
    <definedName name="IQ_BALANCE_SERV_YOY_FC_UNUSED_UNUSED_UNUSED" hidden="1">"c8135"</definedName>
    <definedName name="IQ_BALANCE_SERV_YOY_UNUSED_UNUSED_UNUSED" hidden="1">"c7255"</definedName>
    <definedName name="IQ_BALANCE_SERVICES_REAL" hidden="1">"c6954"</definedName>
    <definedName name="IQ_BALANCE_SERVICES_REAL_APR" hidden="1">"c7614"</definedName>
    <definedName name="IQ_BALANCE_SERVICES_REAL_APR_FC" hidden="1">"c8494"</definedName>
    <definedName name="IQ_BALANCE_SERVICES_REAL_FC" hidden="1">"c7834"</definedName>
    <definedName name="IQ_BALANCE_SERVICES_REAL_POP" hidden="1">"c7174"</definedName>
    <definedName name="IQ_BALANCE_SERVICES_REAL_POP_FC" hidden="1">"c8054"</definedName>
    <definedName name="IQ_BALANCE_SERVICES_REAL_SAAR" hidden="1">"c6955"</definedName>
    <definedName name="IQ_BALANCE_SERVICES_REAL_SAAR_APR" hidden="1">"c7615"</definedName>
    <definedName name="IQ_BALANCE_SERVICES_REAL_SAAR_APR_FC" hidden="1">"c8495"</definedName>
    <definedName name="IQ_BALANCE_SERVICES_REAL_SAAR_FC" hidden="1">"c7835"</definedName>
    <definedName name="IQ_BALANCE_SERVICES_REAL_SAAR_POP" hidden="1">"c7175"</definedName>
    <definedName name="IQ_BALANCE_SERVICES_REAL_SAAR_POP_FC" hidden="1">"c8055"</definedName>
    <definedName name="IQ_BALANCE_SERVICES_REAL_SAAR_YOY" hidden="1">"c7395"</definedName>
    <definedName name="IQ_BALANCE_SERVICES_REAL_SAAR_YOY_FC" hidden="1">"c8275"</definedName>
    <definedName name="IQ_BALANCE_SERVICES_REAL_USD_APR_FC" hidden="1">"c11897"</definedName>
    <definedName name="IQ_BALANCE_SERVICES_REAL_USD_FC" hidden="1">"c11894"</definedName>
    <definedName name="IQ_BALANCE_SERVICES_REAL_USD_POP_FC" hidden="1">"c11895"</definedName>
    <definedName name="IQ_BALANCE_SERVICES_REAL_USD_YOY_FC" hidden="1">"c11896"</definedName>
    <definedName name="IQ_BALANCE_SERVICES_REAL_YOY" hidden="1">"c7394"</definedName>
    <definedName name="IQ_BALANCE_SERVICES_REAL_YOY_FC" hidden="1">"c8274"</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REAL" hidden="1">"c6956"</definedName>
    <definedName name="IQ_BALANCE_TRADE_REAL_APR" hidden="1">"c7616"</definedName>
    <definedName name="IQ_BALANCE_TRADE_REAL_APR_FC" hidden="1">"c8496"</definedName>
    <definedName name="IQ_BALANCE_TRADE_REAL_FC" hidden="1">"c7836"</definedName>
    <definedName name="IQ_BALANCE_TRADE_REAL_POP" hidden="1">"c7176"</definedName>
    <definedName name="IQ_BALANCE_TRADE_REAL_POP_FC" hidden="1">"c8056"</definedName>
    <definedName name="IQ_BALANCE_TRADE_REAL_SAAR" hidden="1">"c6957"</definedName>
    <definedName name="IQ_BALANCE_TRADE_REAL_SAAR_APR" hidden="1">"c7617"</definedName>
    <definedName name="IQ_BALANCE_TRADE_REAL_SAAR_APR_FC" hidden="1">"c8497"</definedName>
    <definedName name="IQ_BALANCE_TRADE_REAL_SAAR_FC" hidden="1">"c7837"</definedName>
    <definedName name="IQ_BALANCE_TRADE_REAL_SAAR_POP" hidden="1">"c7177"</definedName>
    <definedName name="IQ_BALANCE_TRADE_REAL_SAAR_POP_FC" hidden="1">"c8057"</definedName>
    <definedName name="IQ_BALANCE_TRADE_REAL_SAAR_USD_APR_FC" hidden="1">"c11905"</definedName>
    <definedName name="IQ_BALANCE_TRADE_REAL_SAAR_USD_FC" hidden="1">"c11902"</definedName>
    <definedName name="IQ_BALANCE_TRADE_REAL_SAAR_USD_POP_FC" hidden="1">"c11903"</definedName>
    <definedName name="IQ_BALANCE_TRADE_REAL_SAAR_USD_YOY_FC" hidden="1">"c11904"</definedName>
    <definedName name="IQ_BALANCE_TRADE_REAL_SAAR_YOY" hidden="1">"c7397"</definedName>
    <definedName name="IQ_BALANCE_TRADE_REAL_SAAR_YOY_FC" hidden="1">"c8277"</definedName>
    <definedName name="IQ_BALANCE_TRADE_REAL_USD_APR_FC" hidden="1">"c11901"</definedName>
    <definedName name="IQ_BALANCE_TRADE_REAL_USD_FC" hidden="1">"c11898"</definedName>
    <definedName name="IQ_BALANCE_TRADE_REAL_USD_POP_FC" hidden="1">"c11899"</definedName>
    <definedName name="IQ_BALANCE_TRADE_REAL_USD_YOY_FC" hidden="1">"c11900"</definedName>
    <definedName name="IQ_BALANCE_TRADE_REAL_YOY" hidden="1">"c7396"</definedName>
    <definedName name="IQ_BALANCE_TRADE_REAL_YOY_FC" hidden="1">"c8276"</definedName>
    <definedName name="IQ_BALANCE_TRADE_SAAR" hidden="1">"c6818"</definedName>
    <definedName name="IQ_BALANCE_TRADE_SAAR_APR" hidden="1">"c7478"</definedName>
    <definedName name="IQ_BALANCE_TRADE_SAAR_APR_FC" hidden="1">"c8358"</definedName>
    <definedName name="IQ_BALANCE_TRADE_SAAR_FC" hidden="1">"c7698"</definedName>
    <definedName name="IQ_BALANCE_TRADE_SAAR_POP" hidden="1">"c7038"</definedName>
    <definedName name="IQ_BALANCE_TRADE_SAAR_POP_FC" hidden="1">"c7918"</definedName>
    <definedName name="IQ_BALANCE_TRADE_SAAR_USD_APR_FC" hidden="1">"c11774"</definedName>
    <definedName name="IQ_BALANCE_TRADE_SAAR_USD_FC" hidden="1">"c11771"</definedName>
    <definedName name="IQ_BALANCE_TRADE_SAAR_USD_POP_FC" hidden="1">"c11772"</definedName>
    <definedName name="IQ_BALANCE_TRADE_SAAR_USD_YOY_FC" hidden="1">"c11773"</definedName>
    <definedName name="IQ_BALANCE_TRADE_SAAR_YOY" hidden="1">"c7258"</definedName>
    <definedName name="IQ_BALANCE_TRADE_SAAR_YOY_FC" hidden="1">"c8138"</definedName>
    <definedName name="IQ_BALANCE_TRADE_UNUSED_UNUSED_UNUSED" hidden="1">"c6817"</definedName>
    <definedName name="IQ_BALANCE_TRADE_USD_APR_FC" hidden="1">"c11770"</definedName>
    <definedName name="IQ_BALANCE_TRADE_USD_FC" hidden="1">"c11767"</definedName>
    <definedName name="IQ_BALANCE_TRADE_USD_POP_FC" hidden="1">"c11768"</definedName>
    <definedName name="IQ_BALANCE_TRADE_USD_YOY_FC" hidden="1">"c11769"</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NCHMARK_YIELD" hidden="1">"c8955"</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FAX" hidden="1">"c2100"</definedName>
    <definedName name="IQ_BOARD_MEMBER_OFFICE" hidden="1">"c2098"</definedName>
    <definedName name="IQ_BOARD_MEMBER_PHONE" hidden="1">"c2099"</definedName>
    <definedName name="IQ_BOARD_MEMBER_TITLE" hidden="1">"c97"</definedName>
    <definedName name="IQ_BOND_COUPON" hidden="1">"c2183"</definedName>
    <definedName name="IQ_BOND_COUPON_TYPE" hidden="1">"c2184"</definedName>
    <definedName name="IQ_BOND_PRICE" hidden="1">"c2162"</definedName>
    <definedName name="IQ_BONDRATING_FITCH" hidden="1">"c223"</definedName>
    <definedName name="IQ_BONDRATING_FITCH_DATE" hidden="1">"c241"</definedName>
    <definedName name="IQ_BONDRATING_SP" hidden="1">"c224"</definedName>
    <definedName name="IQ_BONDRATING_SP_DATE" hidden="1">"c242"</definedName>
    <definedName name="IQ_BOOK_VALUE" hidden="1">"c68"</definedName>
    <definedName name="IQ_BROK_COMISSION" hidden="1">"c98"</definedName>
    <definedName name="IQ_BROK_COMMISSION" hidden="1">"c3514"</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SAAR" hidden="1">"c6820"</definedName>
    <definedName name="IQ_BUDGET_BALANCE_SAAR_APR" hidden="1">"c7480"</definedName>
    <definedName name="IQ_BUDGET_BALANCE_SAAR_APR_FC" hidden="1">"c8360"</definedName>
    <definedName name="IQ_BUDGET_BALANCE_SAAR_FC" hidden="1">"c7700"</definedName>
    <definedName name="IQ_BUDGET_BALANCE_SAAR_POP" hidden="1">"c7040"</definedName>
    <definedName name="IQ_BUDGET_BALANCE_SAAR_POP_FC" hidden="1">"c7920"</definedName>
    <definedName name="IQ_BUDGET_BALANCE_SAAR_YOY" hidden="1">"c7260"</definedName>
    <definedName name="IQ_BUDGET_BALANCE_SAAR_YOY_FC" hidden="1">"c8140"</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DGET_SPENDING" hidden="1">"c6822"</definedName>
    <definedName name="IQ_BUDGET_SPENDING_APR" hidden="1">"c7482"</definedName>
    <definedName name="IQ_BUDGET_SPENDING_APR_FC" hidden="1">"c8362"</definedName>
    <definedName name="IQ_BUDGET_SPENDING_FC" hidden="1">"c7702"</definedName>
    <definedName name="IQ_BUDGET_SPENDING_POP" hidden="1">"c7042"</definedName>
    <definedName name="IQ_BUDGET_SPENDING_POP_FC" hidden="1">"c7922"</definedName>
    <definedName name="IQ_BUDGET_SPENDING_REAL" hidden="1">"c6958"</definedName>
    <definedName name="IQ_BUDGET_SPENDING_REAL_APR" hidden="1">"c7618"</definedName>
    <definedName name="IQ_BUDGET_SPENDING_REAL_APR_FC" hidden="1">"c8498"</definedName>
    <definedName name="IQ_BUDGET_SPENDING_REAL_FC" hidden="1">"c7838"</definedName>
    <definedName name="IQ_BUDGET_SPENDING_REAL_POP" hidden="1">"c7178"</definedName>
    <definedName name="IQ_BUDGET_SPENDING_REAL_POP_FC" hidden="1">"c8058"</definedName>
    <definedName name="IQ_BUDGET_SPENDING_REAL_SAAR" hidden="1">"c6959"</definedName>
    <definedName name="IQ_BUDGET_SPENDING_REAL_SAAR_APR" hidden="1">"c7619"</definedName>
    <definedName name="IQ_BUDGET_SPENDING_REAL_SAAR_APR_FC" hidden="1">"c8499"</definedName>
    <definedName name="IQ_BUDGET_SPENDING_REAL_SAAR_FC" hidden="1">"c7839"</definedName>
    <definedName name="IQ_BUDGET_SPENDING_REAL_SAAR_POP" hidden="1">"c7179"</definedName>
    <definedName name="IQ_BUDGET_SPENDING_REAL_SAAR_POP_FC" hidden="1">"c8059"</definedName>
    <definedName name="IQ_BUDGET_SPENDING_REAL_SAAR_USD" hidden="1">"c11906"</definedName>
    <definedName name="IQ_BUDGET_SPENDING_REAL_SAAR_USD_APR" hidden="1">"c11909"</definedName>
    <definedName name="IQ_BUDGET_SPENDING_REAL_SAAR_USD_POP" hidden="1">"c11907"</definedName>
    <definedName name="IQ_BUDGET_SPENDING_REAL_SAAR_USD_YOY" hidden="1">"c11908"</definedName>
    <definedName name="IQ_BUDGET_SPENDING_REAL_SAAR_YOY" hidden="1">"c7399"</definedName>
    <definedName name="IQ_BUDGET_SPENDING_REAL_SAAR_YOY_FC" hidden="1">"c8279"</definedName>
    <definedName name="IQ_BUDGET_SPENDING_REAL_YOY" hidden="1">"c7398"</definedName>
    <definedName name="IQ_BUDGET_SPENDING_REAL_YOY_FC" hidden="1">"c8278"</definedName>
    <definedName name="IQ_BUDGET_SPENDING_SAAR" hidden="1">"c6823"</definedName>
    <definedName name="IQ_BUDGET_SPENDING_SAAR_APR" hidden="1">"c7483"</definedName>
    <definedName name="IQ_BUDGET_SPENDING_SAAR_APR_FC" hidden="1">"c8363"</definedName>
    <definedName name="IQ_BUDGET_SPENDING_SAAR_FC" hidden="1">"c7703"</definedName>
    <definedName name="IQ_BUDGET_SPENDING_SAAR_POP" hidden="1">"c7043"</definedName>
    <definedName name="IQ_BUDGET_SPENDING_SAAR_POP_FC" hidden="1">"c7923"</definedName>
    <definedName name="IQ_BUDGET_SPENDING_SAAR_USD_APR_FC" hidden="1">"c11782"</definedName>
    <definedName name="IQ_BUDGET_SPENDING_SAAR_USD_FC" hidden="1">"c11779"</definedName>
    <definedName name="IQ_BUDGET_SPENDING_SAAR_USD_POP_FC" hidden="1">"c11780"</definedName>
    <definedName name="IQ_BUDGET_SPENDING_SAAR_USD_YOY_FC" hidden="1">"c11781"</definedName>
    <definedName name="IQ_BUDGET_SPENDING_SAAR_YOY" hidden="1">"c7263"</definedName>
    <definedName name="IQ_BUDGET_SPENDING_SAAR_YOY_FC" hidden="1">"c8143"</definedName>
    <definedName name="IQ_BUDGET_SPENDING_USD_APR_FC" hidden="1">"c11778"</definedName>
    <definedName name="IQ_BUDGET_SPENDING_USD_FC" hidden="1">"c11775"</definedName>
    <definedName name="IQ_BUDGET_SPENDING_USD_POP_FC" hidden="1">"c11776"</definedName>
    <definedName name="IQ_BUDGET_SPENDING_USD_YOY_FC" hidden="1">"c11777"</definedName>
    <definedName name="IQ_BUDGET_SPENDING_YOY" hidden="1">"c7262"</definedName>
    <definedName name="IQ_BUDGET_SPENDING_YOY_FC" hidden="1">"c8142"</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ACT_OR_EST_CIQ" hidden="1">"c5068"</definedName>
    <definedName name="IQ_BV_OVER_SHARES" hidden="1">"c1349"</definedName>
    <definedName name="IQ_BV_SHARE" hidden="1">"c100"</definedName>
    <definedName name="IQ_BV_SHARE_ACT_OR_EST" hidden="1">"c3587"</definedName>
    <definedName name="IQ_BV_SHARE_ACT_OR_EST_THOM" hidden="1">"c5312"</definedName>
    <definedName name="IQ_BV_SHARE_EST" hidden="1">"c3541"</definedName>
    <definedName name="IQ_BV_SHARE_EST_THOM" hidden="1">"c4020"</definedName>
    <definedName name="IQ_BV_SHARE_HIGH_EST" hidden="1">"c3542"</definedName>
    <definedName name="IQ_BV_SHARE_HIGH_EST_THOM" hidden="1">"c4022"</definedName>
    <definedName name="IQ_BV_SHARE_LOW_EST" hidden="1">"c3543"</definedName>
    <definedName name="IQ_BV_SHARE_LOW_EST_THOM" hidden="1">"c4023"</definedName>
    <definedName name="IQ_BV_SHARE_MEDIAN_EST" hidden="1">"c3544"</definedName>
    <definedName name="IQ_BV_SHARE_MEDIAN_EST_THOM" hidden="1">"c4021"</definedName>
    <definedName name="IQ_BV_SHARE_NUM_EST" hidden="1">"c3539"</definedName>
    <definedName name="IQ_BV_SHARE_NUM_EST_THOM" hidden="1">"c4024"</definedName>
    <definedName name="IQ_BV_SHARE_STDDEV_EST" hidden="1">"c3540"</definedName>
    <definedName name="IQ_BV_SHARE_STDDEV_EST_THOM" hidden="1">"c4025"</definedName>
    <definedName name="IQ_CA_AP" hidden="1">"c8881"</definedName>
    <definedName name="IQ_CA_AP_ABS" hidden="1">"c8900"</definedName>
    <definedName name="IQ_CA_NAME_AP" hidden="1">"c8919"</definedName>
    <definedName name="IQ_CA_NAME_AP_ABS" hidden="1">"c8938"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CIQ" hidden="1">"c6808"</definedName>
    <definedName name="IQ_CAL_Q_EST_REUT" hidden="1">"c6800"</definedName>
    <definedName name="IQ_CAL_Q_EST_THOM" hidden="1">"c6804"</definedName>
    <definedName name="IQ_CAL_Y" hidden="1">"c102"</definedName>
    <definedName name="IQ_CAL_Y_EST" hidden="1">"c6797"</definedName>
    <definedName name="IQ_CAL_Y_EST_CIQ" hidden="1">"c6809"</definedName>
    <definedName name="IQ_CAL_Y_EST_REUT" hidden="1">"c6801"</definedName>
    <definedName name="IQ_CAL_Y_EST_THOM" hidden="1">"c6805"</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_UTIL_RATE" hidden="1">"c6824"</definedName>
    <definedName name="IQ_CAP_UTIL_RATE_POP" hidden="1">"c7044"</definedName>
    <definedName name="IQ_CAP_UTIL_RATE_YOY" hidden="1">"c7264"</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 hidden="1">"c3584"</definedName>
    <definedName name="IQ_CAPEX_ACT_OR_EST_THOM" hidden="1">"c5546"</definedName>
    <definedName name="IQ_CAPEX_BNK" hidden="1">"c110"</definedName>
    <definedName name="IQ_CAPEX_BR" hidden="1">"c111"</definedName>
    <definedName name="IQ_CAPEX_EST" hidden="1">"c3523"</definedName>
    <definedName name="IQ_CAPEX_EST_THOM" hidden="1">"c5502"</definedName>
    <definedName name="IQ_CAPEX_FIN" hidden="1">"c112"</definedName>
    <definedName name="IQ_CAPEX_HIGH_EST" hidden="1">"c3524"</definedName>
    <definedName name="IQ_CAPEX_HIGH_EST_THOM" hidden="1">"c5504"</definedName>
    <definedName name="IQ_CAPEX_INS" hidden="1">"c113"</definedName>
    <definedName name="IQ_CAPEX_LOW_EST" hidden="1">"c3525"</definedName>
    <definedName name="IQ_CAPEX_LOW_EST_THOM" hidden="1">"c5505"</definedName>
    <definedName name="IQ_CAPEX_MEDIAN_EST" hidden="1">"c3526"</definedName>
    <definedName name="IQ_CAPEX_MEDIAN_EST_THOM" hidden="1">"c5503"</definedName>
    <definedName name="IQ_CAPEX_NUM_EST" hidden="1">"c3521"</definedName>
    <definedName name="IQ_CAPEX_NUM_EST_THOM" hidden="1">"c5506"</definedName>
    <definedName name="IQ_CAPEX_STDDEV_EST" hidden="1">"c3522"</definedName>
    <definedName name="IQ_CAPEX_STDDEV_EST_THOM" hidden="1">"c5507"</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_RAISED_PERIOD_COVERED" hidden="1">"c9959"</definedName>
    <definedName name="IQ_CAPITAL_RAISED_PERIOD_GROUP" hidden="1">"c9945"</definedName>
    <definedName name="IQ_CAPITALIZED_INTEREST"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"c116"</definedName>
    <definedName name="IQ_CASH_CONVERSION" hidden="1">"c117"</definedName>
    <definedName name="IQ_CASH_COST_ALUM" hidden="1">"c9252"</definedName>
    <definedName name="IQ_CASH_COST_COAL" hidden="1">"c9825"</definedName>
    <definedName name="IQ_CASH_COST_COP" hidden="1">"c9199"</definedName>
    <definedName name="IQ_CASH_COST_DIAM" hidden="1">"c9676"</definedName>
    <definedName name="IQ_CASH_COST_GOLD" hidden="1">"c9037"</definedName>
    <definedName name="IQ_CASH_COST_IRON" hidden="1">"c9411"</definedName>
    <definedName name="IQ_CASH_COST_LEAD" hidden="1">"c9464"</definedName>
    <definedName name="IQ_CASH_COST_MANG" hidden="1">"c9517"</definedName>
    <definedName name="IQ_CASH_COST_MET_COAL" hidden="1">"c9762"</definedName>
    <definedName name="IQ_CASH_COST_MOLYB" hidden="1">"c9729"</definedName>
    <definedName name="IQ_CASH_COST_NICK" hidden="1">"c9305"</definedName>
    <definedName name="IQ_CASH_COST_PLAT" hidden="1">"c9143"</definedName>
    <definedName name="IQ_CASH_COST_SILVER" hidden="1">"c9090"</definedName>
    <definedName name="IQ_CASH_COST_STEAM" hidden="1">"c9792"</definedName>
    <definedName name="IQ_CASH_COST_TITAN" hidden="1">"c9570"</definedName>
    <definedName name="IQ_CASH_COST_URAN" hidden="1">"c9623"</definedName>
    <definedName name="IQ_CASH_COST_ZINC" hidden="1">"c9358"</definedName>
    <definedName name="IQ_CASH_DIVIDENDS_NET_INCOME_FDIC" hidden="1">"c6738"</definedName>
    <definedName name="IQ_CASH_DUE_BANKS" hidden="1">"c1351"</definedName>
    <definedName name="IQ_CASH_EPS_ACT_OR_EST_THOM" hidden="1">"c5646"</definedName>
    <definedName name="IQ_CASH_EPS_EST" hidden="1">"c5631"</definedName>
    <definedName name="IQ_CASH_EPS_EST_THOM" hidden="1">"c5639"</definedName>
    <definedName name="IQ_CASH_EPS_HIGH_EST" hidden="1">"c5633"</definedName>
    <definedName name="IQ_CASH_EPS_HIGH_EST_THOM" hidden="1">"c5641"</definedName>
    <definedName name="IQ_CASH_EPS_LOW_EST" hidden="1">"c5634"</definedName>
    <definedName name="IQ_CASH_EPS_LOW_EST_THOM" hidden="1">"c5642"</definedName>
    <definedName name="IQ_CASH_EPS_MEDIAN_EST" hidden="1">"c5632"</definedName>
    <definedName name="IQ_CASH_EPS_MEDIAN_EST_THOM" hidden="1">"c5640"</definedName>
    <definedName name="IQ_CASH_EPS_NUM_EST" hidden="1">"c5635"</definedName>
    <definedName name="IQ_CASH_EPS_NUM_EST_THOM" hidden="1">"c5643"</definedName>
    <definedName name="IQ_CASH_EPS_STDDEV_EST" hidden="1">"c5636"</definedName>
    <definedName name="IQ_CASH_EPS_STDDEV_EST_THOM" hidden="1">"c5644"</definedName>
    <definedName name="IQ_CASH_EQUIV" hidden="1">"c118"</definedName>
    <definedName name="IQ_CASH_FINAN" hidden="1">"c119"</definedName>
    <definedName name="IQ_CASH_FINAN_AP" hidden="1">"c8890"</definedName>
    <definedName name="IQ_CASH_FINAN_AP_ABS" hidden="1">"c8909"</definedName>
    <definedName name="IQ_CASH_FINAN_NAME_AP" hidden="1">"c8928"</definedName>
    <definedName name="IQ_CASH_FINAN_NAME_AP_ABS" hidden="1">"c8947"</definedName>
    <definedName name="IQ_CASH_FINAN_SUBTOTAL_AP" hidden="1">"c10111"</definedName>
    <definedName name="IQ_CASH_FLOW_ACT_OR_EST" hidden="1">"c4154"</definedName>
    <definedName name="IQ_CASH_FLOW_ACT_OR_EST_CIQ" hidden="1">"c4566"</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OPER" hidden="1">"c6293"</definedName>
    <definedName name="IQ_CASH_INVEST" hidden="1">"c121"</definedName>
    <definedName name="IQ_CASH_INVEST_AP" hidden="1">"c8889"</definedName>
    <definedName name="IQ_CASH_INVEST_AP_ABS" hidden="1">"c8908"</definedName>
    <definedName name="IQ_CASH_INVEST_NAME_AP" hidden="1">"c8927"</definedName>
    <definedName name="IQ_CASH_INVEST_NAME_AP_ABS" hidden="1">"c8946"</definedName>
    <definedName name="IQ_CASH_INVEST_SUBTOTAL_AP" hidden="1">"c8991"</definedName>
    <definedName name="IQ_CASH_OPER" hidden="1">"c122"</definedName>
    <definedName name="IQ_CASH_OPER_ACT_OR_EST" hidden="1">"c4164"</definedName>
    <definedName name="IQ_CASH_OPER_ACT_OR_EST_CIQ" hidden="1">"c4576"</definedName>
    <definedName name="IQ_CASH_OPER_AP" hidden="1">"c8888"</definedName>
    <definedName name="IQ_CASH_OPER_AP_ABS" hidden="1">"c8907"</definedName>
    <definedName name="IQ_CASH_OPER_NAME_AP" hidden="1">"c8926"</definedName>
    <definedName name="IQ_CASH_OPER_NAME_AP_ABS" hidden="1">"c8945"</definedName>
    <definedName name="IQ_CASH_OPER_SUBTOTAL_AP" hidden="1">"c8990"</definedName>
    <definedName name="IQ_CASH_OTHER_ADJ_AP" hidden="1">"c8891"</definedName>
    <definedName name="IQ_CASH_OTHER_ADJ_AP_ABS" hidden="1">"c8910"</definedName>
    <definedName name="IQ_CASH_OTHER_ADJ_NAME_AP" hidden="1">"c8929"</definedName>
    <definedName name="IQ_CASH_OTHER_ADJ_NAME_AP_ABS" hidden="1">"c8948"</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DS_5YR_CIQID" hidden="1">"c11751"</definedName>
    <definedName name="IQ_CDS_ASK" hidden="1">"c6027"</definedName>
    <definedName name="IQ_CDS_BID" hidden="1">"c6026"</definedName>
    <definedName name="IQ_CDS_CURRENCY" hidden="1">"c6031"</definedName>
    <definedName name="IQ_CDS_EVAL_DATE" hidden="1">"c6029"</definedName>
    <definedName name="IQ_CDS_MID" hidden="1">"c6028"</definedName>
    <definedName name="IQ_CDS_NAME" hidden="1">"c6034"</definedName>
    <definedName name="IQ_CDS_TERM" hidden="1">"c6030"</definedName>
    <definedName name="IQ_CDS_TYPE" hidden="1">"c6025"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 hidden="1">"c2217"</definedName>
    <definedName name="IQ_CFPS_ACT_OR_EST_THOM" hidden="1">"c5301"</definedName>
    <definedName name="IQ_CFPS_EST" hidden="1">"c1667"</definedName>
    <definedName name="IQ_CFPS_EST_THOM" hidden="1">"c4006"</definedName>
    <definedName name="IQ_CFPS_HIGH_EST" hidden="1">"c1669"</definedName>
    <definedName name="IQ_CFPS_HIGH_EST_THOM" hidden="1">"c4008"</definedName>
    <definedName name="IQ_CFPS_LOW_EST" hidden="1">"c1670"</definedName>
    <definedName name="IQ_CFPS_LOW_EST_THOM" hidden="1">"c4009"</definedName>
    <definedName name="IQ_CFPS_MEDIAN_EST" hidden="1">"c1668"</definedName>
    <definedName name="IQ_CFPS_MEDIAN_EST_THOM" hidden="1">"c4007"</definedName>
    <definedName name="IQ_CFPS_NUM_EST" hidden="1">"c1671"</definedName>
    <definedName name="IQ_CFPS_NUM_EST_THOM" hidden="1">"c4010"</definedName>
    <definedName name="IQ_CFPS_STDDEV_EST" hidden="1">"c1672"</definedName>
    <definedName name="IQ_CFPS_STDDEV_EST_THOM" hidden="1">"c4011"</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 hidden="1">"c6826"</definedName>
    <definedName name="IQ_CHANGE_INVENT_APR" hidden="1">"c7486"</definedName>
    <definedName name="IQ_CHANGE_INVENT_POP" hidden="1">"c7046"</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SAAR" hidden="1">"c6962"</definedName>
    <definedName name="IQ_CHANGE_INVENT_REAL_SAAR_APR" hidden="1">"c7622"</definedName>
    <definedName name="IQ_CHANGE_INVENT_REAL_SAAR_APR_FC" hidden="1">"c8502"</definedName>
    <definedName name="IQ_CHANGE_INVENT_REAL_SAAR_FC" hidden="1">"c7842"</definedName>
    <definedName name="IQ_CHANGE_INVENT_REAL_SAAR_POP" hidden="1">"c7182"</definedName>
    <definedName name="IQ_CHANGE_INVENT_REAL_SAAR_POP_FC" hidden="1">"c8062"</definedName>
    <definedName name="IQ_CHANGE_INVENT_REAL_SAAR_USD_APR_FC" hidden="1">"c11917"</definedName>
    <definedName name="IQ_CHANGE_INVENT_REAL_SAAR_USD_FC" hidden="1">"c11914"</definedName>
    <definedName name="IQ_CHANGE_INVENT_REAL_SAAR_USD_POP_FC" hidden="1">"c11915"</definedName>
    <definedName name="IQ_CHANGE_INVENT_REAL_SAAR_USD_YOY_FC" hidden="1">"c11916"</definedName>
    <definedName name="IQ_CHANGE_INVENT_REAL_SAAR_YOY" hidden="1">"c7402"</definedName>
    <definedName name="IQ_CHANGE_INVENT_REAL_SAAR_YOY_FC" hidden="1">"c8282"</definedName>
    <definedName name="IQ_CHANGE_INVENT_REAL_UNUSED_UNUSED_UNUSED" hidden="1">"c6960"</definedName>
    <definedName name="IQ_CHANGE_INVENT_REAL_USD_APR_FC" hidden="1">"c11913"</definedName>
    <definedName name="IQ_CHANGE_INVENT_REAL_USD_FC" hidden="1">"c11910"</definedName>
    <definedName name="IQ_CHANGE_INVENT_REAL_USD_POP_FC" hidden="1">"c11911"</definedName>
    <definedName name="IQ_CHANGE_INVENT_REAL_USD_YOY_FC" hidden="1">"c11912"</definedName>
    <definedName name="IQ_CHANGE_INVENT_REAL_YOY_FC_UNUSED_UNUSED_UNUSED" hidden="1">"c8280"</definedName>
    <definedName name="IQ_CHANGE_INVENT_REAL_YOY_UNUSED_UNUSED_UNUSED" hidden="1">"c7400"</definedName>
    <definedName name="IQ_CHANGE_INVENT_SAAR" hidden="1">"c6827"</definedName>
    <definedName name="IQ_CHANGE_INVENT_SAAR_APR" hidden="1">"c7487"</definedName>
    <definedName name="IQ_CHANGE_INVENT_SAAR_APR_FC" hidden="1">"c8367"</definedName>
    <definedName name="IQ_CHANGE_INVENT_SAAR_FC" hidden="1">"c7707"</definedName>
    <definedName name="IQ_CHANGE_INVENT_SAAR_POP" hidden="1">"c7047"</definedName>
    <definedName name="IQ_CHANGE_INVENT_SAAR_POP_FC" hidden="1">"c7927"</definedName>
    <definedName name="IQ_CHANGE_INVENT_SAAR_YOY" hidden="1">"c7267"</definedName>
    <definedName name="IQ_CHANGE_INVENT_SAAR_YOY_FC" hidden="1">"c8147"</definedName>
    <definedName name="IQ_CHANGE_INVENT_YOY" hidden="1">"c7266"</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PRIVATE_INVENT" hidden="1">"c6828"</definedName>
    <definedName name="IQ_CHANGE_PRIVATE_INVENT_APR" hidden="1">"c7488"</definedName>
    <definedName name="IQ_CHANGE_PRIVATE_INVENT_APR_FC" hidden="1">"c8368"</definedName>
    <definedName name="IQ_CHANGE_PRIVATE_INVENT_FC" hidden="1">"c7708"</definedName>
    <definedName name="IQ_CHANGE_PRIVATE_INVENT_POP" hidden="1">"c7048"</definedName>
    <definedName name="IQ_CHANGE_PRIVATE_INVENT_POP_FC" hidden="1">"c7928"</definedName>
    <definedName name="IQ_CHANGE_PRIVATE_INVENT_YOY" hidden="1">"c7268"</definedName>
    <definedName name="IQ_CHANGE_PRIVATE_INVENT_YOY_FC" hidden="1">"c8148"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HICAGO_PMI" hidden="1">"c6829"</definedName>
    <definedName name="IQ_CHICAGO_PMI_APR" hidden="1">"c7489"</definedName>
    <definedName name="IQ_CHICAGO_PMI_APR_FC" hidden="1">"c8369"</definedName>
    <definedName name="IQ_CHICAGO_PMI_FC" hidden="1">"c7709"</definedName>
    <definedName name="IQ_CHICAGO_PMI_POP" hidden="1">"c7049"</definedName>
    <definedName name="IQ_CHICAGO_PMI_POP_FC" hidden="1">"c7929"</definedName>
    <definedName name="IQ_CHICAGO_PMI_YOY" hidden="1">"c7269"</definedName>
    <definedName name="IQ_CHICAGO_PMI_YOY_FC" hidden="1">"c8149"</definedName>
    <definedName name="IQ_CITY" hidden="1">"c166"</definedName>
    <definedName name="IQ_CL_AP" hidden="1">"c8884"</definedName>
    <definedName name="IQ_CL_AP_ABS" hidden="1">"c8903"</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NAME_AP" hidden="1">"c8922"</definedName>
    <definedName name="IQ_CL_NAME_AP_ABS" hidden="1">"c8941"</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ASSB_OUTSTANDING_BS_DATE" hidden="1">"c1972"</definedName>
    <definedName name="IQ_CLASSB_OUTSTANDING_FILING_DATE" hidden="1">"c1974"</definedName>
    <definedName name="IQ_CLOSEPRICE" hidden="1">"c174"</definedName>
    <definedName name="IQ_CLOSEPRICE_ADJ" hidden="1">"c2115"</definedName>
    <definedName name="IQ_CMO_FDIC" hidden="1">"c6406"</definedName>
    <definedName name="IQ_COGS" hidden="1">"c175"</definedName>
    <definedName name="IQ_COLLATERAL_TYPE" hidden="1">"c8954"</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MPOSITE_CYCLICAL_IND" hidden="1">"c6830"</definedName>
    <definedName name="IQ_COMPOSITE_CYCLICAL_IND_APR" hidden="1">"c7490"</definedName>
    <definedName name="IQ_COMPOSITE_CYCLICAL_IND_APR_FC" hidden="1">"c8370"</definedName>
    <definedName name="IQ_COMPOSITE_CYCLICAL_IND_FC" hidden="1">"c7710"</definedName>
    <definedName name="IQ_COMPOSITE_CYCLICAL_IND_POP" hidden="1">"c7050"</definedName>
    <definedName name="IQ_COMPOSITE_CYCLICAL_IND_POP_FC" hidden="1">"c7930"</definedName>
    <definedName name="IQ_COMPOSITE_CYCLICAL_IND_YOY" hidden="1">"c7270"</definedName>
    <definedName name="IQ_COMPOSITE_CYCLICAL_IND_YOY_FC" hidden="1">"c8150"</definedName>
    <definedName name="IQ_CONSOL_BEDS" hidden="1">"c8782"</definedName>
    <definedName name="IQ_CONSOL_PROP_OPERATIONAL" hidden="1">"c8758"</definedName>
    <definedName name="IQ_CONSOL_PROP_OTHER_OWNED" hidden="1">"c8760"</definedName>
    <definedName name="IQ_CONSOL_PROP_TOTAL" hidden="1">"c8761"</definedName>
    <definedName name="IQ_CONSOL_PROP_UNDEVELOPED" hidden="1">"c8759"</definedName>
    <definedName name="IQ_CONSOL_ROOMS" hidden="1">"c8786"</definedName>
    <definedName name="IQ_CONSOL_SQ_FT_OPERATIONAL" hidden="1">"c8774"</definedName>
    <definedName name="IQ_CONSOL_SQ_FT_OTHER_OWNED" hidden="1">"c8776"</definedName>
    <definedName name="IQ_CONSOL_SQ_FT_TOTAL" hidden="1">"c8777"</definedName>
    <definedName name="IQ_CONSOL_SQ_FT_UNDEVELOPED" hidden="1">"c8775"</definedName>
    <definedName name="IQ_CONSOL_UNITS_OPERATIONAL" hidden="1">"c8766"</definedName>
    <definedName name="IQ_CONSOL_UNITS_OTHER_OWNED" hidden="1">"c8768"</definedName>
    <definedName name="IQ_CONSOL_UNITS_TOTAL" hidden="1">"c8769"</definedName>
    <definedName name="IQ_CONSOL_UNITS_UNDEVELOPED" hidden="1">"c8767"</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COMFORT" hidden="1">"c6831"</definedName>
    <definedName name="IQ_CONSUMER_COMFORT_APR" hidden="1">"c7491"</definedName>
    <definedName name="IQ_CONSUMER_COMFORT_APR_FC" hidden="1">"c8371"</definedName>
    <definedName name="IQ_CONSUMER_COMFORT_FC" hidden="1">"c7711"</definedName>
    <definedName name="IQ_CONSUMER_COMFORT_POP" hidden="1">"c7051"</definedName>
    <definedName name="IQ_CONSUMER_COMFORT_POP_FC" hidden="1">"c7931"</definedName>
    <definedName name="IQ_CONSUMER_CONFIDENCE" hidden="1">"c6832"</definedName>
    <definedName name="IQ_CONSUMER_CONFIDENCE_APR" hidden="1">"c7492"</definedName>
    <definedName name="IQ_CONSUMER_CONFIDENCE_APR_FC" hidden="1">"c8372"</definedName>
    <definedName name="IQ_CONSUMER_CONFIDENCE_FC" hidden="1">"c7712"</definedName>
    <definedName name="IQ_CONSUMER_CONFIDENCE_POP" hidden="1">"c7052"</definedName>
    <definedName name="IQ_CONSUMER_CONFIDENCE_POP_FC" hidden="1">"c7932"</definedName>
    <definedName name="IQ_CONSUMER_CONFIDENCE_YOY" hidden="1">"c7272"</definedName>
    <definedName name="IQ_CONSUMER_CONFIDENCE_YOY_FC" hidden="1">"c8152"</definedName>
    <definedName name="IQ_CONSUMER_LENDING" hidden="1">"c6833"</definedName>
    <definedName name="IQ_CONSUMER_LENDING_APR" hidden="1">"c7493"</definedName>
    <definedName name="IQ_CONSUMER_LENDING_APR_FC" hidden="1">"c8373"</definedName>
    <definedName name="IQ_CONSUMER_LENDING_FC" hidden="1">"c7713"</definedName>
    <definedName name="IQ_CONSUMER_LENDING_GROSS" hidden="1">"c6878"</definedName>
    <definedName name="IQ_CONSUMER_LENDING_GROSS_APR" hidden="1">"c7538"</definedName>
    <definedName name="IQ_CONSUMER_LENDING_GROSS_APR_FC" hidden="1">"c8418"</definedName>
    <definedName name="IQ_CONSUMER_LENDING_GROSS_FC" hidden="1">"c7758"</definedName>
    <definedName name="IQ_CONSUMER_LENDING_GROSS_POP" hidden="1">"c7098"</definedName>
    <definedName name="IQ_CONSUMER_LENDING_GROSS_POP_FC" hidden="1">"c7978"</definedName>
    <definedName name="IQ_CONSUMER_LENDING_GROSS_YOY" hidden="1">"c7318"</definedName>
    <definedName name="IQ_CONSUMER_LENDING_GROSS_YOY_FC" hidden="1">"c8198"</definedName>
    <definedName name="IQ_CONSUMER_LENDING_NET" hidden="1">"c6922"</definedName>
    <definedName name="IQ_CONSUMER_LENDING_NET_APR" hidden="1">"c7582"</definedName>
    <definedName name="IQ_CONSUMER_LENDING_NET_APR_FC" hidden="1">"c8462"</definedName>
    <definedName name="IQ_CONSUMER_LENDING_NET_FC" hidden="1">"c7802"</definedName>
    <definedName name="IQ_CONSUMER_LENDING_NET_POP" hidden="1">"c7142"</definedName>
    <definedName name="IQ_CONSUMER_LENDING_NET_POP_FC" hidden="1">"c8022"</definedName>
    <definedName name="IQ_CONSUMER_LENDING_NET_YOY" hidden="1">"c7362"</definedName>
    <definedName name="IQ_CONSUMER_LENDING_NET_YOY_FC" hidden="1">"c8242"</definedName>
    <definedName name="IQ_CONSUMER_LENDING_POP" hidden="1">"c7053"</definedName>
    <definedName name="IQ_CONSUMER_LENDING_POP_FC" hidden="1">"c7933"</definedName>
    <definedName name="IQ_CONSUMER_LENDING_TOTAL" hidden="1">"c7018"</definedName>
    <definedName name="IQ_CONSUMER_LENDING_TOTAL_APR" hidden="1">"c7678"</definedName>
    <definedName name="IQ_CONSUMER_LENDING_TOTAL_APR_FC" hidden="1">"c8558"</definedName>
    <definedName name="IQ_CONSUMER_LENDING_TOTAL_FC" hidden="1">"c7898"</definedName>
    <definedName name="IQ_CONSUMER_LENDING_TOTAL_POP" hidden="1">"c7238"</definedName>
    <definedName name="IQ_CONSUMER_LENDING_TOTAL_POP_FC" hidden="1">"c8118"</definedName>
    <definedName name="IQ_CONSUMER_LENDING_TOTAL_YOY" hidden="1">"c7458"</definedName>
    <definedName name="IQ_CONSUMER_LENDING_TOTAL_YOY_FC" hidden="1">"c8338"</definedName>
    <definedName name="IQ_CONSUMER_LENDING_YOY" hidden="1">"c7273"</definedName>
    <definedName name="IQ_CONSUMER_LENDING_YOY_FC" hidden="1">"c8153"</definedName>
    <definedName name="IQ_CONSUMER_LOANS" hidden="1">"c223"</definedName>
    <definedName name="IQ_CONSUMER_SPENDING" hidden="1">"c6834"</definedName>
    <definedName name="IQ_CONSUMER_SPENDING_APR" hidden="1">"c7494"</definedName>
    <definedName name="IQ_CONSUMER_SPENDING_APR_FC" hidden="1">"c8374"</definedName>
    <definedName name="IQ_CONSUMER_SPENDING_DURABLE" hidden="1">"c6835"</definedName>
    <definedName name="IQ_CONSUMER_SPENDING_DURABLE_APR" hidden="1">"c7495"</definedName>
    <definedName name="IQ_CONSUMER_SPENDING_DURABLE_APR_FC" hidden="1">"c8375"</definedName>
    <definedName name="IQ_CONSUMER_SPENDING_DURABLE_FC" hidden="1">"c7715"</definedName>
    <definedName name="IQ_CONSUMER_SPENDING_DURABLE_POP" hidden="1">"c7055"</definedName>
    <definedName name="IQ_CONSUMER_SPENDING_DURABLE_POP_FC" hidden="1">"c7935"</definedName>
    <definedName name="IQ_CONSUMER_SPENDING_DURABLE_REAL" hidden="1">"c6964"</definedName>
    <definedName name="IQ_CONSUMER_SPENDING_DURABLE_REAL_APR" hidden="1">"c7624"</definedName>
    <definedName name="IQ_CONSUMER_SPENDING_DURABLE_REAL_APR_FC" hidden="1">"c8504"</definedName>
    <definedName name="IQ_CONSUMER_SPENDING_DURABLE_REAL_FC" hidden="1">"c7844"</definedName>
    <definedName name="IQ_CONSUMER_SPENDING_DURABLE_REAL_POP" hidden="1">"c7184"</definedName>
    <definedName name="IQ_CONSUMER_SPENDING_DURABLE_REAL_POP_FC" hidden="1">"c8064"</definedName>
    <definedName name="IQ_CONSUMER_SPENDING_DURABLE_REAL_SAAR" hidden="1">"c6965"</definedName>
    <definedName name="IQ_CONSUMER_SPENDING_DURABLE_REAL_SAAR_APR" hidden="1">"c7625"</definedName>
    <definedName name="IQ_CONSUMER_SPENDING_DURABLE_REAL_SAAR_APR_FC" hidden="1">"c8505"</definedName>
    <definedName name="IQ_CONSUMER_SPENDING_DURABLE_REAL_SAAR_FC" hidden="1">"c7845"</definedName>
    <definedName name="IQ_CONSUMER_SPENDING_DURABLE_REAL_SAAR_POP" hidden="1">"c7185"</definedName>
    <definedName name="IQ_CONSUMER_SPENDING_DURABLE_REAL_SAAR_POP_FC" hidden="1">"c8065"</definedName>
    <definedName name="IQ_CONSUMER_SPENDING_DURABLE_REAL_SAAR_YOY" hidden="1">"c7405"</definedName>
    <definedName name="IQ_CONSUMER_SPENDING_DURABLE_REAL_SAAR_YOY_FC" hidden="1">"c8285"</definedName>
    <definedName name="IQ_CONSUMER_SPENDING_DURABLE_REAL_YOY" hidden="1">"c7404"</definedName>
    <definedName name="IQ_CONSUMER_SPENDING_DURABLE_REAL_YOY_FC" hidden="1">"c8284"</definedName>
    <definedName name="IQ_CONSUMER_SPENDING_DURABLE_YOY" hidden="1">"c7275"</definedName>
    <definedName name="IQ_CONSUMER_SPENDING_DURABLE_YOY_FC" hidden="1">"c8155"</definedName>
    <definedName name="IQ_CONSUMER_SPENDING_FC" hidden="1">"c7714"</definedName>
    <definedName name="IQ_CONSUMER_SPENDING_NONDURABLE" hidden="1">"c6836"</definedName>
    <definedName name="IQ_CONSUMER_SPENDING_NONDURABLE_APR" hidden="1">"c7496"</definedName>
    <definedName name="IQ_CONSUMER_SPENDING_NONDURABLE_APR_FC" hidden="1">"c8376"</definedName>
    <definedName name="IQ_CONSUMER_SPENDING_NONDURABLE_FC" hidden="1">"c7716"</definedName>
    <definedName name="IQ_CONSUMER_SPENDING_NONDURABLE_POP" hidden="1">"c7056"</definedName>
    <definedName name="IQ_CONSUMER_SPENDING_NONDURABLE_POP_FC" hidden="1">"c7936"</definedName>
    <definedName name="IQ_CONSUMER_SPENDING_NONDURABLE_REAL" hidden="1">"c6966"</definedName>
    <definedName name="IQ_CONSUMER_SPENDING_NONDURABLE_REAL_APR" hidden="1">"c7626"</definedName>
    <definedName name="IQ_CONSUMER_SPENDING_NONDURABLE_REAL_APR_FC" hidden="1">"c8506"</definedName>
    <definedName name="IQ_CONSUMER_SPENDING_NONDURABLE_REAL_FC" hidden="1">"c7846"</definedName>
    <definedName name="IQ_CONSUMER_SPENDING_NONDURABLE_REAL_POP" hidden="1">"c7186"</definedName>
    <definedName name="IQ_CONSUMER_SPENDING_NONDURABLE_REAL_POP_FC" hidden="1">"c8066"</definedName>
    <definedName name="IQ_CONSUMER_SPENDING_NONDURABLE_REAL_SAAR" hidden="1">"c6967"</definedName>
    <definedName name="IQ_CONSUMER_SPENDING_NONDURABLE_REAL_SAAR_APR" hidden="1">"c7627"</definedName>
    <definedName name="IQ_CONSUMER_SPENDING_NONDURABLE_REAL_SAAR_APR_FC" hidden="1">"c8507"</definedName>
    <definedName name="IQ_CONSUMER_SPENDING_NONDURABLE_REAL_SAAR_FC" hidden="1">"c7847"</definedName>
    <definedName name="IQ_CONSUMER_SPENDING_NONDURABLE_REAL_SAAR_POP" hidden="1">"c7187"</definedName>
    <definedName name="IQ_CONSUMER_SPENDING_NONDURABLE_REAL_SAAR_POP_FC" hidden="1">"c8067"</definedName>
    <definedName name="IQ_CONSUMER_SPENDING_NONDURABLE_REAL_SAAR_YOY" hidden="1">"c7407"</definedName>
    <definedName name="IQ_CONSUMER_SPENDING_NONDURABLE_REAL_SAAR_YOY_FC" hidden="1">"c8287"</definedName>
    <definedName name="IQ_CONSUMER_SPENDING_NONDURABLE_REAL_YOY" hidden="1">"c7406"</definedName>
    <definedName name="IQ_CONSUMER_SPENDING_NONDURABLE_REAL_YOY_FC" hidden="1">"c8286"</definedName>
    <definedName name="IQ_CONSUMER_SPENDING_NONDURABLE_YOY" hidden="1">"c7276"</definedName>
    <definedName name="IQ_CONSUMER_SPENDING_NONDURABLE_YOY_FC" hidden="1">"c8156"</definedName>
    <definedName name="IQ_CONSUMER_SPENDING_POP" hidden="1">"c7054"</definedName>
    <definedName name="IQ_CONSUMER_SPENDING_POP_FC" hidden="1">"c7934"</definedName>
    <definedName name="IQ_CONSUMER_SPENDING_REAL" hidden="1">"c6963"</definedName>
    <definedName name="IQ_CONSUMER_SPENDING_REAL_APR" hidden="1">"c7623"</definedName>
    <definedName name="IQ_CONSUMER_SPENDING_REAL_APR_FC" hidden="1">"c8503"</definedName>
    <definedName name="IQ_CONSUMER_SPENDING_REAL_FC" hidden="1">"c7843"</definedName>
    <definedName name="IQ_CONSUMER_SPENDING_REAL_POP" hidden="1">"c7183"</definedName>
    <definedName name="IQ_CONSUMER_SPENDING_REAL_POP_FC" hidden="1">"c8063"</definedName>
    <definedName name="IQ_CONSUMER_SPENDING_REAL_SAAR" hidden="1">"c6968"</definedName>
    <definedName name="IQ_CONSUMER_SPENDING_REAL_SAAR_APR" hidden="1">"c7628"</definedName>
    <definedName name="IQ_CONSUMER_SPENDING_REAL_SAAR_APR_FC" hidden="1">"c8508"</definedName>
    <definedName name="IQ_CONSUMER_SPENDING_REAL_SAAR_FC" hidden="1">"c7848"</definedName>
    <definedName name="IQ_CONSUMER_SPENDING_REAL_SAAR_POP" hidden="1">"c7188"</definedName>
    <definedName name="IQ_CONSUMER_SPENDING_REAL_SAAR_POP_FC" hidden="1">"c8068"</definedName>
    <definedName name="IQ_CONSUMER_SPENDING_REAL_SAAR_YOY" hidden="1">"c7408"</definedName>
    <definedName name="IQ_CONSUMER_SPENDING_REAL_SAAR_YOY_FC" hidden="1">"c8288"</definedName>
    <definedName name="IQ_CONSUMER_SPENDING_REAL_USD_APR_FC" hidden="1">"c11921"</definedName>
    <definedName name="IQ_CONSUMER_SPENDING_REAL_USD_FC" hidden="1">"c11918"</definedName>
    <definedName name="IQ_CONSUMER_SPENDING_REAL_USD_POP_FC" hidden="1">"c11919"</definedName>
    <definedName name="IQ_CONSUMER_SPENDING_REAL_USD_YOY_FC" hidden="1">"c11920"</definedName>
    <definedName name="IQ_CONSUMER_SPENDING_REAL_YOY" hidden="1">"c7403"</definedName>
    <definedName name="IQ_CONSUMER_SPENDING_REAL_YOY_FC" hidden="1">"c8283"</definedName>
    <definedName name="IQ_CONSUMER_SPENDING_SERVICES" hidden="1">"c6837"</definedName>
    <definedName name="IQ_CONSUMER_SPENDING_SERVICES_APR" hidden="1">"c7497"</definedName>
    <definedName name="IQ_CONSUMER_SPENDING_SERVICES_APR_FC" hidden="1">"c8377"</definedName>
    <definedName name="IQ_CONSUMER_SPENDING_SERVICES_FC" hidden="1">"c7717"</definedName>
    <definedName name="IQ_CONSUMER_SPENDING_SERVICES_POP" hidden="1">"c7057"</definedName>
    <definedName name="IQ_CONSUMER_SPENDING_SERVICES_POP_FC" hidden="1">"c7937"</definedName>
    <definedName name="IQ_CONSUMER_SPENDING_SERVICES_REAL" hidden="1">"c6969"</definedName>
    <definedName name="IQ_CONSUMER_SPENDING_SERVICES_REAL_APR" hidden="1">"c7629"</definedName>
    <definedName name="IQ_CONSUMER_SPENDING_SERVICES_REAL_APR_FC" hidden="1">"c8509"</definedName>
    <definedName name="IQ_CONSUMER_SPENDING_SERVICES_REAL_FC" hidden="1">"c7849"</definedName>
    <definedName name="IQ_CONSUMER_SPENDING_SERVICES_REAL_POP" hidden="1">"c7189"</definedName>
    <definedName name="IQ_CONSUMER_SPENDING_SERVICES_REAL_POP_FC" hidden="1">"c8069"</definedName>
    <definedName name="IQ_CONSUMER_SPENDING_SERVICES_REAL_SAAR" hidden="1">"c6970"</definedName>
    <definedName name="IQ_CONSUMER_SPENDING_SERVICES_REAL_SAAR_APR" hidden="1">"c7630"</definedName>
    <definedName name="IQ_CONSUMER_SPENDING_SERVICES_REAL_SAAR_APR_FC" hidden="1">"c8510"</definedName>
    <definedName name="IQ_CONSUMER_SPENDING_SERVICES_REAL_SAAR_FC" hidden="1">"c7850"</definedName>
    <definedName name="IQ_CONSUMER_SPENDING_SERVICES_REAL_SAAR_POP" hidden="1">"c7190"</definedName>
    <definedName name="IQ_CONSUMER_SPENDING_SERVICES_REAL_SAAR_POP_FC" hidden="1">"c8070"</definedName>
    <definedName name="IQ_CONSUMER_SPENDING_SERVICES_REAL_SAAR_YOY" hidden="1">"c7410"</definedName>
    <definedName name="IQ_CONSUMER_SPENDING_SERVICES_REAL_SAAR_YOY_FC" hidden="1">"c8290"</definedName>
    <definedName name="IQ_CONSUMER_SPENDING_SERVICES_REAL_YOY" hidden="1">"c7409"</definedName>
    <definedName name="IQ_CONSUMER_SPENDING_SERVICES_REAL_YOY_FC" hidden="1">"c8289"</definedName>
    <definedName name="IQ_CONSUMER_SPENDING_SERVICES_YOY" hidden="1">"c7277"</definedName>
    <definedName name="IQ_CONSUMER_SPENDING_SERVICES_YOY_FC" hidden="1">"c8157"</definedName>
    <definedName name="IQ_CONSUMER_SPENDING_YOY" hidden="1">"c7274"</definedName>
    <definedName name="IQ_CONSUMER_SPENDING_YOY_FC" hidden="1">"c8154"</definedName>
    <definedName name="IQ_CONTRACTS_OTHER_COMMODITIES_EQUITIES._FDIC" hidden="1">"c6522"</definedName>
    <definedName name="IQ_CONTRACTS_OTHER_COMMODITIES_EQUITIES_FDIC" hidden="1">"c6522"</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DEBT" hidden="1">"c224"</definedName>
    <definedName name="IQ_CONVERT_PCT" hidden="1">"c2537"</definedName>
    <definedName name="IQ_CONVEXITY" hidden="1">"c2182"</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RP_PROFITS" hidden="1">"c6843"</definedName>
    <definedName name="IQ_CORP_PROFITS_AFTER_TAX_SAAR" hidden="1">"c6842"</definedName>
    <definedName name="IQ_CORP_PROFITS_AFTER_TAX_SAAR_APR" hidden="1">"c7502"</definedName>
    <definedName name="IQ_CORP_PROFITS_AFTER_TAX_SAAR_APR_FC" hidden="1">"c8382"</definedName>
    <definedName name="IQ_CORP_PROFITS_AFTER_TAX_SAAR_FC" hidden="1">"c7722"</definedName>
    <definedName name="IQ_CORP_PROFITS_AFTER_TAX_SAAR_POP" hidden="1">"c7062"</definedName>
    <definedName name="IQ_CORP_PROFITS_AFTER_TAX_SAAR_POP_FC" hidden="1">"c7942"</definedName>
    <definedName name="IQ_CORP_PROFITS_AFTER_TAX_SAAR_YOY" hidden="1">"c7282"</definedName>
    <definedName name="IQ_CORP_PROFITS_AFTER_TAX_SAAR_YOY_FC" hidden="1">"c8162"</definedName>
    <definedName name="IQ_CORP_PROFITS_APR" hidden="1">"c7503"</definedName>
    <definedName name="IQ_CORP_PROFITS_APR_FC" hidden="1">"c8383"</definedName>
    <definedName name="IQ_CORP_PROFITS_FC" hidden="1">"c7723"</definedName>
    <definedName name="IQ_CORP_PROFITS_POP" hidden="1">"c7063"</definedName>
    <definedName name="IQ_CORP_PROFITS_POP_FC" hidden="1">"c7943"</definedName>
    <definedName name="IQ_CORP_PROFITS_SAAR" hidden="1">"c6844"</definedName>
    <definedName name="IQ_CORP_PROFITS_SAAR_APR" hidden="1">"c7504"</definedName>
    <definedName name="IQ_CORP_PROFITS_SAAR_APR_FC" hidden="1">"c8384"</definedName>
    <definedName name="IQ_CORP_PROFITS_SAAR_FC" hidden="1">"c7724"</definedName>
    <definedName name="IQ_CORP_PROFITS_SAAR_POP" hidden="1">"c7064"</definedName>
    <definedName name="IQ_CORP_PROFITS_SAAR_POP_FC" hidden="1">"c7944"</definedName>
    <definedName name="IQ_CORP_PROFITS_SAAR_YOY" hidden="1">"c7284"</definedName>
    <definedName name="IQ_CORP_PROFITS_SAAR_YOY_FC" hidden="1">"c8164"</definedName>
    <definedName name="IQ_CORP_PROFITS_YOY" hidden="1">"c7283"</definedName>
    <definedName name="IQ_CORP_PROFITS_YOY_FC" hidden="1">"c8163"</definedName>
    <definedName name="IQ_COST_BORROWING" hidden="1">"c2936"</definedName>
    <definedName name="IQ_COST_BORROWINGS" hidden="1">"c225"</definedName>
    <definedName name="IQ_COST_CAPITAL_NEW_BUSINESS" hidden="1">"c9968"</definedName>
    <definedName name="IQ_COST_OF_FUNDING_ASSETS_FDIC" hidden="1">"c6725"</definedName>
    <definedName name="IQ_COST_REV" hidden="1">"c226"</definedName>
    <definedName name="IQ_COST_REVENUE" hidden="1">"c1359"</definedName>
    <definedName name="IQ_COST_SAVINGS" hidden="1">"c227"</definedName>
    <definedName name="IQ_COST_SERVICE" hidden="1">"c228"</definedName>
    <definedName name="IQ_COST_SOLVENCY_CAPITAL_COVERED" hidden="1">"c9965"</definedName>
    <definedName name="IQ_COST_SOLVENCY_CAPITAL_GROUP" hidden="1">"c9951"</definedName>
    <definedName name="IQ_COST_TOTAL_BORROWINGS" hidden="1">"c229"</definedName>
    <definedName name="IQ_COUNTRY_NAME" hidden="1">"c230"</definedName>
    <definedName name="IQ_COUNTRY_NAME_ECON" hidden="1">"c11752"</definedName>
    <definedName name="IQ_COUPON_FORMULA" hidden="1">"c8965"</definedName>
    <definedName name="IQ_COVERED_POPS" hidden="1">"c2124"</definedName>
    <definedName name="IQ_CP" hidden="1">"c2495"</definedName>
    <definedName name="IQ_CP_PCT" hidden="1">"c2496"</definedName>
    <definedName name="IQ_CPI" hidden="1">"c6845"</definedName>
    <definedName name="IQ_CPI_APR" hidden="1">"c7505"</definedName>
    <definedName name="IQ_CPI_APR_FC" hidden="1">"c8385"</definedName>
    <definedName name="IQ_CPI_CORE" hidden="1">"c6838"</definedName>
    <definedName name="IQ_CPI_CORE_APR" hidden="1">"c7498"</definedName>
    <definedName name="IQ_CPI_CORE_POP" hidden="1">"c7058"</definedName>
    <definedName name="IQ_CPI_CORE_YOY" hidden="1">"c7278"</definedName>
    <definedName name="IQ_CPI_FC" hidden="1">"c7725"</definedName>
    <definedName name="IQ_CPI_POP" hidden="1">"c7065"</definedName>
    <definedName name="IQ_CPI_POP_FC" hidden="1">"c7945"</definedName>
    <definedName name="IQ_CPI_YOY" hidden="1">"c7285"</definedName>
    <definedName name="IQ_CPI_YOY_FC" hidden="1">"c8165"</definedName>
    <definedName name="IQ_CQ" hidden="1">5000</definedName>
    <definedName name="IQ_CREDIT_CARD_CHARGE_OFFS_FDIC" hidden="1">"c6652"</definedName>
    <definedName name="IQ_CREDIT_CARD_FEE" hidden="1">"c231"</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EXPOSURE" hidden="1">"c10038"</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CT" hidden="1">"c6846"</definedName>
    <definedName name="IQ_CURR_ACCT_BALANCE_PCT_FC" hidden="1">"c7726"</definedName>
    <definedName name="IQ_CURR_ACCT_BALANCE_PCT_POP" hidden="1">"c7066"</definedName>
    <definedName name="IQ_CURR_ACCT_BALANCE_PCT_POP_FC" hidden="1">"c7946"</definedName>
    <definedName name="IQ_CURR_ACCT_BALANCE_PCT_YOY" hidden="1">"c7286"</definedName>
    <definedName name="IQ_CURR_ACCT_BALANCE_PCT_YOY_FC" hidden="1">"c8166"</definedName>
    <definedName name="IQ_CURR_ACCT_BALANCE_POP_FC_UNUSED_UNUSED_UNUSED" hidden="1">"c7947"</definedName>
    <definedName name="IQ_CURR_ACCT_BALANCE_POP_UNUSED_UNUSED_UNUSED" hidden="1">"c7067"</definedName>
    <definedName name="IQ_CURR_ACCT_BALANCE_SAAR" hidden="1">"c6848"</definedName>
    <definedName name="IQ_CURR_ACCT_BALANCE_SAAR_APR" hidden="1">"c7508"</definedName>
    <definedName name="IQ_CURR_ACCT_BALANCE_SAAR_APR_FC" hidden="1">"c8388"</definedName>
    <definedName name="IQ_CURR_ACCT_BALANCE_SAAR_FC" hidden="1">"c7728"</definedName>
    <definedName name="IQ_CURR_ACCT_BALANCE_SAAR_POP" hidden="1">"c7068"</definedName>
    <definedName name="IQ_CURR_ACCT_BALANCE_SAAR_POP_FC" hidden="1">"c7948"</definedName>
    <definedName name="IQ_CURR_ACCT_BALANCE_SAAR_USD_APR_FC" hidden="1">"c11797"</definedName>
    <definedName name="IQ_CURR_ACCT_BALANCE_SAAR_USD_FC" hidden="1">"c11794"</definedName>
    <definedName name="IQ_CURR_ACCT_BALANCE_SAAR_USD_POP_FC" hidden="1">"c11795"</definedName>
    <definedName name="IQ_CURR_ACCT_BALANCE_SAAR_USD_YOY_FC" hidden="1">"c11796"</definedName>
    <definedName name="IQ_CURR_ACCT_BALANCE_SAAR_YOY" hidden="1">"c7288"</definedName>
    <definedName name="IQ_CURR_ACCT_BALANCE_SAAR_YOY_FC" hidden="1">"c8168"</definedName>
    <definedName name="IQ_CURR_ACCT_BALANCE_UNUSED_UNUSED_UNUSED" hidden="1">"c6847"</definedName>
    <definedName name="IQ_CURR_ACCT_BALANCE_USD" hidden="1">"c11786"</definedName>
    <definedName name="IQ_CURR_ACCT_BALANCE_USD_APR" hidden="1">"c11789"</definedName>
    <definedName name="IQ_CURR_ACCT_BALANCE_USD_APR_FC" hidden="1">"c11793"</definedName>
    <definedName name="IQ_CURR_ACCT_BALANCE_USD_FC" hidden="1">"c11790"</definedName>
    <definedName name="IQ_CURR_ACCT_BALANCE_USD_POP" hidden="1">"c11787"</definedName>
    <definedName name="IQ_CURR_ACCT_BALANCE_USD_POP_FC" hidden="1">"c11791"</definedName>
    <definedName name="IQ_CURR_ACCT_BALANCE_USD_YOY" hidden="1">"c11788"</definedName>
    <definedName name="IQ_CURR_ACCT_BALANCE_USD_YOY_FC" hidden="1">"c11792"</definedName>
    <definedName name="IQ_CURR_ACCT_BALANCE_YOY_FC_UNUSED_UNUSED_UNUSED" hidden="1">"c8167"</definedName>
    <definedName name="IQ_CURR_ACCT_BALANCE_YOY_UNUSED_UNUSED_UNUSED" hidden="1">"c7287"</definedName>
    <definedName name="IQ_CURR_ACCT_INC_RECEIPTS" hidden="1">"c6849"</definedName>
    <definedName name="IQ_CURR_ACCT_INC_RECEIPTS_APR" hidden="1">"c7509"</definedName>
    <definedName name="IQ_CURR_ACCT_INC_RECEIPTS_APR_FC" hidden="1">"c8389"</definedName>
    <definedName name="IQ_CURR_ACCT_INC_RECEIPTS_FC" hidden="1">"c7729"</definedName>
    <definedName name="IQ_CURR_ACCT_INC_RECEIPTS_POP" hidden="1">"c7069"</definedName>
    <definedName name="IQ_CURR_ACCT_INC_RECEIPTS_POP_FC" hidden="1">"c7949"</definedName>
    <definedName name="IQ_CURR_ACCT_INC_RECEIPTS_YOY" hidden="1">"c7289"</definedName>
    <definedName name="IQ_CURR_ACCT_INC_RECEIPTS_YOY_FC" hidden="1">"c8169"</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DELAY" hidden="1">"c8963"</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SPENDING_REAL_SAAR" hidden="1">"c6971"</definedName>
    <definedName name="IQ_DEF_SPENDING_REAL_SAAR_APR" hidden="1">"c7631"</definedName>
    <definedName name="IQ_DEF_SPENDING_REAL_SAAR_APR_FC" hidden="1">"c8511"</definedName>
    <definedName name="IQ_DEF_SPENDING_REAL_SAAR_FC" hidden="1">"c7851"</definedName>
    <definedName name="IQ_DEF_SPENDING_REAL_SAAR_POP" hidden="1">"c7191"</definedName>
    <definedName name="IQ_DEF_SPENDING_REAL_SAAR_POP_FC" hidden="1">"c8071"</definedName>
    <definedName name="IQ_DEF_SPENDING_REAL_SAAR_YOY" hidden="1">"c7411"</definedName>
    <definedName name="IQ_DEF_SPENDING_REAL_SAAR_YOY_FC" hidden="1">"c8291"</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INTEREST_SECURITIES" hidden="1">"c5509"</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"c1360"</definedName>
    <definedName name="IQ_DEPRE_AMORT_SUPPL" hidden="1">"c1593"</definedName>
    <definedName name="IQ_DEPRE_DEPLE" hidden="1">"c1361"</definedName>
    <definedName name="IQ_DEPRE_SUPP" hidden="1">"c1443"</definedName>
    <definedName name="IQ_DERIVATIVES_FDIC" hidden="1">"c6523"</definedName>
    <definedName name="IQ_DESCRIPTION_LONG" hidden="1">"c1520"</definedName>
    <definedName name="IQ_DEVELOP_LAND" hidden="1">"c323"</definedName>
    <definedName name="IQ_DIFF_LASTCLOSE_TARGET_PRICE" hidden="1">"c1854"</definedName>
    <definedName name="IQ_DIFF_LASTCLOSE_TARGET_PRICE_THOM" hidden="1">"c5278"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POSABLE_PERSONAL_INC" hidden="1">"c6850"</definedName>
    <definedName name="IQ_DISPOSABLE_PERSONAL_INC_APR" hidden="1">"c7510"</definedName>
    <definedName name="IQ_DISPOSABLE_PERSONAL_INC_APR_FC" hidden="1">"c8390"</definedName>
    <definedName name="IQ_DISPOSABLE_PERSONAL_INC_FC" hidden="1">"c7730"</definedName>
    <definedName name="IQ_DISPOSABLE_PERSONAL_INC_POP" hidden="1">"c7070"</definedName>
    <definedName name="IQ_DISPOSABLE_PERSONAL_INC_POP_FC" hidden="1">"c7950"</definedName>
    <definedName name="IQ_DISPOSABLE_PERSONAL_INC_REAL" hidden="1">"c11922"</definedName>
    <definedName name="IQ_DISPOSABLE_PERSONAL_INC_REAL_APR" hidden="1">"c11925"</definedName>
    <definedName name="IQ_DISPOSABLE_PERSONAL_INC_REAL_POP" hidden="1">"c11923"</definedName>
    <definedName name="IQ_DISPOSABLE_PERSONAL_INC_REAL_YOY" hidden="1">"c11924"</definedName>
    <definedName name="IQ_DISPOSABLE_PERSONAL_INC_SAAR" hidden="1">"c6851"</definedName>
    <definedName name="IQ_DISPOSABLE_PERSONAL_INC_SAAR_APR" hidden="1">"c7511"</definedName>
    <definedName name="IQ_DISPOSABLE_PERSONAL_INC_SAAR_APR_FC" hidden="1">"c8391"</definedName>
    <definedName name="IQ_DISPOSABLE_PERSONAL_INC_SAAR_FC" hidden="1">"c7731"</definedName>
    <definedName name="IQ_DISPOSABLE_PERSONAL_INC_SAAR_POP" hidden="1">"c7071"</definedName>
    <definedName name="IQ_DISPOSABLE_PERSONAL_INC_SAAR_POP_FC" hidden="1">"c7951"</definedName>
    <definedName name="IQ_DISPOSABLE_PERSONAL_INC_SAAR_USD_APR_FC" hidden="1">"c11805"</definedName>
    <definedName name="IQ_DISPOSABLE_PERSONAL_INC_SAAR_USD_FC" hidden="1">"c11802"</definedName>
    <definedName name="IQ_DISPOSABLE_PERSONAL_INC_SAAR_USD_POP_FC" hidden="1">"c11803"</definedName>
    <definedName name="IQ_DISPOSABLE_PERSONAL_INC_SAAR_USD_YOY_FC" hidden="1">"c11804"</definedName>
    <definedName name="IQ_DISPOSABLE_PERSONAL_INC_SAAR_YOY" hidden="1">"c7291"</definedName>
    <definedName name="IQ_DISPOSABLE_PERSONAL_INC_SAAR_YOY_FC" hidden="1">"c8171"</definedName>
    <definedName name="IQ_DISPOSABLE_PERSONAL_INC_USD_APR_FC" hidden="1">"c11801"</definedName>
    <definedName name="IQ_DISPOSABLE_PERSONAL_INC_USD_FC" hidden="1">"c11798"</definedName>
    <definedName name="IQ_DISPOSABLE_PERSONAL_INC_USD_POP_FC" hidden="1">"c11799"</definedName>
    <definedName name="IQ_DISPOSABLE_PERSONAL_INC_USD_YOY_FC" hidden="1">"c11800"</definedName>
    <definedName name="IQ_DISPOSABLE_PERSONAL_INC_YOY" hidden="1">"c7290"</definedName>
    <definedName name="IQ_DISPOSABLE_PERSONAL_INC_YOY_FC" hidden="1">"c8170"</definedName>
    <definedName name="IQ_DISTR_EXCESS_EARN" hidden="1">"c329"</definedName>
    <definedName name="IQ_DISTRIBUTABLE_CASH" hidden="1">"c3002"</definedName>
    <definedName name="IQ_DISTRIBUTABLE_CASH_ACT_OR_EST" hidden="1">"c4278"</definedName>
    <definedName name="IQ_DISTRIBUTABLE_CASH_ACT_OR_EST_CIQ" hidden="1">"c4803"</definedName>
    <definedName name="IQ_DISTRIBUTABLE_CASH_PAYOUT" hidden="1">"c3005"</definedName>
    <definedName name="IQ_DISTRIBUTABLE_CASH_SHARE" hidden="1">"c3003"</definedName>
    <definedName name="IQ_DISTRIBUTABLE_CASH_SHARE_ACT_OR_EST" hidden="1">"c4286"</definedName>
    <definedName name="IQ_DISTRIBUTABLE_CASH_SHARE_ACT_OR_EST_CIQ" hidden="1">"c4811"</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IVIDENDS_PAID_DECLARED_PERIOD_COVERED" hidden="1">"c9960"</definedName>
    <definedName name="IQ_DIVIDENDS_PAID_DECLARED_PERIOD_GROUP" hidden="1">"c9946"</definedName>
    <definedName name="IQ_DNB_OTHER_EXP_INC_TAX_US" hidden="1">"c6787"</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THOM" hidden="1">"c5302"</definedName>
    <definedName name="IQ_DPS_EST" hidden="1">"c1674"</definedName>
    <definedName name="IQ_DPS_EST_THOM" hidden="1">"c4013"</definedName>
    <definedName name="IQ_DPS_HIGH_EST" hidden="1">"c1676"</definedName>
    <definedName name="IQ_DPS_HIGH_EST_THOM" hidden="1">"c4015"</definedName>
    <definedName name="IQ_DPS_LOW_EST" hidden="1">"c1677"</definedName>
    <definedName name="IQ_DPS_LOW_EST_THOM" hidden="1">"c4016"</definedName>
    <definedName name="IQ_DPS_MEDIAN_EST" hidden="1">"c1675"</definedName>
    <definedName name="IQ_DPS_MEDIAN_EST_THOM" hidden="1">"c4014"</definedName>
    <definedName name="IQ_DPS_NUM_EST" hidden="1">"c1678"</definedName>
    <definedName name="IQ_DPS_NUM_EST_THOM" hidden="1">"c4017"</definedName>
    <definedName name="IQ_DPS_STDDEV_EST" hidden="1">"c1679"</definedName>
    <definedName name="IQ_DPS_STDDEV_EST_THOM" hidden="1">"c4018"</definedName>
    <definedName name="IQ_DURABLE_INVENTORIES" hidden="1">"c6853"</definedName>
    <definedName name="IQ_DURABLE_INVENTORIES_APR" hidden="1">"c7513"</definedName>
    <definedName name="IQ_DURABLE_INVENTORIES_APR_FC" hidden="1">"c8393"</definedName>
    <definedName name="IQ_DURABLE_INVENTORIES_FC" hidden="1">"c7733"</definedName>
    <definedName name="IQ_DURABLE_INVENTORIES_POP" hidden="1">"c7073"</definedName>
    <definedName name="IQ_DURABLE_INVENTORIES_POP_FC" hidden="1">"c7953"</definedName>
    <definedName name="IQ_DURABLE_INVENTORIES_YOY" hidden="1">"c7293"</definedName>
    <definedName name="IQ_DURABLE_INVENTORIES_YOY_FC" hidden="1">"c8173"</definedName>
    <definedName name="IQ_DURABLE_ORDERS" hidden="1">"c6854"</definedName>
    <definedName name="IQ_DURABLE_ORDERS_APR" hidden="1">"c7514"</definedName>
    <definedName name="IQ_DURABLE_ORDERS_APR_FC" hidden="1">"c8394"</definedName>
    <definedName name="IQ_DURABLE_ORDERS_FC" hidden="1">"c7734"</definedName>
    <definedName name="IQ_DURABLE_ORDERS_POP" hidden="1">"c7074"</definedName>
    <definedName name="IQ_DURABLE_ORDERS_POP_FC" hidden="1">"c7954"</definedName>
    <definedName name="IQ_DURABLE_ORDERS_YOY" hidden="1">"c7294"</definedName>
    <definedName name="IQ_DURABLE_ORDERS_YOY_FC" hidden="1">"c8174"</definedName>
    <definedName name="IQ_DURABLE_SHIPMENTS" hidden="1">"c6855"</definedName>
    <definedName name="IQ_DURABLE_SHIPMENTS_APR" hidden="1">"c7515"</definedName>
    <definedName name="IQ_DURABLE_SHIPMENTS_APR_FC" hidden="1">"c8395"</definedName>
    <definedName name="IQ_DURABLE_SHIPMENTS_FC" hidden="1">"c7735"</definedName>
    <definedName name="IQ_DURABLE_SHIPMENTS_POP" hidden="1">"c7075"</definedName>
    <definedName name="IQ_DURABLE_SHIPMENTS_POP_FC" hidden="1">"c7955"</definedName>
    <definedName name="IQ_DURABLE_SHIPMENTS_YOY" hidden="1">"c7295"</definedName>
    <definedName name="IQ_DURABLE_SHIPMENTS_YOY_FC" hidden="1">"c8175"</definedName>
    <definedName name="IQ_DURATION" hidden="1">"c2181"</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CIQ" hidden="1">"c4656"</definedName>
    <definedName name="IQ_EARNINGS_ANNOUNCE_DATE_REUT" hidden="1">"c5314"</definedName>
    <definedName name="IQ_EARNINGS_ANNOUNCE_DATE_THOM" hidden="1">"c5093"</definedName>
    <definedName name="IQ_EARNINGS_COVERAGE_NET_CHARGE_OFFS_FDIC" hidden="1">"c6735"</definedName>
    <definedName name="IQ_EARNINGS_PERIOD_COVERED" hidden="1">"c9958"</definedName>
    <definedName name="IQ_EARNINGS_PERIOD_GROUP" hidden="1">"c9944"</definedName>
    <definedName name="IQ_EBIT" hidden="1">"c352"</definedName>
    <definedName name="IQ_EBIT_10K" hidden="1">"IQ_EBIT_10K"</definedName>
    <definedName name="IQ_EBIT_10Q" hidden="1">"IQ_EBIT_10Q"</definedName>
    <definedName name="IQ_EBIT_10Q1" hidden="1">"IQ_EBIT_10Q1"</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THOM" hidden="1">"c5303"</definedName>
    <definedName name="IQ_EBIT_EQ_INC" hidden="1">"c3498"</definedName>
    <definedName name="IQ_EBIT_EQ_INC_EXCL_SBC" hidden="1">"c3502"</definedName>
    <definedName name="IQ_EBIT_EST" hidden="1">"c1681"</definedName>
    <definedName name="IQ_EBIT_EST_THOM" hidden="1">"c5105"</definedName>
    <definedName name="IQ_EBIT_EXCL_SBC" hidden="1">"c3082"</definedName>
    <definedName name="IQ_EBIT_GROWTH_1" hidden="1">"c157"</definedName>
    <definedName name="IQ_EBIT_GROWTH_2" hidden="1">"c161"</definedName>
    <definedName name="IQ_EBIT_GW_ACT_OR_EST" hidden="1">"c4306"</definedName>
    <definedName name="IQ_EBIT_HIGH_EST" hidden="1">"c1683"</definedName>
    <definedName name="IQ_EBIT_HIGH_EST_THOM" hidden="1">"c5107"</definedName>
    <definedName name="IQ_EBIT_INT" hidden="1">"c360"</definedName>
    <definedName name="IQ_EBIT_LOW_EST" hidden="1">"c1684"</definedName>
    <definedName name="IQ_EBIT_LOW_EST_THOM" hidden="1">"c5108"</definedName>
    <definedName name="IQ_EBIT_MARGIN" hidden="1">"c359"</definedName>
    <definedName name="IQ_EBIT_MEDIAN_EST" hidden="1">"c1682"</definedName>
    <definedName name="IQ_EBIT_MEDIAN_EST_THOM" hidden="1">"c5106"</definedName>
    <definedName name="IQ_EBIT_NUM_EST" hidden="1">"c1685"</definedName>
    <definedName name="IQ_EBIT_NUM_EST_THOM" hidden="1">"c5109"</definedName>
    <definedName name="IQ_EBIT_OVER_IE" hidden="1">"c1369"</definedName>
    <definedName name="IQ_EBIT_SBC_ACT_OR_EST" hidden="1">"c4316"</definedName>
    <definedName name="IQ_EBIT_SBC_ACT_OR_EST_CIQ" hidden="1">"c4841"</definedName>
    <definedName name="IQ_EBIT_SBC_GW_ACT_OR_EST" hidden="1">"c4320"</definedName>
    <definedName name="IQ_EBIT_SBC_GW_ACT_OR_EST_CIQ" hidden="1">"c4845"</definedName>
    <definedName name="IQ_EBIT_STDDEV_EST" hidden="1">"c1686"</definedName>
    <definedName name="IQ_EBIT_STDDEV_EST_THOM" hidden="1">"c5110"</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CIQ" hidden="1">"c5060"</definedName>
    <definedName name="IQ_EBITDA_ACT_OR_EST_THOM" hidden="1">"c5300"</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ST_CIQ" hidden="1">"c3622"</definedName>
    <definedName name="IQ_EBITDA_EST_REUT" hidden="1">"c3640"</definedName>
    <definedName name="IQ_EBITDA_EST_THOM" hidden="1">"c3658"</definedName>
    <definedName name="IQ_EBITDA_EXCL_SBC" hidden="1">"c3081"</definedName>
    <definedName name="IQ_EBITDA_GROWTH_1" hidden="1">"c156"</definedName>
    <definedName name="IQ_EBITDA_GROWTH_2" hidden="1">"c160"</definedName>
    <definedName name="IQ_EBITDA_HIGH_EST" hidden="1">"c370"</definedName>
    <definedName name="IQ_EBITDA_HIGH_EST_CIQ" hidden="1">"c3624"</definedName>
    <definedName name="IQ_EBITDA_HIGH_EST_REUT" hidden="1">"c3642"</definedName>
    <definedName name="IQ_EBITDA_HIGH_EST_THOM" hidden="1">"c3660"</definedName>
    <definedName name="IQ_EBITDA_INT" hidden="1">"c373"</definedName>
    <definedName name="IQ_EBITDA_LOW_EST" hidden="1">"c371"</definedName>
    <definedName name="IQ_EBITDA_LOW_EST_CIQ" hidden="1">"c3625"</definedName>
    <definedName name="IQ_EBITDA_LOW_EST_REUT" hidden="1">"c3643"</definedName>
    <definedName name="IQ_EBITDA_LOW_EST_THOM" hidden="1">"c3661"</definedName>
    <definedName name="IQ_EBITDA_MARGIN" hidden="1">"c372"</definedName>
    <definedName name="IQ_EBITDA_MEDIAN_EST" hidden="1">"c1663"</definedName>
    <definedName name="IQ_EBITDA_MEDIAN_EST_CIQ" hidden="1">"c3623"</definedName>
    <definedName name="IQ_EBITDA_MEDIAN_EST_REUT" hidden="1">"c3641"</definedName>
    <definedName name="IQ_EBITDA_MEDIAN_EST_THOM" hidden="1">"c3659"</definedName>
    <definedName name="IQ_EBITDA_NO_EST" hidden="1">"c267"</definedName>
    <definedName name="IQ_EBITDA_NUM_EST" hidden="1">"c374"</definedName>
    <definedName name="IQ_EBITDA_NUM_EST_CIQ" hidden="1">"c3626"</definedName>
    <definedName name="IQ_EBITDA_NUM_EST_REUT" hidden="1">"c3644"</definedName>
    <definedName name="IQ_EBITDA_NUM_EST_THOM" hidden="1">"c3662"</definedName>
    <definedName name="IQ_EBITDA_OVER_TOTAL_IE" hidden="1">"c1371"</definedName>
    <definedName name="IQ_EBITDA_SBC_ACT_OR_EST" hidden="1">"c4337"</definedName>
    <definedName name="IQ_EBITDA_SBC_ACT_OR_EST_CIQ" hidden="1">"c4862"</definedName>
    <definedName name="IQ_EBITDA_STDDEV_EST" hidden="1">"c375"</definedName>
    <definedName name="IQ_EBITDA_STDDEV_EST_CIQ" hidden="1">"c3627"</definedName>
    <definedName name="IQ_EBITDA_STDDEV_EST_REUT" hidden="1">"c3645"</definedName>
    <definedName name="IQ_EBITDA_STDDEV_EST_THOM" hidden="1">"c3663"</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 hidden="1">"c6215"</definedName>
    <definedName name="IQ_EBT_REIT" hidden="1">"c389"</definedName>
    <definedName name="IQ_EBT_SBC_ACT_OR_EST" hidden="1">"c4350"</definedName>
    <definedName name="IQ_EBT_SBC_ACT_OR_EST_CIQ" hidden="1">"c4875"</definedName>
    <definedName name="IQ_EBT_SBC_GW_ACT_OR_EST" hidden="1">"c4354"</definedName>
    <definedName name="IQ_EBT_SBC_GW_ACT_OR_EST_CIQ" hidden="1">"c4879"</definedName>
    <definedName name="IQ_EBT_SUBTOTAL_AP" hidden="1">"c8982"</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27" hidden="1">"c6927"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147" hidden="1">"c7147"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367" hidden="1">"c7367"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587" hidden="1">"c7587"</definedName>
    <definedName name="IQ_ECO_METRIC_7648_UNUSED_UNUSED_UNUSED" hidden="1">"c7648"</definedName>
    <definedName name="IQ_ECO_METRIC_7704" hidden="1">"c7704"</definedName>
    <definedName name="IQ_ECO_METRIC_7705_UNUSED_UNUSED_UNUSED" hidden="1">"c7705"</definedName>
    <definedName name="IQ_ECO_METRIC_7706" hidden="1">"c7706"</definedName>
    <definedName name="IQ_ECO_METRIC_7718" hidden="1">"c7718"</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07" hidden="1">"c7807"</definedName>
    <definedName name="IQ_ECO_METRIC_7811" hidden="1">"c7811"</definedName>
    <definedName name="IQ_ECO_METRIC_7868_UNUSED_UNUSED_UNUSED" hidden="1">"c7868"</definedName>
    <definedName name="IQ_ECO_METRIC_7873" hidden="1">"c7873"</definedName>
    <definedName name="IQ_ECO_METRIC_7924" hidden="1">"c7924"</definedName>
    <definedName name="IQ_ECO_METRIC_7925_UNUSED_UNUSED_UNUSED" hidden="1">"c7925"</definedName>
    <definedName name="IQ_ECO_METRIC_7926" hidden="1">"c7926"</definedName>
    <definedName name="IQ_ECO_METRIC_7938" hidden="1">"c7938"</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27" hidden="1">"c8027"</definedName>
    <definedName name="IQ_ECO_METRIC_8031" hidden="1">"c8031"</definedName>
    <definedName name="IQ_ECO_METRIC_8088_UNUSED_UNUSED_UNUSED" hidden="1">"c8088"</definedName>
    <definedName name="IQ_ECO_METRIC_8093" hidden="1">"c8093"</definedName>
    <definedName name="IQ_ECO_METRIC_8144" hidden="1">"c8144"</definedName>
    <definedName name="IQ_ECO_METRIC_8145_UNUSED_UNUSED_UNUSED" hidden="1">"c8145"</definedName>
    <definedName name="IQ_ECO_METRIC_8146" hidden="1">"c8146"</definedName>
    <definedName name="IQ_ECO_METRIC_8158" hidden="1">"c8158"</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247" hidden="1">"c8247"</definedName>
    <definedName name="IQ_ECO_METRIC_8251" hidden="1">"c8251"</definedName>
    <definedName name="IQ_ECO_METRIC_8308_UNUSED_UNUSED_UNUSED" hidden="1">"c8308"</definedName>
    <definedName name="IQ_ECO_METRIC_8313" hidden="1">"c8313"</definedName>
    <definedName name="IQ_ECO_METRIC_8366" hidden="1">"c8366"</definedName>
    <definedName name="IQ_ECO_METRIC_8378" hidden="1">"c8378"</definedName>
    <definedName name="IQ_ECO_METRIC_8436_UNUSED_UNUSED_UNUSED" hidden="1">"c8436"</definedName>
    <definedName name="IQ_ECO_METRIC_8437_UNUSED_UNUSED_UNUSED" hidden="1">"c8437"</definedName>
    <definedName name="IQ_ECO_METRIC_8467" hidden="1">"c8467"</definedName>
    <definedName name="IQ_ECO_METRIC_8471" hidden="1">"c8471"</definedName>
    <definedName name="IQ_ECO_METRIC_8528_UNUSED_UNUSED_UNUSED" hidden="1">"c8528"</definedName>
    <definedName name="IQ_ECO_METRIC_8533" hidden="1">"c8533"</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ECTIVE_DATE" hidden="1">"c8966"</definedName>
    <definedName name="IQ_EFFICIENCY_RATIO" hidden="1">"c391"</definedName>
    <definedName name="IQ_EFFICIENCY_RATIO_FDIC" hidden="1">"c6736"</definedName>
    <definedName name="IQ_EMBEDDED_VAL_COVERED" hidden="1">"c9962"</definedName>
    <definedName name="IQ_EMBEDDED_VAL_COVERED_BEG" hidden="1">"c9957"</definedName>
    <definedName name="IQ_EMBEDDED_VAL_GROUP" hidden="1">"c9948"</definedName>
    <definedName name="IQ_EMBEDDED_VAL_GROUP_BEG" hidden="1">"c9943"</definedName>
    <definedName name="IQ_EMPLOY_COST_INDEX_BENEFITS" hidden="1">"c6857"</definedName>
    <definedName name="IQ_EMPLOY_COST_INDEX_BENEFITS_APR" hidden="1">"c7517"</definedName>
    <definedName name="IQ_EMPLOY_COST_INDEX_BENEFITS_APR_FC" hidden="1">"c8397"</definedName>
    <definedName name="IQ_EMPLOY_COST_INDEX_BENEFITS_FC" hidden="1">"c7737"</definedName>
    <definedName name="IQ_EMPLOY_COST_INDEX_BENEFITS_POP" hidden="1">"c7077"</definedName>
    <definedName name="IQ_EMPLOY_COST_INDEX_BENEFITS_POP_FC" hidden="1">"c7957"</definedName>
    <definedName name="IQ_EMPLOY_COST_INDEX_BENEFITS_YOY" hidden="1">"c7297"</definedName>
    <definedName name="IQ_EMPLOY_COST_INDEX_BENEFITS_YOY_FC" hidden="1">"c8177"</definedName>
    <definedName name="IQ_EMPLOY_COST_INDEX_COMP" hidden="1">"c6856"</definedName>
    <definedName name="IQ_EMPLOY_COST_INDEX_COMP_APR" hidden="1">"c7516"</definedName>
    <definedName name="IQ_EMPLOY_COST_INDEX_COMP_APR_FC" hidden="1">"c8396"</definedName>
    <definedName name="IQ_EMPLOY_COST_INDEX_COMP_FC" hidden="1">"c7736"</definedName>
    <definedName name="IQ_EMPLOY_COST_INDEX_COMP_POP" hidden="1">"c7076"</definedName>
    <definedName name="IQ_EMPLOY_COST_INDEX_COMP_POP_FC" hidden="1">"c7956"</definedName>
    <definedName name="IQ_EMPLOY_COST_INDEX_COMP_YOY" hidden="1">"c7296"</definedName>
    <definedName name="IQ_EMPLOY_COST_INDEX_COMP_YOY_FC" hidden="1">"c8176"</definedName>
    <definedName name="IQ_EMPLOY_COST_INDEX_WAGE_SALARY" hidden="1">"c6858"</definedName>
    <definedName name="IQ_EMPLOY_COST_INDEX_WAGE_SALARY_APR" hidden="1">"c7518"</definedName>
    <definedName name="IQ_EMPLOY_COST_INDEX_WAGE_SALARY_APR_FC" hidden="1">"c8398"</definedName>
    <definedName name="IQ_EMPLOY_COST_INDEX_WAGE_SALARY_FC" hidden="1">"c7738"</definedName>
    <definedName name="IQ_EMPLOY_COST_INDEX_WAGE_SALARY_POP" hidden="1">"c7078"</definedName>
    <definedName name="IQ_EMPLOY_COST_INDEX_WAGE_SALARY_POP_FC" hidden="1">"c7958"</definedName>
    <definedName name="IQ_EMPLOY_COST_INDEX_WAGE_SALARY_YOY" hidden="1">"c7298"</definedName>
    <definedName name="IQ_EMPLOY_COST_INDEX_WAGE_SALARY_YOY_FC" hidden="1">"c8178"</definedName>
    <definedName name="IQ_EMPLOYEES" hidden="1">"c392"</definedName>
    <definedName name="IQ_ENTERPRISE_VALUE" hidden="1">"c1348"</definedName>
    <definedName name="IQ_ENTREPRENEURAL_PROPERTY_INC" hidden="1">"c6859"</definedName>
    <definedName name="IQ_ENTREPRENEURAL_PROPERTY_INC_APR" hidden="1">"c7519"</definedName>
    <definedName name="IQ_ENTREPRENEURAL_PROPERTY_INC_APR_FC" hidden="1">"c8399"</definedName>
    <definedName name="IQ_ENTREPRENEURAL_PROPERTY_INC_FC" hidden="1">"c7739"</definedName>
    <definedName name="IQ_ENTREPRENEURAL_PROPERTY_INC_POP" hidden="1">"c7079"</definedName>
    <definedName name="IQ_ENTREPRENEURAL_PROPERTY_INC_POP_FC" hidden="1">"c7959"</definedName>
    <definedName name="IQ_ENTREPRENEURAL_PROPERTY_INC_YOY" hidden="1">"c7299"</definedName>
    <definedName name="IQ_ENTREPRENEURAL_PROPERTY_INC_YOY_FC" hidden="1">"c8179"</definedName>
    <definedName name="IQ_EPS" hidden="1">"IQ_EPS"</definedName>
    <definedName name="IQ_EPS_10K" hidden="1">"IQ_EPS_10K"</definedName>
    <definedName name="IQ_EPS_10Q" hidden="1">"IQ_EPS_10Q"</definedName>
    <definedName name="IQ_EPS_10Q1" hidden="1">"IQ_EPS_10Q1"</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CIQ" hidden="1">"c5058"</definedName>
    <definedName name="IQ_EPS_ACT_OR_EST_THOM" hidden="1">"c5298"</definedName>
    <definedName name="IQ_EPS_AP" hidden="1">"c8880"</definedName>
    <definedName name="IQ_EPS_AP_ABS" hidden="1">"c8899"</definedName>
    <definedName name="IQ_EPS_EST" hidden="1">"c399"</definedName>
    <definedName name="IQ_EPS_EST_1" hidden="1">"c189"</definedName>
    <definedName name="IQ_EPS_EST_BOTTOM_UP" hidden="1">"c5489"</definedName>
    <definedName name="IQ_EPS_EST_BOTTOM_UP_THOM" hidden="1">"c5647"</definedName>
    <definedName name="IQ_EPS_EST_CIQ" hidden="1">"c4994"</definedName>
    <definedName name="IQ_EPS_EST_REUT" hidden="1">"c5453"</definedName>
    <definedName name="IQ_EPS_EST_THOM" hidden="1">"c5290"</definedName>
    <definedName name="IQ_EPS_GW_ACT_OR_EST" hidden="1">"c2223"</definedName>
    <definedName name="IQ_EPS_GW_ACT_OR_EST_CIQ" hidden="1">"c5066"</definedName>
    <definedName name="IQ_EPS_GW_EST" hidden="1">"c1737"</definedName>
    <definedName name="IQ_EPS_GW_EST_CIQ" hidden="1">"c4723"</definedName>
    <definedName name="IQ_EPS_GW_EST_REUT" hidden="1">"c5389"</definedName>
    <definedName name="IQ_EPS_GW_EST_THOM" hidden="1">"c5133"</definedName>
    <definedName name="IQ_EPS_GW_HIGH_EST" hidden="1">"c1739"</definedName>
    <definedName name="IQ_EPS_GW_HIGH_EST_CIQ" hidden="1">"c4725"</definedName>
    <definedName name="IQ_EPS_GW_HIGH_EST_REUT" hidden="1">"c5391"</definedName>
    <definedName name="IQ_EPS_GW_HIGH_EST_THOM" hidden="1">"c5135"</definedName>
    <definedName name="IQ_EPS_GW_LOW_EST" hidden="1">"c1740"</definedName>
    <definedName name="IQ_EPS_GW_LOW_EST_CIQ" hidden="1">"c4726"</definedName>
    <definedName name="IQ_EPS_GW_LOW_EST_REUT" hidden="1">"c5392"</definedName>
    <definedName name="IQ_EPS_GW_LOW_EST_THOM" hidden="1">"c5136"</definedName>
    <definedName name="IQ_EPS_GW_MEDIAN_EST" hidden="1">"c1738"</definedName>
    <definedName name="IQ_EPS_GW_MEDIAN_EST_CIQ" hidden="1">"c4724"</definedName>
    <definedName name="IQ_EPS_GW_MEDIAN_EST_REUT" hidden="1">"c5390"</definedName>
    <definedName name="IQ_EPS_GW_MEDIAN_EST_THOM" hidden="1">"c5134"</definedName>
    <definedName name="IQ_EPS_GW_NUM_EST" hidden="1">"c1741"</definedName>
    <definedName name="IQ_EPS_GW_NUM_EST_CIQ" hidden="1">"c4727"</definedName>
    <definedName name="IQ_EPS_GW_NUM_EST_REUT" hidden="1">"c5393"</definedName>
    <definedName name="IQ_EPS_GW_NUM_EST_THOM" hidden="1">"c5137"</definedName>
    <definedName name="IQ_EPS_GW_STDDEV_EST" hidden="1">"c1742"</definedName>
    <definedName name="IQ_EPS_GW_STDDEV_EST_CIQ" hidden="1">"c4728"</definedName>
    <definedName name="IQ_EPS_GW_STDDEV_EST_REUT" hidden="1">"c5394"</definedName>
    <definedName name="IQ_EPS_GW_STDDEV_EST_THOM" hidden="1">"c5138"</definedName>
    <definedName name="IQ_EPS_HIGH_EST" hidden="1">"c400"</definedName>
    <definedName name="IQ_EPS_HIGH_EST_CIQ" hidden="1">"c4995"</definedName>
    <definedName name="IQ_EPS_HIGH_EST_REUT" hidden="1">"c5454"</definedName>
    <definedName name="IQ_EPS_HIGH_EST_THOM" hidden="1">"c5291"</definedName>
    <definedName name="IQ_EPS_LOW_EST" hidden="1">"c401"</definedName>
    <definedName name="IQ_EPS_LOW_EST_CIQ" hidden="1">"c4996"</definedName>
    <definedName name="IQ_EPS_LOW_EST_REUT" hidden="1">"c5455"</definedName>
    <definedName name="IQ_EPS_LOW_EST_THOM" hidden="1">"c5292"</definedName>
    <definedName name="IQ_EPS_MEDIAN_EST" hidden="1">"c1661"</definedName>
    <definedName name="IQ_EPS_MEDIAN_EST_CIQ" hidden="1">"c4997"</definedName>
    <definedName name="IQ_EPS_MEDIAN_EST_REUT" hidden="1">"c5456"</definedName>
    <definedName name="IQ_EPS_MEDIAN_EST_THOM" hidden="1">"c5293"</definedName>
    <definedName name="IQ_EPS_NAME_AP" hidden="1">"c8918"</definedName>
    <definedName name="IQ_EPS_NAME_AP_ABS" hidden="1">"c8937"</definedName>
    <definedName name="IQ_EPS_NO_EST" hidden="1">"c271"</definedName>
    <definedName name="IQ_EPS_NORM" hidden="1">"c1902"</definedName>
    <definedName name="IQ_EPS_NORM_EST" hidden="1">"c2226"</definedName>
    <definedName name="IQ_EPS_NORM_EST_CIQ" hidden="1">"c4667"</definedName>
    <definedName name="IQ_EPS_NORM_EST_REUT" hidden="1">"c5326"</definedName>
    <definedName name="IQ_EPS_NORM_HIGH_EST" hidden="1">"c2228"</definedName>
    <definedName name="IQ_EPS_NORM_HIGH_EST_CIQ" hidden="1">"c4669"</definedName>
    <definedName name="IQ_EPS_NORM_HIGH_EST_REUT" hidden="1">"c5328"</definedName>
    <definedName name="IQ_EPS_NORM_LOW_EST" hidden="1">"c2229"</definedName>
    <definedName name="IQ_EPS_NORM_LOW_EST_CIQ" hidden="1">"c4670"</definedName>
    <definedName name="IQ_EPS_NORM_LOW_EST_REUT" hidden="1">"c5329"</definedName>
    <definedName name="IQ_EPS_NORM_MEDIAN_EST" hidden="1">"c2227"</definedName>
    <definedName name="IQ_EPS_NORM_MEDIAN_EST_CIQ" hidden="1">"c4668"</definedName>
    <definedName name="IQ_EPS_NORM_MEDIAN_EST_REUT" hidden="1">"c5327"</definedName>
    <definedName name="IQ_EPS_NORM_NUM_EST" hidden="1">"c2230"</definedName>
    <definedName name="IQ_EPS_NORM_NUM_EST_CIQ" hidden="1">"c4671"</definedName>
    <definedName name="IQ_EPS_NORM_NUM_EST_REUT" hidden="1">"c5330"</definedName>
    <definedName name="IQ_EPS_NORM_STDDEV_EST" hidden="1">"c2231"</definedName>
    <definedName name="IQ_EPS_NORM_STDDEV_EST_CIQ" hidden="1">"c4672"</definedName>
    <definedName name="IQ_EPS_NORM_STDDEV_EST_REUT" hidden="1">"c5331"</definedName>
    <definedName name="IQ_EPS_NUM_EST" hidden="1">"c402"</definedName>
    <definedName name="IQ_EPS_NUM_EST_CIQ" hidden="1">"c4992"</definedName>
    <definedName name="IQ_EPS_NUM_EST_REUT" hidden="1">"c5451"</definedName>
    <definedName name="IQ_EPS_NUM_EST_THOM" hidden="1">"c5288"</definedName>
    <definedName name="IQ_EPS_PRIMARY_EST" hidden="1">"c2226"</definedName>
    <definedName name="IQ_EPS_PRIMARY_HIGH_EST" hidden="1">"c2228"</definedName>
    <definedName name="IQ_EPS_PRIMARY_LOW_EST" hidden="1">"c2229"</definedName>
    <definedName name="IQ_EPS_PRIMARY_MEDIAN_EST" hidden="1">"c2227"</definedName>
    <definedName name="IQ_EPS_PRIMARY_NUM_EST" hidden="1">"c2230"</definedName>
    <definedName name="IQ_EPS_PRIMARY_STDDEV_EST" hidden="1">"c2231"</definedName>
    <definedName name="IQ_EPS_REPORT_ACT_OR_EST" hidden="1">"c2224"</definedName>
    <definedName name="IQ_EPS_REPORT_ACT_OR_EST_CIQ" hidden="1">"c5067"</definedName>
    <definedName name="IQ_EPS_REPORT_ACT_OR_EST_THOM" hidden="1">"c5307"</definedName>
    <definedName name="IQ_EPS_REPORTED_EST" hidden="1">"c1744"</definedName>
    <definedName name="IQ_EPS_REPORTED_EST_CIQ" hidden="1">"c4730"</definedName>
    <definedName name="IQ_EPS_REPORTED_EST_REUT" hidden="1">"c5396"</definedName>
    <definedName name="IQ_EPS_REPORTED_EST_THOM" hidden="1">"c5140"</definedName>
    <definedName name="IQ_EPS_REPORTED_HIGH_EST" hidden="1">"c1746"</definedName>
    <definedName name="IQ_EPS_REPORTED_HIGH_EST_CIQ" hidden="1">"c4732"</definedName>
    <definedName name="IQ_EPS_REPORTED_HIGH_EST_REUT" hidden="1">"c5398"</definedName>
    <definedName name="IQ_EPS_REPORTED_HIGH_EST_THOM" hidden="1">"c5142"</definedName>
    <definedName name="IQ_EPS_REPORTED_LOW_EST" hidden="1">"c1747"</definedName>
    <definedName name="IQ_EPS_REPORTED_LOW_EST_CIQ" hidden="1">"c4733"</definedName>
    <definedName name="IQ_EPS_REPORTED_LOW_EST_REUT" hidden="1">"c5399"</definedName>
    <definedName name="IQ_EPS_REPORTED_LOW_EST_THOM" hidden="1">"c5143"</definedName>
    <definedName name="IQ_EPS_REPORTED_MEDIAN_EST" hidden="1">"c1745"</definedName>
    <definedName name="IQ_EPS_REPORTED_MEDIAN_EST_CIQ" hidden="1">"c4731"</definedName>
    <definedName name="IQ_EPS_REPORTED_MEDIAN_EST_REUT" hidden="1">"c5397"</definedName>
    <definedName name="IQ_EPS_REPORTED_MEDIAN_EST_THOM" hidden="1">"c5141"</definedName>
    <definedName name="IQ_EPS_REPORTED_NUM_EST" hidden="1">"c1748"</definedName>
    <definedName name="IQ_EPS_REPORTED_NUM_EST_CIQ" hidden="1">"c4734"</definedName>
    <definedName name="IQ_EPS_REPORTED_NUM_EST_REUT" hidden="1">"c5400"</definedName>
    <definedName name="IQ_EPS_REPORTED_NUM_EST_THOM" hidden="1">"c5144"</definedName>
    <definedName name="IQ_EPS_REPORTED_STDDEV_EST" hidden="1">"c1749"</definedName>
    <definedName name="IQ_EPS_REPORTED_STDDEV_EST_CIQ" hidden="1">"c4735"</definedName>
    <definedName name="IQ_EPS_REPORTED_STDDEV_EST_REUT" hidden="1">"c5401"</definedName>
    <definedName name="IQ_EPS_REPORTED_STDDEV_EST_THOM" hidden="1">"c5145"</definedName>
    <definedName name="IQ_EPS_SBC_ACT_OR_EST" hidden="1">"c4376"</definedName>
    <definedName name="IQ_EPS_SBC_ACT_OR_EST_CIQ" hidden="1">"c4901"</definedName>
    <definedName name="IQ_EPS_SBC_GW_ACT_OR_EST" hidden="1">"c4380"</definedName>
    <definedName name="IQ_EPS_SBC_GW_ACT_OR_EST_CIQ" hidden="1">"c4905"</definedName>
    <definedName name="IQ_EPS_STDDEV_EST" hidden="1">"c403"</definedName>
    <definedName name="IQ_EPS_STDDEV_EST_CIQ" hidden="1">"c4993"</definedName>
    <definedName name="IQ_EPS_STDDEV_EST_REUT" hidden="1">"c5452"</definedName>
    <definedName name="IQ_EPS_STDDEV_EST_THOM" hidden="1">"c5289"</definedName>
    <definedName name="IQ_EQUITY_AFFIL" hidden="1">"c1451"</definedName>
    <definedName name="IQ_EQUITY_AP" hidden="1">"c8887"</definedName>
    <definedName name="IQ_EQUITY_AP_ABS" hidden="1">"c8906"</definedName>
    <definedName name="IQ_EQUITY_CAPITAL_ASSETS_FDIC" hidden="1">"c6744"</definedName>
    <definedName name="IQ_EQUITY_FDIC" hidden="1">"c6353"</definedName>
    <definedName name="IQ_EQUITY_METHOD" hidden="1">"c404"</definedName>
    <definedName name="IQ_EQUITY_NAME_AP" hidden="1">"c8925"</definedName>
    <definedName name="IQ_EQUITY_NAME_AP_ABS" hidden="1">"c8944"</definedName>
    <definedName name="IQ_EQUITY_SECURITIES_FDIC" hidden="1">"c6304"</definedName>
    <definedName name="IQ_EQUITY_SECURITY_EXPOSURES_FDIC" hidden="1">"c6664"</definedName>
    <definedName name="IQ_EQV_OVER_BV" hidden="1">"c1596"</definedName>
    <definedName name="IQ_EQV_OVER_LTM_PRETAX_INC" hidden="1">"c1390"</definedName>
    <definedName name="IQ_ESOP_DEBT" hidden="1">"c1597"</definedName>
    <definedName name="IQ_EST_ACT_BV_SHARE" hidden="1">"c3549"</definedName>
    <definedName name="IQ_EST_ACT_BV_SHARE_THOM" hidden="1">"c4026"</definedName>
    <definedName name="IQ_EST_ACT_CAPEX" hidden="1">"c3546"</definedName>
    <definedName name="IQ_EST_ACT_CAPEX_THOM" hidden="1">"c5508"</definedName>
    <definedName name="IQ_EST_ACT_CASH_EPS" hidden="1">"c5637"</definedName>
    <definedName name="IQ_EST_ACT_CASH_EPS_THOM" hidden="1">"c5645"</definedName>
    <definedName name="IQ_EST_ACT_CFPS" hidden="1">"c1673"</definedName>
    <definedName name="IQ_EST_ACT_CFPS_THOM" hidden="1">"c4012"</definedName>
    <definedName name="IQ_EST_ACT_DPS" hidden="1">"c1680"</definedName>
    <definedName name="IQ_EST_ACT_DPS_THOM" hidden="1">"c4019"</definedName>
    <definedName name="IQ_EST_ACT_EBIT" hidden="1">"c1687"</definedName>
    <definedName name="IQ_EST_ACT_EBIT_THOM" hidden="1">"c5111"</definedName>
    <definedName name="IQ_EST_ACT_EBITDA" hidden="1">"c1664"</definedName>
    <definedName name="IQ_EST_ACT_EBITDA_THOM" hidden="1">"c3998"</definedName>
    <definedName name="IQ_EST_ACT_EPS" hidden="1">"c1648"</definedName>
    <definedName name="IQ_EST_ACT_EPS_GW" hidden="1">"c1743"</definedName>
    <definedName name="IQ_EST_ACT_EPS_GW_CIQ" hidden="1">"c4729"</definedName>
    <definedName name="IQ_EST_ACT_EPS_GW_REUT" hidden="1">"c5395"</definedName>
    <definedName name="IQ_EST_ACT_EPS_GW_THOM" hidden="1">"c5139"</definedName>
    <definedName name="IQ_EST_ACT_EPS_NORM" hidden="1">"c2232"</definedName>
    <definedName name="IQ_EST_ACT_EPS_NORM_CIQ" hidden="1">"c4673"</definedName>
    <definedName name="IQ_EST_ACT_EPS_NORM_REUT" hidden="1">"c5332"</definedName>
    <definedName name="IQ_EST_ACT_EPS_PRIMARY" hidden="1">"c2232"</definedName>
    <definedName name="IQ_EST_ACT_EPS_REPORTED" hidden="1">"c1750"</definedName>
    <definedName name="IQ_EST_ACT_EPS_REPORTED_CIQ" hidden="1">"c4736"</definedName>
    <definedName name="IQ_EST_ACT_EPS_REPORTED_REUT" hidden="1">"c5402"</definedName>
    <definedName name="IQ_EST_ACT_EPS_REPORTED_THOM" hidden="1">"c5146"</definedName>
    <definedName name="IQ_EST_ACT_EPS_THOM" hidden="1">"c5294"</definedName>
    <definedName name="IQ_EST_ACT_FFO" hidden="1">"c1666"</definedName>
    <definedName name="IQ_EST_ACT_FFO_SHARE_SHARE_THOM" hidden="1">"c4005"</definedName>
    <definedName name="IQ_EST_ACT_FFO_THOM" hidden="1">"c4005"</definedName>
    <definedName name="IQ_EST_ACT_GROSS_MARGIN" hidden="1">"c5553"</definedName>
    <definedName name="IQ_EST_ACT_GROSS_MARGIN_THOM" hidden="1">"c5561"</definedName>
    <definedName name="IQ_EST_ACT_NAV" hidden="1">"c1757"</definedName>
    <definedName name="IQ_EST_ACT_NAV_THOM" hidden="1">"c5600"</definedName>
    <definedName name="IQ_EST_ACT_NET_DEBT" hidden="1">"c3545"</definedName>
    <definedName name="IQ_EST_ACT_NET_DEBT_THOM" hidden="1">"c4033"</definedName>
    <definedName name="IQ_EST_ACT_NI" hidden="1">"c1722"</definedName>
    <definedName name="IQ_EST_ACT_NI_GW" hidden="1">"c1729"</definedName>
    <definedName name="IQ_EST_ACT_NI_REPORTED" hidden="1">"c1736"</definedName>
    <definedName name="IQ_EST_ACT_NI_THOM" hidden="1">"c5132"</definedName>
    <definedName name="IQ_EST_ACT_OPER_INC" hidden="1">"c1694"</definedName>
    <definedName name="IQ_EST_ACT_OPER_INC_THOM" hidden="1">"c5118"</definedName>
    <definedName name="IQ_EST_ACT_PRETAX_GW_INC" hidden="1">"c1708"</definedName>
    <definedName name="IQ_EST_ACT_PRETAX_INC" hidden="1">"c1701"</definedName>
    <definedName name="IQ_EST_ACT_PRETAX_INC_THOM" hidden="1">"c5125"</definedName>
    <definedName name="IQ_EST_ACT_PRETAX_REPORT_INC" hidden="1">"c1715"</definedName>
    <definedName name="IQ_EST_ACT_RECURRING_PROFIT" hidden="1">"c4411"</definedName>
    <definedName name="IQ_EST_ACT_RETURN_ASSETS" hidden="1">"c3547"</definedName>
    <definedName name="IQ_EST_ACT_RETURN_ASSETS_THOM" hidden="1">"c4040"</definedName>
    <definedName name="IQ_EST_ACT_RETURN_EQUITY" hidden="1">"c3548"</definedName>
    <definedName name="IQ_EST_ACT_RETURN_EQUITY_THOM" hidden="1">"c5287"</definedName>
    <definedName name="IQ_EST_ACT_REV" hidden="1">"c2113"</definedName>
    <definedName name="IQ_EST_ACT_REV_THOM" hidden="1">"c3997"</definedName>
    <definedName name="IQ_EST_CAPEX_GROWTH_1YR" hidden="1">"c3588"</definedName>
    <definedName name="IQ_EST_CAPEX_GROWTH_1YR_THOM" hidden="1">"c5542"</definedName>
    <definedName name="IQ_EST_CAPEX_GROWTH_2YR" hidden="1">"c3589"</definedName>
    <definedName name="IQ_EST_CAPEX_GROWTH_2YR_THOM" hidden="1">"c5543"</definedName>
    <definedName name="IQ_EST_CAPEX_GROWTH_Q_1YR" hidden="1">"c3590"</definedName>
    <definedName name="IQ_EST_CAPEX_GROWTH_Q_1YR_THOM" hidden="1">"c5544"</definedName>
    <definedName name="IQ_EST_CAPEX_SEQ_GROWTH_Q" hidden="1">"c3591"</definedName>
    <definedName name="IQ_EST_CAPEX_SEQ_GROWTH_Q_THOM" hidden="1">"c5545"</definedName>
    <definedName name="IQ_EST_CFPS_DIFF" hidden="1">"c1871"</definedName>
    <definedName name="IQ_EST_CFPS_DIFF_THOM" hidden="1">"c5188"</definedName>
    <definedName name="IQ_EST_CFPS_GROWTH_1YR" hidden="1">"c1774"</definedName>
    <definedName name="IQ_EST_CFPS_GROWTH_1YR_THOM" hidden="1">"c5174"</definedName>
    <definedName name="IQ_EST_CFPS_GROWTH_2YR" hidden="1">"c1775"</definedName>
    <definedName name="IQ_EST_CFPS_GROWTH_2YR_THOM" hidden="1">"c5175"</definedName>
    <definedName name="IQ_EST_CFPS_GROWTH_Q_1YR" hidden="1">"c1776"</definedName>
    <definedName name="IQ_EST_CFPS_GROWTH_Q_1YR_THOM" hidden="1">"c5176"</definedName>
    <definedName name="IQ_EST_CFPS_SEQ_GROWTH_Q" hidden="1">"c1777"</definedName>
    <definedName name="IQ_EST_CFPS_SEQ_GROWTH_Q_THOM" hidden="1">"c5177"</definedName>
    <definedName name="IQ_EST_CFPS_SURPRISE_PERCENT" hidden="1">"c1872"</definedName>
    <definedName name="IQ_EST_CFPS_SURPRISE_PERCENT_THOM" hidden="1">"c5189"</definedName>
    <definedName name="IQ_EST_CURRENCY" hidden="1">"c2140"</definedName>
    <definedName name="IQ_EST_CURRENCY_CIQ" hidden="1">"c4769"</definedName>
    <definedName name="IQ_EST_CURRENCY_REUT" hidden="1">"c5437"</definedName>
    <definedName name="IQ_EST_CURRENCY_THOM" hidden="1">"c5280"</definedName>
    <definedName name="IQ_EST_DATE" hidden="1">"c1634"</definedName>
    <definedName name="IQ_EST_DATE_CIQ" hidden="1">"c4770"</definedName>
    <definedName name="IQ_EST_DATE_REUT" hidden="1">"c5438"</definedName>
    <definedName name="IQ_EST_DATE_THOM" hidden="1">"c5281"</definedName>
    <definedName name="IQ_EST_DPS_DIFF" hidden="1">"c1873"</definedName>
    <definedName name="IQ_EST_DPS_DIFF_THOM" hidden="1">"c5190"</definedName>
    <definedName name="IQ_EST_DPS_GROWTH_1YR" hidden="1">"c1778"</definedName>
    <definedName name="IQ_EST_DPS_GROWTH_1YR_THOM" hidden="1">"c5178"</definedName>
    <definedName name="IQ_EST_DPS_GROWTH_2YR" hidden="1">"c1779"</definedName>
    <definedName name="IQ_EST_DPS_GROWTH_2YR_THOM" hidden="1">"c5179"</definedName>
    <definedName name="IQ_EST_DPS_GROWTH_Q_1YR" hidden="1">"c1780"</definedName>
    <definedName name="IQ_EST_DPS_GROWTH_Q_1YR_THOM" hidden="1">"c5180"</definedName>
    <definedName name="IQ_EST_DPS_SEQ_GROWTH_Q" hidden="1">"c1781"</definedName>
    <definedName name="IQ_EST_DPS_SEQ_GROWTH_Q_THOM" hidden="1">"c5181"</definedName>
    <definedName name="IQ_EST_DPS_SURPRISE_PERCENT" hidden="1">"c1874"</definedName>
    <definedName name="IQ_EST_DPS_SURPRISE_PERCENT_THOM" hidden="1">"c5191"</definedName>
    <definedName name="IQ_EST_EBIT_DIFF" hidden="1">"c1875"</definedName>
    <definedName name="IQ_EST_EBIT_DIFF_THOM" hidden="1">"c5192"</definedName>
    <definedName name="IQ_EST_EBIT_SURPRISE_PERCENT" hidden="1">"c1876"</definedName>
    <definedName name="IQ_EST_EBIT_SURPRISE_PERCENT_THOM" hidden="1">"c5193"</definedName>
    <definedName name="IQ_EST_EBITDA_DIFF" hidden="1">"c1867"</definedName>
    <definedName name="IQ_EST_EBITDA_DIFF_THOM" hidden="1">"c5184"</definedName>
    <definedName name="IQ_EST_EBITDA_GROWTH_1YR" hidden="1">"c1766"</definedName>
    <definedName name="IQ_EST_EBITDA_GROWTH_1YR_THOM" hidden="1">"c5161"</definedName>
    <definedName name="IQ_EST_EBITDA_GROWTH_2YR" hidden="1">"c1767"</definedName>
    <definedName name="IQ_EST_EBITDA_GROWTH_2YR_THOM" hidden="1">"c5162"</definedName>
    <definedName name="IQ_EST_EBITDA_GROWTH_Q_1YR" hidden="1">"c1768"</definedName>
    <definedName name="IQ_EST_EBITDA_GROWTH_Q_1YR_THOM" hidden="1">"c5163"</definedName>
    <definedName name="IQ_EST_EBITDA_SEQ_GROWTH_Q" hidden="1">"c1769"</definedName>
    <definedName name="IQ_EST_EBITDA_SEQ_GROWTH_Q_THOM" hidden="1">"c5164"</definedName>
    <definedName name="IQ_EST_EBITDA_SURPRISE_PERCENT" hidden="1">"c1868"</definedName>
    <definedName name="IQ_EST_EBITDA_SURPRISE_PERCENT_THOM" hidden="1">"c5185"</definedName>
    <definedName name="IQ_EST_EPS_DIFF" hidden="1">"c1864"</definedName>
    <definedName name="IQ_EST_EPS_DIFF_THOM" hidden="1">"c5295"</definedName>
    <definedName name="IQ_EST_EPS_GROWTH_1YR" hidden="1">"c1636"</definedName>
    <definedName name="IQ_EST_EPS_GROWTH_1YR_CIQ" hidden="1">"c3628"</definedName>
    <definedName name="IQ_EST_EPS_GROWTH_1YR_REUT" hidden="1">"c3646"</definedName>
    <definedName name="IQ_EST_EPS_GROWTH_1YR_THOM" hidden="1">"c3664"</definedName>
    <definedName name="IQ_EST_EPS_GROWTH_2YR" hidden="1">"c1637"</definedName>
    <definedName name="IQ_EST_EPS_GROWTH_2YR_THOM" hidden="1">"c5154"</definedName>
    <definedName name="IQ_EST_EPS_GROWTH_5YR" hidden="1">"c1655"</definedName>
    <definedName name="IQ_EST_EPS_GROWTH_5YR_CIQ" hidden="1">"c3615"</definedName>
    <definedName name="IQ_EST_EPS_GROWTH_5YR_HIGH" hidden="1">"c1657"</definedName>
    <definedName name="IQ_EST_EPS_GROWTH_5YR_HIGH_CIQ" hidden="1">"c4663"</definedName>
    <definedName name="IQ_EST_EPS_GROWTH_5YR_HIGH_THOM" hidden="1">"c5101"</definedName>
    <definedName name="IQ_EST_EPS_GROWTH_5YR_LOW" hidden="1">"c1658"</definedName>
    <definedName name="IQ_EST_EPS_GROWTH_5YR_LOW_CIQ" hidden="1">"c4664"</definedName>
    <definedName name="IQ_EST_EPS_GROWTH_5YR_LOW_THOM" hidden="1">"c5102"</definedName>
    <definedName name="IQ_EST_EPS_GROWTH_5YR_MEDIAN" hidden="1">"c1656"</definedName>
    <definedName name="IQ_EST_EPS_GROWTH_5YR_MEDIAN_CIQ" hidden="1">"c5480"</definedName>
    <definedName name="IQ_EST_EPS_GROWTH_5YR_MEDIAN_THOM" hidden="1">"c5100"</definedName>
    <definedName name="IQ_EST_EPS_GROWTH_5YR_NUM" hidden="1">"c1659"</definedName>
    <definedName name="IQ_EST_EPS_GROWTH_5YR_NUM_CIQ" hidden="1">"c4665"</definedName>
    <definedName name="IQ_EST_EPS_GROWTH_5YR_NUM_THOM" hidden="1">"c5103"</definedName>
    <definedName name="IQ_EST_EPS_GROWTH_5YR_REUT" hidden="1">"c3633"</definedName>
    <definedName name="IQ_EST_EPS_GROWTH_5YR_STDDEV" hidden="1">"c1660"</definedName>
    <definedName name="IQ_EST_EPS_GROWTH_5YR_STDDEV_CIQ" hidden="1">"c4666"</definedName>
    <definedName name="IQ_EST_EPS_GROWTH_5YR_STDDEV_THOM" hidden="1">"c5104"</definedName>
    <definedName name="IQ_EST_EPS_GROWTH_5YR_THOM" hidden="1">"c3651"</definedName>
    <definedName name="IQ_EST_EPS_GROWTH_Q_1YR" hidden="1">"c1641"</definedName>
    <definedName name="IQ_EST_EPS_GROWTH_Q_1YR_CIQ" hidden="1">"c4744"</definedName>
    <definedName name="IQ_EST_EPS_GROWTH_Q_1YR_REUT" hidden="1">"c5410"</definedName>
    <definedName name="IQ_EST_EPS_GROWTH_Q_1YR_THOM" hidden="1">"c5155"</definedName>
    <definedName name="IQ_EST_EPS_GW_DIFF" hidden="1">"c1891"</definedName>
    <definedName name="IQ_EST_EPS_GW_DIFF_CIQ" hidden="1">"c4761"</definedName>
    <definedName name="IQ_EST_EPS_GW_DIFF_REUT" hidden="1">"c5429"</definedName>
    <definedName name="IQ_EST_EPS_GW_DIFF_THOM" hidden="1">"c5200"</definedName>
    <definedName name="IQ_EST_EPS_GW_SURPRISE_PERCENT" hidden="1">"c1892"</definedName>
    <definedName name="IQ_EST_EPS_GW_SURPRISE_PERCENT_CIQ" hidden="1">"c4762"</definedName>
    <definedName name="IQ_EST_EPS_GW_SURPRISE_PERCENT_REUT" hidden="1">"c5430"</definedName>
    <definedName name="IQ_EST_EPS_GW_SURPRISE_PERCENT_THOM" hidden="1">"c5201"</definedName>
    <definedName name="IQ_EST_EPS_NORM_DIFF" hidden="1">"c2247"</definedName>
    <definedName name="IQ_EST_EPS_NORM_DIFF_CIQ" hidden="1">"c4745"</definedName>
    <definedName name="IQ_EST_EPS_NORM_DIFF_REUT" hidden="1">"c5411"</definedName>
    <definedName name="IQ_EST_EPS_NORM_SURPRISE_PERCENT" hidden="1">"c2248"</definedName>
    <definedName name="IQ_EST_EPS_NORM_SURPRISE_PERCENT_CIQ" hidden="1">"c4746"</definedName>
    <definedName name="IQ_EST_EPS_NORM_SURPRISE_PERCENT_REUT" hidden="1">"c5412"</definedName>
    <definedName name="IQ_EST_EPS_REPORT_DIFF" hidden="1">"c1893"</definedName>
    <definedName name="IQ_EST_EPS_REPORT_DIFF_CIQ" hidden="1">"c4763"</definedName>
    <definedName name="IQ_EST_EPS_REPORT_DIFF_REUT" hidden="1">"c5431"</definedName>
    <definedName name="IQ_EST_EPS_REPORT_DIFF_THOM" hidden="1">"c5202"</definedName>
    <definedName name="IQ_EST_EPS_REPORT_SURPRISE_PERCENT" hidden="1">"c1894"</definedName>
    <definedName name="IQ_EST_EPS_REPORT_SURPRISE_PERCENT_CIQ" hidden="1">"c4764"</definedName>
    <definedName name="IQ_EST_EPS_REPORT_SURPRISE_PERCENT_REUT" hidden="1">"c5432"</definedName>
    <definedName name="IQ_EST_EPS_REPORT_SURPRISE_PERCENT_THOM" hidden="1">"c5203"</definedName>
    <definedName name="IQ_EST_EPS_SEQ_GROWTH_Q" hidden="1">"c1764"</definedName>
    <definedName name="IQ_EST_EPS_SEQ_GROWTH_Q_THOM" hidden="1">"c5156"</definedName>
    <definedName name="IQ_EST_EPS_SURPRISE" hidden="1">"c1635"</definedName>
    <definedName name="IQ_EST_EPS_SURPRISE_PERCENT" hidden="1">"c1635"</definedName>
    <definedName name="IQ_EST_EPS_SURPRISE_PERCENT_THOM" hidden="1">"c5296"</definedName>
    <definedName name="IQ_EST_FFO_DIFF" hidden="1">"c1869"</definedName>
    <definedName name="IQ_EST_FFO_DIFF_THOM" hidden="1">"c5186"</definedName>
    <definedName name="IQ_EST_FFO_GROWTH_1YR" hidden="1">"c1770"</definedName>
    <definedName name="IQ_EST_FFO_GROWTH_1YR_THOM" hidden="1">"c5170"</definedName>
    <definedName name="IQ_EST_FFO_GROWTH_2YR" hidden="1">"c1771"</definedName>
    <definedName name="IQ_EST_FFO_GROWTH_2YR_THOM" hidden="1">"c5171"</definedName>
    <definedName name="IQ_EST_FFO_GROWTH_Q_1YR" hidden="1">"c1772"</definedName>
    <definedName name="IQ_EST_FFO_GROWTH_Q_1YR_THOM" hidden="1">"c5172"</definedName>
    <definedName name="IQ_EST_FFO_SEQ_GROWTH_Q" hidden="1">"c1773"</definedName>
    <definedName name="IQ_EST_FFO_SEQ_GROWTH_Q_THOM" hidden="1">"c5173"</definedName>
    <definedName name="IQ_EST_FFO_SHARE_SHARE_DIFF_THOM" hidden="1">"c5186"</definedName>
    <definedName name="IQ_EST_FFO_SHARE_SHARE_SURPRISE_PERCENT_THOM" hidden="1">"c5187"</definedName>
    <definedName name="IQ_EST_FFO_SURPRISE_PERCENT" hidden="1">"c1870"</definedName>
    <definedName name="IQ_EST_FFO_SURPRISE_PERCENT_THOM" hidden="1">"c5187"</definedName>
    <definedName name="IQ_EST_FOOTNOTE" hidden="1">"c4540"</definedName>
    <definedName name="IQ_EST_FOOTNOTE_THOM" hidden="1">"c5313"</definedName>
    <definedName name="IQ_EST_NAV_DIFF" hidden="1">"c1895"</definedName>
    <definedName name="IQ_EST_NAV_SURPRISE_PERCENT" hidden="1">"c1896"</definedName>
    <definedName name="IQ_EST_NI_DIFF" hidden="1">"c1885"</definedName>
    <definedName name="IQ_EST_NI_DIFF_THOM" hidden="1">"c5198"</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I_SURPRISE_PERCENT_THOM" hidden="1">"c5199"</definedName>
    <definedName name="IQ_EST_NUM_BUY" hidden="1">"c1759"</definedName>
    <definedName name="IQ_EST_NUM_HIGH_REC" hidden="1">"c5649"</definedName>
    <definedName name="IQ_EST_NUM_HIGH_REC_THOM" hidden="1">"c5166"</definedName>
    <definedName name="IQ_EST_NUM_HIGHEST_REC" hidden="1">"c5648"</definedName>
    <definedName name="IQ_EST_NUM_HIGHEST_REC_THOM" hidden="1">"c5165"</definedName>
    <definedName name="IQ_EST_NUM_HOLD" hidden="1">"c1761"</definedName>
    <definedName name="IQ_EST_NUM_LOW_REC" hidden="1">"c5651"</definedName>
    <definedName name="IQ_EST_NUM_LOW_REC_THOM" hidden="1">"c5168"</definedName>
    <definedName name="IQ_EST_NUM_LOWEST_REC" hidden="1">"c5652"</definedName>
    <definedName name="IQ_EST_NUM_LOWEST_REC_THOM" hidden="1">"c5169"</definedName>
    <definedName name="IQ_EST_NUM_NEUTRAL_REC" hidden="1">"c5650"</definedName>
    <definedName name="IQ_EST_NUM_NEUTRAL_REC_THOM" hidden="1">"c5167"</definedName>
    <definedName name="IQ_EST_NUM_NO_OPINION" hidden="1">"c1758"</definedName>
    <definedName name="IQ_EST_NUM_OUTPERFORM" hidden="1">"c1760"</definedName>
    <definedName name="IQ_EST_NUM_SELL" hidden="1">"c1763"</definedName>
    <definedName name="IQ_EST_NUM_UNDERPERFORM" hidden="1">"c1762"</definedName>
    <definedName name="IQ_EST_OPER_INC_DIFF" hidden="1">"c1877"</definedName>
    <definedName name="IQ_EST_OPER_INC_DIFF_THOM" hidden="1">"c5194"</definedName>
    <definedName name="IQ_EST_OPER_INC_SURPRISE_PERCENT" hidden="1">"c1878"</definedName>
    <definedName name="IQ_EST_OPER_INC_SURPRISE_PERCENT_THOM" hidden="1">"c5195"</definedName>
    <definedName name="IQ_EST_PRE_TAX_DIFF" hidden="1">"c1879"</definedName>
    <definedName name="IQ_EST_PRE_TAX_DIFF_THOM" hidden="1">"c5196"</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PRE_TAX_SURPRISE_PERCENT_THOM" hidden="1">"c5197"</definedName>
    <definedName name="IQ_EST_REV_DIFF" hidden="1">"c1865"</definedName>
    <definedName name="IQ_EST_REV_DIFF_THOM" hidden="1">"c5182"</definedName>
    <definedName name="IQ_EST_REV_GROWTH_1YR" hidden="1">"c1638"</definedName>
    <definedName name="IQ_EST_REV_GROWTH_1YR_THOM" hidden="1">"c5157"</definedName>
    <definedName name="IQ_EST_REV_GROWTH_2YR" hidden="1">"c1639"</definedName>
    <definedName name="IQ_EST_REV_GROWTH_2YR_THOM" hidden="1">"c5158"</definedName>
    <definedName name="IQ_EST_REV_GROWTH_Q_1YR" hidden="1">"c1640"</definedName>
    <definedName name="IQ_EST_REV_GROWTH_Q_1YR_THOM" hidden="1">"c5159"</definedName>
    <definedName name="IQ_EST_REV_SEQ_GROWTH_Q" hidden="1">"c1765"</definedName>
    <definedName name="IQ_EST_REV_SEQ_GROWTH_Q_THOM" hidden="1">"c5160"</definedName>
    <definedName name="IQ_EST_REV_SURPRISE_PERCENT" hidden="1">"c1866"</definedName>
    <definedName name="IQ_EST_REV_SURPRISE_PERCENT_THOM" hidden="1">"c5183"</definedName>
    <definedName name="IQ_EST_VENDOR" hidden="1">"c5564"</definedName>
    <definedName name="IQ_ESTIMATED_ASSESSABLE_DEPOSITS_FDIC" hidden="1">"c6490"</definedName>
    <definedName name="IQ_ESTIMATED_INSURED_DEPOSITS_FDIC" hidden="1">"c6491"</definedName>
    <definedName name="IQ_EV_OVER_EMPLOYEE" hidden="1">"c1428"</definedName>
    <definedName name="IQ_EV_OVER_LTM_EBIT" hidden="1">"c1426"</definedName>
    <definedName name="IQ_EV_OVER_LTM_EBITDA" hidden="1">"c1427"</definedName>
    <definedName name="IQ_EV_OVER_LTM_REVENUE" hidden="1">"c1429"</definedName>
    <definedName name="IQ_EV_OVER_REVENUE_EST" hidden="1">"c165"</definedName>
    <definedName name="IQ_EV_OVER_REVENUE_EST_1" hidden="1">"c166"</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ENSE_CODE_">9621998</definedName>
    <definedName name="IQ_EXPENSES_AP" hidden="1">"c8875"</definedName>
    <definedName name="IQ_EXPENSES_AP_ABS" hidden="1">"c8894"</definedName>
    <definedName name="IQ_EXPENSES_NAME_AP" hidden="1">"c8913"</definedName>
    <definedName name="IQ_EXPENSES_NAME_AP_ABS" hidden="1">"c8932"</definedName>
    <definedName name="IQ_EXPLORATION_EXPENDITURE_ALUM" hidden="1">"c9255"</definedName>
    <definedName name="IQ_EXPLORATION_EXPENDITURE_COAL" hidden="1">"c9827"</definedName>
    <definedName name="IQ_EXPLORATION_EXPENDITURE_COP" hidden="1">"c9202"</definedName>
    <definedName name="IQ_EXPLORATION_EXPENDITURE_DIAM" hidden="1">"c9679"</definedName>
    <definedName name="IQ_EXPLORATION_EXPENDITURE_GOLD" hidden="1">"c9040"</definedName>
    <definedName name="IQ_EXPLORATION_EXPENDITURE_IRON" hidden="1">"c9414"</definedName>
    <definedName name="IQ_EXPLORATION_EXPENDITURE_LEAD" hidden="1">"c9467"</definedName>
    <definedName name="IQ_EXPLORATION_EXPENDITURE_MANG" hidden="1">"c9520"</definedName>
    <definedName name="IQ_EXPLORATION_EXPENDITURE_MOLYB" hidden="1">"c9732"</definedName>
    <definedName name="IQ_EXPLORATION_EXPENDITURE_NICK" hidden="1">"c9308"</definedName>
    <definedName name="IQ_EXPLORATION_EXPENDITURE_PLAT" hidden="1">"c9146"</definedName>
    <definedName name="IQ_EXPLORATION_EXPENDITURE_SILVER" hidden="1">"c9093"</definedName>
    <definedName name="IQ_EXPLORATION_EXPENDITURE_TITAN" hidden="1">"c9573"</definedName>
    <definedName name="IQ_EXPLORATION_EXPENDITURE_URAN" hidden="1">"c9626"</definedName>
    <definedName name="IQ_EXPLORATION_EXPENDITURE_ZINC" hidden="1">"c9361"</definedName>
    <definedName name="IQ_EXPLORE_DRILL" hidden="1">"c409"</definedName>
    <definedName name="IQ_EXPORT_PRICE_INDEX" hidden="1">"c6860"</definedName>
    <definedName name="IQ_EXPORT_PRICE_INDEX_APR" hidden="1">"c7520"</definedName>
    <definedName name="IQ_EXPORT_PRICE_INDEX_APR_FC" hidden="1">"c8400"</definedName>
    <definedName name="IQ_EXPORT_PRICE_INDEX_FC" hidden="1">"c7740"</definedName>
    <definedName name="IQ_EXPORT_PRICE_INDEX_POP" hidden="1">"c7080"</definedName>
    <definedName name="IQ_EXPORT_PRICE_INDEX_POP_FC" hidden="1">"c7960"</definedName>
    <definedName name="IQ_EXPORT_PRICE_INDEX_YOY" hidden="1">"c7300"</definedName>
    <definedName name="IQ_EXPORT_PRICE_INDEX_YOY_FC" hidden="1">"c8180"</definedName>
    <definedName name="IQ_EXPORTS_APR_FC_UNUSED_UNUSED_UNUSED" hidden="1">"c8401"</definedName>
    <definedName name="IQ_EXPORTS_APR_UNUSED_UNUSED_UNUSED" hidden="1">"c7521"</definedName>
    <definedName name="IQ_EXPORTS_FACTOR_SERVICES" hidden="1">"c6862"</definedName>
    <definedName name="IQ_EXPORTS_FACTOR_SERVICES_APR" hidden="1">"c7522"</definedName>
    <definedName name="IQ_EXPORTS_FACTOR_SERVICES_APR_FC" hidden="1">"c8402"</definedName>
    <definedName name="IQ_EXPORTS_FACTOR_SERVICES_FC" hidden="1">"c7742"</definedName>
    <definedName name="IQ_EXPORTS_FACTOR_SERVICES_POP" hidden="1">"c7082"</definedName>
    <definedName name="IQ_EXPORTS_FACTOR_SERVICES_POP_FC" hidden="1">"c7962"</definedName>
    <definedName name="IQ_EXPORTS_FACTOR_SERVICES_SAAR" hidden="1">"c6863"</definedName>
    <definedName name="IQ_EXPORTS_FACTOR_SERVICES_SAAR_APR" hidden="1">"c7523"</definedName>
    <definedName name="IQ_EXPORTS_FACTOR_SERVICES_SAAR_APR_FC" hidden="1">"c8403"</definedName>
    <definedName name="IQ_EXPORTS_FACTOR_SERVICES_SAAR_FC" hidden="1">"c7743"</definedName>
    <definedName name="IQ_EXPORTS_FACTOR_SERVICES_SAAR_POP" hidden="1">"c7083"</definedName>
    <definedName name="IQ_EXPORTS_FACTOR_SERVICES_SAAR_POP_FC" hidden="1">"c7963"</definedName>
    <definedName name="IQ_EXPORTS_FACTOR_SERVICES_SAAR_USD_APR_FC" hidden="1">"c11817"</definedName>
    <definedName name="IQ_EXPORTS_FACTOR_SERVICES_SAAR_USD_FC" hidden="1">"c11814"</definedName>
    <definedName name="IQ_EXPORTS_FACTOR_SERVICES_SAAR_USD_POP_FC" hidden="1">"c11815"</definedName>
    <definedName name="IQ_EXPORTS_FACTOR_SERVICES_SAAR_USD_YOY_FC" hidden="1">"c11816"</definedName>
    <definedName name="IQ_EXPORTS_FACTOR_SERVICES_SAAR_YOY" hidden="1">"c7303"</definedName>
    <definedName name="IQ_EXPORTS_FACTOR_SERVICES_SAAR_YOY_FC" hidden="1">"c8183"</definedName>
    <definedName name="IQ_EXPORTS_FACTOR_SERVICES_USD_APR_FC" hidden="1">"c11813"</definedName>
    <definedName name="IQ_EXPORTS_FACTOR_SERVICES_USD_FC" hidden="1">"c11810"</definedName>
    <definedName name="IQ_EXPORTS_FACTOR_SERVICES_USD_POP_FC" hidden="1">"c11811"</definedName>
    <definedName name="IQ_EXPORTS_FACTOR_SERVICES_USD_YOY_FC" hidden="1">"c11812"</definedName>
    <definedName name="IQ_EXPORTS_FACTOR_SERVICES_YOY" hidden="1">"c7302"</definedName>
    <definedName name="IQ_EXPORTS_FACTOR_SERVICES_YOY_FC" hidden="1">"c8182"</definedName>
    <definedName name="IQ_EXPORTS_FC_UNUSED_UNUSED_UNUSED" hidden="1">"c7741"</definedName>
    <definedName name="IQ_EXPORTS_GOODS" hidden="1">"c6864"</definedName>
    <definedName name="IQ_EXPORTS_GOODS_APR" hidden="1">"c7524"</definedName>
    <definedName name="IQ_EXPORTS_GOODS_APR_FC" hidden="1">"c8404"</definedName>
    <definedName name="IQ_EXPORTS_GOODS_FC" hidden="1">"c7744"</definedName>
    <definedName name="IQ_EXPORTS_GOODS_NONFACTOR_SERVICES" hidden="1">"c6865"</definedName>
    <definedName name="IQ_EXPORTS_GOODS_NONFACTOR_SERVICES_APR" hidden="1">"c7525"</definedName>
    <definedName name="IQ_EXPORTS_GOODS_NONFACTOR_SERVICES_APR_FC" hidden="1">"c8405"</definedName>
    <definedName name="IQ_EXPORTS_GOODS_NONFACTOR_SERVICES_FC" hidden="1">"c7745"</definedName>
    <definedName name="IQ_EXPORTS_GOODS_NONFACTOR_SERVICES_POP" hidden="1">"c7085"</definedName>
    <definedName name="IQ_EXPORTS_GOODS_NONFACTOR_SERVICES_POP_FC" hidden="1">"c7965"</definedName>
    <definedName name="IQ_EXPORTS_GOODS_NONFACTOR_SERVICES_YOY" hidden="1">"c7305"</definedName>
    <definedName name="IQ_EXPORTS_GOODS_NONFACTOR_SERVICES_YOY_FC" hidden="1">"c8185"</definedName>
    <definedName name="IQ_EXPORTS_GOODS_POP" hidden="1">"c7084"</definedName>
    <definedName name="IQ_EXPORTS_GOODS_POP_FC" hidden="1">"c7964"</definedName>
    <definedName name="IQ_EXPORTS_GOODS_REAL" hidden="1">"c6973"</definedName>
    <definedName name="IQ_EXPORTS_GOODS_REAL_APR" hidden="1">"c7633"</definedName>
    <definedName name="IQ_EXPORTS_GOODS_REAL_APR_FC" hidden="1">"c8513"</definedName>
    <definedName name="IQ_EXPORTS_GOODS_REAL_FC" hidden="1">"c7853"</definedName>
    <definedName name="IQ_EXPORTS_GOODS_REAL_POP" hidden="1">"c7193"</definedName>
    <definedName name="IQ_EXPORTS_GOODS_REAL_POP_FC" hidden="1">"c8073"</definedName>
    <definedName name="IQ_EXPORTS_GOODS_REAL_SAAR" hidden="1">"c11930"</definedName>
    <definedName name="IQ_EXPORTS_GOODS_REAL_SAAR_APR" hidden="1">"c11933"</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 hidden="1">"c11931"</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 hidden="1">"c11932"</definedName>
    <definedName name="IQ_EXPORTS_GOODS_REAL_SAAR_YOY_FC_UNUSED_UNUSED_UNUSED" hidden="1">"c8292"</definedName>
    <definedName name="IQ_EXPORTS_GOODS_REAL_SAAR_YOY_UNUSED_UNUSED_UNUSED" hidden="1">"c7412"</definedName>
    <definedName name="IQ_EXPORTS_GOODS_REAL_YOY" hidden="1">"c7413"</definedName>
    <definedName name="IQ_EXPORTS_GOODS_REAL_YOY_FC" hidden="1">"c8293"</definedName>
    <definedName name="IQ_EXPORTS_GOODS_SERVICES" hidden="1">"c6866"</definedName>
    <definedName name="IQ_EXPORTS_GOODS_SERVICES_APR" hidden="1">"c7526"</definedName>
    <definedName name="IQ_EXPORTS_GOODS_SERVICES_APR_FC" hidden="1">"c8406"</definedName>
    <definedName name="IQ_EXPORTS_GOODS_SERVICES_FC" hidden="1">"c7746"</definedName>
    <definedName name="IQ_EXPORTS_GOODS_SERVICES_POP" hidden="1">"c7086"</definedName>
    <definedName name="IQ_EXPORTS_GOODS_SERVICES_POP_FC" hidden="1">"c7966"</definedName>
    <definedName name="IQ_EXPORTS_GOODS_SERVICES_REAL" hidden="1">"c6974"</definedName>
    <definedName name="IQ_EXPORTS_GOODS_SERVICES_REAL_APR" hidden="1">"c7634"</definedName>
    <definedName name="IQ_EXPORTS_GOODS_SERVICES_REAL_APR_FC" hidden="1">"c8514"</definedName>
    <definedName name="IQ_EXPORTS_GOODS_SERVICES_REAL_FC" hidden="1">"c7854"</definedName>
    <definedName name="IQ_EXPORTS_GOODS_SERVICES_REAL_POP" hidden="1">"c7194"</definedName>
    <definedName name="IQ_EXPORTS_GOODS_SERVICES_REAL_POP_FC" hidden="1">"c8074"</definedName>
    <definedName name="IQ_EXPORTS_GOODS_SERVICES_REAL_SAAR" hidden="1">"c6975"</definedName>
    <definedName name="IQ_EXPORTS_GOODS_SERVICES_REAL_SAAR_APR" hidden="1">"c7635"</definedName>
    <definedName name="IQ_EXPORTS_GOODS_SERVICES_REAL_SAAR_APR_FC" hidden="1">"c8515"</definedName>
    <definedName name="IQ_EXPORTS_GOODS_SERVICES_REAL_SAAR_FC" hidden="1">"c7855"</definedName>
    <definedName name="IQ_EXPORTS_GOODS_SERVICES_REAL_SAAR_POP" hidden="1">"c7195"</definedName>
    <definedName name="IQ_EXPORTS_GOODS_SERVICES_REAL_SAAR_POP_FC" hidden="1">"c8075"</definedName>
    <definedName name="IQ_EXPORTS_GOODS_SERVICES_REAL_SAAR_YOY" hidden="1">"c7415"</definedName>
    <definedName name="IQ_EXPORTS_GOODS_SERVICES_REAL_SAAR_YOY_FC" hidden="1">"c8295"</definedName>
    <definedName name="IQ_EXPORTS_GOODS_SERVICES_REAL_USD" hidden="1">"c11926"</definedName>
    <definedName name="IQ_EXPORTS_GOODS_SERVICES_REAL_USD_APR" hidden="1">"c11929"</definedName>
    <definedName name="IQ_EXPORTS_GOODS_SERVICES_REAL_USD_POP" hidden="1">"c11927"</definedName>
    <definedName name="IQ_EXPORTS_GOODS_SERVICES_REAL_USD_YOY" hidden="1">"c11928"</definedName>
    <definedName name="IQ_EXPORTS_GOODS_SERVICES_REAL_YOY" hidden="1">"c7414"</definedName>
    <definedName name="IQ_EXPORTS_GOODS_SERVICES_REAL_YOY_FC" hidden="1">"c8294"</definedName>
    <definedName name="IQ_EXPORTS_GOODS_SERVICES_SAAR" hidden="1">"c6867"</definedName>
    <definedName name="IQ_EXPORTS_GOODS_SERVICES_SAAR_APR" hidden="1">"c7527"</definedName>
    <definedName name="IQ_EXPORTS_GOODS_SERVICES_SAAR_APR_FC" hidden="1">"c8407"</definedName>
    <definedName name="IQ_EXPORTS_GOODS_SERVICES_SAAR_FC" hidden="1">"c7747"</definedName>
    <definedName name="IQ_EXPORTS_GOODS_SERVICES_SAAR_POP" hidden="1">"c7087"</definedName>
    <definedName name="IQ_EXPORTS_GOODS_SERVICES_SAAR_POP_FC" hidden="1">"c7967"</definedName>
    <definedName name="IQ_EXPORTS_GOODS_SERVICES_SAAR_YOY" hidden="1">"c7307"</definedName>
    <definedName name="IQ_EXPORTS_GOODS_SERVICES_SAAR_YOY_FC" hidden="1">"c8187"</definedName>
    <definedName name="IQ_EXPORTS_GOODS_SERVICES_USD" hidden="1">"c11822"</definedName>
    <definedName name="IQ_EXPORTS_GOODS_SERVICES_USD_APR" hidden="1">"c11825"</definedName>
    <definedName name="IQ_EXPORTS_GOODS_SERVICES_USD_POP" hidden="1">"c11823"</definedName>
    <definedName name="IQ_EXPORTS_GOODS_SERVICES_USD_YOY" hidden="1">"c11824"</definedName>
    <definedName name="IQ_EXPORTS_GOODS_SERVICES_YOY" hidden="1">"c7306"</definedName>
    <definedName name="IQ_EXPORTS_GOODS_SERVICES_YOY_FC" hidden="1">"c8186"</definedName>
    <definedName name="IQ_EXPORTS_GOODS_USD" hidden="1">"c11818"</definedName>
    <definedName name="IQ_EXPORTS_GOODS_USD_APR" hidden="1">"c11821"</definedName>
    <definedName name="IQ_EXPORTS_GOODS_USD_POP" hidden="1">"c11819"</definedName>
    <definedName name="IQ_EXPORTS_GOODS_USD_YOY" hidden="1">"c11820"</definedName>
    <definedName name="IQ_EXPORTS_GOODS_YOY" hidden="1">"c7304"</definedName>
    <definedName name="IQ_EXPORTS_GOODS_YOY_FC" hidden="1">"c8184"</definedName>
    <definedName name="IQ_EXPORTS_NONFACTOR_SERVICES" hidden="1">"c6868"</definedName>
    <definedName name="IQ_EXPORTS_NONFACTOR_SERVICES_APR" hidden="1">"c7528"</definedName>
    <definedName name="IQ_EXPORTS_NONFACTOR_SERVICES_APR_FC" hidden="1">"c8408"</definedName>
    <definedName name="IQ_EXPORTS_NONFACTOR_SERVICES_FC" hidden="1">"c7748"</definedName>
    <definedName name="IQ_EXPORTS_NONFACTOR_SERVICES_POP" hidden="1">"c7088"</definedName>
    <definedName name="IQ_EXPORTS_NONFACTOR_SERVICES_POP_FC" hidden="1">"c7968"</definedName>
    <definedName name="IQ_EXPORTS_NONFACTOR_SERVICES_YOY" hidden="1">"c7308"</definedName>
    <definedName name="IQ_EXPORTS_NONFACTOR_SERVICES_YOY_FC" hidden="1">"c8188"</definedName>
    <definedName name="IQ_EXPORTS_POP_FC_UNUSED_UNUSED_UNUSED" hidden="1">"c7961"</definedName>
    <definedName name="IQ_EXPORTS_POP_UNUSED_UNUSED_UNUSED" hidden="1">"c7081"</definedName>
    <definedName name="IQ_EXPORTS_SERVICES_REAL" hidden="1">"c6977"</definedName>
    <definedName name="IQ_EXPORTS_SERVICES_REAL_APR" hidden="1">"c7637"</definedName>
    <definedName name="IQ_EXPORTS_SERVICES_REAL_APR_FC" hidden="1">"c8517"</definedName>
    <definedName name="IQ_EXPORTS_SERVICES_REAL_FC" hidden="1">"c7857"</definedName>
    <definedName name="IQ_EXPORTS_SERVICES_REAL_POP" hidden="1">"c7197"</definedName>
    <definedName name="IQ_EXPORTS_SERVICES_REAL_POP_FC" hidden="1">"c8077"</definedName>
    <definedName name="IQ_EXPORTS_SERVICES_REAL_SAAR" hidden="1">"c11934"</definedName>
    <definedName name="IQ_EXPORTS_SERVICES_REAL_SAAR_APR" hidden="1">"c11937"</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 hidden="1">"c11935"</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 hidden="1">"c11936"</definedName>
    <definedName name="IQ_EXPORTS_SERVICES_REAL_SAAR_YOY_FC_UNUSED_UNUSED_UNUSED" hidden="1">"c8296"</definedName>
    <definedName name="IQ_EXPORTS_SERVICES_REAL_SAAR_YOY_UNUSED_UNUSED_UNUSED" hidden="1">"c7416"</definedName>
    <definedName name="IQ_EXPORTS_SERVICES_REAL_YOY" hidden="1">"c7417"</definedName>
    <definedName name="IQ_EXPORTS_SERVICES_REAL_YOY_FC" hidden="1">"c8297"</definedName>
    <definedName name="IQ_EXPORTS_UNUSED_UNUSED_UNUSED" hidden="1">"c6861"</definedName>
    <definedName name="IQ_EXPORTS_USD" hidden="1">"c11806"</definedName>
    <definedName name="IQ_EXPORTS_USD_APR" hidden="1">"c11809"</definedName>
    <definedName name="IQ_EXPORTS_USD_POP" hidden="1">"c11807"</definedName>
    <definedName name="IQ_EXPORTS_USD_YOY" hidden="1">"c11808"</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ITEMS" hidden="1">"c1459"</definedName>
    <definedName name="IQ_EXTRAORDINARY_GAINS_FDIC" hidden="1">"c6586"</definedName>
    <definedName name="IQ_FAD" hidden="1">"c8757"</definedName>
    <definedName name="IQ_FAD_PAYOUT_RATIO" hidden="1">"c8872"</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BUDGET_RECEIPTS" hidden="1">"c6869"</definedName>
    <definedName name="IQ_FED_BUDGET_RECEIPTS_APR" hidden="1">"c7529"</definedName>
    <definedName name="IQ_FED_BUDGET_RECEIPTS_APR_FC" hidden="1">"c8409"</definedName>
    <definedName name="IQ_FED_BUDGET_RECEIPTS_FC" hidden="1">"c7749"</definedName>
    <definedName name="IQ_FED_BUDGET_RECEIPTS_POP" hidden="1">"c7089"</definedName>
    <definedName name="IQ_FED_BUDGET_RECEIPTS_POP_FC" hidden="1">"c7969"</definedName>
    <definedName name="IQ_FED_BUDGET_RECEIPTS_YOY" hidden="1">"c7309"</definedName>
    <definedName name="IQ_FED_BUDGET_RECEIPTS_YOY_FC" hidden="1">"c8189"</definedName>
    <definedName name="IQ_FED_FUNDS_PURCHASED_FDIC" hidden="1">"c6343"</definedName>
    <definedName name="IQ_FED_FUNDS_SOLD_FDIC" hidden="1">"c6307"</definedName>
    <definedName name="IQ_FEDFUNDS_SOLD" hidden="1">"c2256"</definedName>
    <definedName name="IQ_FFO" hidden="1">"c1574"</definedName>
    <definedName name="IQ_FFO_ACT_OR_EST" hidden="1">"c2216"</definedName>
    <definedName name="IQ_FFO_ADJ_ACT_OR_EST" hidden="1">"c4435"</definedName>
    <definedName name="IQ_FFO_ADJ_ACT_OR_EST_CIQ" hidden="1">"c4960"</definedName>
    <definedName name="IQ_FFO_EST" hidden="1">"c418"</definedName>
    <definedName name="IQ_FFO_EST_DET_EST" hidden="1">"c12059"</definedName>
    <definedName name="IQ_FFO_EST_DET_EST_CURRENCY" hidden="1">"c12466"</definedName>
    <definedName name="IQ_FFO_EST_DET_EST_CURRENCY_THOM" hidden="1">"c12487"</definedName>
    <definedName name="IQ_FFO_EST_DET_EST_DATE" hidden="1">"c12212"</definedName>
    <definedName name="IQ_FFO_EST_DET_EST_DATE_THOM" hidden="1">"c12238"</definedName>
    <definedName name="IQ_FFO_EST_DET_EST_INCL" hidden="1">"c12349"</definedName>
    <definedName name="IQ_FFO_EST_DET_EST_INCL_THOM" hidden="1">"c12370"</definedName>
    <definedName name="IQ_FFO_EST_DET_EST_ORIGIN" hidden="1">"c12722"</definedName>
    <definedName name="IQ_FFO_EST_DET_EST_ORIGIN_THOM" hidden="1">"c12608"</definedName>
    <definedName name="IQ_FFO_EST_DET_EST_THOM" hidden="1">"c12088"</definedName>
    <definedName name="IQ_FFO_EST_THOM" hidden="1">"c3999"</definedName>
    <definedName name="IQ_FFO_HIGH_EST" hidden="1">"c419"</definedName>
    <definedName name="IQ_FFO_HIGH_EST_THOM" hidden="1">"c4001"</definedName>
    <definedName name="IQ_FFO_LOW_EST" hidden="1">"c420"</definedName>
    <definedName name="IQ_FFO_LOW_EST_THOM" hidden="1">"c4002"</definedName>
    <definedName name="IQ_FFO_MEDIAN_EST" hidden="1">"c1665"</definedName>
    <definedName name="IQ_FFO_MEDIAN_EST_THOM" hidden="1">"c4000"</definedName>
    <definedName name="IQ_FFO_NO_EST" hidden="1">"c276"</definedName>
    <definedName name="IQ_FFO_NUM_EST" hidden="1">"c421"</definedName>
    <definedName name="IQ_FFO_NUM_EST_THOM" hidden="1">"c4003"</definedName>
    <definedName name="IQ_FFO_PAYOUT_RATIO" hidden="1">"c3492"</definedName>
    <definedName name="IQ_FFO_PER_SHARE_BASIC" hidden="1">"c8867"</definedName>
    <definedName name="IQ_FFO_PER_SHARE_DILUTED" hidden="1">"c8868"</definedName>
    <definedName name="IQ_FFO_SHARE_ACT_OR_EST" hidden="1">"c4446"</definedName>
    <definedName name="IQ_FFO_SHARE_ACT_OR_EST_CIQ" hidden="1">"c4971"</definedName>
    <definedName name="IQ_FFO_SHARE_SHARE_EST_DET_EST" hidden="1">"c12059"</definedName>
    <definedName name="IQ_FFO_SHARE_SHARE_EST_DET_EST_CURRENCY" hidden="1">"c12466"</definedName>
    <definedName name="IQ_FFO_SHARE_SHARE_EST_DET_EST_CURRENCY_THOM" hidden="1">"c12487"</definedName>
    <definedName name="IQ_FFO_SHARE_SHARE_EST_DET_EST_DATE" hidden="1">"c12212"</definedName>
    <definedName name="IQ_FFO_SHARE_SHARE_EST_DET_EST_DATE_THOM" hidden="1">"c12238"</definedName>
    <definedName name="IQ_FFO_SHARE_SHARE_EST_DET_EST_INCL" hidden="1">"c12349"</definedName>
    <definedName name="IQ_FFO_SHARE_SHARE_EST_DET_EST_INCL_THOM" hidden="1">"c12370"</definedName>
    <definedName name="IQ_FFO_SHARE_SHARE_EST_DET_EST_ORIGIN" hidden="1">"c12722"</definedName>
    <definedName name="IQ_FFO_SHARE_SHARE_EST_DET_EST_ORIGIN_THOM" hidden="1">"c12608"</definedName>
    <definedName name="IQ_FFO_SHARE_SHARE_EST_DET_EST_THOM" hidden="1">"c12088"</definedName>
    <definedName name="IQ_FFO_SHARE_SHARE_EST_THOM" hidden="1">"c3999"</definedName>
    <definedName name="IQ_FFO_SHARE_SHARE_HIGH_EST_THOM" hidden="1">"c4001"</definedName>
    <definedName name="IQ_FFO_SHARE_SHARE_LOW_EST_THOM" hidden="1">"c4002"</definedName>
    <definedName name="IQ_FFO_SHARE_SHARE_MEDIAN_EST_THOM" hidden="1">"c4000"</definedName>
    <definedName name="IQ_FFO_SHARE_SHARE_NUM_EST_THOM" hidden="1">"c4003"</definedName>
    <definedName name="IQ_FFO_SHARE_SHARE_STDDEV_EST_THOM" hidden="1">"c4004"</definedName>
    <definedName name="IQ_FFO_STDDEV_EST" hidden="1">"c422"</definedName>
    <definedName name="IQ_FFO_STDDEV_EST_THOM" hidden="1">"c4004"</definedName>
    <definedName name="IQ_FH" hidden="1">100000</definedName>
    <definedName name="IQ_FHLB_ADVANCES_FDIC" hidden="1">"c6366"</definedName>
    <definedName name="IQ_FHLB_DEBT" hidden="1">"c423"</definedName>
    <definedName name="IQ_FHLB_DUE_AFTER_FIVE" hidden="1">"c2086"</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I_12M_RETURN" hidden="1">"c25807"</definedName>
    <definedName name="IQ_FII_3M_RETURN" hidden="1">"c25808"</definedName>
    <definedName name="IQ_FII_6M_RETURN" hidden="1">"c25809"</definedName>
    <definedName name="IQ_FII_AVGBIDSPREAD" hidden="1">"c25820"</definedName>
    <definedName name="IQ_FII_CONVEX" hidden="1">"c25799"</definedName>
    <definedName name="IQ_FII_COUPON" hidden="1">"c25800"</definedName>
    <definedName name="IQ_FII_DAILY_RETURN" hidden="1">"c25810"</definedName>
    <definedName name="IQ_FII_DURTW" hidden="1">"c25802"</definedName>
    <definedName name="IQ_FII_EXCESS_RETURN" hidden="1">"c25819"</definedName>
    <definedName name="IQ_FII_INDEXPRICE" hidden="1">"c25806"</definedName>
    <definedName name="IQ_FII_MATURITY" hidden="1">"c25804"</definedName>
    <definedName name="IQ_FII_MODDUR" hidden="1">"c25801"</definedName>
    <definedName name="IQ_FII_MTD_RETURN_COUPON" hidden="1">"c25813"</definedName>
    <definedName name="IQ_FII_MTD_RETURN_CURRENCY" hidden="1">"c25814"</definedName>
    <definedName name="IQ_FII_MTD_RETURN_PAYDOWN" hidden="1">"c25815"</definedName>
    <definedName name="IQ_FII_MTD_RETURN_PRICE" hidden="1">"c25816"</definedName>
    <definedName name="IQ_FII_MTD_RETURN_TOTAL" hidden="1">"c25812"</definedName>
    <definedName name="IQ_FII_MV" hidden="1">"c25803"</definedName>
    <definedName name="IQ_FII_NUMISSUE" hidden="1">"c25805"</definedName>
    <definedName name="IQ_FII_OAS" hidden="1">"c25798"</definedName>
    <definedName name="IQ_FII_RETURN_INCEPTION" hidden="1">"c25811"</definedName>
    <definedName name="IQ_FII_YTD_RETURN" hidden="1">"c25817"</definedName>
    <definedName name="IQ_FII_YTW" hidden="1">"c25818"</definedName>
    <definedName name="IQ_FILING_CURRENCY" hidden="1">"c2129"</definedName>
    <definedName name="IQ_FILING_CURRENCY_AP" hidden="1">"c11747"</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ANCING_CASH" hidden="1">"c1405"</definedName>
    <definedName name="IQ_FINANCING_CASH_SUPPL" hidden="1">"c1406"</definedName>
    <definedName name="IQ_FINANCING_OBLIG_CURRENT" hidden="1">"c11753"</definedName>
    <definedName name="IQ_FINANCING_OBLIG_NON_CURRENT" hidden="1">"c11754"</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CIQ" hidden="1">"c6806"</definedName>
    <definedName name="IQ_FISCAL_Q_EST_REUT" hidden="1">"c6798"</definedName>
    <definedName name="IQ_FISCAL_Q_EST_THOM" hidden="1">"c6802"</definedName>
    <definedName name="IQ_FISCAL_Y" hidden="1">"c441"</definedName>
    <definedName name="IQ_FISCAL_Y_EST" hidden="1">"c6795"</definedName>
    <definedName name="IQ_FISCAL_Y_EST_CIQ" hidden="1">"c6807"</definedName>
    <definedName name="IQ_FISCAL_Y_EST_REUT" hidden="1">"c6799"</definedName>
    <definedName name="IQ_FISCAL_Y_EST_THOM" hidden="1">"c6803"</definedName>
    <definedName name="IQ_FIVE_PERCENT_AMOUNT" hidden="1">"c240"</definedName>
    <definedName name="IQ_FIVE_PERCENT_OWNER" hidden="1">"c442"</definedName>
    <definedName name="IQ_FIVE_YEAR_FIXED_AND_FLOATING_RATE_FDIC" hidden="1">"c6422"</definedName>
    <definedName name="IQ_FIVE_YEAR_MORTGAGE_PASS_THROUGHS_FDIC" hidden="1">"c6414"</definedName>
    <definedName name="IQ_FIVEPERCENT_OWNER" hidden="1">"c239"</definedName>
    <definedName name="IQ_FIVEPERCENT_PERCENT" hidden="1">"c443"</definedName>
    <definedName name="IQ_FIVEPERCENT_SHARES" hidden="1">"c444"</definedName>
    <definedName name="IQ_FIX_FREQUENCY" hidden="1">"c8964"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MACH_EQUIP" hidden="1">"c6871"</definedName>
    <definedName name="IQ_FIXED_INVEST_MACH_EQUIP_APR" hidden="1">"c7531"</definedName>
    <definedName name="IQ_FIXED_INVEST_MACH_EQUIP_APR_FC" hidden="1">"c8411"</definedName>
    <definedName name="IQ_FIXED_INVEST_MACH_EQUIP_FC" hidden="1">"c7751"</definedName>
    <definedName name="IQ_FIXED_INVEST_MACH_EQUIP_POP" hidden="1">"c7091"</definedName>
    <definedName name="IQ_FIXED_INVEST_MACH_EQUIP_POP_FC" hidden="1">"c7971"</definedName>
    <definedName name="IQ_FIXED_INVEST_MACH_EQUIP_REAL" hidden="1">"c6979"</definedName>
    <definedName name="IQ_FIXED_INVEST_MACH_EQUIP_REAL_APR" hidden="1">"c7639"</definedName>
    <definedName name="IQ_FIXED_INVEST_MACH_EQUIP_REAL_APR_FC" hidden="1">"c8519"</definedName>
    <definedName name="IQ_FIXED_INVEST_MACH_EQUIP_REAL_FC" hidden="1">"c7859"</definedName>
    <definedName name="IQ_FIXED_INVEST_MACH_EQUIP_REAL_POP" hidden="1">"c7199"</definedName>
    <definedName name="IQ_FIXED_INVEST_MACH_EQUIP_REAL_POP_FC" hidden="1">"c8079"</definedName>
    <definedName name="IQ_FIXED_INVEST_MACH_EQUIP_REAL_YOY" hidden="1">"c7419"</definedName>
    <definedName name="IQ_FIXED_INVEST_MACH_EQUIP_REAL_YOY_FC" hidden="1">"c8299"</definedName>
    <definedName name="IQ_FIXED_INVEST_MACH_EQUIP_YOY" hidden="1">"c7311"</definedName>
    <definedName name="IQ_FIXED_INVEST_MACH_EQUIP_YOY_FC" hidden="1">"c8191"</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SAAR" hidden="1">"c6980"</definedName>
    <definedName name="IQ_FIXED_INVEST_REAL_SAAR_APR" hidden="1">"c7640"</definedName>
    <definedName name="IQ_FIXED_INVEST_REAL_SAAR_APR_FC" hidden="1">"c8520"</definedName>
    <definedName name="IQ_FIXED_INVEST_REAL_SAAR_FC" hidden="1">"c7860"</definedName>
    <definedName name="IQ_FIXED_INVEST_REAL_SAAR_POP" hidden="1">"c7200"</definedName>
    <definedName name="IQ_FIXED_INVEST_REAL_SAAR_POP_FC" hidden="1">"c8080"</definedName>
    <definedName name="IQ_FIXED_INVEST_REAL_SAAR_USD_APR_FC" hidden="1">"c11945"</definedName>
    <definedName name="IQ_FIXED_INVEST_REAL_SAAR_USD_FC" hidden="1">"c11942"</definedName>
    <definedName name="IQ_FIXED_INVEST_REAL_SAAR_USD_POP_FC" hidden="1">"c11943"</definedName>
    <definedName name="IQ_FIXED_INVEST_REAL_SAAR_USD_YOY_FC" hidden="1">"c11944"</definedName>
    <definedName name="IQ_FIXED_INVEST_REAL_SAAR_YOY" hidden="1">"c7420"</definedName>
    <definedName name="IQ_FIXED_INVEST_REAL_SAAR_YOY_FC" hidden="1">"c8300"</definedName>
    <definedName name="IQ_FIXED_INVEST_REAL_UNUSED_UNUSED_UNUSED" hidden="1">"c6978"</definedName>
    <definedName name="IQ_FIXED_INVEST_REAL_USD_APR_FC" hidden="1">"c11941"</definedName>
    <definedName name="IQ_FIXED_INVEST_REAL_USD_FC" hidden="1">"c11938"</definedName>
    <definedName name="IQ_FIXED_INVEST_REAL_USD_POP_FC" hidden="1">"c11939"</definedName>
    <definedName name="IQ_FIXED_INVEST_REAL_USD_YOY_FC" hidden="1">"c11940"</definedName>
    <definedName name="IQ_FIXED_INVEST_REAL_YOY_FC_UNUSED_UNUSED_UNUSED" hidden="1">"c8298"</definedName>
    <definedName name="IQ_FIXED_INVEST_REAL_YOY_UNUSED_UNUSED_UNUSED" hidden="1">"c7418"</definedName>
    <definedName name="IQ_FIXED_INVEST_SAAR" hidden="1">"c6872"</definedName>
    <definedName name="IQ_FIXED_INVEST_SAAR_APR" hidden="1">"c7532"</definedName>
    <definedName name="IQ_FIXED_INVEST_SAAR_APR_FC" hidden="1">"c8412"</definedName>
    <definedName name="IQ_FIXED_INVEST_SAAR_FC" hidden="1">"c7752"</definedName>
    <definedName name="IQ_FIXED_INVEST_SAAR_POP" hidden="1">"c7092"</definedName>
    <definedName name="IQ_FIXED_INVEST_SAAR_POP_FC" hidden="1">"c7972"</definedName>
    <definedName name="IQ_FIXED_INVEST_SAAR_USD_APR_FC" hidden="1">"c11833"</definedName>
    <definedName name="IQ_FIXED_INVEST_SAAR_USD_FC" hidden="1">"c11830"</definedName>
    <definedName name="IQ_FIXED_INVEST_SAAR_USD_POP_FC" hidden="1">"c11831"</definedName>
    <definedName name="IQ_FIXED_INVEST_SAAR_USD_YOY_FC" hidden="1">"c11832"</definedName>
    <definedName name="IQ_FIXED_INVEST_SAAR_YOY" hidden="1">"c7312"</definedName>
    <definedName name="IQ_FIXED_INVEST_SAAR_YOY_FC" hidden="1">"c8192"</definedName>
    <definedName name="IQ_FIXED_INVEST_UNUSED_UNUSED_UNUSED" hidden="1">"c6870"</definedName>
    <definedName name="IQ_FIXED_INVEST_USD_APR_FC" hidden="1">"c11829"</definedName>
    <definedName name="IQ_FIXED_INVEST_USD_FC" hidden="1">"c11826"</definedName>
    <definedName name="IQ_FIXED_INVEST_USD_POP_FC" hidden="1">"c11827"</definedName>
    <definedName name="IQ_FIXED_INVEST_USD_YOY_FC" hidden="1">"c11828"</definedName>
    <definedName name="IQ_FIXED_INVEST_YOY_FC_UNUSED_UNUSED_UNUSED" hidden="1">"c8190"</definedName>
    <definedName name="IQ_FIXED_INVEST_YOY_UNUSED_UNUSED_UNUSED" hidden="1">"c7310"</definedName>
    <definedName name="IQ_FLOAT" hidden="1">"c225"</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"c1376"</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SPOT_FDIC" hidden="1">"c6356"</definedName>
    <definedName name="IQ_FY" hidden="1">1000</definedName>
    <definedName name="IQ_FY_DATE" hidden="1">"IQ_FY_DATE"</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C_BNK" hidden="1">"c488"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AIN_SALE_LOANS_FDIC" hidden="1">"c6673"</definedName>
    <definedName name="IQ_GAIN_SALE_RE_FDIC" hidden="1">"c6674"</definedName>
    <definedName name="IQ_GAINS_SALE_ASSETS_FDIC" hidden="1">"c6675"</definedName>
    <definedName name="IQ_GDP" hidden="1">"c6874"</definedName>
    <definedName name="IQ_GDP_APR" hidden="1">"c7534"</definedName>
    <definedName name="IQ_GDP_APR_FC" hidden="1">"c8414"</definedName>
    <definedName name="IQ_GDP_FC" hidden="1">"c7754"</definedName>
    <definedName name="IQ_GDP_POP" hidden="1">"c7094"</definedName>
    <definedName name="IQ_GDP_POP_FC" hidden="1">"c7974"</definedName>
    <definedName name="IQ_GDP_REAL" hidden="1">"c6981"</definedName>
    <definedName name="IQ_GDP_REAL_APR" hidden="1">"c7641"</definedName>
    <definedName name="IQ_GDP_REAL_APR_FC" hidden="1">"c8521"</definedName>
    <definedName name="IQ_GDP_REAL_FC" hidden="1">"c7861"</definedName>
    <definedName name="IQ_GDP_REAL_POP" hidden="1">"c7201"</definedName>
    <definedName name="IQ_GDP_REAL_POP_FC" hidden="1">"c8081"</definedName>
    <definedName name="IQ_GDP_REAL_SAAR" hidden="1">"c6982"</definedName>
    <definedName name="IQ_GDP_REAL_SAAR_APR" hidden="1">"c7642"</definedName>
    <definedName name="IQ_GDP_REAL_SAAR_APR_FC" hidden="1">"c8522"</definedName>
    <definedName name="IQ_GDP_REAL_SAAR_FC" hidden="1">"c7862"</definedName>
    <definedName name="IQ_GDP_REAL_SAAR_POP" hidden="1">"c7202"</definedName>
    <definedName name="IQ_GDP_REAL_SAAR_POP_FC" hidden="1">"c8082"</definedName>
    <definedName name="IQ_GDP_REAL_SAAR_YOY" hidden="1">"c7422"</definedName>
    <definedName name="IQ_GDP_REAL_SAAR_YOY_FC" hidden="1">"c8302"</definedName>
    <definedName name="IQ_GDP_REAL_USD" hidden="1">"c11946"</definedName>
    <definedName name="IQ_GDP_REAL_USD_APR" hidden="1">"c11949"</definedName>
    <definedName name="IQ_GDP_REAL_USD_POP" hidden="1">"c11947"</definedName>
    <definedName name="IQ_GDP_REAL_USD_YOY" hidden="1">"c11948"</definedName>
    <definedName name="IQ_GDP_REAL_YOY" hidden="1">"c7421"</definedName>
    <definedName name="IQ_GDP_REAL_YOY_FC" hidden="1">"c8301"</definedName>
    <definedName name="IQ_GDP_SAAR" hidden="1">"c6875"</definedName>
    <definedName name="IQ_GDP_SAAR_APR" hidden="1">"c7535"</definedName>
    <definedName name="IQ_GDP_SAAR_APR_FC" hidden="1">"c8415"</definedName>
    <definedName name="IQ_GDP_SAAR_FC" hidden="1">"c7755"</definedName>
    <definedName name="IQ_GDP_SAAR_POP" hidden="1">"c7095"</definedName>
    <definedName name="IQ_GDP_SAAR_POP_FC" hidden="1">"c7975"</definedName>
    <definedName name="IQ_GDP_SAAR_YOY" hidden="1">"c7315"</definedName>
    <definedName name="IQ_GDP_SAAR_YOY_FC" hidden="1">"c8195"</definedName>
    <definedName name="IQ_GDP_USD" hidden="1">"c11834"</definedName>
    <definedName name="IQ_GDP_USD_APR" hidden="1">"c11837"</definedName>
    <definedName name="IQ_GDP_USD_POP" hidden="1">"c11835"</definedName>
    <definedName name="IQ_GDP_USD_YOY" hidden="1">"c11836"</definedName>
    <definedName name="IQ_GDP_YOY" hidden="1">"c7314"</definedName>
    <definedName name="IQ_GDP_YOY_FC" hidden="1">"c8194"</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LA_PCT_LEASED_CONSOL" hidden="1">"c8810"</definedName>
    <definedName name="IQ_GLA_PCT_LEASED_MANAGED" hidden="1">"c8812"</definedName>
    <definedName name="IQ_GLA_PCT_LEASED_OTHER" hidden="1">"c8813"</definedName>
    <definedName name="IQ_GLA_PCT_LEASED_TOTAL" hidden="1">"c8814"</definedName>
    <definedName name="IQ_GLA_PCT_LEASED_UNCONSOL" hidden="1">"c8811"</definedName>
    <definedName name="IQ_GLA_SQ_FT_CONSOL" hidden="1">"c8790"</definedName>
    <definedName name="IQ_GLA_SQ_FT_MANAGED" hidden="1">"c8792"</definedName>
    <definedName name="IQ_GLA_SQ_FT_OTHER" hidden="1">"c8793"</definedName>
    <definedName name="IQ_GLA_SQ_FT_TOTAL" hidden="1">"c8794"</definedName>
    <definedName name="IQ_GLA_SQ_FT_UNCONSOL" hidden="1">"c8791"</definedName>
    <definedName name="IQ_GLA_SQ_METER_CONSOL" hidden="1">"c8795"</definedName>
    <definedName name="IQ_GLA_SQ_METER_MANAGED" hidden="1">"c8797"</definedName>
    <definedName name="IQ_GLA_SQ_METER_OTHER" hidden="1">"c8798"</definedName>
    <definedName name="IQ_GLA_SQ_METER_TOTAL" hidden="1">"c8799"</definedName>
    <definedName name="IQ_GLA_SQ_METER_UNCONSOL" hidden="1">"c8796"</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"c1380"</definedName>
    <definedName name="IQ_GOVT_PERSONAL_TAXES_RECEIPTS" hidden="1">"c6876"</definedName>
    <definedName name="IQ_GOVT_PERSONAL_TAXES_RECEIPTS_APR" hidden="1">"c7536"</definedName>
    <definedName name="IQ_GOVT_PERSONAL_TAXES_RECEIPTS_APR_FC" hidden="1">"c8416"</definedName>
    <definedName name="IQ_GOVT_PERSONAL_TAXES_RECEIPTS_FC" hidden="1">"c7756"</definedName>
    <definedName name="IQ_GOVT_PERSONAL_TAXES_RECEIPTS_POP" hidden="1">"c7096"</definedName>
    <definedName name="IQ_GOVT_PERSONAL_TAXES_RECEIPTS_POP_FC" hidden="1">"c7976"</definedName>
    <definedName name="IQ_GOVT_PERSONAL_TAXES_RECEIPTS_YOY" hidden="1">"c7316"</definedName>
    <definedName name="IQ_GOVT_PERSONAL_TAXES_RECEIPTS_YOY_FC" hidden="1">"c8196"</definedName>
    <definedName name="IQ_GOVT_RECEIPTS" hidden="1">"c6877"</definedName>
    <definedName name="IQ_GOVT_RECEIPTS_APR" hidden="1">"c7537"</definedName>
    <definedName name="IQ_GOVT_RECEIPTS_APR_FC" hidden="1">"c8417"</definedName>
    <definedName name="IQ_GOVT_RECEIPTS_FC" hidden="1">"c7757"</definedName>
    <definedName name="IQ_GOVT_RECEIPTS_POP" hidden="1">"c7097"</definedName>
    <definedName name="IQ_GOVT_RECEIPTS_POP_FC" hidden="1">"c7977"</definedName>
    <definedName name="IQ_GOVT_RECEIPTS_YOY" hidden="1">"c7317"</definedName>
    <definedName name="IQ_GOVT_RECEIPTS_YOY_FC" hidden="1">"c8197"</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GW" hidden="1">"c519"</definedName>
    <definedName name="IQ_GROSS_INTAN" hidden="1">"c520"</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MARGIN" hidden="1">"c529"</definedName>
    <definedName name="IQ_GROSS_MARGIN_ACT_OR_EST_THOM" hidden="1">"c5562"</definedName>
    <definedName name="IQ_GROSS_MARGIN_EST" hidden="1">"c5547"</definedName>
    <definedName name="IQ_GROSS_MARGIN_EST_THOM" hidden="1">"c5555"</definedName>
    <definedName name="IQ_GROSS_MARGIN_HIGH_EST" hidden="1">"c5549"</definedName>
    <definedName name="IQ_GROSS_MARGIN_HIGH_EST_THOM" hidden="1">"c5557"</definedName>
    <definedName name="IQ_GROSS_MARGIN_LOW_EST" hidden="1">"c5550"</definedName>
    <definedName name="IQ_GROSS_MARGIN_LOW_EST_THOM" hidden="1">"c5558"</definedName>
    <definedName name="IQ_GROSS_MARGIN_MEDIAN_EST" hidden="1">"c5548"</definedName>
    <definedName name="IQ_GROSS_MARGIN_MEDIAN_EST_THOM" hidden="1">"c5556"</definedName>
    <definedName name="IQ_GROSS_MARGIN_NUM_EST" hidden="1">"c5551"</definedName>
    <definedName name="IQ_GROSS_MARGIN_NUM_EST_THOM" hidden="1">"c5559"</definedName>
    <definedName name="IQ_GROSS_MARGIN_STDDEV_EST" hidden="1">"c5552"</definedName>
    <definedName name="IQ_GROSS_MARGIN_STDDEV_EST_THOM" hidden="1">"c5560"</definedName>
    <definedName name="IQ_GROSS_PC_EARNED" hidden="1">"c2747"</definedName>
    <definedName name="IQ_GROSS_PROFIT" hidden="1">"c1378"</definedName>
    <definedName name="IQ_GROSS_SPRD" hidden="1">"c2155"</definedName>
    <definedName name="IQ_GROSS_WRITTEN" hidden="1">"c2726"</definedName>
    <definedName name="IQ_GROUP_EMBEDDED_VALUE_ASSET_MANAGEMENT" hidden="1">"c9955"</definedName>
    <definedName name="IQ_GROUP_EMBEDDED_VALUE_HEALTH" hidden="1">"c9954"</definedName>
    <definedName name="IQ_GROUP_EMBEDDED_VALUE_LIFE" hidden="1">"c9953"</definedName>
    <definedName name="IQ_GROUP_EMBEDDED_VALUE_LIFE_OTHER" hidden="1">"c9956"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JUSTED_DISCHARGES" hidden="1">"c9977"</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SO_COVERED_LIVES" hidden="1">"c9982"</definedName>
    <definedName name="IQ_HC_ASO_MEMBERSHIP" hidden="1">"c9985"</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CASES" hidden="1">"c9978"</definedName>
    <definedName name="IQ_HC_CLAIMS_RESERVES" hidden="1">"c9989"</definedName>
    <definedName name="IQ_HC_DAYS_REV_OUT" hidden="1">"c5993"</definedName>
    <definedName name="IQ_HC_DISCHARGES" hidden="1">"c9976"</definedName>
    <definedName name="IQ_HC_EQUIV_ADMISSIONS_GROWTH" hidden="1">"c5998"</definedName>
    <definedName name="IQ_HC_EQUIVALENT_ADMISSIONS" hidden="1">"c5958"</definedName>
    <definedName name="IQ_HC_EQUIVALENT_ADMISSIONS_SF" hidden="1">"c6007"</definedName>
    <definedName name="IQ_HC_EQUIVALENT_PATIENT_DAYS" hidden="1">"c9980"</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L_EXPENSE_RATIO" hidden="1">"c9987"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CASE" hidden="1">"c9979"</definedName>
    <definedName name="IQ_HC_REV_PER_DISCHARGE" hidden="1">"c9990"</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RISK_COVERED_LIVES" hidden="1">"c9981"</definedName>
    <definedName name="IQ_HC_RISK_MEMBERSHIP" hidden="1">"c9984"</definedName>
    <definedName name="IQ_HC_SALARIES_PCT_REV" hidden="1">"c5970"</definedName>
    <definedName name="IQ_HC_SGA_MARGIN" hidden="1">"c9988"</definedName>
    <definedName name="IQ_HC_SUPPLIES_PCT_REV" hidden="1">"c5971"</definedName>
    <definedName name="IQ_HC_TOTAL_COVERED_LIVES" hidden="1">"c9983"</definedName>
    <definedName name="IQ_HC_TOTAL_MEMBERSHIP" hidden="1">"c9986"</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G_ACQUIRED_FRANCHISE_HOTEL_PROPERTIES" hidden="1">"c8584"</definedName>
    <definedName name="IQ_HG_ACQUIRED_FRANCHISE_ROOMS" hidden="1">"c8614"</definedName>
    <definedName name="IQ_HG_ACQUIRED_HOTEL_PROPERTIES" hidden="1">"c8572"</definedName>
    <definedName name="IQ_HG_ACQUIRED_MANAGED_HOTEL_PROPERTIES" hidden="1">"c8590"</definedName>
    <definedName name="IQ_HG_ACQUIRED_MANAGED_ROOMS" hidden="1">"c8620"</definedName>
    <definedName name="IQ_HG_ACQUIRED_OTHER_HOTEL_PROPERTIES" hidden="1">"c8596"</definedName>
    <definedName name="IQ_HG_ACQUIRED_OTHER_ROOMS" hidden="1">"c8626"</definedName>
    <definedName name="IQ_HG_ACQUIRED_OWNED_HOTEL_PROPERTIES" hidden="1">"c8578"</definedName>
    <definedName name="IQ_HG_ACQUIRED_OWNED_ROOMS" hidden="1">"c8608"</definedName>
    <definedName name="IQ_HG_ACQUIRED_ROOMS" hidden="1">"c8602"</definedName>
    <definedName name="IQ_HG_ADR_CHANGE_FRANCHISE" hidden="1">"c8684"</definedName>
    <definedName name="IQ_HG_ADR_CHANGE_MANAGED" hidden="1">"c8685"</definedName>
    <definedName name="IQ_HG_ADR_CHANGE_OTHER" hidden="1">"c8686"</definedName>
    <definedName name="IQ_HG_ADR_CHANGE_OWNED" hidden="1">"c8683"</definedName>
    <definedName name="IQ_HG_ADR_CHANGE_OWNED_COMP" hidden="1">"c8709"</definedName>
    <definedName name="IQ_HG_ADR_CHANGE_TOTAL" hidden="1">"c8687"</definedName>
    <definedName name="IQ_HG_ADR_CHANGE_TOTAL_COMP" hidden="1">"c8710"</definedName>
    <definedName name="IQ_HG_ADR_FRANCHISE" hidden="1">"c8664"</definedName>
    <definedName name="IQ_HG_ADR_MANAGED" hidden="1">"c8665"</definedName>
    <definedName name="IQ_HG_ADR_OTHER" hidden="1">"c8666"</definedName>
    <definedName name="IQ_HG_ADR_OWNED" hidden="1">"c8663"</definedName>
    <definedName name="IQ_HG_ADR_OWNED_COMP" hidden="1">"c8701"</definedName>
    <definedName name="IQ_HG_ADR_TOTAL" hidden="1">"c8667"</definedName>
    <definedName name="IQ_HG_ADR_TOTAL_COMP" hidden="1">"c8702"</definedName>
    <definedName name="IQ_HG_CASINOS_JV" hidden="1">"c8631"</definedName>
    <definedName name="IQ_HG_CASINOS_MANAGED" hidden="1">"c8632"</definedName>
    <definedName name="IQ_HG_CASINOS_OWNED" hidden="1">"c8630"</definedName>
    <definedName name="IQ_HG_CASINOS_TOTAL" hidden="1">"c8633"</definedName>
    <definedName name="IQ_HG_CLOSED_FRANCHISE_HOTEL_PROPERTIES" hidden="1">"c8586"</definedName>
    <definedName name="IQ_HG_CLOSED_FRANCHISE_ROOMS" hidden="1">"c8616"</definedName>
    <definedName name="IQ_HG_CLOSED_HOTEL_PROPERTIES" hidden="1">"c8574"</definedName>
    <definedName name="IQ_HG_CLOSED_MANAGED_HOTEL_PROPERTIES" hidden="1">"c8592"</definedName>
    <definedName name="IQ_HG_CLOSED_MANAGED_ROOMS" hidden="1">"c8622"</definedName>
    <definedName name="IQ_HG_CLOSED_OTHER_HOTEL_PROPERTIES" hidden="1">"c8598"</definedName>
    <definedName name="IQ_HG_CLOSED_OTHER_ROOMS" hidden="1">"c8628"</definedName>
    <definedName name="IQ_HG_CLOSED_OWNED_HOTEL_PROPERTIES" hidden="1">"c8580"</definedName>
    <definedName name="IQ_HG_CLOSED_OWNED_ROOMS" hidden="1">"c8610"</definedName>
    <definedName name="IQ_HG_CLOSED_ROOMS" hidden="1">"c8604"</definedName>
    <definedName name="IQ_HG_EXP_CASINO" hidden="1">"c8733"</definedName>
    <definedName name="IQ_HG_EXP_DEVELOPMENT" hidden="1">"c8738"</definedName>
    <definedName name="IQ_HG_EXP_ENTERTAINMENT" hidden="1">"c8736"</definedName>
    <definedName name="IQ_HG_EXP_FOOD_BEV" hidden="1">"c8734"</definedName>
    <definedName name="IQ_HG_EXP_FRANCHISE_MANAGEMENT" hidden="1">"c8744"</definedName>
    <definedName name="IQ_HG_EXP_OTHER_MNGD_FRANCHISE_PROP" hidden="1">"c8742"</definedName>
    <definedName name="IQ_HG_EXP_OWNED_LEASED_CONSOL_JV" hidden="1">"c8740"</definedName>
    <definedName name="IQ_HG_EXP_REIMBURSEMENTS" hidden="1">"c8743"</definedName>
    <definedName name="IQ_HG_EXP_RETAIL" hidden="1">"c8737"</definedName>
    <definedName name="IQ_HG_EXP_ROOMS" hidden="1">"c8735"</definedName>
    <definedName name="IQ_HG_EXP_THEATRE_CONCESSION" hidden="1">"c8739"</definedName>
    <definedName name="IQ_HG_EXP_VACA_OWNERSHIP_RES" hidden="1">"c8741"</definedName>
    <definedName name="IQ_HG_FOOD_PROM_COSTS" hidden="1">"c8746"</definedName>
    <definedName name="IQ_HG_FRANCHISE_HOTEL_PROPERTIES_BEG" hidden="1">"c8582"</definedName>
    <definedName name="IQ_HG_FRANCHISE_ROOMS_BEG" hidden="1">"c8612"</definedName>
    <definedName name="IQ_HG_GAMING_SPACE_JV" hidden="1">"c8635"</definedName>
    <definedName name="IQ_HG_GAMING_SPACE_MANAGED" hidden="1">"c8636"</definedName>
    <definedName name="IQ_HG_GAMING_SPACE_OWNED" hidden="1">"c8634"</definedName>
    <definedName name="IQ_HG_GAMING_SPACE_TOTAL" hidden="1">"c8637"</definedName>
    <definedName name="IQ_HG_HOTEL_PROPERTIES_BEG" hidden="1">"c8570"</definedName>
    <definedName name="IQ_HG_LAND_AVAIL_JV" hidden="1">"c8647"</definedName>
    <definedName name="IQ_HG_LAND_AVAIL_MANAGED" hidden="1">"c8648"</definedName>
    <definedName name="IQ_HG_LAND_AVAIL_OWNED" hidden="1">"c8646"</definedName>
    <definedName name="IQ_HG_LAND_AVAIL_TOTAL" hidden="1">"c8649"</definedName>
    <definedName name="IQ_HG_LAND_JV" hidden="1">"c8651"</definedName>
    <definedName name="IQ_HG_LAND_MANAGED" hidden="1">"c8652"</definedName>
    <definedName name="IQ_HG_LAND_OWNED" hidden="1">"c8650"</definedName>
    <definedName name="IQ_HG_LAND_TOTAL" hidden="1">"c8653"</definedName>
    <definedName name="IQ_HG_MANAGED_HOTEL_PROPERTIES_BEG" hidden="1">"c8588"</definedName>
    <definedName name="IQ_HG_MANAGED_ROOMS_BEG" hidden="1">"c8618"</definedName>
    <definedName name="IQ_HG_OCCUPANCY_CHANGE_FRANCHISE" hidden="1">"c8675"</definedName>
    <definedName name="IQ_HG_OCCUPANCY_CHANGE_MANAGED" hidden="1">"c8677"</definedName>
    <definedName name="IQ_HG_OCCUPANCY_CHANGE_OTHER" hidden="1">"c8679"</definedName>
    <definedName name="IQ_HG_OCCUPANCY_CHANGE_OWNED" hidden="1">"c8673"</definedName>
    <definedName name="IQ_HG_OCCUPANCY_CHANGE_OWNED_COMP" hidden="1">"c8705"</definedName>
    <definedName name="IQ_HG_OCCUPANCY_CHANGE_TOTAL" hidden="1">"c8681"</definedName>
    <definedName name="IQ_HG_OCCUPANCY_CHANGE_TOTAL_COMP" hidden="1">"c8707"</definedName>
    <definedName name="IQ_HG_OCCUPANCY_FRANCHISE" hidden="1">"c8659"</definedName>
    <definedName name="IQ_HG_OCCUPANCY_INCDEC_FRANCHISE" hidden="1">"c8676"</definedName>
    <definedName name="IQ_HG_OCCUPANCY_INCDEC_MANAGED" hidden="1">"c8678"</definedName>
    <definedName name="IQ_HG_OCCUPANCY_INCDEC_OTHER" hidden="1">"c8680"</definedName>
    <definedName name="IQ_HG_OCCUPANCY_INCDEC_OWNED" hidden="1">"c8674"</definedName>
    <definedName name="IQ_HG_OCCUPANCY_INCDEC_OWNED_COMP" hidden="1">"c8706"</definedName>
    <definedName name="IQ_HG_OCCUPANCY_INCDEC_TOTAL" hidden="1">"c8682"</definedName>
    <definedName name="IQ_HG_OCCUPANCY_INCDEC_TOTAL_COMP" hidden="1">"c8708"</definedName>
    <definedName name="IQ_HG_OCCUPANCY_MANAGED" hidden="1">"c8660"</definedName>
    <definedName name="IQ_HG_OCCUPANCY_OTHER" hidden="1">"c8661"</definedName>
    <definedName name="IQ_HG_OCCUPANCY_OWNED" hidden="1">"c8658"</definedName>
    <definedName name="IQ_HG_OCCUPANCY_OWNED_COMP" hidden="1">"c8699"</definedName>
    <definedName name="IQ_HG_OCCUPANCY_TOTAL" hidden="1">"c8662"</definedName>
    <definedName name="IQ_HG_OCCUPANCY_TOTAL_COMP" hidden="1">"c8700"</definedName>
    <definedName name="IQ_HG_OPENED_FRANCHISE_HOTEL_PROPERTIES" hidden="1">"c8583"</definedName>
    <definedName name="IQ_HG_OPENED_FRANCHISE_ROOMS" hidden="1">"c8613"</definedName>
    <definedName name="IQ_HG_OPENED_HOTEL_PROPERTIES" hidden="1">"c8571"</definedName>
    <definedName name="IQ_HG_OPENED_MANAGED_HOTEL_PROPERTIES" hidden="1">"c8589"</definedName>
    <definedName name="IQ_HG_OPENED_MANAGED_ROOMS" hidden="1">"c8619"</definedName>
    <definedName name="IQ_HG_OPENED_OTHER_HOTEL_PROPERTIES" hidden="1">"c8595"</definedName>
    <definedName name="IQ_HG_OPENED_OTHER_ROOMS" hidden="1">"c8625"</definedName>
    <definedName name="IQ_HG_OPENED_OWNED_HOTEL_PROPERTIES" hidden="1">"c8577"</definedName>
    <definedName name="IQ_HG_OPENED_OWNED_ROOMS" hidden="1">"c8607"</definedName>
    <definedName name="IQ_HG_OPENED_ROOMS" hidden="1">"c8601"</definedName>
    <definedName name="IQ_HG_OTHER_HOTEL_PROPERTIES_BEG" hidden="1">"c8594"</definedName>
    <definedName name="IQ_HG_OTHER_PROM_COSTS" hidden="1">"c8747"</definedName>
    <definedName name="IQ_HG_OTHER_ROOMS_BEG" hidden="1">"c8624"</definedName>
    <definedName name="IQ_HG_OWNED_HOTEL_PROPERTIES_BEG" hidden="1">"c8576"</definedName>
    <definedName name="IQ_HG_OWNED_ROOMS_BEG" hidden="1">"c8606"</definedName>
    <definedName name="IQ_HG_PARKING_SPACES_JV" hidden="1">"c8655"</definedName>
    <definedName name="IQ_HG_PARKING_SPACES_MANAGED" hidden="1">"c8656"</definedName>
    <definedName name="IQ_HG_PARKING_SPACES_OWNED" hidden="1">"c8654"</definedName>
    <definedName name="IQ_HG_PARKING_SPACES_TOTAL" hidden="1">"c8657"</definedName>
    <definedName name="IQ_HG_REV_BASE_MANAGEMENT_FEES" hidden="1">"c8726"</definedName>
    <definedName name="IQ_HG_REV_CASINO" hidden="1">"c8713"</definedName>
    <definedName name="IQ_HG_REV_COST_REIMBURSEMENT" hidden="1">"c8728"</definedName>
    <definedName name="IQ_HG_REV_ENTERTAINMENT" hidden="1">"c8716"</definedName>
    <definedName name="IQ_HG_REV_FOOD_BEV" hidden="1">"c8714"</definedName>
    <definedName name="IQ_HG_REV_FRANCHISE" hidden="1">"c8725"</definedName>
    <definedName name="IQ_HG_REV_INCENTIVE_MANAGEMENT_FEES" hidden="1">"c8727"</definedName>
    <definedName name="IQ_HG_REV_MANAGEMENT_FEES" hidden="1">"c8718"</definedName>
    <definedName name="IQ_HG_REV_OTHER_MNGD_FRANCHISE_PROP" hidden="1">"c8730"</definedName>
    <definedName name="IQ_HG_REV_OTHER_OP_SEGMENT" hidden="1">"c8721"</definedName>
    <definedName name="IQ_HG_REV_OTHER_OWNERSHIP_MIX" hidden="1">"c8731"</definedName>
    <definedName name="IQ_HG_REV_OWNED_LEASED_CONSOL_JV_HOTELS" hidden="1">"c8724"</definedName>
    <definedName name="IQ_HG_REV_PROMOTIONAL_ALLOWANCE" hidden="1">"c8722"</definedName>
    <definedName name="IQ_HG_REV_RACING" hidden="1">"c8719"</definedName>
    <definedName name="IQ_HG_REV_RETAIL" hidden="1">"c8717"</definedName>
    <definedName name="IQ_HG_REV_ROOMS" hidden="1">"c8715"</definedName>
    <definedName name="IQ_HG_REV_THEATRE_CONCESSION" hidden="1">"c8720"</definedName>
    <definedName name="IQ_HG_REV_TOTAL_OP_SEGMENT" hidden="1">"c8723"</definedName>
    <definedName name="IQ_HG_REV_TOTAL_OWNERSHIP_MIX" hidden="1">"c8732"</definedName>
    <definedName name="IQ_HG_REV_VACA_OWNERSHIP_RES_SALES_SVCS" hidden="1">"c8729"</definedName>
    <definedName name="IQ_HG_REVENUES_CHANGE_OWNED_COMP" hidden="1">"c8697"</definedName>
    <definedName name="IQ_HG_REVENUES_CHANGE_TOTAL_COMP" hidden="1">"c8698"</definedName>
    <definedName name="IQ_HG_REVPAR_CHANGE_MANAGED" hidden="1">"c8690"</definedName>
    <definedName name="IQ_HG_REVPAR_CHANGE_OTHER" hidden="1">"c8691"</definedName>
    <definedName name="IQ_HG_REVPAR_CHANGE_OWNED" hidden="1">"c8688"</definedName>
    <definedName name="IQ_HG_REVPAR_CHANGE_OWNED_COMP" hidden="1">"c8711"</definedName>
    <definedName name="IQ_HG_REVPAR_CHANGE_TOTAL" hidden="1">"c8692"</definedName>
    <definedName name="IQ_HG_REVPAR_CHANGE_TOTAL_COMP" hidden="1">"c8712"</definedName>
    <definedName name="IQ_HG_REVPAR_CHNAGE_FRANCHISE" hidden="1">"c8689"</definedName>
    <definedName name="IQ_HG_REVPAR_FRANCHISE" hidden="1">"c8669"</definedName>
    <definedName name="IQ_HG_REVPAR_MANAGED" hidden="1">"c8670"</definedName>
    <definedName name="IQ_HG_REVPAR_OTHER" hidden="1">"c8671"</definedName>
    <definedName name="IQ_HG_REVPAR_OWNED" hidden="1">"c8668"</definedName>
    <definedName name="IQ_HG_REVPAR_OWNED_COMP" hidden="1">"c8703"</definedName>
    <definedName name="IQ_HG_REVPAR_TOTAL" hidden="1">"c8672"</definedName>
    <definedName name="IQ_HG_REVPAR_TOTAL_COMP" hidden="1">"c8704"</definedName>
    <definedName name="IQ_HG_ROOM_PROM_COSTS" hidden="1">"c8745"</definedName>
    <definedName name="IQ_HG_ROOMS_BEG" hidden="1">"c8600"</definedName>
    <definedName name="IQ_HG_SLOT_MACHINES_JV" hidden="1">"c8639"</definedName>
    <definedName name="IQ_HG_SLOT_MACHINES_MANAGED" hidden="1">"c8640"</definedName>
    <definedName name="IQ_HG_SLOT_MACHINES_OWNED" hidden="1">"c8638"</definedName>
    <definedName name="IQ_HG_SLOT_MACHINES_TOTAL" hidden="1">"c8641"</definedName>
    <definedName name="IQ_HG_SOLD_FRANCHISE_HOTEL_PROPERTIES" hidden="1">"c8585"</definedName>
    <definedName name="IQ_HG_SOLD_FRANCHISE_ROOMS" hidden="1">"c8615"</definedName>
    <definedName name="IQ_HG_SOLD_HOTEL_PROPERTIES" hidden="1">"c8573"</definedName>
    <definedName name="IQ_HG_SOLD_MANAGED_HOTEL_PROPERTIES" hidden="1">"c8591"</definedName>
    <definedName name="IQ_HG_SOLD_MANAGED_ROOMS" hidden="1">"c8621"</definedName>
    <definedName name="IQ_HG_SOLD_OTHER_HOTEL_PROPERTIES" hidden="1">"c8597"</definedName>
    <definedName name="IQ_HG_SOLD_OTHER_ROOMS" hidden="1">"c8627"</definedName>
    <definedName name="IQ_HG_SOLD_OWNED_HOTEL_PROPERTIES" hidden="1">"c8579"</definedName>
    <definedName name="IQ_HG_SOLD_OWNED_ROOMS" hidden="1">"c8609"</definedName>
    <definedName name="IQ_HG_SOLD_ROOMS" hidden="1">"c8603"</definedName>
    <definedName name="IQ_HG_TABLE_GAMES_JV" hidden="1">"c8643"</definedName>
    <definedName name="IQ_HG_TABLE_GAMES_MANAGED" hidden="1">"c8644"</definedName>
    <definedName name="IQ_HG_TABLE_GAMES_OWNED" hidden="1">"c8642"</definedName>
    <definedName name="IQ_HG_TABLE_GAMES_TOTAL" hidden="1">"c8645"</definedName>
    <definedName name="IQ_HG_TOTAL_FRANCHISE_HOTEL_PROPERTIES" hidden="1">"c8587"</definedName>
    <definedName name="IQ_HG_TOTAL_FRANCHISE_ROOMS" hidden="1">"c8617"</definedName>
    <definedName name="IQ_HG_TOTAL_HOTEL_PROPERTIES" hidden="1">"c8575"</definedName>
    <definedName name="IQ_HG_TOTAL_MANAGED_HOTEL_PROPERTIES" hidden="1">"c8593"</definedName>
    <definedName name="IQ_HG_TOTAL_MANAGED_ROOMS" hidden="1">"c8623"</definedName>
    <definedName name="IQ_HG_TOTAL_OTHER_HOTEL_PROPERTIES" hidden="1">"c8599"</definedName>
    <definedName name="IQ_HG_TOTAL_OTHER_ROOMS" hidden="1">"c8629"</definedName>
    <definedName name="IQ_HG_TOTAL_OWNED_HOTEL_PROPERTIES" hidden="1">"c8581"</definedName>
    <definedName name="IQ_HG_TOTAL_OWNED_PROPERTIES_COMP" hidden="1">"c8693"</definedName>
    <definedName name="IQ_HG_TOTAL_OWNED_ROOMS" hidden="1">"c8611"</definedName>
    <definedName name="IQ_HG_TOTAL_OWNED_ROOMS_COMP" hidden="1">"c8695"</definedName>
    <definedName name="IQ_HG_TOTAL_PROM_COSTS" hidden="1">"c8748"</definedName>
    <definedName name="IQ_HG_TOTAL_PROPERTIES_COMP" hidden="1">"c8694"</definedName>
    <definedName name="IQ_HG_TOTAL_ROOMS" hidden="1">"c8605"</definedName>
    <definedName name="IQ_HG_TOTAL_ROOMS_COMP" hidden="1">"c8696"</definedName>
    <definedName name="IQ_HIGH_TARGET_PRICE" hidden="1">"c1651"</definedName>
    <definedName name="IQ_HIGH_TARGET_PRICE_CIQ" hidden="1">"c4659"</definedName>
    <definedName name="IQ_HIGH_TARGET_PRICE_REUT" hidden="1">"c5317"</definedName>
    <definedName name="IQ_HIGH_TARGET_PRICE_THOM" hidden="1">"c5096"</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SALES_NEW" hidden="1">"c6924"</definedName>
    <definedName name="IQ_HOME_SALES_NEW_APR" hidden="1">"c7584"</definedName>
    <definedName name="IQ_HOME_SALES_NEW_APR_FC" hidden="1">"c8464"</definedName>
    <definedName name="IQ_HOME_SALES_NEW_FC" hidden="1">"c7804"</definedName>
    <definedName name="IQ_HOME_SALES_NEW_POP" hidden="1">"c7144"</definedName>
    <definedName name="IQ_HOME_SALES_NEW_POP_FC" hidden="1">"c8024"</definedName>
    <definedName name="IQ_HOME_SALES_NEW_YOY" hidden="1">"c7364"</definedName>
    <definedName name="IQ_HOME_SALES_NEW_YOY_FC" hidden="1">"c8244"</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RLY_COMP" hidden="1">"c6879"</definedName>
    <definedName name="IQ_HOURLY_COMP_APR" hidden="1">"c7539"</definedName>
    <definedName name="IQ_HOURLY_COMP_APR_FC" hidden="1">"c8419"</definedName>
    <definedName name="IQ_HOURLY_COMP_FC" hidden="1">"c7759"</definedName>
    <definedName name="IQ_HOURLY_COMP_POP" hidden="1">"c7099"</definedName>
    <definedName name="IQ_HOURLY_COMP_POP_FC" hidden="1">"c7979"</definedName>
    <definedName name="IQ_HOURLY_COMP_YOY" hidden="1">"c7319"</definedName>
    <definedName name="IQ_HOURLY_COMP_YOY_FC" hidden="1">"c8199"</definedName>
    <definedName name="IQ_HOUSING_COMPLETIONS" hidden="1">"c6881"</definedName>
    <definedName name="IQ_HOUSING_COMPLETIONS_APR" hidden="1">"c7541"</definedName>
    <definedName name="IQ_HOUSING_COMPLETIONS_APR_FC" hidden="1">"c8421"</definedName>
    <definedName name="IQ_HOUSING_COMPLETIONS_FC" hidden="1">"c7761"</definedName>
    <definedName name="IQ_HOUSING_COMPLETIONS_POP" hidden="1">"c7101"</definedName>
    <definedName name="IQ_HOUSING_COMPLETIONS_POP_FC" hidden="1">"c7981"</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HOUSING_COMPLETIONS_YOY" hidden="1">"c7321"</definedName>
    <definedName name="IQ_HOUSING_COMPLETIONS_YOY_FC" hidden="1">"c8201"</definedName>
    <definedName name="IQ_HOUSING_PERMITS" hidden="1">"c6883"</definedName>
    <definedName name="IQ_HOUSING_PERMITS_APR" hidden="1">"c7543"</definedName>
    <definedName name="IQ_HOUSING_PERMITS_APR_FC" hidden="1">"c8423"</definedName>
    <definedName name="IQ_HOUSING_PERMITS_FC" hidden="1">"c7763"</definedName>
    <definedName name="IQ_HOUSING_PERMITS_POP" hidden="1">"c7103"</definedName>
    <definedName name="IQ_HOUSING_PERMITS_POP_FC" hidden="1">"c7983"</definedName>
    <definedName name="IQ_HOUSING_PERMITS_YOY" hidden="1">"c7323"</definedName>
    <definedName name="IQ_HOUSING_PERMITS_YOY_FC" hidden="1">"c8203"</definedName>
    <definedName name="IQ_HOUSING_STARTS" hidden="1">"c6884"</definedName>
    <definedName name="IQ_HOUSING_STARTS_APR" hidden="1">"c7544"</definedName>
    <definedName name="IQ_HOUSING_STARTS_APR_FC" hidden="1">"c8424"</definedName>
    <definedName name="IQ_HOUSING_STARTS_FC" hidden="1">"c7764"</definedName>
    <definedName name="IQ_HOUSING_STARTS_POP" hidden="1">"c7104"</definedName>
    <definedName name="IQ_HOUSING_STARTS_POP_FC" hidden="1">"c7984"</definedName>
    <definedName name="IQ_HOUSING_STARTS_SAAR" hidden="1">"c6885"</definedName>
    <definedName name="IQ_HOUSING_STARTS_SAAR_APR" hidden="1">"c7545"</definedName>
    <definedName name="IQ_HOUSING_STARTS_SAAR_APR_FC" hidden="1">"c8425"</definedName>
    <definedName name="IQ_HOUSING_STARTS_SAAR_FC" hidden="1">"c7765"</definedName>
    <definedName name="IQ_HOUSING_STARTS_SAAR_POP" hidden="1">"c7105"</definedName>
    <definedName name="IQ_HOUSING_STARTS_SAAR_POP_FC" hidden="1">"c7985"</definedName>
    <definedName name="IQ_HOUSING_STARTS_SAAR_YOY" hidden="1">"c7325"</definedName>
    <definedName name="IQ_HOUSING_STARTS_SAAR_YOY_FC" hidden="1">"c8205"</definedName>
    <definedName name="IQ_HOUSING_STARTS_YOY" hidden="1">"c7324"</definedName>
    <definedName name="IQ_HOUSING_STARTS_YOY_FC" hidden="1">"c8204"</definedName>
    <definedName name="IQ_HRS_WORKED_FULL_PT" hidden="1">"c6880"</definedName>
    <definedName name="IQ_HRS_WORKED_FULL_PT_APR" hidden="1">"c7540"</definedName>
    <definedName name="IQ_HRS_WORKED_FULL_PT_APR_FC" hidden="1">"c8420"</definedName>
    <definedName name="IQ_HRS_WORKED_FULL_PT_FC" hidden="1">"c7760"</definedName>
    <definedName name="IQ_HRS_WORKED_FULL_PT_POP" hidden="1">"c7100"</definedName>
    <definedName name="IQ_HRS_WORKED_FULL_PT_POP_FC" hidden="1">"c7980"</definedName>
    <definedName name="IQ_HRS_WORKED_FULL_PT_YOY" hidden="1">"c7320"</definedName>
    <definedName name="IQ_HRS_WORKED_FULL_PT_YOY_FC" hidden="1">"c8200"</definedName>
    <definedName name="IQ_IM_AVG_REV_PER_CLICK" hidden="1">"c9991"</definedName>
    <definedName name="IQ_IM_NUMBER_PAGE_VIEWS" hidden="1">"c9993"</definedName>
    <definedName name="IQ_IM_NUMBER_PAID_CLICKS" hidden="1">"c9995"</definedName>
    <definedName name="IQ_IM_NUMBER_PAID_CLICKS_GROWTH" hidden="1">"c9996"</definedName>
    <definedName name="IQ_IM_PAGE_VIEWS_GROWTH" hidden="1">"c9994"</definedName>
    <definedName name="IQ_IM_REV_PER_PAGE_VIEW_GROWTH" hidden="1">"c9992"</definedName>
    <definedName name="IQ_IM_TRAFFIC_ACQUISITION_CHANGE" hidden="1">"c9998"</definedName>
    <definedName name="IQ_IM_TRAFFIC_ACQUISITION_COST_TO_AD_REV_RATIO" hidden="1">"c10000"</definedName>
    <definedName name="IQ_IM_TRAFFIC_ACQUISITION_COST_TO_TOTAL_REV_RATIO" hidden="1">"c9999"</definedName>
    <definedName name="IQ_IM_TRAFFIC_ACQUISITION_COSTS" hidden="1">"c9997"</definedName>
    <definedName name="IQ_IMPAIR_OIL" hidden="1">"c547"</definedName>
    <definedName name="IQ_IMPAIRMENT_GW" hidden="1">"c548"</definedName>
    <definedName name="IQ_IMPORT_PRICE_INDEX" hidden="1">"c6886"</definedName>
    <definedName name="IQ_IMPORT_PRICE_INDEX_APR" hidden="1">"c7546"</definedName>
    <definedName name="IQ_IMPORT_PRICE_INDEX_APR_FC" hidden="1">"c8426"</definedName>
    <definedName name="IQ_IMPORT_PRICE_INDEX_FC" hidden="1">"c7766"</definedName>
    <definedName name="IQ_IMPORT_PRICE_INDEX_POP" hidden="1">"c7106"</definedName>
    <definedName name="IQ_IMPORT_PRICE_INDEX_POP_FC" hidden="1">"c7986"</definedName>
    <definedName name="IQ_IMPORT_PRICE_INDEX_YOY" hidden="1">"c7326"</definedName>
    <definedName name="IQ_IMPORT_PRICE_INDEX_YOY_FC" hidden="1">"c8206"</definedName>
    <definedName name="IQ_IMPORTS_GOODS" hidden="1">"c6887"</definedName>
    <definedName name="IQ_IMPORTS_GOODS_APR" hidden="1">"c7547"</definedName>
    <definedName name="IQ_IMPORTS_GOODS_APR_FC" hidden="1">"c8427"</definedName>
    <definedName name="IQ_IMPORTS_GOODS_FC" hidden="1">"c7767"</definedName>
    <definedName name="IQ_IMPORTS_GOODS_NONFACTOR_SERVICES" hidden="1">"c6888"</definedName>
    <definedName name="IQ_IMPORTS_GOODS_NONFACTOR_SERVICES_APR" hidden="1">"c7548"</definedName>
    <definedName name="IQ_IMPORTS_GOODS_NONFACTOR_SERVICES_APR_FC" hidden="1">"c8428"</definedName>
    <definedName name="IQ_IMPORTS_GOODS_NONFACTOR_SERVICES_FC" hidden="1">"c7768"</definedName>
    <definedName name="IQ_IMPORTS_GOODS_NONFACTOR_SERVICES_POP" hidden="1">"c7108"</definedName>
    <definedName name="IQ_IMPORTS_GOODS_NONFACTOR_SERVICES_POP_FC" hidden="1">"c7988"</definedName>
    <definedName name="IQ_IMPORTS_GOODS_NONFACTOR_SERVICES_YOY" hidden="1">"c7328"</definedName>
    <definedName name="IQ_IMPORTS_GOODS_NONFACTOR_SERVICES_YOY_FC" hidden="1">"c8208"</definedName>
    <definedName name="IQ_IMPORTS_GOODS_POP" hidden="1">"c7107"</definedName>
    <definedName name="IQ_IMPORTS_GOODS_POP_FC" hidden="1">"c7987"</definedName>
    <definedName name="IQ_IMPORTS_GOODS_REAL" hidden="1">"c11950"</definedName>
    <definedName name="IQ_IMPORTS_GOODS_REAL_APR" hidden="1">"c11953"</definedName>
    <definedName name="IQ_IMPORTS_GOODS_REAL_POP" hidden="1">"c11951"</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REAL_YOY" hidden="1">"c11952"</definedName>
    <definedName name="IQ_IMPORTS_GOODS_SAAR" hidden="1">"c6891"</definedName>
    <definedName name="IQ_IMPORTS_GOODS_SAAR_APR" hidden="1">"c7551"</definedName>
    <definedName name="IQ_IMPORTS_GOODS_SAAR_APR_FC" hidden="1">"c8431"</definedName>
    <definedName name="IQ_IMPORTS_GOODS_SAAR_FC" hidden="1">"c7771"</definedName>
    <definedName name="IQ_IMPORTS_GOODS_SAAR_POP" hidden="1">"c7111"</definedName>
    <definedName name="IQ_IMPORTS_GOODS_SAAR_POP_FC" hidden="1">"c7991"</definedName>
    <definedName name="IQ_IMPORTS_GOODS_SAAR_USD_APR_FC" hidden="1">"c11849"</definedName>
    <definedName name="IQ_IMPORTS_GOODS_SAAR_USD_FC" hidden="1">"c11846"</definedName>
    <definedName name="IQ_IMPORTS_GOODS_SAAR_USD_POP_FC" hidden="1">"c11847"</definedName>
    <definedName name="IQ_IMPORTS_GOODS_SAAR_USD_YOY_FC" hidden="1">"c11848"</definedName>
    <definedName name="IQ_IMPORTS_GOODS_SAAR_YOY" hidden="1">"c7331"</definedName>
    <definedName name="IQ_IMPORTS_GOODS_SAAR_YOY_FC" hidden="1">"c8211"</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 hidden="1">"c6985"</definedName>
    <definedName name="IQ_IMPORTS_GOODS_SERVICES_REAL_APR" hidden="1">"c7645"</definedName>
    <definedName name="IQ_IMPORTS_GOODS_SERVICES_REAL_APR_FC" hidden="1">"c8525"</definedName>
    <definedName name="IQ_IMPORTS_GOODS_SERVICES_REAL_FC" hidden="1">"c7865"</definedName>
    <definedName name="IQ_IMPORTS_GOODS_SERVICES_REAL_POP" hidden="1">"c7205"</definedName>
    <definedName name="IQ_IMPORTS_GOODS_SERVICES_REAL_POP_FC" hidden="1">"c8085"</definedName>
    <definedName name="IQ_IMPORTS_GOODS_SERVICES_REAL_SAAR" hidden="1">"c11958"</definedName>
    <definedName name="IQ_IMPORTS_GOODS_SERVICES_REAL_SAAR_APR" hidden="1">"c11961"</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 hidden="1">"c11959"</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USD" hidden="1">"c11962"</definedName>
    <definedName name="IQ_IMPORTS_GOODS_SERVICES_REAL_SAAR_USD_APR" hidden="1">"c11965"</definedName>
    <definedName name="IQ_IMPORTS_GOODS_SERVICES_REAL_SAAR_USD_APR_FC" hidden="1">"c11969"</definedName>
    <definedName name="IQ_IMPORTS_GOODS_SERVICES_REAL_SAAR_USD_FC" hidden="1">"c11966"</definedName>
    <definedName name="IQ_IMPORTS_GOODS_SERVICES_REAL_SAAR_USD_POP" hidden="1">"c11963"</definedName>
    <definedName name="IQ_IMPORTS_GOODS_SERVICES_REAL_SAAR_USD_POP_FC" hidden="1">"c11967"</definedName>
    <definedName name="IQ_IMPORTS_GOODS_SERVICES_REAL_SAAR_USD_YOY" hidden="1">"c11964"</definedName>
    <definedName name="IQ_IMPORTS_GOODS_SERVICES_REAL_SAAR_USD_YOY_FC" hidden="1">"c11968"</definedName>
    <definedName name="IQ_IMPORTS_GOODS_SERVICES_REAL_SAAR_YOY" hidden="1">"c11960"</definedName>
    <definedName name="IQ_IMPORTS_GOODS_SERVICES_REAL_SAAR_YOY_FC_UNUSED_UNUSED_UNUSED" hidden="1">"c8304"</definedName>
    <definedName name="IQ_IMPORTS_GOODS_SERVICES_REAL_SAAR_YOY_UNUSED_UNUSED_UNUSED" hidden="1">"c7424"</definedName>
    <definedName name="IQ_IMPORTS_GOODS_SERVICES_REAL_USD" hidden="1">"c11954"</definedName>
    <definedName name="IQ_IMPORTS_GOODS_SERVICES_REAL_USD_APR" hidden="1">"c11957"</definedName>
    <definedName name="IQ_IMPORTS_GOODS_SERVICES_REAL_USD_POP" hidden="1">"c11955"</definedName>
    <definedName name="IQ_IMPORTS_GOODS_SERVICES_REAL_USD_YOY" hidden="1">"c11956"</definedName>
    <definedName name="IQ_IMPORTS_GOODS_SERVICES_REAL_YOY" hidden="1">"c7425"</definedName>
    <definedName name="IQ_IMPORTS_GOODS_SERVICES_REAL_YOY_FC" hidden="1">"c8305"</definedName>
    <definedName name="IQ_IMPORTS_GOODS_SERVICES_SAAR" hidden="1">"c6890"</definedName>
    <definedName name="IQ_IMPORTS_GOODS_SERVICES_SAAR_APR" hidden="1">"c7550"</definedName>
    <definedName name="IQ_IMPORTS_GOODS_SERVICES_SAAR_APR_FC" hidden="1">"c8430"</definedName>
    <definedName name="IQ_IMPORTS_GOODS_SERVICES_SAAR_FC" hidden="1">"c7770"</definedName>
    <definedName name="IQ_IMPORTS_GOODS_SERVICES_SAAR_POP" hidden="1">"c7110"</definedName>
    <definedName name="IQ_IMPORTS_GOODS_SERVICES_SAAR_POP_FC" hidden="1">"c7990"</definedName>
    <definedName name="IQ_IMPORTS_GOODS_SERVICES_SAAR_YOY" hidden="1">"c7330"</definedName>
    <definedName name="IQ_IMPORTS_GOODS_SERVICES_SAAR_YOY_FC" hidden="1">"c8210"</definedName>
    <definedName name="IQ_IMPORTS_GOODS_SERVICES_UNUSED_UNUSED_UNUSED" hidden="1">"c6889"</definedName>
    <definedName name="IQ_IMPORTS_GOODS_SERVICES_USD" hidden="1">"c11842"</definedName>
    <definedName name="IQ_IMPORTS_GOODS_SERVICES_USD_APR" hidden="1">"c11845"</definedName>
    <definedName name="IQ_IMPORTS_GOODS_SERVICES_USD_POP" hidden="1">"c11843"</definedName>
    <definedName name="IQ_IMPORTS_GOODS_SERVICES_USD_YOY" hidden="1">"c11844"</definedName>
    <definedName name="IQ_IMPORTS_GOODS_SERVICES_YOY_FC_UNUSED_UNUSED_UNUSED" hidden="1">"c8209"</definedName>
    <definedName name="IQ_IMPORTS_GOODS_SERVICES_YOY_UNUSED_UNUSED_UNUSED" hidden="1">"c7329"</definedName>
    <definedName name="IQ_IMPORTS_GOODS_USD_APR_FC" hidden="1">"c11841"</definedName>
    <definedName name="IQ_IMPORTS_GOODS_USD_FC" hidden="1">"c11838"</definedName>
    <definedName name="IQ_IMPORTS_GOODS_USD_POP_FC" hidden="1">"c11839"</definedName>
    <definedName name="IQ_IMPORTS_GOODS_USD_YOY_FC" hidden="1">"c11840"</definedName>
    <definedName name="IQ_IMPORTS_GOODS_YOY" hidden="1">"c7327"</definedName>
    <definedName name="IQ_IMPORTS_GOODS_YOY_FC" hidden="1">"c8207"</definedName>
    <definedName name="IQ_IMPORTS_NONFACTOR_SERVICES" hidden="1">"c6892"</definedName>
    <definedName name="IQ_IMPORTS_NONFACTOR_SERVICES_APR" hidden="1">"c7552"</definedName>
    <definedName name="IQ_IMPORTS_NONFACTOR_SERVICES_APR_FC" hidden="1">"c8432"</definedName>
    <definedName name="IQ_IMPORTS_NONFACTOR_SERVICES_FC" hidden="1">"c7772"</definedName>
    <definedName name="IQ_IMPORTS_NONFACTOR_SERVICES_POP" hidden="1">"c7112"</definedName>
    <definedName name="IQ_IMPORTS_NONFACTOR_SERVICES_POP_FC" hidden="1">"c7992"</definedName>
    <definedName name="IQ_IMPORTS_NONFACTOR_SERVICES_SAAR" hidden="1">"c6893"</definedName>
    <definedName name="IQ_IMPORTS_NONFACTOR_SERVICES_SAAR_APR" hidden="1">"c7553"</definedName>
    <definedName name="IQ_IMPORTS_NONFACTOR_SERVICES_SAAR_APR_FC" hidden="1">"c8433"</definedName>
    <definedName name="IQ_IMPORTS_NONFACTOR_SERVICES_SAAR_FC" hidden="1">"c7773"</definedName>
    <definedName name="IQ_IMPORTS_NONFACTOR_SERVICES_SAAR_POP" hidden="1">"c7113"</definedName>
    <definedName name="IQ_IMPORTS_NONFACTOR_SERVICES_SAAR_POP_FC" hidden="1">"c7993"</definedName>
    <definedName name="IQ_IMPORTS_NONFACTOR_SERVICES_SAAR_USD_APR_FC" hidden="1">"c11857"</definedName>
    <definedName name="IQ_IMPORTS_NONFACTOR_SERVICES_SAAR_USD_FC" hidden="1">"c11854"</definedName>
    <definedName name="IQ_IMPORTS_NONFACTOR_SERVICES_SAAR_USD_POP_FC" hidden="1">"c11855"</definedName>
    <definedName name="IQ_IMPORTS_NONFACTOR_SERVICES_SAAR_USD_YOY_FC" hidden="1">"c11856"</definedName>
    <definedName name="IQ_IMPORTS_NONFACTOR_SERVICES_SAAR_YOY" hidden="1">"c7333"</definedName>
    <definedName name="IQ_IMPORTS_NONFACTOR_SERVICES_SAAR_YOY_FC" hidden="1">"c8213"</definedName>
    <definedName name="IQ_IMPORTS_NONFACTOR_SERVICES_USD_APR_FC" hidden="1">"c11853"</definedName>
    <definedName name="IQ_IMPORTS_NONFACTOR_SERVICES_USD_FC" hidden="1">"c11850"</definedName>
    <definedName name="IQ_IMPORTS_NONFACTOR_SERVICES_USD_POP_FC" hidden="1">"c11851"</definedName>
    <definedName name="IQ_IMPORTS_NONFACTOR_SERVICES_USD_YOY_FC" hidden="1">"c11852"</definedName>
    <definedName name="IQ_IMPORTS_NONFACTOR_SERVICES_YOY" hidden="1">"c7332"</definedName>
    <definedName name="IQ_IMPORTS_NONFACTOR_SERVICES_YOY_FC" hidden="1">"c8212"</definedName>
    <definedName name="IQ_IMPORTS_SERVICES" hidden="1">"c11858"</definedName>
    <definedName name="IQ_IMPORTS_SERVICES_APR" hidden="1">"c11861"</definedName>
    <definedName name="IQ_IMPORTS_SERVICES_POP" hidden="1">"c11859"</definedName>
    <definedName name="IQ_IMPORTS_SERVICES_REAL" hidden="1">"c6986"</definedName>
    <definedName name="IQ_IMPORTS_SERVICES_REAL_APR" hidden="1">"c7646"</definedName>
    <definedName name="IQ_IMPORTS_SERVICES_REAL_APR_FC" hidden="1">"c8526"</definedName>
    <definedName name="IQ_IMPORTS_SERVICES_REAL_FC" hidden="1">"c7866"</definedName>
    <definedName name="IQ_IMPORTS_SERVICES_REAL_POP" hidden="1">"c7206"</definedName>
    <definedName name="IQ_IMPORTS_SERVICES_REAL_POP_FC" hidden="1">"c8086"</definedName>
    <definedName name="IQ_IMPORTS_SERVICES_REAL_YOY" hidden="1">"c7426"</definedName>
    <definedName name="IQ_IMPORTS_SERVICES_REAL_YOY_FC" hidden="1">"c8306"</definedName>
    <definedName name="IQ_IMPORTS_SERVICES_YOY" hidden="1">"c11860"</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EX_LEADING_IND" hidden="1">"c6894"</definedName>
    <definedName name="IQ_INDEX_LEADING_IND_APR" hidden="1">"c7554"</definedName>
    <definedName name="IQ_INDEX_LEADING_IND_APR_FC" hidden="1">"c8434"</definedName>
    <definedName name="IQ_INDEX_LEADING_IND_FC" hidden="1">"c7774"</definedName>
    <definedName name="IQ_INDEX_LEADING_IND_POP" hidden="1">"c7114"</definedName>
    <definedName name="IQ_INDEX_LEADING_IND_POP_FC" hidden="1">"c7994"</definedName>
    <definedName name="IQ_INDEX_LEADING_IND_YOY" hidden="1">"c7334"</definedName>
    <definedName name="IQ_INDEX_LEADING_IND_YOY_FC" hidden="1">"c8214"</definedName>
    <definedName name="IQ_INDEX_PROVIDED_DIVIDEND" hidden="1">"c19252"</definedName>
    <definedName name="IQ_INDEXCONSTITUENT_CLOSEPRICE" hidden="1">"c19241"</definedName>
    <definedName name="IQ_INDICATED_ATTRIB_ORE_RESOURCES_ALUM" hidden="1">"c9238"</definedName>
    <definedName name="IQ_INDICATED_ATTRIB_ORE_RESOURCES_COP" hidden="1">"c9182"</definedName>
    <definedName name="IQ_INDICATED_ATTRIB_ORE_RESOURCES_DIAM" hidden="1">"c9662"</definedName>
    <definedName name="IQ_INDICATED_ATTRIB_ORE_RESOURCES_GOLD" hidden="1">"c9023"</definedName>
    <definedName name="IQ_INDICATED_ATTRIB_ORE_RESOURCES_IRON" hidden="1">"c9397"</definedName>
    <definedName name="IQ_INDICATED_ATTRIB_ORE_RESOURCES_LEAD" hidden="1">"c9450"</definedName>
    <definedName name="IQ_INDICATED_ATTRIB_ORE_RESOURCES_MANG" hidden="1">"c9503"</definedName>
    <definedName name="IQ_INDICATED_ATTRIB_ORE_RESOURCES_MOLYB" hidden="1">"c9715"</definedName>
    <definedName name="IQ_INDICATED_ATTRIB_ORE_RESOURCES_NICK" hidden="1">"c9291"</definedName>
    <definedName name="IQ_INDICATED_ATTRIB_ORE_RESOURCES_PLAT" hidden="1">"c9129"</definedName>
    <definedName name="IQ_INDICATED_ATTRIB_ORE_RESOURCES_SILVER" hidden="1">"c9076"</definedName>
    <definedName name="IQ_INDICATED_ATTRIB_ORE_RESOURCES_TITAN" hidden="1">"c9556"</definedName>
    <definedName name="IQ_INDICATED_ATTRIB_ORE_RESOURCES_URAN" hidden="1">"c9609"</definedName>
    <definedName name="IQ_INDICATED_ATTRIB_ORE_RESOURCES_ZINC" hidden="1">"c9344"</definedName>
    <definedName name="IQ_INDICATED_ORE_RESOURCES_ALUM" hidden="1">"c9224"</definedName>
    <definedName name="IQ_INDICATED_ORE_RESOURCES_COP" hidden="1">"c9168"</definedName>
    <definedName name="IQ_INDICATED_ORE_RESOURCES_DIAM" hidden="1">"c9648"</definedName>
    <definedName name="IQ_INDICATED_ORE_RESOURCES_GOLD" hidden="1">"c9009"</definedName>
    <definedName name="IQ_INDICATED_ORE_RESOURCES_IRON" hidden="1">"c9383"</definedName>
    <definedName name="IQ_INDICATED_ORE_RESOURCES_LEAD" hidden="1">"c9436"</definedName>
    <definedName name="IQ_INDICATED_ORE_RESOURCES_MANG" hidden="1">"c9489"</definedName>
    <definedName name="IQ_INDICATED_ORE_RESOURCES_MOLYB" hidden="1">"c9701"</definedName>
    <definedName name="IQ_INDICATED_ORE_RESOURCES_NICK" hidden="1">"c9277"</definedName>
    <definedName name="IQ_INDICATED_ORE_RESOURCES_PLAT" hidden="1">"c9115"</definedName>
    <definedName name="IQ_INDICATED_ORE_RESOURCES_SILVER" hidden="1">"c9062"</definedName>
    <definedName name="IQ_INDICATED_ORE_RESOURCES_TITAN" hidden="1">"c9542"</definedName>
    <definedName name="IQ_INDICATED_ORE_RESOURCES_URAN" hidden="1">"c9595"</definedName>
    <definedName name="IQ_INDICATED_ORE_RESOURCES_ZINC" hidden="1">"c9330"</definedName>
    <definedName name="IQ_INDICATED_RECOV_ATTRIB_RESOURCES_ALUM" hidden="1">"c9243"</definedName>
    <definedName name="IQ_INDICATED_RECOV_ATTRIB_RESOURCES_COAL" hidden="1">"c9817"</definedName>
    <definedName name="IQ_INDICATED_RECOV_ATTRIB_RESOURCES_COP" hidden="1">"c9187"</definedName>
    <definedName name="IQ_INDICATED_RECOV_ATTRIB_RESOURCES_DIAM" hidden="1">"c9667"</definedName>
    <definedName name="IQ_INDICATED_RECOV_ATTRIB_RESOURCES_GOLD" hidden="1">"c9028"</definedName>
    <definedName name="IQ_INDICATED_RECOV_ATTRIB_RESOURCES_IRON" hidden="1">"c9402"</definedName>
    <definedName name="IQ_INDICATED_RECOV_ATTRIB_RESOURCES_LEAD" hidden="1">"c9455"</definedName>
    <definedName name="IQ_INDICATED_RECOV_ATTRIB_RESOURCES_MANG" hidden="1">"c9508"</definedName>
    <definedName name="IQ_INDICATED_RECOV_ATTRIB_RESOURCES_MET_COAL" hidden="1">"c9757"</definedName>
    <definedName name="IQ_INDICATED_RECOV_ATTRIB_RESOURCES_MOLYB" hidden="1">"c9720"</definedName>
    <definedName name="IQ_INDICATED_RECOV_ATTRIB_RESOURCES_NICK" hidden="1">"c9296"</definedName>
    <definedName name="IQ_INDICATED_RECOV_ATTRIB_RESOURCES_PLAT" hidden="1">"c9134"</definedName>
    <definedName name="IQ_INDICATED_RECOV_ATTRIB_RESOURCES_SILVER" hidden="1">"c9081"</definedName>
    <definedName name="IQ_INDICATED_RECOV_ATTRIB_RESOURCES_STEAM" hidden="1">"c9787"</definedName>
    <definedName name="IQ_INDICATED_RECOV_ATTRIB_RESOURCES_TITAN" hidden="1">"c9561"</definedName>
    <definedName name="IQ_INDICATED_RECOV_ATTRIB_RESOURCES_URAN" hidden="1">"c9614"</definedName>
    <definedName name="IQ_INDICATED_RECOV_ATTRIB_RESOURCES_ZINC" hidden="1">"c9349"</definedName>
    <definedName name="IQ_INDICATED_RECOV_RESOURCES_ALUM" hidden="1">"c9233"</definedName>
    <definedName name="IQ_INDICATED_RECOV_RESOURCES_COAL" hidden="1">"c9812"</definedName>
    <definedName name="IQ_INDICATED_RECOV_RESOURCES_COP" hidden="1">"c9177"</definedName>
    <definedName name="IQ_INDICATED_RECOV_RESOURCES_DIAM" hidden="1">"c9657"</definedName>
    <definedName name="IQ_INDICATED_RECOV_RESOURCES_GOLD" hidden="1">"c9018"</definedName>
    <definedName name="IQ_INDICATED_RECOV_RESOURCES_IRON" hidden="1">"c9392"</definedName>
    <definedName name="IQ_INDICATED_RECOV_RESOURCES_LEAD" hidden="1">"c9445"</definedName>
    <definedName name="IQ_INDICATED_RECOV_RESOURCES_MANG" hidden="1">"c9498"</definedName>
    <definedName name="IQ_INDICATED_RECOV_RESOURCES_MET_COAL" hidden="1">"c9752"</definedName>
    <definedName name="IQ_INDICATED_RECOV_RESOURCES_MOLYB" hidden="1">"c9710"</definedName>
    <definedName name="IQ_INDICATED_RECOV_RESOURCES_NICK" hidden="1">"c9286"</definedName>
    <definedName name="IQ_INDICATED_RECOV_RESOURCES_PLAT" hidden="1">"c9124"</definedName>
    <definedName name="IQ_INDICATED_RECOV_RESOURCES_SILVER" hidden="1">"c9071"</definedName>
    <definedName name="IQ_INDICATED_RECOV_RESOURCES_STEAM" hidden="1">"c9782"</definedName>
    <definedName name="IQ_INDICATED_RECOV_RESOURCES_TITAN" hidden="1">"c9551"</definedName>
    <definedName name="IQ_INDICATED_RECOV_RESOURCES_URAN" hidden="1">"c9604"</definedName>
    <definedName name="IQ_INDICATED_RECOV_RESOURCES_ZINC" hidden="1">"c9339"</definedName>
    <definedName name="IQ_INDICATED_RESOURCES_CALORIFIC_VALUE_COAL" hidden="1">"c9807"</definedName>
    <definedName name="IQ_INDICATED_RESOURCES_CALORIFIC_VALUE_MET_COAL" hidden="1">"c9747"</definedName>
    <definedName name="IQ_INDICATED_RESOURCES_CALORIFIC_VALUE_STEAM" hidden="1">"c9777"</definedName>
    <definedName name="IQ_INDICATED_RESOURCES_GRADE_ALUM" hidden="1">"c9225"</definedName>
    <definedName name="IQ_INDICATED_RESOURCES_GRADE_COP" hidden="1">"c9169"</definedName>
    <definedName name="IQ_INDICATED_RESOURCES_GRADE_DIAM" hidden="1">"c9649"</definedName>
    <definedName name="IQ_INDICATED_RESOURCES_GRADE_GOLD" hidden="1">"c9010"</definedName>
    <definedName name="IQ_INDICATED_RESOURCES_GRADE_IRON" hidden="1">"c9384"</definedName>
    <definedName name="IQ_INDICATED_RESOURCES_GRADE_LEAD" hidden="1">"c9437"</definedName>
    <definedName name="IQ_INDICATED_RESOURCES_GRADE_MANG" hidden="1">"c9490"</definedName>
    <definedName name="IQ_INDICATED_RESOURCES_GRADE_MOLYB" hidden="1">"c9702"</definedName>
    <definedName name="IQ_INDICATED_RESOURCES_GRADE_NICK" hidden="1">"c9278"</definedName>
    <definedName name="IQ_INDICATED_RESOURCES_GRADE_PLAT" hidden="1">"c9116"</definedName>
    <definedName name="IQ_INDICATED_RESOURCES_GRADE_SILVER" hidden="1">"c9063"</definedName>
    <definedName name="IQ_INDICATED_RESOURCES_GRADE_TITAN" hidden="1">"c9543"</definedName>
    <definedName name="IQ_INDICATED_RESOURCES_GRADE_URAN" hidden="1">"c9596"</definedName>
    <definedName name="IQ_INDICATED_RESOURCES_GRADE_ZINC" hidden="1">"c9331"</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USTRIAL_PROD" hidden="1">"c6895"</definedName>
    <definedName name="IQ_INDUSTRIAL_PROD_APR" hidden="1">"c7555"</definedName>
    <definedName name="IQ_INDUSTRIAL_PROD_APR_FC" hidden="1">"c8435"</definedName>
    <definedName name="IQ_INDUSTRIAL_PROD_FC" hidden="1">"c7775"</definedName>
    <definedName name="IQ_INDUSTRIAL_PROD_POP" hidden="1">"c7115"</definedName>
    <definedName name="IQ_INDUSTRIAL_PROD_POP_FC" hidden="1">"c7995"</definedName>
    <definedName name="IQ_INDUSTRIAL_PROD_YOY" hidden="1">"c7335"</definedName>
    <definedName name="IQ_INDUSTRIAL_PROD_YOY_FC" hidden="1">"c8215"</definedName>
    <definedName name="IQ_INDUSTRY" hidden="1">"c3601"</definedName>
    <definedName name="IQ_INDUSTRY_GROUP" hidden="1">"c3602"</definedName>
    <definedName name="IQ_INDUSTRY_SECTOR" hidden="1">"c3603"</definedName>
    <definedName name="IQ_INFERRED_ATTRIB_ORE_RESOURCES_ALUM" hidden="1">"c9240"</definedName>
    <definedName name="IQ_INFERRED_ATTRIB_ORE_RESOURCES_COP" hidden="1">"c9184"</definedName>
    <definedName name="IQ_INFERRED_ATTRIB_ORE_RESOURCES_DIAM" hidden="1">"c9664"</definedName>
    <definedName name="IQ_INFERRED_ATTRIB_ORE_RESOURCES_GOLD" hidden="1">"c9025"</definedName>
    <definedName name="IQ_INFERRED_ATTRIB_ORE_RESOURCES_IRON" hidden="1">"c9399"</definedName>
    <definedName name="IQ_INFERRED_ATTRIB_ORE_RESOURCES_LEAD" hidden="1">"c9452"</definedName>
    <definedName name="IQ_INFERRED_ATTRIB_ORE_RESOURCES_MANG" hidden="1">"c9505"</definedName>
    <definedName name="IQ_INFERRED_ATTRIB_ORE_RESOURCES_MOLYB" hidden="1">"c9717"</definedName>
    <definedName name="IQ_INFERRED_ATTRIB_ORE_RESOURCES_NICK" hidden="1">"c9293"</definedName>
    <definedName name="IQ_INFERRED_ATTRIB_ORE_RESOURCES_PLAT" hidden="1">"c9131"</definedName>
    <definedName name="IQ_INFERRED_ATTRIB_ORE_RESOURCES_SILVER" hidden="1">"c9078"</definedName>
    <definedName name="IQ_INFERRED_ATTRIB_ORE_RESOURCES_TITAN" hidden="1">"c9558"</definedName>
    <definedName name="IQ_INFERRED_ATTRIB_ORE_RESOURCES_URAN" hidden="1">"c9611"</definedName>
    <definedName name="IQ_INFERRED_ATTRIB_ORE_RESOURCES_ZINC" hidden="1">"c9346"</definedName>
    <definedName name="IQ_INFERRED_ORE_RESOURCES_ALUM" hidden="1">"c9228"</definedName>
    <definedName name="IQ_INFERRED_ORE_RESOURCES_COP" hidden="1">"c9172"</definedName>
    <definedName name="IQ_INFERRED_ORE_RESOURCES_DIAM" hidden="1">"c9652"</definedName>
    <definedName name="IQ_INFERRED_ORE_RESOURCES_GOLD" hidden="1">"c9013"</definedName>
    <definedName name="IQ_INFERRED_ORE_RESOURCES_IRON" hidden="1">"c9387"</definedName>
    <definedName name="IQ_INFERRED_ORE_RESOURCES_LEAD" hidden="1">"c9440"</definedName>
    <definedName name="IQ_INFERRED_ORE_RESOURCES_MANG" hidden="1">"c9493"</definedName>
    <definedName name="IQ_INFERRED_ORE_RESOURCES_MOLYB" hidden="1">"c9705"</definedName>
    <definedName name="IQ_INFERRED_ORE_RESOURCES_NICK" hidden="1">"c9281"</definedName>
    <definedName name="IQ_INFERRED_ORE_RESOURCES_PLAT" hidden="1">"c9119"</definedName>
    <definedName name="IQ_INFERRED_ORE_RESOURCES_SILVER" hidden="1">"c9066"</definedName>
    <definedName name="IQ_INFERRED_ORE_RESOURCES_TITAN" hidden="1">"c9546"</definedName>
    <definedName name="IQ_INFERRED_ORE_RESOURCES_URAN" hidden="1">"c9599"</definedName>
    <definedName name="IQ_INFERRED_ORE_RESOURCES_ZINC" hidden="1">"c9334"</definedName>
    <definedName name="IQ_INFERRED_RECOV_ATTRIB_RESOURCES_ALUM" hidden="1">"c9245"</definedName>
    <definedName name="IQ_INFERRED_RECOV_ATTRIB_RESOURCES_COAL" hidden="1">"c9819"</definedName>
    <definedName name="IQ_INFERRED_RECOV_ATTRIB_RESOURCES_COP" hidden="1">"c9189"</definedName>
    <definedName name="IQ_INFERRED_RECOV_ATTRIB_RESOURCES_DIAM" hidden="1">"c9669"</definedName>
    <definedName name="IQ_INFERRED_RECOV_ATTRIB_RESOURCES_GOLD" hidden="1">"c9030"</definedName>
    <definedName name="IQ_INFERRED_RECOV_ATTRIB_RESOURCES_IRON" hidden="1">"c9404"</definedName>
    <definedName name="IQ_INFERRED_RECOV_ATTRIB_RESOURCES_LEAD" hidden="1">"c9457"</definedName>
    <definedName name="IQ_INFERRED_RECOV_ATTRIB_RESOURCES_MANG" hidden="1">"c9510"</definedName>
    <definedName name="IQ_INFERRED_RECOV_ATTRIB_RESOURCES_MET_COAL" hidden="1">"c9759"</definedName>
    <definedName name="IQ_INFERRED_RECOV_ATTRIB_RESOURCES_MOLYB" hidden="1">"c9722"</definedName>
    <definedName name="IQ_INFERRED_RECOV_ATTRIB_RESOURCES_NICK" hidden="1">"c9298"</definedName>
    <definedName name="IQ_INFERRED_RECOV_ATTRIB_RESOURCES_PLAT" hidden="1">"c9136"</definedName>
    <definedName name="IQ_INFERRED_RECOV_ATTRIB_RESOURCES_SILVER" hidden="1">"c9083"</definedName>
    <definedName name="IQ_INFERRED_RECOV_ATTRIB_RESOURCES_STEAM" hidden="1">"c9789"</definedName>
    <definedName name="IQ_INFERRED_RECOV_ATTRIB_RESOURCES_TITAN" hidden="1">"c9563"</definedName>
    <definedName name="IQ_INFERRED_RECOV_ATTRIB_RESOURCES_URAN" hidden="1">"c9616"</definedName>
    <definedName name="IQ_INFERRED_RECOV_ATTRIB_RESOURCES_ZINC" hidden="1">"c9351"</definedName>
    <definedName name="IQ_INFERRED_RECOV_RESOURCES_ALUM" hidden="1">"c9235"</definedName>
    <definedName name="IQ_INFERRED_RECOV_RESOURCES_COAL" hidden="1">"c9814"</definedName>
    <definedName name="IQ_INFERRED_RECOV_RESOURCES_COP" hidden="1">"c9179"</definedName>
    <definedName name="IQ_INFERRED_RECOV_RESOURCES_DIAM" hidden="1">"c9659"</definedName>
    <definedName name="IQ_INFERRED_RECOV_RESOURCES_GOLD" hidden="1">"c9020"</definedName>
    <definedName name="IQ_INFERRED_RECOV_RESOURCES_IRON" hidden="1">"c9394"</definedName>
    <definedName name="IQ_INFERRED_RECOV_RESOURCES_LEAD" hidden="1">"c9447"</definedName>
    <definedName name="IQ_INFERRED_RECOV_RESOURCES_MANG" hidden="1">"c9500"</definedName>
    <definedName name="IQ_INFERRED_RECOV_RESOURCES_MET_COAL" hidden="1">"c9754"</definedName>
    <definedName name="IQ_INFERRED_RECOV_RESOURCES_MOLYB" hidden="1">"c9712"</definedName>
    <definedName name="IQ_INFERRED_RECOV_RESOURCES_NICK" hidden="1">"c9288"</definedName>
    <definedName name="IQ_INFERRED_RECOV_RESOURCES_PLAT" hidden="1">"c9126"</definedName>
    <definedName name="IQ_INFERRED_RECOV_RESOURCES_SILVER" hidden="1">"c9073"</definedName>
    <definedName name="IQ_INFERRED_RECOV_RESOURCES_STEAM" hidden="1">"c9784"</definedName>
    <definedName name="IQ_INFERRED_RECOV_RESOURCES_TITAN" hidden="1">"c9553"</definedName>
    <definedName name="IQ_INFERRED_RECOV_RESOURCES_URAN" hidden="1">"c9606"</definedName>
    <definedName name="IQ_INFERRED_RECOV_RESOURCES_ZINC" hidden="1">"c9341"</definedName>
    <definedName name="IQ_INFERRED_RESOURCES_CALORIFIC_VALUE_COAL" hidden="1">"c9809"</definedName>
    <definedName name="IQ_INFERRED_RESOURCES_CALORIFIC_VALUE_MET_COAL" hidden="1">"c9749"</definedName>
    <definedName name="IQ_INFERRED_RESOURCES_CALORIFIC_VALUE_STEAM" hidden="1">"c9779"</definedName>
    <definedName name="IQ_INFERRED_RESOURCES_GRADE_ALUM" hidden="1">"c9229"</definedName>
    <definedName name="IQ_INFERRED_RESOURCES_GRADE_COP" hidden="1">"c9173"</definedName>
    <definedName name="IQ_INFERRED_RESOURCES_GRADE_DIAM" hidden="1">"c9653"</definedName>
    <definedName name="IQ_INFERRED_RESOURCES_GRADE_GOLD" hidden="1">"c9014"</definedName>
    <definedName name="IQ_INFERRED_RESOURCES_GRADE_IRON" hidden="1">"c9388"</definedName>
    <definedName name="IQ_INFERRED_RESOURCES_GRADE_LEAD" hidden="1">"c9441"</definedName>
    <definedName name="IQ_INFERRED_RESOURCES_GRADE_MANG" hidden="1">"c9494"</definedName>
    <definedName name="IQ_INFERRED_RESOURCES_GRADE_MOLYB" hidden="1">"c9706"</definedName>
    <definedName name="IQ_INFERRED_RESOURCES_GRADE_NICK" hidden="1">"c9282"</definedName>
    <definedName name="IQ_INFERRED_RESOURCES_GRADE_PLAT" hidden="1">"c9120"</definedName>
    <definedName name="IQ_INFERRED_RESOURCES_GRADE_SILVER" hidden="1">"c9067"</definedName>
    <definedName name="IQ_INFERRED_RESOURCES_GRADE_TITAN" hidden="1">"c9547"</definedName>
    <definedName name="IQ_INFERRED_RESOURCES_GRADE_URAN" hidden="1">"c9600"</definedName>
    <definedName name="IQ_INFERRED_RESOURCES_GRADE_ZINC" hidden="1">"c9335"</definedName>
    <definedName name="IQ_INFLATION_RATE" hidden="1">"c6899"</definedName>
    <definedName name="IQ_INFLATION_RATE_CORE" hidden="1">"c11783"</definedName>
    <definedName name="IQ_INFLATION_RATE_CORE_POP" hidden="1">"c11784"</definedName>
    <definedName name="IQ_INFLATION_RATE_CORE_YOY" hidden="1">"c11785"</definedName>
    <definedName name="IQ_INFLATION_RATE_FC" hidden="1">"c7779"</definedName>
    <definedName name="IQ_INFLATION_RATE_POP" hidden="1">"c7119"</definedName>
    <definedName name="IQ_INFLATION_RATE_POP_FC" hidden="1">"c7999"</definedName>
    <definedName name="IQ_INFLATION_RATE_YOY" hidden="1">"c7339"</definedName>
    <definedName name="IQ_INFLATION_RATE_YOY_FC" hidden="1">"c8219"</definedName>
    <definedName name="IQ_INITIAL_CLAIMS" hidden="1">"c6900"</definedName>
    <definedName name="IQ_INITIAL_CLAIMS_APR" hidden="1">"c7560"</definedName>
    <definedName name="IQ_INITIAL_CLAIMS_APR_FC" hidden="1">"c8440"</definedName>
    <definedName name="IQ_INITIAL_CLAIMS_FC" hidden="1">"c7780"</definedName>
    <definedName name="IQ_INITIAL_CLAIMS_POP" hidden="1">"c7120"</definedName>
    <definedName name="IQ_INITIAL_CLAIMS_POP_FC" hidden="1">"c8000"</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 hidden="1">"c1534"</definedName>
    <definedName name="IQ_INSIDER_3MTH_BOUGHT_PCT" hidden="1">"c1534"</definedName>
    <definedName name="IQ_INSIDER_3MTH_NET" hidden="1">"c1535"</definedName>
    <definedName name="IQ_INSIDER_3MTH_NET_PCT" hidden="1">"c1535"</definedName>
    <definedName name="IQ_INSIDER_3MTH_SOLD" hidden="1">"c1533"</definedName>
    <definedName name="IQ_INSIDER_3MTH_SOLD_PCT" hidden="1">"c1533"</definedName>
    <definedName name="IQ_INSIDER_6MTH_BOUGHT" hidden="1">"c1537"</definedName>
    <definedName name="IQ_INSIDER_6MTH_BOUGHT_PCT" hidden="1">"c1537"</definedName>
    <definedName name="IQ_INSIDER_6MTH_NET" hidden="1">"c1538"</definedName>
    <definedName name="IQ_INSIDER_6MTH_NET_PCT" hidden="1">"c1538"</definedName>
    <definedName name="IQ_INSIDER_6MTH_SOLD" hidden="1">"c1536"</definedName>
    <definedName name="IQ_INSIDER_6MTH_SOLD_PCT" hidden="1">"c1536"</definedName>
    <definedName name="IQ_INSIDER_AMOUNT" hidden="1">"c238"</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_DEPOSITS" hidden="1">"c89"</definedName>
    <definedName name="IQ_INSTITUTIONAL_AMOUNT" hidden="1">"c236"</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EARING_DEPOSITS" hidden="1">"c1166"</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BNK_SUBTOTAL_AP" hidden="1">"c8977"</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OTAL" hidden="1">"c598"</definedName>
    <definedName name="IQ_INT_INC_TOTAL_BNK_SUBTOTAL_AP" hidden="1">"c8976"</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"c1407"</definedName>
    <definedName name="IQ_INTEL_EPS_EST" hidden="1">"c24729"</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"c1384"</definedName>
    <definedName name="IQ_INTEREST_INVEST_INC" hidden="1">"c619"</definedName>
    <definedName name="IQ_INTEREST_LT_DEBT" hidden="1">"c2086"</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IES" hidden="1">"c6901"</definedName>
    <definedName name="IQ_INVENTORIES_APR" hidden="1">"c7561"</definedName>
    <definedName name="IQ_INVENTORIES_APR_FC" hidden="1">"c8441"</definedName>
    <definedName name="IQ_INVENTORIES_FC" hidden="1">"c7781"</definedName>
    <definedName name="IQ_INVENTORIES_POP" hidden="1">"c7121"</definedName>
    <definedName name="IQ_INVENTORIES_POP_FC" hidden="1">"c8001"</definedName>
    <definedName name="IQ_INVENTORIES_YOY" hidden="1">"c7341"</definedName>
    <definedName name="IQ_INVENTORIES_YOY_FC" hidden="1">"c8221"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MENT_BANKING_OTHER_FEES_FDIC" hidden="1">"c6666"</definedName>
    <definedName name="IQ_IPRD" hidden="1">"c644"</definedName>
    <definedName name="IQ_IRA_KEOGH_ACCOUNTS_FDIC" hidden="1">"c6496"</definedName>
    <definedName name="IQ_ISM_INDEX" hidden="1">"c6902"</definedName>
    <definedName name="IQ_ISM_INDEX_APR" hidden="1">"c7562"</definedName>
    <definedName name="IQ_ISM_INDEX_APR_FC" hidden="1">"c8442"</definedName>
    <definedName name="IQ_ISM_INDEX_FC" hidden="1">"c7782"</definedName>
    <definedName name="IQ_ISM_INDEX_POP" hidden="1">"c7122"</definedName>
    <definedName name="IQ_ISM_INDEX_POP_FC" hidden="1">"c8002"</definedName>
    <definedName name="IQ_ISM_INDEX_YOY" hidden="1">"c7342"</definedName>
    <definedName name="IQ_ISM_INDEX_YOY_FC" hidden="1">"c8222"</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INDEX" hidden="1">"c11862"</definedName>
    <definedName name="IQ_ISM_SERVICES_INDEX_APR" hidden="1">"c11865"</definedName>
    <definedName name="IQ_ISM_SERVICES_INDEX_POP" hidden="1">"c11863"</definedName>
    <definedName name="IQ_ISM_SERVICES_INDEX_YOY" hidden="1">"c11864"</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"c1391"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RGE_CAP_LABOR_COST_INDEX" hidden="1">"c6904"</definedName>
    <definedName name="IQ_LARGE_CAP_LABOR_COST_INDEX_APR" hidden="1">"c7564"</definedName>
    <definedName name="IQ_LARGE_CAP_LABOR_COST_INDEX_APR_FC" hidden="1">"c8444"</definedName>
    <definedName name="IQ_LARGE_CAP_LABOR_COST_INDEX_FC" hidden="1">"c7784"</definedName>
    <definedName name="IQ_LARGE_CAP_LABOR_COST_INDEX_POP" hidden="1">"c7124"</definedName>
    <definedName name="IQ_LARGE_CAP_LABOR_COST_INDEX_POP_FC" hidden="1">"c8004"</definedName>
    <definedName name="IQ_LARGE_CAP_LABOR_COST_INDEX_YOY" hidden="1">"c7344"</definedName>
    <definedName name="IQ_LARGE_CAP_LABOR_COST_INDEX_YOY_FC" hidden="1">"c8224"</definedName>
    <definedName name="IQ_LAST_EBIT_MARGIN" hidden="1">"c151"</definedName>
    <definedName name="IQ_LAST_EBITDA_MARGIN" hidden="1">"c150"</definedName>
    <definedName name="IQ_LAST_GROSS_MARGIN" hidden="1">"c149"</definedName>
    <definedName name="IQ_LAST_NET_INC_MARGIN" hidden="1">"c152"</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_MONTHLY_FACTOR" hidden="1">"c8971"</definedName>
    <definedName name="IQ_LATEST_MONTHLY_FACTOR_DATE" hidden="1">"c8972"</definedName>
    <definedName name="IQ_LATESTK" hidden="1">1000</definedName>
    <definedName name="IQ_LATESTKFR" hidden="1">"100"</definedName>
    <definedName name="IQ_LATESTQ" hidden="1">500</definedName>
    <definedName name="IQ_LATESTQFR" hidden="1">"50"</definedName>
    <definedName name="IQ_LEAD_UNDERWRITER" hidden="1">"c8957"</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AB_AP" hidden="1">"c8886"</definedName>
    <definedName name="IQ_LIAB_AP_ABS" hidden="1">"c8905"</definedName>
    <definedName name="IQ_LIAB_NAME_AP" hidden="1">"c8924"</definedName>
    <definedName name="IQ_LIAB_NAME_AP_ABS" hidden="1">"c8943"</definedName>
    <definedName name="IQ_LICENSED_POPS" hidden="1">"c2123"</definedName>
    <definedName name="IQ_LIFE_EARNED" hidden="1">"c2739"</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"c1386"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ALLOWANCE_LOANS_FDIC" hidden="1">"c6739"</definedName>
    <definedName name="IQ_LOSS_LOSS_EXP" hidden="1">"c672"</definedName>
    <definedName name="IQ_LOSS_TO_NET_EARNED" hidden="1">"c2751"</definedName>
    <definedName name="IQ_LOW_TARGET_PRICE" hidden="1">"c1652"</definedName>
    <definedName name="IQ_LOW_TARGET_PRICE_CIQ" hidden="1">"c4660"</definedName>
    <definedName name="IQ_LOW_TARGET_PRICE_REUT" hidden="1">"c5318"</definedName>
    <definedName name="IQ_LOW_TARGET_PRICE_THOM" hidden="1">"c5097"</definedName>
    <definedName name="IQ_LOWPRICE" hidden="1">"c673"</definedName>
    <definedName name="IQ_LT_ASSETS_AP" hidden="1">"c8882"</definedName>
    <definedName name="IQ_LT_ASSETS_AP_ABS" hidden="1">"c8901"</definedName>
    <definedName name="IQ_LT_ASSETS_NAME_AP" hidden="1">"c8920"</definedName>
    <definedName name="IQ_LT_ASSETS_NAME_AP_ABS" hidden="1">"c8939"</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LIAB_AP" hidden="1">"c8885"</definedName>
    <definedName name="IQ_LT_LIAB_AP_ABS" hidden="1">"c8904"</definedName>
    <definedName name="IQ_LT_LIAB_NAME_AP" hidden="1">"c8923"</definedName>
    <definedName name="IQ_LT_LIAB_NAME_AP_ABS" hidden="1">"c8942"</definedName>
    <definedName name="IQ_LT_NOTE_RECEIV" hidden="1">"c1602"</definedName>
    <definedName name="IQ_LT_SENIOR_DEBT" hidden="1">"c702"</definedName>
    <definedName name="IQ_LT_SUB_DEBT" hidden="1">"c703"</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"IQ_LTM_DATE"</definedName>
    <definedName name="IQ_LTM_REVENUE_OVER_EMPLOYEES" hidden="1">"c1437"</definedName>
    <definedName name="IQ_LTMMONTH" hidden="1">120000</definedName>
    <definedName name="IQ_M1" hidden="1">"c6906"</definedName>
    <definedName name="IQ_M1_APR" hidden="1">"c7566"</definedName>
    <definedName name="IQ_M1_APR_FC" hidden="1">"c8446"</definedName>
    <definedName name="IQ_M1_FC" hidden="1">"c7786"</definedName>
    <definedName name="IQ_M1_POP" hidden="1">"c7126"</definedName>
    <definedName name="IQ_M1_POP_FC" hidden="1">"c8006"</definedName>
    <definedName name="IQ_M1_YOY" hidden="1">"c7346"</definedName>
    <definedName name="IQ_M1_YOY_FC" hidden="1">"c8226"</definedName>
    <definedName name="IQ_M2" hidden="1">"c6907"</definedName>
    <definedName name="IQ_M2_APR" hidden="1">"c7567"</definedName>
    <definedName name="IQ_M2_APR_FC" hidden="1">"c8447"</definedName>
    <definedName name="IQ_M2_FC" hidden="1">"c7787"</definedName>
    <definedName name="IQ_M2_POP" hidden="1">"c7127"</definedName>
    <definedName name="IQ_M2_POP_FC" hidden="1">"c8007"</definedName>
    <definedName name="IQ_M2_YOY" hidden="1">"c7347"</definedName>
    <definedName name="IQ_M2_YOY_FC" hidden="1">"c8227"</definedName>
    <definedName name="IQ_M3" hidden="1">"c6908"</definedName>
    <definedName name="IQ_M3_APR" hidden="1">"c7568"</definedName>
    <definedName name="IQ_M3_APR_FC" hidden="1">"c8448"</definedName>
    <definedName name="IQ_M3_FC" hidden="1">"c7788"</definedName>
    <definedName name="IQ_M3_POP" hidden="1">"c7128"</definedName>
    <definedName name="IQ_M3_POP_FC" hidden="1">"c8008"</definedName>
    <definedName name="IQ_M3_YOY" hidden="1">"c7348"</definedName>
    <definedName name="IQ_M3_YOY_FC" hidden="1">"c8228"</definedName>
    <definedName name="IQ_MACHINERY" hidden="1">"c711"</definedName>
    <definedName name="IQ_MACRO_SURVEY_CONSUMER_SENTIMENT" hidden="1">"c20808"</definedName>
    <definedName name="IQ_MAINT_CAPEX" hidden="1">"c2947"</definedName>
    <definedName name="IQ_MAINT_CAPEX_ACT_OR_EST" hidden="1">"c4458"</definedName>
    <definedName name="IQ_MAINT_CAPEX_ACT_OR_EST_CIQ" hidden="1">"c4987"</definedName>
    <definedName name="IQ_MAINT_REPAIR" hidden="1">"c2087"</definedName>
    <definedName name="IQ_MAKE_WHOLE_END_DATE" hidden="1">"c2493"</definedName>
    <definedName name="IQ_MAKE_WHOLE_SPREAD" hidden="1">"c2494"</definedName>
    <definedName name="IQ_MAKE_WHOLE_START_DATE" hidden="1">"c2492"</definedName>
    <definedName name="IQ_MAN_INVENTORIES" hidden="1">"c6913"</definedName>
    <definedName name="IQ_MAN_INVENTORIES_APR" hidden="1">"c7573"</definedName>
    <definedName name="IQ_MAN_INVENTORIES_APR_FC" hidden="1">"c8453"</definedName>
    <definedName name="IQ_MAN_INVENTORIES_FC" hidden="1">"c7793"</definedName>
    <definedName name="IQ_MAN_INVENTORIES_POP" hidden="1">"c7133"</definedName>
    <definedName name="IQ_MAN_INVENTORIES_POP_FC" hidden="1">"c8013"</definedName>
    <definedName name="IQ_MAN_INVENTORIES_YOY" hidden="1">"c7353"</definedName>
    <definedName name="IQ_MAN_INVENTORIES_YOY_FC" hidden="1">"c8233"</definedName>
    <definedName name="IQ_MAN_IS_RATIO" hidden="1">"c6912"</definedName>
    <definedName name="IQ_MAN_IS_RATIO_APR" hidden="1">"c7572"</definedName>
    <definedName name="IQ_MAN_IS_RATIO_APR_FC" hidden="1">"c8452"</definedName>
    <definedName name="IQ_MAN_IS_RATIO_FC" hidden="1">"c7792"</definedName>
    <definedName name="IQ_MAN_IS_RATIO_POP" hidden="1">"c7132"</definedName>
    <definedName name="IQ_MAN_IS_RATIO_POP_FC" hidden="1">"c8012"</definedName>
    <definedName name="IQ_MAN_IS_RATIO_YOY" hidden="1">"c7352"</definedName>
    <definedName name="IQ_MAN_IS_RATIO_YOY_FC" hidden="1">"c8232"</definedName>
    <definedName name="IQ_MAN_ORDERS" hidden="1">"c6914"</definedName>
    <definedName name="IQ_MAN_ORDERS_APR" hidden="1">"c7574"</definedName>
    <definedName name="IQ_MAN_ORDERS_APR_FC" hidden="1">"c8454"</definedName>
    <definedName name="IQ_MAN_ORDERS_FC" hidden="1">"c7794"</definedName>
    <definedName name="IQ_MAN_ORDERS_POP" hidden="1">"c7134"</definedName>
    <definedName name="IQ_MAN_ORDERS_POP_FC" hidden="1">"c8014"</definedName>
    <definedName name="IQ_MAN_ORDERS_YOY" hidden="1">"c7354"</definedName>
    <definedName name="IQ_MAN_ORDERS_YOY_FC" hidden="1">"c8234"</definedName>
    <definedName name="IQ_MAN_OUTPUT_HR" hidden="1">"c6915"</definedName>
    <definedName name="IQ_MAN_OUTPUT_HR_APR" hidden="1">"c7575"</definedName>
    <definedName name="IQ_MAN_OUTPUT_HR_APR_FC" hidden="1">"c8455"</definedName>
    <definedName name="IQ_MAN_OUTPUT_HR_FC" hidden="1">"c7795"</definedName>
    <definedName name="IQ_MAN_OUTPUT_HR_POP" hidden="1">"c7135"</definedName>
    <definedName name="IQ_MAN_OUTPUT_HR_POP_FC" hidden="1">"c8015"</definedName>
    <definedName name="IQ_MAN_OUTPUT_HR_YOY" hidden="1">"c7355"</definedName>
    <definedName name="IQ_MAN_OUTPUT_HR_YOY_FC" hidden="1">"c8235"</definedName>
    <definedName name="IQ_MAN_PAYROLLS" hidden="1">"c6916"</definedName>
    <definedName name="IQ_MAN_PAYROLLS_APR" hidden="1">"c7576"</definedName>
    <definedName name="IQ_MAN_PAYROLLS_APR_FC" hidden="1">"c8456"</definedName>
    <definedName name="IQ_MAN_PAYROLLS_FC" hidden="1">"c7796"</definedName>
    <definedName name="IQ_MAN_PAYROLLS_POP" hidden="1">"c7136"</definedName>
    <definedName name="IQ_MAN_PAYROLLS_POP_FC" hidden="1">"c8016"</definedName>
    <definedName name="IQ_MAN_PAYROLLS_YOY" hidden="1">"c7356"</definedName>
    <definedName name="IQ_MAN_PAYROLLS_YOY_FC" hidden="1">"c8236"</definedName>
    <definedName name="IQ_MAN_SHIPMENTS" hidden="1">"c6917"</definedName>
    <definedName name="IQ_MAN_SHIPMENTS_APR" hidden="1">"c7577"</definedName>
    <definedName name="IQ_MAN_SHIPMENTS_APR_FC" hidden="1">"c8457"</definedName>
    <definedName name="IQ_MAN_SHIPMENTS_FC" hidden="1">"c7797"</definedName>
    <definedName name="IQ_MAN_SHIPMENTS_POP" hidden="1">"c7137"</definedName>
    <definedName name="IQ_MAN_SHIPMENTS_POP_FC" hidden="1">"c8017"</definedName>
    <definedName name="IQ_MAN_SHIPMENTS_YOY" hidden="1">"c7357"</definedName>
    <definedName name="IQ_MAN_SHIPMENTS_YOY_FC" hidden="1">"c8237"</definedName>
    <definedName name="IQ_MAN_TOTAL_HR" hidden="1">"c6918"</definedName>
    <definedName name="IQ_MAN_TOTAL_HR_APR" hidden="1">"c7578"</definedName>
    <definedName name="IQ_MAN_TOTAL_HR_APR_FC" hidden="1">"c8458"</definedName>
    <definedName name="IQ_MAN_TOTAL_HR_FC" hidden="1">"c7798"</definedName>
    <definedName name="IQ_MAN_TOTAL_HR_POP" hidden="1">"c7138"</definedName>
    <definedName name="IQ_MAN_TOTAL_HR_POP_FC" hidden="1">"c8018"</definedName>
    <definedName name="IQ_MAN_TOTAL_HR_YOY" hidden="1">"c7358"</definedName>
    <definedName name="IQ_MAN_TOTAL_HR_YOY_FC" hidden="1">"c8238"</definedName>
    <definedName name="IQ_MAN_TRADE_INVENTORIES" hidden="1">"c6910"</definedName>
    <definedName name="IQ_MAN_TRADE_INVENTORIES_APR" hidden="1">"c7570"</definedName>
    <definedName name="IQ_MAN_TRADE_INVENTORIES_APR_FC" hidden="1">"c8450"</definedName>
    <definedName name="IQ_MAN_TRADE_INVENTORIES_FC" hidden="1">"c7790"</definedName>
    <definedName name="IQ_MAN_TRADE_INVENTORIES_POP" hidden="1">"c7130"</definedName>
    <definedName name="IQ_MAN_TRADE_INVENTORIES_POP_FC" hidden="1">"c8010"</definedName>
    <definedName name="IQ_MAN_TRADE_INVENTORIES_YOY" hidden="1">"c7350"</definedName>
    <definedName name="IQ_MAN_TRADE_INVENTORIES_YOY_FC" hidden="1">"c8230"</definedName>
    <definedName name="IQ_MAN_TRADE_IS_RATIO" hidden="1">"c6909"</definedName>
    <definedName name="IQ_MAN_TRADE_IS_RATIO_FC" hidden="1">"c7789"</definedName>
    <definedName name="IQ_MAN_TRADE_IS_RATIO_POP" hidden="1">"c7129"</definedName>
    <definedName name="IQ_MAN_TRADE_IS_RATIO_POP_FC" hidden="1">"c8009"</definedName>
    <definedName name="IQ_MAN_TRADE_IS_RATIO_YOY" hidden="1">"c7349"</definedName>
    <definedName name="IQ_MAN_TRADE_IS_RATIO_YOY_FC" hidden="1">"c8229"</definedName>
    <definedName name="IQ_MAN_TRADE_SALES" hidden="1">"c6911"</definedName>
    <definedName name="IQ_MAN_TRADE_SALES_APR" hidden="1">"c7571"</definedName>
    <definedName name="IQ_MAN_TRADE_SALES_APR_FC" hidden="1">"c8451"</definedName>
    <definedName name="IQ_MAN_TRADE_SALES_FC" hidden="1">"c7791"</definedName>
    <definedName name="IQ_MAN_TRADE_SALES_POP" hidden="1">"c7131"</definedName>
    <definedName name="IQ_MAN_TRADE_SALES_POP_FC" hidden="1">"c8011"</definedName>
    <definedName name="IQ_MAN_TRADE_SALES_YOY" hidden="1">"c7351"</definedName>
    <definedName name="IQ_MAN_TRADE_SALES_YOY_FC" hidden="1">"c8231"</definedName>
    <definedName name="IQ_MAN_WAGES" hidden="1">"c6919"</definedName>
    <definedName name="IQ_MAN_WAGES_APR" hidden="1">"c7579"</definedName>
    <definedName name="IQ_MAN_WAGES_APR_FC" hidden="1">"c8459"</definedName>
    <definedName name="IQ_MAN_WAGES_FC" hidden="1">"c7799"</definedName>
    <definedName name="IQ_MAN_WAGES_POP" hidden="1">"c7139"</definedName>
    <definedName name="IQ_MAN_WAGES_POP_FC" hidden="1">"c8019"</definedName>
    <definedName name="IQ_MAN_WAGES_YOY" hidden="1">"c7359"</definedName>
    <definedName name="IQ_MAN_WAGES_YOY_FC" hidden="1">"c8239"</definedName>
    <definedName name="IQ_MANAGED_PROP" hidden="1">"c8763"</definedName>
    <definedName name="IQ_MANAGED_SQ_FT" hidden="1">"c8779"</definedName>
    <definedName name="IQ_MANAGED_UNITS" hidden="1">"c8771"</definedName>
    <definedName name="IQ_MARGIN_ANNUAL_PREMIUM_EQUIVALENT_NEW_BUSINESS" hidden="1">"c9970"</definedName>
    <definedName name="IQ_MARGIN_PV_PREMIUMS_NEW_BUSINESS" hidden="1">"c9971"</definedName>
    <definedName name="IQ_MARKET_CAP_LFCF" hidden="1">"c2209"</definedName>
    <definedName name="IQ_MARKETCAP" hidden="1">"c712"</definedName>
    <definedName name="IQ_MARKETING" hidden="1">"c2239"</definedName>
    <definedName name="IQ_MARKTCAP" hidden="1">"c258"</definedName>
    <definedName name="IQ_MATURITY_DATE" hidden="1">"c2146"</definedName>
    <definedName name="IQ_MATURITY_ONE_YEAR_LESS_FDIC" hidden="1">"c6425"</definedName>
    <definedName name="IQ_MC_ASO_COVERED_LIVES" hidden="1">"c9918"</definedName>
    <definedName name="IQ_MC_ASO_MEMBERSHIP" hidden="1">"c9921"</definedName>
    <definedName name="IQ_MC_CLAIMS_RESERVES" hidden="1">"c9941"</definedName>
    <definedName name="IQ_MC_COMBINED_RATIO" hidden="1">"c9933"</definedName>
    <definedName name="IQ_MC_DAYS_CLAIMS_PAYABLE" hidden="1">"c9937"</definedName>
    <definedName name="IQ_MC_DAYS_CLAIMS_PAYABLE_EXCL_CAPITATION" hidden="1">"c9938"</definedName>
    <definedName name="IQ_MC_MEDICAL_COSTS_PMPM" hidden="1">"c9925"</definedName>
    <definedName name="IQ_MC_PARENT_CASH" hidden="1">"c9942"</definedName>
    <definedName name="IQ_MC_PREMIUMS_PMPM" hidden="1">"c9924"</definedName>
    <definedName name="IQ_MC_RATIO" hidden="1">"c2783"</definedName>
    <definedName name="IQ_MC_RECEIPT_CYCLE_TIME_DAYS" hidden="1">"c9939"</definedName>
    <definedName name="IQ_MC_RECEIPT_CYCLE_TIME_MONTHS" hidden="1">"c9940"</definedName>
    <definedName name="IQ_MC_RISK_COVERED_LIVES" hidden="1">"c9917"</definedName>
    <definedName name="IQ_MC_RISK_MEMBERSHIP" hidden="1">"c9920"</definedName>
    <definedName name="IQ_MC_SELLILNG_COSTS_RATIO" hidden="1">"c9928"</definedName>
    <definedName name="IQ_MC_SGA_PMPM" hidden="1">"c9926"</definedName>
    <definedName name="IQ_MC_STATUTORY_SURPLUS" hidden="1">"c2772"</definedName>
    <definedName name="IQ_MC_TOTAL_COVERED_LIVES" hidden="1">"c9919"</definedName>
    <definedName name="IQ_MC_TOTAL_MEMBERSHIP" hidden="1">"c9922"</definedName>
    <definedName name="IQ_MC_TOTAL_MEMBERSHIP_CAPITATION" hidden="1">"c9923"</definedName>
    <definedName name="IQ_MC_UNPROCESSED_CLAIMS_INVENTORY_DAYS" hidden="1">"c9936"</definedName>
    <definedName name="IQ_MC_UNPROCESSED_CLAIMS_INVENTORY_NUMBER" hidden="1">"c9934"</definedName>
    <definedName name="IQ_MC_UNPROCESSED_CLAIMS_INVENTORY_VALUE" hidden="1">"c9935"</definedName>
    <definedName name="IQ_MEASURED_ATTRIB_ORE_RESOURCES_ALUM" hidden="1">"c9237"</definedName>
    <definedName name="IQ_MEASURED_ATTRIB_ORE_RESOURCES_COP" hidden="1">"c9181"</definedName>
    <definedName name="IQ_MEASURED_ATTRIB_ORE_RESOURCES_DIAM" hidden="1">"c9661"</definedName>
    <definedName name="IQ_MEASURED_ATTRIB_ORE_RESOURCES_GOLD" hidden="1">"c9022"</definedName>
    <definedName name="IQ_MEASURED_ATTRIB_ORE_RESOURCES_IRON" hidden="1">"c9396"</definedName>
    <definedName name="IQ_MEASURED_ATTRIB_ORE_RESOURCES_LEAD" hidden="1">"c9449"</definedName>
    <definedName name="IQ_MEASURED_ATTRIB_ORE_RESOURCES_MANG" hidden="1">"c9502"</definedName>
    <definedName name="IQ_MEASURED_ATTRIB_ORE_RESOURCES_MOLYB" hidden="1">"c9714"</definedName>
    <definedName name="IQ_MEASURED_ATTRIB_ORE_RESOURCES_NICK" hidden="1">"c9290"</definedName>
    <definedName name="IQ_MEASURED_ATTRIB_ORE_RESOURCES_PLAT" hidden="1">"c9128"</definedName>
    <definedName name="IQ_MEASURED_ATTRIB_ORE_RESOURCES_SILVER" hidden="1">"c9075"</definedName>
    <definedName name="IQ_MEASURED_ATTRIB_ORE_RESOURCES_TITAN" hidden="1">"c9555"</definedName>
    <definedName name="IQ_MEASURED_ATTRIB_ORE_RESOURCES_URAN" hidden="1">"c9608"</definedName>
    <definedName name="IQ_MEASURED_ATTRIB_ORE_RESOURCES_ZINC" hidden="1">"c9343"</definedName>
    <definedName name="IQ_MEASURED_INDICATED_ATTRIB_ORE_RESOURCES_ALUM" hidden="1">"c9239"</definedName>
    <definedName name="IQ_MEASURED_INDICATED_ATTRIB_ORE_RESOURCES_COP" hidden="1">"c9183"</definedName>
    <definedName name="IQ_MEASURED_INDICATED_ATTRIB_ORE_RESOURCES_DIAM" hidden="1">"c9663"</definedName>
    <definedName name="IQ_MEASURED_INDICATED_ATTRIB_ORE_RESOURCES_GOLD" hidden="1">"c9024"</definedName>
    <definedName name="IQ_MEASURED_INDICATED_ATTRIB_ORE_RESOURCES_IRON" hidden="1">"c9398"</definedName>
    <definedName name="IQ_MEASURED_INDICATED_ATTRIB_ORE_RESOURCES_LEAD" hidden="1">"c9451"</definedName>
    <definedName name="IQ_MEASURED_INDICATED_ATTRIB_ORE_RESOURCES_MANG" hidden="1">"c9504"</definedName>
    <definedName name="IQ_MEASURED_INDICATED_ATTRIB_ORE_RESOURCES_MOLYB" hidden="1">"c9716"</definedName>
    <definedName name="IQ_MEASURED_INDICATED_ATTRIB_ORE_RESOURCES_NICK" hidden="1">"c9292"</definedName>
    <definedName name="IQ_MEASURED_INDICATED_ATTRIB_ORE_RESOURCES_PLAT" hidden="1">"c9130"</definedName>
    <definedName name="IQ_MEASURED_INDICATED_ATTRIB_ORE_RESOURCES_SILVER" hidden="1">"c9077"</definedName>
    <definedName name="IQ_MEASURED_INDICATED_ATTRIB_ORE_RESOURCES_TITAN" hidden="1">"c9557"</definedName>
    <definedName name="IQ_MEASURED_INDICATED_ATTRIB_ORE_RESOURCES_URAN" hidden="1">"c9610"</definedName>
    <definedName name="IQ_MEASURED_INDICATED_ATTRIB_ORE_RESOURCES_ZINC" hidden="1">"c9345"</definedName>
    <definedName name="IQ_MEASURED_INDICATED_ORE_RESOURCES_ALUM" hidden="1">"c9226"</definedName>
    <definedName name="IQ_MEASURED_INDICATED_ORE_RESOURCES_COP" hidden="1">"c9170"</definedName>
    <definedName name="IQ_MEASURED_INDICATED_ORE_RESOURCES_DIAM" hidden="1">"c9650"</definedName>
    <definedName name="IQ_MEASURED_INDICATED_ORE_RESOURCES_GOLD" hidden="1">"c9011"</definedName>
    <definedName name="IQ_MEASURED_INDICATED_ORE_RESOURCES_IRON" hidden="1">"c9385"</definedName>
    <definedName name="IQ_MEASURED_INDICATED_ORE_RESOURCES_LEAD" hidden="1">"c9438"</definedName>
    <definedName name="IQ_MEASURED_INDICATED_ORE_RESOURCES_MANG" hidden="1">"c9491"</definedName>
    <definedName name="IQ_MEASURED_INDICATED_ORE_RESOURCES_MOLYB" hidden="1">"c9703"</definedName>
    <definedName name="IQ_MEASURED_INDICATED_ORE_RESOURCES_NICK" hidden="1">"c9279"</definedName>
    <definedName name="IQ_MEASURED_INDICATED_ORE_RESOURCES_PLAT" hidden="1">"c9117"</definedName>
    <definedName name="IQ_MEASURED_INDICATED_ORE_RESOURCES_SILVER" hidden="1">"c9064"</definedName>
    <definedName name="IQ_MEASURED_INDICATED_ORE_RESOURCES_TITAN" hidden="1">"c9544"</definedName>
    <definedName name="IQ_MEASURED_INDICATED_ORE_RESOURCES_URAN" hidden="1">"c9597"</definedName>
    <definedName name="IQ_MEASURED_INDICATED_ORE_RESOURCES_ZINC" hidden="1">"c9332"</definedName>
    <definedName name="IQ_MEASURED_INDICATED_RECOV_RESOURCES_ALUM" hidden="1">"c9234"</definedName>
    <definedName name="IQ_MEASURED_INDICATED_RECOV_RESOURCES_COAL" hidden="1">"c9813"</definedName>
    <definedName name="IQ_MEASURED_INDICATED_RECOV_RESOURCES_COP" hidden="1">"c9178"</definedName>
    <definedName name="IQ_MEASURED_INDICATED_RECOV_RESOURCES_DIAM" hidden="1">"c9658"</definedName>
    <definedName name="IQ_MEASURED_INDICATED_RECOV_RESOURCES_GOLD" hidden="1">"c9019"</definedName>
    <definedName name="IQ_MEASURED_INDICATED_RECOV_RESOURCES_IRON" hidden="1">"c9393"</definedName>
    <definedName name="IQ_MEASURED_INDICATED_RECOV_RESOURCES_LEAD" hidden="1">"c9446"</definedName>
    <definedName name="IQ_MEASURED_INDICATED_RECOV_RESOURCES_MANG" hidden="1">"c9499"</definedName>
    <definedName name="IQ_MEASURED_INDICATED_RECOV_RESOURCES_MET_COAL" hidden="1">"c9753"</definedName>
    <definedName name="IQ_MEASURED_INDICATED_RECOV_RESOURCES_MOLYB" hidden="1">"c9711"</definedName>
    <definedName name="IQ_MEASURED_INDICATED_RECOV_RESOURCES_NICK" hidden="1">"c9287"</definedName>
    <definedName name="IQ_MEASURED_INDICATED_RECOV_RESOURCES_PLAT" hidden="1">"c9125"</definedName>
    <definedName name="IQ_MEASURED_INDICATED_RECOV_RESOURCES_SILVER" hidden="1">"c9072"</definedName>
    <definedName name="IQ_MEASURED_INDICATED_RECOV_RESOURCES_STEAM" hidden="1">"c9783"</definedName>
    <definedName name="IQ_MEASURED_INDICATED_RECOV_RESOURCES_TITAN" hidden="1">"c9552"</definedName>
    <definedName name="IQ_MEASURED_INDICATED_RECOV_RESOURCES_URAN" hidden="1">"c9605"</definedName>
    <definedName name="IQ_MEASURED_INDICATED_RECOV_RESOURCES_ZINC" hidden="1">"c9340"</definedName>
    <definedName name="IQ_MEASURED_INDICATED_RESOURCES_GRADE_ALUM" hidden="1">"c9227"</definedName>
    <definedName name="IQ_MEASURED_INDICATED_RESOURCES_GRADE_COP" hidden="1">"c9171"</definedName>
    <definedName name="IQ_MEASURED_INDICATED_RESOURCES_GRADE_DIAM" hidden="1">"c9651"</definedName>
    <definedName name="IQ_MEASURED_INDICATED_RESOURCES_GRADE_GOLD" hidden="1">"c9012"</definedName>
    <definedName name="IQ_MEASURED_INDICATED_RESOURCES_GRADE_IRON" hidden="1">"c9386"</definedName>
    <definedName name="IQ_MEASURED_INDICATED_RESOURCES_GRADE_LEAD" hidden="1">"c9439"</definedName>
    <definedName name="IQ_MEASURED_INDICATED_RESOURCES_GRADE_MANG" hidden="1">"c9492"</definedName>
    <definedName name="IQ_MEASURED_INDICATED_RESOURCES_GRADE_MOLYB" hidden="1">"c9704"</definedName>
    <definedName name="IQ_MEASURED_INDICATED_RESOURCES_GRADE_NICK" hidden="1">"c9280"</definedName>
    <definedName name="IQ_MEASURED_INDICATED_RESOURCES_GRADE_PLAT" hidden="1">"c9118"</definedName>
    <definedName name="IQ_MEASURED_INDICATED_RESOURCES_GRADE_SILVER" hidden="1">"c9065"</definedName>
    <definedName name="IQ_MEASURED_INDICATED_RESOURCES_GRADE_TITAN" hidden="1">"c9545"</definedName>
    <definedName name="IQ_MEASURED_INDICATED_RESOURCES_GRADE_URAN" hidden="1">"c9598"</definedName>
    <definedName name="IQ_MEASURED_INDICATED_RESOURCES_GRADE_ZINC" hidden="1">"c9333"</definedName>
    <definedName name="IQ_MEASURED_ORE_RESOURCES_ALUM" hidden="1">"c9222"</definedName>
    <definedName name="IQ_MEASURED_ORE_RESOURCES_COP" hidden="1">"c9166"</definedName>
    <definedName name="IQ_MEASURED_ORE_RESOURCES_DIAM" hidden="1">"c9646"</definedName>
    <definedName name="IQ_MEASURED_ORE_RESOURCES_GOLD" hidden="1">"c9007"</definedName>
    <definedName name="IQ_MEASURED_ORE_RESOURCES_IRON" hidden="1">"c9381"</definedName>
    <definedName name="IQ_MEASURED_ORE_RESOURCES_LEAD" hidden="1">"c9434"</definedName>
    <definedName name="IQ_MEASURED_ORE_RESOURCES_MANG" hidden="1">"c9487"</definedName>
    <definedName name="IQ_MEASURED_ORE_RESOURCES_MOLYB" hidden="1">"c9699"</definedName>
    <definedName name="IQ_MEASURED_ORE_RESOURCES_NICK" hidden="1">"c9275"</definedName>
    <definedName name="IQ_MEASURED_ORE_RESOURCES_PLAT" hidden="1">"c9113"</definedName>
    <definedName name="IQ_MEASURED_ORE_RESOURCES_SILVER" hidden="1">"c9060"</definedName>
    <definedName name="IQ_MEASURED_ORE_RESOURCES_TITAN" hidden="1">"c9540"</definedName>
    <definedName name="IQ_MEASURED_ORE_RESOURCES_URAN" hidden="1">"c9593"</definedName>
    <definedName name="IQ_MEASURED_ORE_RESOURCES_ZINC" hidden="1">"c9328"</definedName>
    <definedName name="IQ_MEASURED_RECOV_ATTRIB_RESOURCES_ALUM" hidden="1">"c9242"</definedName>
    <definedName name="IQ_MEASURED_RECOV_ATTRIB_RESOURCES_COAL" hidden="1">"c9816"</definedName>
    <definedName name="IQ_MEASURED_RECOV_ATTRIB_RESOURCES_COP" hidden="1">"c9186"</definedName>
    <definedName name="IQ_MEASURED_RECOV_ATTRIB_RESOURCES_DIAM" hidden="1">"c9666"</definedName>
    <definedName name="IQ_MEASURED_RECOV_ATTRIB_RESOURCES_GOLD" hidden="1">"c9027"</definedName>
    <definedName name="IQ_MEASURED_RECOV_ATTRIB_RESOURCES_IRON" hidden="1">"c9401"</definedName>
    <definedName name="IQ_MEASURED_RECOV_ATTRIB_RESOURCES_LEAD" hidden="1">"c9454"</definedName>
    <definedName name="IQ_MEASURED_RECOV_ATTRIB_RESOURCES_MANG" hidden="1">"c9507"</definedName>
    <definedName name="IQ_MEASURED_RECOV_ATTRIB_RESOURCES_MET_COAL" hidden="1">"c9756"</definedName>
    <definedName name="IQ_MEASURED_RECOV_ATTRIB_RESOURCES_MOLYB" hidden="1">"c9719"</definedName>
    <definedName name="IQ_MEASURED_RECOV_ATTRIB_RESOURCES_NICK" hidden="1">"c9295"</definedName>
    <definedName name="IQ_MEASURED_RECOV_ATTRIB_RESOURCES_PLAT" hidden="1">"c9133"</definedName>
    <definedName name="IQ_MEASURED_RECOV_ATTRIB_RESOURCES_SILVER" hidden="1">"c9080"</definedName>
    <definedName name="IQ_MEASURED_RECOV_ATTRIB_RESOURCES_STEAM" hidden="1">"c9786"</definedName>
    <definedName name="IQ_MEASURED_RECOV_ATTRIB_RESOURCES_TITAN" hidden="1">"c9560"</definedName>
    <definedName name="IQ_MEASURED_RECOV_ATTRIB_RESOURCES_URAN" hidden="1">"c9613"</definedName>
    <definedName name="IQ_MEASURED_RECOV_ATTRIB_RESOURCES_ZINC" hidden="1">"c9348"</definedName>
    <definedName name="IQ_MEASURED_RECOV_RESOURCES_ALUM" hidden="1">"c9232"</definedName>
    <definedName name="IQ_MEASURED_RECOV_RESOURCES_COAL" hidden="1">"c9811"</definedName>
    <definedName name="IQ_MEASURED_RECOV_RESOURCES_COP" hidden="1">"c9176"</definedName>
    <definedName name="IQ_MEASURED_RECOV_RESOURCES_DIAM" hidden="1">"c9656"</definedName>
    <definedName name="IQ_MEASURED_RECOV_RESOURCES_GOLD" hidden="1">"c9017"</definedName>
    <definedName name="IQ_MEASURED_RECOV_RESOURCES_IRON" hidden="1">"c9391"</definedName>
    <definedName name="IQ_MEASURED_RECOV_RESOURCES_LEAD" hidden="1">"c9444"</definedName>
    <definedName name="IQ_MEASURED_RECOV_RESOURCES_MANG" hidden="1">"c9497"</definedName>
    <definedName name="IQ_MEASURED_RECOV_RESOURCES_MET_COAL" hidden="1">"c9751"</definedName>
    <definedName name="IQ_MEASURED_RECOV_RESOURCES_MOLYB" hidden="1">"c9709"</definedName>
    <definedName name="IQ_MEASURED_RECOV_RESOURCES_NICK" hidden="1">"c9285"</definedName>
    <definedName name="IQ_MEASURED_RECOV_RESOURCES_PLAT" hidden="1">"c9123"</definedName>
    <definedName name="IQ_MEASURED_RECOV_RESOURCES_SILVER" hidden="1">"c9070"</definedName>
    <definedName name="IQ_MEASURED_RECOV_RESOURCES_STEAM" hidden="1">"c9781"</definedName>
    <definedName name="IQ_MEASURED_RECOV_RESOURCES_TITAN" hidden="1">"c9550"</definedName>
    <definedName name="IQ_MEASURED_RECOV_RESOURCES_URAN" hidden="1">"c9603"</definedName>
    <definedName name="IQ_MEASURED_RECOV_RESOURCES_ZINC" hidden="1">"c9338"</definedName>
    <definedName name="IQ_MEASURED_RESOURCES_CALORIFIC_VALUE_COAL" hidden="1">"c9806"</definedName>
    <definedName name="IQ_MEASURED_RESOURCES_CALORIFIC_VALUE_MET_COAL" hidden="1">"c9746"</definedName>
    <definedName name="IQ_MEASURED_RESOURCES_CALORIFIC_VALUE_STEAM" hidden="1">"c9776"</definedName>
    <definedName name="IQ_MEASURED_RESOURCES_GRADE_ALUM" hidden="1">"c9223"</definedName>
    <definedName name="IQ_MEASURED_RESOURCES_GRADE_COP" hidden="1">"c9167"</definedName>
    <definedName name="IQ_MEASURED_RESOURCES_GRADE_DIAM" hidden="1">"c9647"</definedName>
    <definedName name="IQ_MEASURED_RESOURCES_GRADE_GOLD" hidden="1">"c9008"</definedName>
    <definedName name="IQ_MEASURED_RESOURCES_GRADE_IRON" hidden="1">"c9382"</definedName>
    <definedName name="IQ_MEASURED_RESOURCES_GRADE_LEAD" hidden="1">"c9435"</definedName>
    <definedName name="IQ_MEASURED_RESOURCES_GRADE_MANG" hidden="1">"c9488"</definedName>
    <definedName name="IQ_MEASURED_RESOURCES_GRADE_MOLYB" hidden="1">"c9700"</definedName>
    <definedName name="IQ_MEASURED_RESOURCES_GRADE_NICK" hidden="1">"c9276"</definedName>
    <definedName name="IQ_MEASURED_RESOURCES_GRADE_PLAT" hidden="1">"c9114"</definedName>
    <definedName name="IQ_MEASURED_RESOURCES_GRADE_SILVER" hidden="1">"c9061"</definedName>
    <definedName name="IQ_MEASURED_RESOURCES_GRADE_TITAN" hidden="1">"c9541"</definedName>
    <definedName name="IQ_MEASURED_RESOURCES_GRADE_URAN" hidden="1">"c9594"</definedName>
    <definedName name="IQ_MEASURED_RESOURCES_GRADE_ZINC" hidden="1">"c9329"</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 hidden="1">"c1650"</definedName>
    <definedName name="IQ_MEDIAN_TARGET_PRICE_CIQ" hidden="1">"c4658"</definedName>
    <definedName name="IQ_MEDIAN_TARGET_PRICE_REUT" hidden="1">"c5316"</definedName>
    <definedName name="IQ_MEDIAN_TARGET_PRICE_THOM" hidden="1">"c5095"</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_RECOV_ATTRIB_RESOURCES_ALUM" hidden="1">"c9244"</definedName>
    <definedName name="IQ_MI_RECOV_ATTRIB_RESOURCES_COAL" hidden="1">"c9818"</definedName>
    <definedName name="IQ_MI_RECOV_ATTRIB_RESOURCES_COP" hidden="1">"c9188"</definedName>
    <definedName name="IQ_MI_RECOV_ATTRIB_RESOURCES_DIAM" hidden="1">"c9668"</definedName>
    <definedName name="IQ_MI_RECOV_ATTRIB_RESOURCES_GOLD" hidden="1">"c9029"</definedName>
    <definedName name="IQ_MI_RECOV_ATTRIB_RESOURCES_IRON" hidden="1">"c9403"</definedName>
    <definedName name="IQ_MI_RECOV_ATTRIB_RESOURCES_LEAD" hidden="1">"c9456"</definedName>
    <definedName name="IQ_MI_RECOV_ATTRIB_RESOURCES_MANG" hidden="1">"c9509"</definedName>
    <definedName name="IQ_MI_RECOV_ATTRIB_RESOURCES_MET_COAL" hidden="1">"c9758"</definedName>
    <definedName name="IQ_MI_RECOV_ATTRIB_RESOURCES_MOLYB" hidden="1">"c9721"</definedName>
    <definedName name="IQ_MI_RECOV_ATTRIB_RESOURCES_NICK" hidden="1">"c9297"</definedName>
    <definedName name="IQ_MI_RECOV_ATTRIB_RESOURCES_PLAT" hidden="1">"c9135"</definedName>
    <definedName name="IQ_MI_RECOV_ATTRIB_RESOURCES_SILVER" hidden="1">"c9082"</definedName>
    <definedName name="IQ_MI_RECOV_ATTRIB_RESOURCES_STEAM" hidden="1">"c9788"</definedName>
    <definedName name="IQ_MI_RECOV_ATTRIB_RESOURCES_TITAN" hidden="1">"c9562"</definedName>
    <definedName name="IQ_MI_RECOV_ATTRIB_RESOURCES_URAN" hidden="1">"c9615"</definedName>
    <definedName name="IQ_MI_RECOV_ATTRIB_RESOURCES_ZINC" hidden="1">"c9350"</definedName>
    <definedName name="IQ_MI_RESOURCES_CALORIFIC_VALUE_COAL" hidden="1">"c9808"</definedName>
    <definedName name="IQ_MI_RESOURCES_CALORIFIC_VALUE_MET_COAL" hidden="1">"c9748"</definedName>
    <definedName name="IQ_MI_RESOURCES_CALORIFIC_VALUE_STEAM" hidden="1">"c9778"</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CIQ" hidden="1">"c4041"</definedName>
    <definedName name="IQ_MKTCAP_TOTAL_REV_FWD_REUT" hidden="1">"c4048"</definedName>
    <definedName name="IQ_MKTCAP_TOTAL_REV_FWD_THOM" hidden="1">"c4055"</definedName>
    <definedName name="IQ_MM_ACCOUNT" hidden="1">"c743"</definedName>
    <definedName name="IQ_MM_ACCRETION_EXPENSE" hidden="1">"c9845"</definedName>
    <definedName name="IQ_MM_ARO_BEG" hidden="1">"c9842"</definedName>
    <definedName name="IQ_MM_ARO_TOTAL" hidden="1">"c9850"</definedName>
    <definedName name="IQ_MM_CURRENT_PORT_ARO" hidden="1">"c9851"</definedName>
    <definedName name="IQ_MM_DEVELOPED_ACREAGE" hidden="1">"c9832"</definedName>
    <definedName name="IQ_MM_DEVELOPED_SQ_KMS" hidden="1">"c9831"</definedName>
    <definedName name="IQ_MM_DEVELOPED_SQ_MILES" hidden="1">"c9833"</definedName>
    <definedName name="IQ_MM_EXPLORATION_EXPENDITURE_TOT" hidden="1">"c9840"</definedName>
    <definedName name="IQ_MM_FX_ADJUSTMENT" hidden="1">"c9847"</definedName>
    <definedName name="IQ_MM_LIABILITIES_INCURRED_ACQUIRED" hidden="1">"c9843"</definedName>
    <definedName name="IQ_MM_LIABILITIES_REL_SPIN_OFFS" hidden="1">"c9848"</definedName>
    <definedName name="IQ_MM_LIABILITIES_SETTLED_DISPOSED" hidden="1">"c9844"</definedName>
    <definedName name="IQ_MM_NON_CURRENT_PORT_ARO" hidden="1">"c9852"</definedName>
    <definedName name="IQ_MM_NUMBER_MINES" hidden="1">"c9839"</definedName>
    <definedName name="IQ_MM_OTHER_ADJUSTMENTS_ARO" hidden="1">"c9849"</definedName>
    <definedName name="IQ_MM_REMAINING_MINE_LIFE" hidden="1">"c9838"</definedName>
    <definedName name="IQ_MM_RESOURCES_INCL_EXCL_RESERVES" hidden="1">"c9841"</definedName>
    <definedName name="IQ_MM_REVISIONS_ESTIMATE" hidden="1">"c9846"</definedName>
    <definedName name="IQ_MM_STRIPPING_RATIO" hidden="1">"c9837"</definedName>
    <definedName name="IQ_MM_UNDEVELOPED_ACREAGE" hidden="1">"c9835"</definedName>
    <definedName name="IQ_MM_UNDEVELOPED_SQ_KMS" hidden="1">"c9834"</definedName>
    <definedName name="IQ_MM_UNDEVELOPED_SQ_MILES" hidden="1">"c9836"</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TD" hidden="1">800000</definedName>
    <definedName name="IQ_MULTIFAMILY_RESIDENTIAL_LOANS_FDIC" hidden="1">"c6311"</definedName>
    <definedName name="IQ_NAMES_REVISION_DATE_" hidden="1">40883.4153009259</definedName>
    <definedName name="IQ_NAPM_BUS_CONDITIONS" hidden="1">"c6921"</definedName>
    <definedName name="IQ_NAPM_BUS_CONDITIONS_APR" hidden="1">"c7581"</definedName>
    <definedName name="IQ_NAPM_BUS_CONDITIONS_APR_FC" hidden="1">"c8461"</definedName>
    <definedName name="IQ_NAPM_BUS_CONDITIONS_FC" hidden="1">"c7801"</definedName>
    <definedName name="IQ_NAPM_BUS_CONDITIONS_POP" hidden="1">"c7141"</definedName>
    <definedName name="IQ_NAPM_BUS_CONDITIONS_POP_FC" hidden="1">"c8021"</definedName>
    <definedName name="IQ_NAPM_BUS_CONDITIONS_YOY" hidden="1">"c7361"</definedName>
    <definedName name="IQ_NAPM_BUS_CONDITIONS_YOY_FC" hidden="1">"c8241"</definedName>
    <definedName name="IQ_NAV_ACT_OR_EST" hidden="1">"c2225"</definedName>
    <definedName name="IQ_NAV_ACT_OR_EST_THOM" hidden="1">"c5607"</definedName>
    <definedName name="IQ_NAV_EST" hidden="1">"c1751"</definedName>
    <definedName name="IQ_NAV_EST_THOM" hidden="1">"c5601"</definedName>
    <definedName name="IQ_NAV_HIGH_EST" hidden="1">"c1753"</definedName>
    <definedName name="IQ_NAV_HIGH_EST_THOM" hidden="1">"c5604"</definedName>
    <definedName name="IQ_NAV_LOW_EST" hidden="1">"c1754"</definedName>
    <definedName name="IQ_NAV_LOW_EST_THOM" hidden="1">"c5605"</definedName>
    <definedName name="IQ_NAV_MEDIAN_EST" hidden="1">"c1752"</definedName>
    <definedName name="IQ_NAV_MEDIAN_EST_THOM" hidden="1">"c5602"</definedName>
    <definedName name="IQ_NAV_NUM_EST" hidden="1">"c1755"</definedName>
    <definedName name="IQ_NAV_NUM_EST_THOM" hidden="1">"c5606"</definedName>
    <definedName name="IQ_NAV_STDDEV_EST" hidden="1">"c1756"</definedName>
    <definedName name="IQ_NAV_STDDEV_EST_THOM" hidden="1">"c5603"</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ACT_OR_EST_THOM" hidden="1">"c5309"</definedName>
    <definedName name="IQ_NET_DEBT_EBITDA" hidden="1">"c750"</definedName>
    <definedName name="IQ_NET_DEBT_EBITDA_CAPEX" hidden="1">"c2949"</definedName>
    <definedName name="IQ_NET_DEBT_EST" hidden="1">"c3517"</definedName>
    <definedName name="IQ_NET_DEBT_EST_THOM" hidden="1">"c4027"</definedName>
    <definedName name="IQ_NET_DEBT_HIGH_EST" hidden="1">"c3518"</definedName>
    <definedName name="IQ_NET_DEBT_HIGH_EST_THOM" hidden="1">"c4029"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THOM" hidden="1">"c4030"</definedName>
    <definedName name="IQ_NET_DEBT_MEDIAN_EST" hidden="1">"c3520"</definedName>
    <definedName name="IQ_NET_DEBT_MEDIAN_EST_THOM" hidden="1">"c4028"</definedName>
    <definedName name="IQ_NET_DEBT_NUM_EST" hidden="1">"c3515"</definedName>
    <definedName name="IQ_NET_DEBT_NUM_EST_THOM" hidden="1">"c4031"</definedName>
    <definedName name="IQ_NET_DEBT_STDDEV_EST" hidden="1">"c3516"</definedName>
    <definedName name="IQ_NET_DEBT_STDDEV_EST_THOM" hidden="1">"c4032"</definedName>
    <definedName name="IQ_NET_EARNED" hidden="1">"c2734"</definedName>
    <definedName name="IQ_NET_INC" hidden="1">"c1394"</definedName>
    <definedName name="IQ_NET_INC_10K" hidden="1">"IQ_NET_INC_10K"</definedName>
    <definedName name="IQ_NET_INC_10Q" hidden="1">"IQ_NET_INC_10Q"</definedName>
    <definedName name="IQ_NET_INC_10Q1" hidden="1">"IQ_NET_INC_10Q1"</definedName>
    <definedName name="IQ_NET_INC_BEFORE" hidden="1">"c1368"</definedName>
    <definedName name="IQ_NET_INC_CF" hidden="1">"c1397"</definedName>
    <definedName name="IQ_NET_INC_GROWTH_1" hidden="1">"c158"</definedName>
    <definedName name="IQ_NET_INC_GROWTH_2" hidden="1">"c162"</definedName>
    <definedName name="IQ_NET_INC_MARGIN" hidden="1">"c1398"</definedName>
    <definedName name="IQ_NET_INCOME_FDIC" hidden="1">"c6587"</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AFTER_LL_BNK_SUBTOTAL_AP" hidden="1">"c8979"</definedName>
    <definedName name="IQ_NET_INT_INC_BNK" hidden="1">"c764"</definedName>
    <definedName name="IQ_NET_INT_INC_BNK_AP" hidden="1">"c8874"</definedName>
    <definedName name="IQ_NET_INT_INC_BNK_AP_ABS" hidden="1">"c8893"</definedName>
    <definedName name="IQ_NET_INT_INC_BNK_FDIC" hidden="1">"c6570"</definedName>
    <definedName name="IQ_NET_INT_INC_BNK_NAME_AP" hidden="1">"c8912"</definedName>
    <definedName name="IQ_NET_INT_INC_BNK_NAME_AP_ABS" hidden="1">"c8931"</definedName>
    <definedName name="IQ_NET_INT_INC_BNK_SUBTOTAL_AP" hidden="1">"c8978"</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EXT_YR_PROD_EST_MAX_ALUM" hidden="1">"c9251"</definedName>
    <definedName name="IQ_NEXT_YR_PROD_EST_MAX_CATHODE_COP" hidden="1">"c9198"</definedName>
    <definedName name="IQ_NEXT_YR_PROD_EST_MAX_COP" hidden="1">"c9196"</definedName>
    <definedName name="IQ_NEXT_YR_PROD_EST_MAX_DIAM" hidden="1">"c9675"</definedName>
    <definedName name="IQ_NEXT_YR_PROD_EST_MAX_GOLD" hidden="1">"c9036"</definedName>
    <definedName name="IQ_NEXT_YR_PROD_EST_MAX_IRON" hidden="1">"c9410"</definedName>
    <definedName name="IQ_NEXT_YR_PROD_EST_MAX_LEAD" hidden="1">"c9463"</definedName>
    <definedName name="IQ_NEXT_YR_PROD_EST_MAX_MANG" hidden="1">"c9516"</definedName>
    <definedName name="IQ_NEXT_YR_PROD_EST_MAX_MOLYB" hidden="1">"c9728"</definedName>
    <definedName name="IQ_NEXT_YR_PROD_EST_MAX_NICK" hidden="1">"c9304"</definedName>
    <definedName name="IQ_NEXT_YR_PROD_EST_MAX_PLAT" hidden="1">"c9142"</definedName>
    <definedName name="IQ_NEXT_YR_PROD_EST_MAX_SILVER" hidden="1">"c9089"</definedName>
    <definedName name="IQ_NEXT_YR_PROD_EST_MAX_TITAN" hidden="1">"c9569"</definedName>
    <definedName name="IQ_NEXT_YR_PROD_EST_MAX_URAN" hidden="1">"c9622"</definedName>
    <definedName name="IQ_NEXT_YR_PROD_EST_MAX_ZINC" hidden="1">"c9357"</definedName>
    <definedName name="IQ_NEXT_YR_PROD_EST_MIN_ALUM" hidden="1">"c9250"</definedName>
    <definedName name="IQ_NEXT_YR_PROD_EST_MIN_CATHODE_COP" hidden="1">"c9197"</definedName>
    <definedName name="IQ_NEXT_YR_PROD_EST_MIN_COP" hidden="1">"c9195"</definedName>
    <definedName name="IQ_NEXT_YR_PROD_EST_MIN_DIAM" hidden="1">"c9674"</definedName>
    <definedName name="IQ_NEXT_YR_PROD_EST_MIN_GOLD" hidden="1">"c9035"</definedName>
    <definedName name="IQ_NEXT_YR_PROD_EST_MIN_IRON" hidden="1">"c9409"</definedName>
    <definedName name="IQ_NEXT_YR_PROD_EST_MIN_LEAD" hidden="1">"c9462"</definedName>
    <definedName name="IQ_NEXT_YR_PROD_EST_MIN_MANG" hidden="1">"c9515"</definedName>
    <definedName name="IQ_NEXT_YR_PROD_EST_MIN_MOLYB" hidden="1">"c9727"</definedName>
    <definedName name="IQ_NEXT_YR_PROD_EST_MIN_NICK" hidden="1">"c9303"</definedName>
    <definedName name="IQ_NEXT_YR_PROD_EST_MIN_PLAT" hidden="1">"c9141"</definedName>
    <definedName name="IQ_NEXT_YR_PROD_EST_MIN_SILVER" hidden="1">"c9088"</definedName>
    <definedName name="IQ_NEXT_YR_PROD_EST_MIN_TITAN" hidden="1">"c9568"</definedName>
    <definedName name="IQ_NEXT_YR_PROD_EST_MIN_URAN" hidden="1">"c9621"</definedName>
    <definedName name="IQ_NEXT_YR_PROD_EST_MIN_ZINC" hidden="1">"c9356"</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THOM" hidden="1">"c5306"</definedName>
    <definedName name="IQ_NI_AFTER_CAPITALIZED" hidden="1">"c788"</definedName>
    <definedName name="IQ_NI_AVAIL_EXCL" hidden="1">"c789"</definedName>
    <definedName name="IQ_NI_AVAIL_EXCL_MARGIN" hidden="1">"c790"</definedName>
    <definedName name="IQ_NI_AVAIL_INCL" hidden="1">"c791"</definedName>
    <definedName name="IQ_NI_AVAIL_SUBTOTAL_AP" hidden="1">"c8984"</definedName>
    <definedName name="IQ_NI_BEFORE_CAPITALIZED" hidden="1">"c792"</definedName>
    <definedName name="IQ_NI_CF" hidden="1">"c793"</definedName>
    <definedName name="IQ_NI_CHARGES_AP" hidden="1">"c8879"</definedName>
    <definedName name="IQ_NI_CHARGES_AP_ABS" hidden="1">"c8898"</definedName>
    <definedName name="IQ_NI_CHARGES_NAME_AP" hidden="1">"c8917"</definedName>
    <definedName name="IQ_NI_CHARGES_NAME_AP_ABS" hidden="1">"c8936"</definedName>
    <definedName name="IQ_NI_EST" hidden="1">"c1716"</definedName>
    <definedName name="IQ_NI_EST_THOM" hidden="1">"c5126"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HIGH_EST_THOM" hidden="1">"c5128"</definedName>
    <definedName name="IQ_NI_LOW_EST" hidden="1">"c1719"</definedName>
    <definedName name="IQ_NI_LOW_EST_THOM" hidden="1">"c5129"</definedName>
    <definedName name="IQ_NI_MARGIN" hidden="1">"c794"</definedName>
    <definedName name="IQ_NI_MEDIAN_EST" hidden="1">"c1717"</definedName>
    <definedName name="IQ_NI_MEDIAN_EST_THOM" hidden="1">"c5127"</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THOM" hidden="1">"c5130"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 hidden="1">"c4474"</definedName>
    <definedName name="IQ_NI_SBC_ACT_OR_EST_CIQ" hidden="1">"c5012"</definedName>
    <definedName name="IQ_NI_SBC_GW_ACT_OR_EST" hidden="1">"c4478"</definedName>
    <definedName name="IQ_NI_SBC_GW_ACT_OR_EST_CIQ" hidden="1">"c5016"</definedName>
    <definedName name="IQ_NI_SFAS" hidden="1">"c795"</definedName>
    <definedName name="IQ_NI_STDDEV_EST" hidden="1">"c1721"</definedName>
    <definedName name="IQ_NI_STDDEV_EST_THOM" hidden="1">"c5131"</definedName>
    <definedName name="IQ_NI_SUBTOTAL_AP" hidden="1">"c8983"</definedName>
    <definedName name="IQ_NLA_PCT_LEASED_CONSOL" hidden="1">"c8815"</definedName>
    <definedName name="IQ_NLA_PCT_LEASED_MANAGED" hidden="1">"c8817"</definedName>
    <definedName name="IQ_NLA_PCT_LEASED_OTHER" hidden="1">"c8818"</definedName>
    <definedName name="IQ_NLA_PCT_LEASED_TOTAL" hidden="1">"c8819"</definedName>
    <definedName name="IQ_NLA_PCT_LEASED_UNCONSOL" hidden="1">"c8816"</definedName>
    <definedName name="IQ_NLA_SQ_FT_CONSOL" hidden="1">"c8800"</definedName>
    <definedName name="IQ_NLA_SQ_FT_MANAGED" hidden="1">"c8802"</definedName>
    <definedName name="IQ_NLA_SQ_FT_OTHER" hidden="1">"c8803"</definedName>
    <definedName name="IQ_NLA_SQ_FT_TOTAL" hidden="1">"c8804"</definedName>
    <definedName name="IQ_NLA_SQ_FT_UNCONSOL" hidden="1">"c8801"</definedName>
    <definedName name="IQ_NLA_SQ_METER_CONSOL" hidden="1">"c8805"</definedName>
    <definedName name="IQ_NLA_SQ_METER_MANAGED" hidden="1">"c8807"</definedName>
    <definedName name="IQ_NLA_SQ_METER_OTHER" hidden="1">"c8808"</definedName>
    <definedName name="IQ_NLA_SQ_METER_TOTAL" hidden="1">"c8809"</definedName>
    <definedName name="IQ_NLA_SQ_METER_UNCONSOL" hidden="1">"c8806"</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BEARING_DEPOSITS" hidden="1">"c800"</definedName>
    <definedName name="IQ_NON_INT_EXP" hidden="1">"c801"</definedName>
    <definedName name="IQ_NON_INT_EXP_BNK_AP" hidden="1">"c8877"</definedName>
    <definedName name="IQ_NON_INT_EXP_BNK_AP_ABS" hidden="1">"c8896"</definedName>
    <definedName name="IQ_NON_INT_EXP_BNK_NAME_AP" hidden="1">"c8915"</definedName>
    <definedName name="IQ_NON_INT_EXP_BNK_NAME_AP_ABS" hidden="1">"c8934"</definedName>
    <definedName name="IQ_NON_INT_EXP_BNK_SUBTOTAL_AP" hidden="1">"c8981"</definedName>
    <definedName name="IQ_NON_INT_EXP_FDIC" hidden="1">"c6579"</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BNK_AP" hidden="1">"c8876"</definedName>
    <definedName name="IQ_NON_INT_INC_BNK_AP_ABS" hidden="1">"c8895"</definedName>
    <definedName name="IQ_NON_INT_INC_BNK_NAME_AP" hidden="1">"c8914"</definedName>
    <definedName name="IQ_NON_INT_INC_BNK_NAME_AP_ABS" hidden="1">"c8933"</definedName>
    <definedName name="IQ_NON_INT_INC_BNK_SUBTOTAL_AP" hidden="1">"c8980"</definedName>
    <definedName name="IQ_NON_INT_INC_FDIC" hidden="1">"c6575"</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DEF_CAPITAL_GOODS_ORDERS" hidden="1">"c6932"</definedName>
    <definedName name="IQ_NONDEF_CAPITAL_GOODS_ORDERS_APR" hidden="1">"c7592"</definedName>
    <definedName name="IQ_NONDEF_CAPITAL_GOODS_ORDERS_APR_FC" hidden="1">"c8472"</definedName>
    <definedName name="IQ_NONDEF_CAPITAL_GOODS_ORDERS_FC" hidden="1">"c7812"</definedName>
    <definedName name="IQ_NONDEF_CAPITAL_GOODS_ORDERS_POP" hidden="1">"c7152"</definedName>
    <definedName name="IQ_NONDEF_CAPITAL_GOODS_ORDERS_POP_FC" hidden="1">"c8032"</definedName>
    <definedName name="IQ_NONDEF_CAPITAL_GOODS_ORDERS_YOY" hidden="1">"c7372"</definedName>
    <definedName name="IQ_NONDEF_CAPITAL_GOODS_ORDERS_YOY_FC" hidden="1">"c8252"</definedName>
    <definedName name="IQ_NONDEF_CAPITAL_GOODS_SHIPMENTS" hidden="1">"c6933"</definedName>
    <definedName name="IQ_NONDEF_CAPITAL_GOODS_SHIPMENTS_APR" hidden="1">"c7593"</definedName>
    <definedName name="IQ_NONDEF_CAPITAL_GOODS_SHIPMENTS_APR_FC" hidden="1">"c8473"</definedName>
    <definedName name="IQ_NONDEF_CAPITAL_GOODS_SHIPMENTS_FC" hidden="1">"c7813"</definedName>
    <definedName name="IQ_NONDEF_CAPITAL_GOODS_SHIPMENTS_POP" hidden="1">"c7153"</definedName>
    <definedName name="IQ_NONDEF_CAPITAL_GOODS_SHIPMENTS_POP_FC" hidden="1">"c8033"</definedName>
    <definedName name="IQ_NONDEF_CAPITAL_GOODS_SHIPMENTS_YOY" hidden="1">"c7373"</definedName>
    <definedName name="IQ_NONDEF_CAPITAL_GOODS_SHIPMENTS_YOY_FC" hidden="1">"c8253"</definedName>
    <definedName name="IQ_NONDEF_SPENDING_SAAR" hidden="1">"c6934"</definedName>
    <definedName name="IQ_NONDEF_SPENDING_SAAR_APR" hidden="1">"c7594"</definedName>
    <definedName name="IQ_NONDEF_SPENDING_SAAR_APR_FC" hidden="1">"c8474"</definedName>
    <definedName name="IQ_NONDEF_SPENDING_SAAR_FC" hidden="1">"c7814"</definedName>
    <definedName name="IQ_NONDEF_SPENDING_SAAR_POP" hidden="1">"c7154"</definedName>
    <definedName name="IQ_NONDEF_SPENDING_SAAR_POP_FC" hidden="1">"c8034"</definedName>
    <definedName name="IQ_NONDEF_SPENDING_SAAR_YOY" hidden="1">"c7374"</definedName>
    <definedName name="IQ_NONDEF_SPENDING_SAAR_YOY_FC" hidden="1">"c8254"</definedName>
    <definedName name="IQ_NONFARM_EMP_HRS_PCT_CHANGE" hidden="1">"c6935"</definedName>
    <definedName name="IQ_NONFARM_EMP_HRS_PCT_CHANGE_FC" hidden="1">"c7815"</definedName>
    <definedName name="IQ_NONFARM_EMP_HRS_PCT_CHANGE_POP" hidden="1">"c7155"</definedName>
    <definedName name="IQ_NONFARM_EMP_HRS_PCT_CHANGE_POP_FC" hidden="1">"c8035"</definedName>
    <definedName name="IQ_NONFARM_EMP_HRS_PCT_CHANGE_YOY" hidden="1">"c7375"</definedName>
    <definedName name="IQ_NONFARM_EMP_HRS_PCT_CHANGE_YOY_FC" hidden="1">"c8255"</definedName>
    <definedName name="IQ_NONFARM_OUTPUT_PER_HR" hidden="1">"c6936"</definedName>
    <definedName name="IQ_NONFARM_OUTPUT_PER_HR_APR" hidden="1">"c7596"</definedName>
    <definedName name="IQ_NONFARM_OUTPUT_PER_HR_APR_FC" hidden="1">"c8476"</definedName>
    <definedName name="IQ_NONFARM_OUTPUT_PER_HR_FC" hidden="1">"c7816"</definedName>
    <definedName name="IQ_NONFARM_OUTPUT_PER_HR_POP" hidden="1">"c7156"</definedName>
    <definedName name="IQ_NONFARM_OUTPUT_PER_HR_POP_FC" hidden="1">"c8036"</definedName>
    <definedName name="IQ_NONFARM_OUTPUT_PER_HR_YOY" hidden="1">"c7376"</definedName>
    <definedName name="IQ_NONFARM_OUTPUT_PER_HR_YOY_FC" hidden="1">"c8256"</definedName>
    <definedName name="IQ_NONFARM_PAYROLLS" hidden="1">"c6926"</definedName>
    <definedName name="IQ_NONFARM_PAYROLLS_APR" hidden="1">"c7586"</definedName>
    <definedName name="IQ_NONFARM_PAYROLLS_APR_FC" hidden="1">"c8466"</definedName>
    <definedName name="IQ_NONFARM_PAYROLLS_FC" hidden="1">"c7806"</definedName>
    <definedName name="IQ_NONFARM_PAYROLLS_POP" hidden="1">"c7146"</definedName>
    <definedName name="IQ_NONFARM_PAYROLLS_POP_FC" hidden="1">"c8026"</definedName>
    <definedName name="IQ_NONFARM_PAYROLLS_YOY" hidden="1">"c7366"</definedName>
    <definedName name="IQ_NONFARM_PAYROLLS_YOY_FC" hidden="1">"c8246"</definedName>
    <definedName name="IQ_NONFARM_TOTAL_HR_INDEX" hidden="1">"c6937"</definedName>
    <definedName name="IQ_NONFARM_TOTAL_HR_INDEX_APR" hidden="1">"c7597"</definedName>
    <definedName name="IQ_NONFARM_TOTAL_HR_INDEX_APR_FC" hidden="1">"c8477"</definedName>
    <definedName name="IQ_NONFARM_TOTAL_HR_INDEX_FC" hidden="1">"c7817"</definedName>
    <definedName name="IQ_NONFARM_TOTAL_HR_INDEX_POP" hidden="1">"c7157"</definedName>
    <definedName name="IQ_NONFARM_TOTAL_HR_INDEX_POP_FC" hidden="1">"c8037"</definedName>
    <definedName name="IQ_NONFARM_TOTAL_HR_INDEX_YOY" hidden="1">"c7377"</definedName>
    <definedName name="IQ_NONFARM_TOTAL_HR_INDEX_YOY_FC" hidden="1">"c8257"</definedName>
    <definedName name="IQ_NONFARM_WAGES" hidden="1">"c6938"</definedName>
    <definedName name="IQ_NONFARM_WAGES_APR" hidden="1">"c7598"</definedName>
    <definedName name="IQ_NONFARM_WAGES_APR_FC" hidden="1">"c8478"</definedName>
    <definedName name="IQ_NONFARM_WAGES_FC" hidden="1">"c7818"</definedName>
    <definedName name="IQ_NONFARM_WAGES_INDEX" hidden="1">"c6939"</definedName>
    <definedName name="IQ_NONFARM_WAGES_INDEX_APR" hidden="1">"c7599"</definedName>
    <definedName name="IQ_NONFARM_WAGES_INDEX_APR_FC" hidden="1">"c8479"</definedName>
    <definedName name="IQ_NONFARM_WAGES_INDEX_FC" hidden="1">"c7819"</definedName>
    <definedName name="IQ_NONFARM_WAGES_INDEX_POP" hidden="1">"c7159"</definedName>
    <definedName name="IQ_NONFARM_WAGES_INDEX_POP_FC" hidden="1">"c8039"</definedName>
    <definedName name="IQ_NONFARM_WAGES_INDEX_YOY" hidden="1">"c7379"</definedName>
    <definedName name="IQ_NONFARM_WAGES_INDEX_YOY_FC" hidden="1">"c8259"</definedName>
    <definedName name="IQ_NONFARM_WAGES_POP" hidden="1">"c7158"</definedName>
    <definedName name="IQ_NONFARM_WAGES_POP_FC" hidden="1">"c8038"</definedName>
    <definedName name="IQ_NONFARM_WAGES_YOY" hidden="1">"c7378"</definedName>
    <definedName name="IQ_NONFARM_WAGES_YOY_FC" hidden="1">"c8258"</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 hidden="1">"c6931"</definedName>
    <definedName name="IQ_NONRES_FIXED_INVEST_APR" hidden="1">"c7591"</definedName>
    <definedName name="IQ_NONRES_FIXED_INVEST_POP" hidden="1">"c7151"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REAL" hidden="1">"c6989"</definedName>
    <definedName name="IQ_NONRES_FIXED_INVEST_PRIV_REAL_APR" hidden="1">"c7649"</definedName>
    <definedName name="IQ_NONRES_FIXED_INVEST_PRIV_REAL_APR_FC" hidden="1">"c8529"</definedName>
    <definedName name="IQ_NONRES_FIXED_INVEST_PRIV_REAL_FC" hidden="1">"c7869"</definedName>
    <definedName name="IQ_NONRES_FIXED_INVEST_PRIV_REAL_POP" hidden="1">"c7209"</definedName>
    <definedName name="IQ_NONRES_FIXED_INVEST_PRIV_REAL_POP_FC" hidden="1">"c8089"</definedName>
    <definedName name="IQ_NONRES_FIXED_INVEST_PRIV_REAL_SAAR" hidden="1">"c6990"</definedName>
    <definedName name="IQ_NONRES_FIXED_INVEST_PRIV_REAL_SAAR_APR" hidden="1">"c7650"</definedName>
    <definedName name="IQ_NONRES_FIXED_INVEST_PRIV_REAL_SAAR_APR_FC" hidden="1">"c8530"</definedName>
    <definedName name="IQ_NONRES_FIXED_INVEST_PRIV_REAL_SAAR_FC" hidden="1">"c7870"</definedName>
    <definedName name="IQ_NONRES_FIXED_INVEST_PRIV_REAL_SAAR_POP" hidden="1">"c7210"</definedName>
    <definedName name="IQ_NONRES_FIXED_INVEST_PRIV_REAL_SAAR_POP_FC" hidden="1">"c8090"</definedName>
    <definedName name="IQ_NONRES_FIXED_INVEST_PRIV_REAL_SAAR_USD_APR_FC" hidden="1">"c11981"</definedName>
    <definedName name="IQ_NONRES_FIXED_INVEST_PRIV_REAL_SAAR_USD_FC" hidden="1">"c11978"</definedName>
    <definedName name="IQ_NONRES_FIXED_INVEST_PRIV_REAL_SAAR_USD_POP_FC" hidden="1">"c11979"</definedName>
    <definedName name="IQ_NONRES_FIXED_INVEST_PRIV_REAL_SAAR_USD_YOY_FC" hidden="1">"c11980"</definedName>
    <definedName name="IQ_NONRES_FIXED_INVEST_PRIV_REAL_SAAR_YOY" hidden="1">"c7430"</definedName>
    <definedName name="IQ_NONRES_FIXED_INVEST_PRIV_REAL_SAAR_YOY_FC" hidden="1">"c8310"</definedName>
    <definedName name="IQ_NONRES_FIXED_INVEST_PRIV_REAL_USD_APR_FC" hidden="1">"c11977"</definedName>
    <definedName name="IQ_NONRES_FIXED_INVEST_PRIV_REAL_USD_FC" hidden="1">"c11974"</definedName>
    <definedName name="IQ_NONRES_FIXED_INVEST_PRIV_REAL_USD_POP_FC" hidden="1">"c11975"</definedName>
    <definedName name="IQ_NONRES_FIXED_INVEST_PRIV_REAL_USD_YOY_FC" hidden="1">"c11976"</definedName>
    <definedName name="IQ_NONRES_FIXED_INVEST_PRIV_REAL_YOY" hidden="1">"c7429"</definedName>
    <definedName name="IQ_NONRES_FIXED_INVEST_PRIV_REAL_YOY_FC" hidden="1">"c8309"</definedName>
    <definedName name="IQ_NONRES_FIXED_INVEST_PRIV_SAAR" hidden="1">"c6929"</definedName>
    <definedName name="IQ_NONRES_FIXED_INVEST_PRIV_SAAR_APR" hidden="1">"c7589"</definedName>
    <definedName name="IQ_NONRES_FIXED_INVEST_PRIV_SAAR_APR_FC" hidden="1">"c8469"</definedName>
    <definedName name="IQ_NONRES_FIXED_INVEST_PRIV_SAAR_FC" hidden="1">"c7809"</definedName>
    <definedName name="IQ_NONRES_FIXED_INVEST_PRIV_SAAR_POP" hidden="1">"c7149"</definedName>
    <definedName name="IQ_NONRES_FIXED_INVEST_PRIV_SAAR_POP_FC" hidden="1">"c8029"</definedName>
    <definedName name="IQ_NONRES_FIXED_INVEST_PRIV_SAAR_USD_APR_FC" hidden="1">"c11877"</definedName>
    <definedName name="IQ_NONRES_FIXED_INVEST_PRIV_SAAR_USD_FC" hidden="1">"c11874"</definedName>
    <definedName name="IQ_NONRES_FIXED_INVEST_PRIV_SAAR_USD_POP_FC" hidden="1">"c11875"</definedName>
    <definedName name="IQ_NONRES_FIXED_INVEST_PRIV_SAAR_USD_YOY_FC" hidden="1">"c11876"</definedName>
    <definedName name="IQ_NONRES_FIXED_INVEST_PRIV_SAAR_YOY" hidden="1">"c7369"</definedName>
    <definedName name="IQ_NONRES_FIXED_INVEST_PRIV_SAAR_YOY_FC" hidden="1">"c8249"</definedName>
    <definedName name="IQ_NONRES_FIXED_INVEST_PRIV_UNUSED_UNUSED_UNUSED" hidden="1">"c6928"</definedName>
    <definedName name="IQ_NONRES_FIXED_INVEST_PRIV_USD_APR_FC" hidden="1">"c11873"</definedName>
    <definedName name="IQ_NONRES_FIXED_INVEST_PRIV_USD_FC" hidden="1">"c11870"</definedName>
    <definedName name="IQ_NONRES_FIXED_INVEST_PRIV_USD_POP_FC" hidden="1">"c11871"</definedName>
    <definedName name="IQ_NONRES_FIXED_INVEST_PRIV_USD_YOY_FC" hidden="1">"c11872"</definedName>
    <definedName name="IQ_NONRES_FIXED_INVEST_PRIV_YOY_FC_UNUSED_UNUSED_UNUSED" hidden="1">"c8248"</definedName>
    <definedName name="IQ_NONRES_FIXED_INVEST_PRIV_YOY_UNUSED_UNUSED_UNUSED" hidden="1">"c7368"</definedName>
    <definedName name="IQ_NONRES_FIXED_INVEST_REAL" hidden="1">"c6993"</definedName>
    <definedName name="IQ_NONRES_FIXED_INVEST_REAL_APR" hidden="1">"c7653"</definedName>
    <definedName name="IQ_NONRES_FIXED_INVEST_REAL_POP" hidden="1">"c7213"</definedName>
    <definedName name="IQ_NONRES_FIXED_INVEST_REAL_SAAR" hidden="1">"c6987"</definedName>
    <definedName name="IQ_NONRES_FIXED_INVEST_REAL_SAAR_APR" hidden="1">"c7647"</definedName>
    <definedName name="IQ_NONRES_FIXED_INVEST_REAL_SAAR_APR_FC" hidden="1">"c8527"</definedName>
    <definedName name="IQ_NONRES_FIXED_INVEST_REAL_SAAR_FC" hidden="1">"c7867"</definedName>
    <definedName name="IQ_NONRES_FIXED_INVEST_REAL_SAAR_POP" hidden="1">"c7207"</definedName>
    <definedName name="IQ_NONRES_FIXED_INVEST_REAL_SAAR_POP_FC" hidden="1">"c8087"</definedName>
    <definedName name="IQ_NONRES_FIXED_INVEST_REAL_SAAR_YOY" hidden="1">"c7427"</definedName>
    <definedName name="IQ_NONRES_FIXED_INVEST_REAL_SAAR_YOY_FC" hidden="1">"c8307"</definedName>
    <definedName name="IQ_NONRES_FIXED_INVEST_REAL_USD_APR_FC" hidden="1">"c11973"</definedName>
    <definedName name="IQ_NONRES_FIXED_INVEST_REAL_USD_FC" hidden="1">"c11970"</definedName>
    <definedName name="IQ_NONRES_FIXED_INVEST_REAL_USD_POP_FC" hidden="1">"c11971"</definedName>
    <definedName name="IQ_NONRES_FIXED_INVEST_REAL_USD_YOY_FC" hidden="1">"c11972"</definedName>
    <definedName name="IQ_NONRES_FIXED_INVEST_REAL_YOY" hidden="1">"c7433"</definedName>
    <definedName name="IQ_NONRES_FIXED_INVEST_STRUCT" hidden="1">"c6930"</definedName>
    <definedName name="IQ_NONRES_FIXED_INVEST_STRUCT_APR" hidden="1">"c7590"</definedName>
    <definedName name="IQ_NONRES_FIXED_INVEST_STRUCT_APR_FC" hidden="1">"c8470"</definedName>
    <definedName name="IQ_NONRES_FIXED_INVEST_STRUCT_FC" hidden="1">"c7810"</definedName>
    <definedName name="IQ_NONRES_FIXED_INVEST_STRUCT_POP" hidden="1">"c7150"</definedName>
    <definedName name="IQ_NONRES_FIXED_INVEST_STRUCT_POP_FC" hidden="1">"c8030"</definedName>
    <definedName name="IQ_NONRES_FIXED_INVEST_STRUCT_REAL" hidden="1">"c6992"</definedName>
    <definedName name="IQ_NONRES_FIXED_INVEST_STRUCT_REAL_APR" hidden="1">"c7652"</definedName>
    <definedName name="IQ_NONRES_FIXED_INVEST_STRUCT_REAL_APR_FC" hidden="1">"c8532"</definedName>
    <definedName name="IQ_NONRES_FIXED_INVEST_STRUCT_REAL_FC" hidden="1">"c7872"</definedName>
    <definedName name="IQ_NONRES_FIXED_INVEST_STRUCT_REAL_POP" hidden="1">"c7212"</definedName>
    <definedName name="IQ_NONRES_FIXED_INVEST_STRUCT_REAL_POP_FC" hidden="1">"c8092"</definedName>
    <definedName name="IQ_NONRES_FIXED_INVEST_STRUCT_REAL_SAAR" hidden="1">"c6991"</definedName>
    <definedName name="IQ_NONRES_FIXED_INVEST_STRUCT_REAL_SAAR_APR" hidden="1">"c7651"</definedName>
    <definedName name="IQ_NONRES_FIXED_INVEST_STRUCT_REAL_SAAR_APR_FC" hidden="1">"c8531"</definedName>
    <definedName name="IQ_NONRES_FIXED_INVEST_STRUCT_REAL_SAAR_FC" hidden="1">"c7871"</definedName>
    <definedName name="IQ_NONRES_FIXED_INVEST_STRUCT_REAL_SAAR_POP" hidden="1">"c7211"</definedName>
    <definedName name="IQ_NONRES_FIXED_INVEST_STRUCT_REAL_SAAR_POP_FC" hidden="1">"c8091"</definedName>
    <definedName name="IQ_NONRES_FIXED_INVEST_STRUCT_REAL_SAAR_YOY" hidden="1">"c7431"</definedName>
    <definedName name="IQ_NONRES_FIXED_INVEST_STRUCT_REAL_SAAR_YOY_FC" hidden="1">"c8311"</definedName>
    <definedName name="IQ_NONRES_FIXED_INVEST_STRUCT_REAL_USD_APR_FC" hidden="1">"c11985"</definedName>
    <definedName name="IQ_NONRES_FIXED_INVEST_STRUCT_REAL_USD_FC" hidden="1">"c11982"</definedName>
    <definedName name="IQ_NONRES_FIXED_INVEST_STRUCT_REAL_USD_POP_FC" hidden="1">"c11983"</definedName>
    <definedName name="IQ_NONRES_FIXED_INVEST_STRUCT_REAL_USD_YOY_FC" hidden="1">"c11984"</definedName>
    <definedName name="IQ_NONRES_FIXED_INVEST_STRUCT_REAL_YOY" hidden="1">"c7432"</definedName>
    <definedName name="IQ_NONRES_FIXED_INVEST_STRUCT_REAL_YOY_FC" hidden="1">"c8312"</definedName>
    <definedName name="IQ_NONRES_FIXED_INVEST_STRUCT_USD_APR_FC" hidden="1">"c11881"</definedName>
    <definedName name="IQ_NONRES_FIXED_INVEST_STRUCT_USD_FC" hidden="1">"c11878"</definedName>
    <definedName name="IQ_NONRES_FIXED_INVEST_STRUCT_USD_POP_FC" hidden="1">"c11879"</definedName>
    <definedName name="IQ_NONRES_FIXED_INVEST_STRUCT_USD_YOY_FC" hidden="1">"c11880"</definedName>
    <definedName name="IQ_NONRES_FIXED_INVEST_STRUCT_YOY" hidden="1">"c7370"</definedName>
    <definedName name="IQ_NONRES_FIXED_INVEST_STRUCT_YOY_FC" hidden="1">"c8250"</definedName>
    <definedName name="IQ_NONRES_FIXED_INVEST_USD_APR_FC" hidden="1">"c11869"</definedName>
    <definedName name="IQ_NONRES_FIXED_INVEST_USD_FC" hidden="1">"c11866"</definedName>
    <definedName name="IQ_NONRES_FIXED_INVEST_USD_POP_FC" hidden="1">"c11867"</definedName>
    <definedName name="IQ_NONRES_FIXED_INVEST_USD_YOY_FC" hidden="1">"c11868"</definedName>
    <definedName name="IQ_NONRES_FIXED_INVEST_YOY" hidden="1">"c7371"</definedName>
    <definedName name="IQ_NONTRANSACTION_ACCOUNTS_FDIC" hidden="1">"c6552"</definedName>
    <definedName name="IQ_NONUTIL_REV" hidden="1">"c2089"</definedName>
    <definedName name="IQ_NORM_EPS_ACT_OR_EST" hidden="1">"c2249"</definedName>
    <definedName name="IQ_NORM_EPS_ACT_OR_EST_CIQ" hidden="1">"c5069"</definedName>
    <definedName name="IQ_NORMAL_INC_AFTER" hidden="1">"c1605"</definedName>
    <definedName name="IQ_NORMAL_INC_AVAIL" hidden="1">"c1606"</definedName>
    <definedName name="IQ_NORMAL_INC_BEFORE" hidden="1">"c1607"</definedName>
    <definedName name="IQ_NOTES_PAY" hidden="1">"c1423"</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_OFFIC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MINES_ALUM" hidden="1">"c9248"</definedName>
    <definedName name="IQ_NUMBER_MINES_COAL" hidden="1">"c9822"</definedName>
    <definedName name="IQ_NUMBER_MINES_COP" hidden="1">"c9193"</definedName>
    <definedName name="IQ_NUMBER_MINES_DIAM" hidden="1">"c9672"</definedName>
    <definedName name="IQ_NUMBER_MINES_GOLD" hidden="1">"c9033"</definedName>
    <definedName name="IQ_NUMBER_MINES_IRON" hidden="1">"c9407"</definedName>
    <definedName name="IQ_NUMBER_MINES_LEAD" hidden="1">"c9460"</definedName>
    <definedName name="IQ_NUMBER_MINES_MANG" hidden="1">"c9513"</definedName>
    <definedName name="IQ_NUMBER_MINES_MOLYB" hidden="1">"c9725"</definedName>
    <definedName name="IQ_NUMBER_MINES_NICK" hidden="1">"c9301"</definedName>
    <definedName name="IQ_NUMBER_MINES_PLAT" hidden="1">"c9139"</definedName>
    <definedName name="IQ_NUMBER_MINES_SILVER" hidden="1">"c9086"</definedName>
    <definedName name="IQ_NUMBER_MINES_TITAN" hidden="1">"c9566"</definedName>
    <definedName name="IQ_NUMBER_MINES_URAN" hidden="1">"c9619"</definedName>
    <definedName name="IQ_NUMBER_MINES_ZINC" hidden="1">"c9354"</definedName>
    <definedName name="IQ_NUMBER_SHAREHOLDERS" hidden="1">"c1967"</definedName>
    <definedName name="IQ_NUMBER_SHAREHOLDERS_CLASSA" hidden="1">"c1968"</definedName>
    <definedName name="IQ_NUMBER_SHAREHOLDERS_CLASSB" hidden="1">"c1969"</definedName>
    <definedName name="IQ_NUMBER_SHAREHOLDERS_OTHER" hidden="1">"c1969"</definedName>
    <definedName name="IQ_OBLIGATIONS_OF_STATES_TOTAL_LOANS_FOREIGN_FDIC" hidden="1">"c6447"</definedName>
    <definedName name="IQ_OBLIGATIONS_STATES_FDIC" hidden="1">"c6431"</definedName>
    <definedName name="IQ_OCCUPANCY_CONSOL" hidden="1">"c8840"</definedName>
    <definedName name="IQ_OCCUPANCY_MANAGED" hidden="1">"c8842"</definedName>
    <definedName name="IQ_OCCUPANCY_OTHER" hidden="1">"c8843"</definedName>
    <definedName name="IQ_OCCUPANCY_SAME_PROP" hidden="1">"c8845"</definedName>
    <definedName name="IQ_OCCUPANCY_TOTAL" hidden="1">"c8844"</definedName>
    <definedName name="IQ_OCCUPANCY_UNCONSOL" hidden="1">"c8841"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GAS_EQUIV_PRODUCTION_MMCFE" hidden="1">"c10061"</definedName>
    <definedName name="IQ_OG_AVG_DAILY_OIL_EQUIV_PRODUCTION_KBOE" hidden="1">"c10060"</definedName>
    <definedName name="IQ_OG_AVG_DAILY_PROD_GAS" hidden="1">"c2910"</definedName>
    <definedName name="IQ_OG_AVG_DAILY_PROD_NGL" hidden="1">"c2911"</definedName>
    <definedName name="IQ_OG_AVG_DAILY_PROD_OIL" hidden="1">"c2909"</definedName>
    <definedName name="IQ_OG_AVG_DAILY_PRODUCTION_GAS_MMCM" hidden="1">"c10059"</definedName>
    <definedName name="IQ_OG_AVG_DAILY_SALES_VOL_EQ_INC_GAS" hidden="1">"c5797"</definedName>
    <definedName name="IQ_OG_AVG_DAILY_SALES_VOL_EQ_INC_NGL" hidden="1">"c5798"</definedName>
    <definedName name="IQ_OG_AVG_DAILY_SALES_VOL_EQ_INC_OIL" hidden="1">"c5796"</definedName>
    <definedName name="IQ_OG_AVG_GAS_PRICE_CBM_HEDGED" hidden="1">"c10054"</definedName>
    <definedName name="IQ_OG_AVG_GAS_PRICE_CBM_UNHEDGED" hidden="1">"c10055"</definedName>
    <definedName name="IQ_OG_AVG_PRODUCTION_COST_BBL" hidden="1">"c10062"</definedName>
    <definedName name="IQ_OG_AVG_PRODUCTION_COST_BOE" hidden="1">"c10064"</definedName>
    <definedName name="IQ_OG_AVG_PRODUCTION_COST_MCF" hidden="1">"c10063"</definedName>
    <definedName name="IQ_OG_AVG_PRODUCTION_COST_MCFE" hidden="1">"c10065"</definedName>
    <definedName name="IQ_OG_CLOSE_BALANCE_GAS" hidden="1">"c2049"</definedName>
    <definedName name="IQ_OG_CLOSE_BALANCE_NGL" hidden="1">"c2920"</definedName>
    <definedName name="IQ_OG_CLOSE_BALANCE_OIL" hidden="1">"c2037"</definedName>
    <definedName name="IQ_OG_DAILY_PRDUCTION_GROWTH_GAS" hidden="1">"c10073"</definedName>
    <definedName name="IQ_OG_DAILY_PRDUCTION_GROWTH_GAS_EQUIVALENT" hidden="1">"c10076"</definedName>
    <definedName name="IQ_OG_DAILY_PRDUCTION_GROWTH_NGL" hidden="1">"c10074"</definedName>
    <definedName name="IQ_OG_DAILY_PRDUCTION_GROWTH_OIL" hidden="1">"c10072"</definedName>
    <definedName name="IQ_OG_DAILY_PRDUCTION_GROWTH_OIL_EQUIVALENT" hidden="1">"c10075"</definedName>
    <definedName name="IQ_OG_DAILY_PRODUCTION_GROWTH_GAS" hidden="1">"c10073"</definedName>
    <definedName name="IQ_OG_DAILY_PRODUCTION_GROWTH_GAS_EQUIVALENT" hidden="1">"c10076"</definedName>
    <definedName name="IQ_OG_DAILY_PRODUCTION_GROWTH_NGL" hidden="1">"c10074"</definedName>
    <definedName name="IQ_OG_DAILY_PRODUCTION_GROWTH_OIL" hidden="1">"c10072"</definedName>
    <definedName name="IQ_OG_DAILY_PRODUCTION_GROWTH_OIL_EQUIVALENT" hidden="1">"c10075"</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GAS_BCM" hidden="1">"c10045"</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AFFILIATES_RESERVES_GAS_BCM" hidden="1">"c10047"</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PLORATION_DEVELOPMENT_COST" hidden="1">"c10081"</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GROSS_DEVELOPED_AREA_SQ_KM" hidden="1">"c10079"</definedName>
    <definedName name="IQ_OG_GROSS_DEVELOPMENT_DRY_WELLS_DRILLED" hidden="1">"c10098"</definedName>
    <definedName name="IQ_OG_GROSS_DEVELOPMENT_PRODUCTIVE_WELLS_DRILLED" hidden="1">"c10097"</definedName>
    <definedName name="IQ_OG_GROSS_DEVELOPMENT_TOTAL_WELLS_DRILLED" hidden="1">"c10099"</definedName>
    <definedName name="IQ_OG_GROSS_EXPLORATORY_DRY_WELLS_DRILLED" hidden="1">"c10095"</definedName>
    <definedName name="IQ_OG_GROSS_EXPLORATORY_PRODUCTIVE_WELLS_DRILLED" hidden="1">"c10094"</definedName>
    <definedName name="IQ_OG_GROSS_EXPLORATORY_TOTAL_WELLS_DRILLED" hidden="1">"c10096"</definedName>
    <definedName name="IQ_OG_GROSS_OPERATED_WELLS" hidden="1">"c10092"</definedName>
    <definedName name="IQ_OG_GROSS_PRODUCTIVE_WELLS_GAS" hidden="1">"c10087"</definedName>
    <definedName name="IQ_OG_GROSS_PRODUCTIVE_WELLS_OIL" hidden="1">"c10086"</definedName>
    <definedName name="IQ_OG_GROSS_PRODUCTIVE_WELLS_TOTAL" hidden="1">"c10088"</definedName>
    <definedName name="IQ_OG_GROSS_TOTAL_WELLS_DRILLED" hidden="1">"c10100"</definedName>
    <definedName name="IQ_OG_GROSS_UNDEVELOPED_AREA_SQ_KM" hidden="1">"c10077"</definedName>
    <definedName name="IQ_OG_GROSS_WELLS_DRILLING" hidden="1">"c10108"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DEVELOPED_AREA_SQ_KM" hidden="1">"c10080"</definedName>
    <definedName name="IQ_OG_NET_DEVELOPMENT_DRY_WELLS_DRILLED" hidden="1">"c10105"</definedName>
    <definedName name="IQ_OG_NET_DEVELOPMENT_PRODUCTIVE_WELLS_DRILLED" hidden="1">"c10104"</definedName>
    <definedName name="IQ_OG_NET_DEVELOPMENT_TOTAL_WELLS_DRILLED" hidden="1">"c10106"</definedName>
    <definedName name="IQ_OG_NET_EXPLORATORY_DRY_WELLS_DRILLED" hidden="1">"c10102"</definedName>
    <definedName name="IQ_OG_NET_EXPLORATORY_PRODUCTIVE_WELLS_DRILLED" hidden="1">"c10101"</definedName>
    <definedName name="IQ_OG_NET_EXPLORATORY_TOTAL_WELLS_DRILLED" hidden="1">"c10103"</definedName>
    <definedName name="IQ_OG_NET_FUTURE_CASH_FLOWS" hidden="1">"c1996"</definedName>
    <definedName name="IQ_OG_NET_FUTURE_CASH_FLOWS_GAS" hidden="1">"c2016"</definedName>
    <definedName name="IQ_OG_NET_FUTURE_CASH_FLOWS_OIL" hidden="1">"c2006"</definedName>
    <definedName name="IQ_OG_NET_OPERATED_WELLS" hidden="1">"c10093"</definedName>
    <definedName name="IQ_OG_NET_PRODUCTIVE_WELLS_GAS" hidden="1">"c10090"</definedName>
    <definedName name="IQ_OG_NET_PRODUCTIVE_WELLS_OIL" hidden="1">"c10089"</definedName>
    <definedName name="IQ_OG_NET_PRODUCTIVE_WELLS_TOTAL" hidden="1">"c10091"</definedName>
    <definedName name="IQ_OG_NET_TOTAL_WELLS_DRILLED" hidden="1">"c10107"</definedName>
    <definedName name="IQ_OG_NET_UNDEVELOPED_AREA_SQ_KM" hidden="1">"c10078"</definedName>
    <definedName name="IQ_OG_NET_WELLS_DRILLING" hidden="1">"c10109"</definedName>
    <definedName name="IQ_OG_NUMBER_WELLS_NEW" hidden="1">"c10085"</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 hidden="1">"c1999"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DUCTION_GROWTH_GAS" hidden="1">"c10067"</definedName>
    <definedName name="IQ_OG_PRDUCTION_GROWTH_GAS_EQUIVALENT" hidden="1">"c10070"</definedName>
    <definedName name="IQ_OG_PRDUCTION_GROWTH_NGL" hidden="1">"c10068"</definedName>
    <definedName name="IQ_OG_PRDUCTION_GROWTH_OIL" hidden="1">"c10066"</definedName>
    <definedName name="IQ_OG_PRDUCTION_GROWTH_OIL_EQUIVALENT" hidden="1">"c10069"</definedName>
    <definedName name="IQ_OG_PRDUCTION_GROWTH_TOAL" hidden="1">"c10071"</definedName>
    <definedName name="IQ_OG_PRODUCTION_GAS" hidden="1">"c2047"</definedName>
    <definedName name="IQ_OG_PRODUCTION_GROWTH_GAS" hidden="1">"c10067"</definedName>
    <definedName name="IQ_OG_PRODUCTION_GROWTH_GAS_EQUIVALENT" hidden="1">"c10070"</definedName>
    <definedName name="IQ_OG_PRODUCTION_GROWTH_NGL" hidden="1">"c10068"</definedName>
    <definedName name="IQ_OG_PRODUCTION_GROWTH_OIL" hidden="1">"c10066"</definedName>
    <definedName name="IQ_OG_PRODUCTION_GROWTH_OIL_EQUIVALENT" hidden="1">"c10069"</definedName>
    <definedName name="IQ_OG_PRODUCTION_GROWTH_TOTAL" hidden="1">"c10071"</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RIGS_NON_OPERATED" hidden="1">"c10083"</definedName>
    <definedName name="IQ_OG_RIGS_OPERATED" hidden="1">"c10082"</definedName>
    <definedName name="IQ_OG_RIGS_TOTAL" hidden="1">"c10084"</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EQUIV_PRODUCTION_BCFE" hidden="1">"c10058"</definedName>
    <definedName name="IQ_OG_TOTAL_GAS_PRODUCTION" hidden="1">"c2060"</definedName>
    <definedName name="IQ_OG_TOTAL_LIQUID_GAS_PRODUCTION" hidden="1">"c2235"</definedName>
    <definedName name="IQ_OG_TOTAL_OIL_EQUIV_PRODUCTION_MMBOE" hidden="1">"c10057"</definedName>
    <definedName name="IQ_OG_TOTAL_OIL_PRODUCTION" hidden="1">"c2059"</definedName>
    <definedName name="IQ_OG_TOTAL_OIL_PRODUCTON" hidden="1">"c2059"</definedName>
    <definedName name="IQ_OG_TOTAL_POSSIBLE_RESERVES_GAS_BCF" hidden="1">"c10050"</definedName>
    <definedName name="IQ_OG_TOTAL_POSSIBLE_RESERVES_GAS_BCM" hidden="1">"c10051"</definedName>
    <definedName name="IQ_OG_TOTAL_POSSIBLE_RESERVES_OIL_MMBBLS" hidden="1">"c10053"</definedName>
    <definedName name="IQ_OG_TOTAL_PROBABLE_RESERVES_GAS_BCF" hidden="1">"c10048"</definedName>
    <definedName name="IQ_OG_TOTAL_PROBABLE_RESERVES_GAS_BCM" hidden="1">"c10049"</definedName>
    <definedName name="IQ_OG_TOTAL_PROBABLE_RESERVES_OIL_MMBBLS" hidden="1">"c10052"</definedName>
    <definedName name="IQ_OG_TOTAL_PRODUCTION_GAS_BCM" hidden="1">"c10056"</definedName>
    <definedName name="IQ_OG_TOTAL_PROVED_RESERVES_GAS_BCM" hidden="1">"c10046"</definedName>
    <definedName name="IQ_OG_UNDEVELOPED_ACRE_GROSS_EQ_INC" hidden="1">"c5800"</definedName>
    <definedName name="IQ_OG_UNDEVELOPED_ACRE_NET_EQ_INC" hidden="1">"c5801"</definedName>
    <definedName name="IQ_OG_UNDEVELOPED_RESERVES_GAS" hidden="1">"c2051"</definedName>
    <definedName name="IQ_OG_UNDEVELOPED_RESERVES_GAS_BCM" hidden="1">"c10044"</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ACT_OR_EST" hidden="1">"c2220"</definedName>
    <definedName name="IQ_OPER_INC_ACT_OR_EST_THOM" hidden="1">"c5304"</definedName>
    <definedName name="IQ_OPER_INC_BR" hidden="1">"c850"</definedName>
    <definedName name="IQ_OPER_INC_EST" hidden="1">"c1688"</definedName>
    <definedName name="IQ_OPER_INC_EST_THOM" hidden="1">"c5112"</definedName>
    <definedName name="IQ_OPER_INC_FIN" hidden="1">"c851"</definedName>
    <definedName name="IQ_OPER_INC_HIGH_EST" hidden="1">"c1690"</definedName>
    <definedName name="IQ_OPER_INC_HIGH_EST_THOM" hidden="1">"c5114"</definedName>
    <definedName name="IQ_OPER_INC_INS" hidden="1">"c852"</definedName>
    <definedName name="IQ_OPER_INC_LOW_EST" hidden="1">"c1691"</definedName>
    <definedName name="IQ_OPER_INC_LOW_EST_THOM" hidden="1">"c5115"</definedName>
    <definedName name="IQ_OPER_INC_MARGIN" hidden="1">"c1448"</definedName>
    <definedName name="IQ_OPER_INC_MEDIAN_EST" hidden="1">"c1689"</definedName>
    <definedName name="IQ_OPER_INC_MEDIAN_EST_THOM" hidden="1">"c5113"</definedName>
    <definedName name="IQ_OPER_INC_NUM_EST" hidden="1">"c1692"</definedName>
    <definedName name="IQ_OPER_INC_NUM_EST_THOM" hidden="1">"c5116"</definedName>
    <definedName name="IQ_OPER_INC_RE" hidden="1">"c6240"</definedName>
    <definedName name="IQ_OPER_INC_REIT" hidden="1">"c853"</definedName>
    <definedName name="IQ_OPER_INC_STDDEV_EST" hidden="1">"c1693"</definedName>
    <definedName name="IQ_OPER_INC_STDDEV_EST_THOM" hidden="1">"c5117"</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CERCISED" hidden="1">"c2116"</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OS" hidden="1">"c858"</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DJUSTMENTS_COVERED" hidden="1">"c9961"</definedName>
    <definedName name="IQ_OTHER_ADJUSTMENTS_GROUP" hidden="1">"c9947"</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DS" hidden="1">"c8784"</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PROP" hidden="1">"c8764"</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"c1410"</definedName>
    <definedName name="IQ_OTHER_ROOMS" hidden="1">"c8788"</definedName>
    <definedName name="IQ_OTHER_SAVINGS_DEPOSITS_FDIC" hidden="1">"c6554"</definedName>
    <definedName name="IQ_OTHER_SQ_FT" hidden="1">"c8780"</definedName>
    <definedName name="IQ_OTHER_STRIKE_PRICE_GRANTED" hidden="1">"c2692"</definedName>
    <definedName name="IQ_OTHER_TRANSACTIONS_FDIC" hidden="1">"c6504"</definedName>
    <definedName name="IQ_OTHER_UNDRAWN" hidden="1">"c2522"</definedName>
    <definedName name="IQ_OTHER_UNITS" hidden="1">"c8772"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"c1023"</definedName>
    <definedName name="IQ_OUTSTANDING_FILING_DATE_TOTAL" hidden="1">"c2107"</definedName>
    <definedName name="IQ_OVER_FIFETEEN_YEAR_MORTGAGE_PASS_THROUGHS_FDIC" hidden="1">"c6416"</definedName>
    <definedName name="IQ_OVER_FIFTEEN_YEAR_FIXED_AND_FLOATING_RATE_FDIC" hidden="1">"c6424"</definedName>
    <definedName name="IQ_OVER_THREE_YEARS_FDIC" hidden="1">"c6418"</definedName>
    <definedName name="IQ_OWNERSHIP" hidden="1">"c2160"</definedName>
    <definedName name="IQ_PART_TIME" hidden="1">"c1024"</definedName>
    <definedName name="IQ_PARTICIPATION_POOLS_RESIDENTIAL_MORTGAGES_FDIC" hidden="1">"c6403"</definedName>
    <definedName name="IQ_PARTNERSHIP_INC_RE" hidden="1">"c12039"</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CIQ" hidden="1">"c4042"</definedName>
    <definedName name="IQ_PE_EXCL_FWD_REUT" hidden="1">"c4049"</definedName>
    <definedName name="IQ_PE_EXCL_FWD_THOM" hidden="1">"c4056"</definedName>
    <definedName name="IQ_PE_NORMALIZED" hidden="1">"c2207"</definedName>
    <definedName name="IQ_PE_RATIO" hidden="1">"c1610"</definedName>
    <definedName name="IQ_PEG_FWD" hidden="1">"c1863"</definedName>
    <definedName name="IQ_PEG_FWD_CIQ" hidden="1">"c4045"</definedName>
    <definedName name="IQ_PEG_FWD_REUT" hidden="1">"c4052"</definedName>
    <definedName name="IQ_PEG_FWD_THOM" hidden="1">"c4059"</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ŒEIGN" hidden="1">"c3199"</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CIQ" hidden="1">"c3790"</definedName>
    <definedName name="IQ_PERCENT_CHANGE_EST_5YR_GROWTH_RATE_12MONTHS_THOM" hidden="1">"c5269"</definedName>
    <definedName name="IQ_PERCENT_CHANGE_EST_5YR_GROWTH_RATE_18MONTHS" hidden="1">"c1853"</definedName>
    <definedName name="IQ_PERCENT_CHANGE_EST_5YR_GROWTH_RATE_18MONTHS_CIQ" hidden="1">"c3791"</definedName>
    <definedName name="IQ_PERCENT_CHANGE_EST_5YR_GROWTH_RATE_18MONTHS_THOM" hidden="1">"c5270"</definedName>
    <definedName name="IQ_PERCENT_CHANGE_EST_5YR_GROWTH_RATE_3MONTHS" hidden="1">"c1849"</definedName>
    <definedName name="IQ_PERCENT_CHANGE_EST_5YR_GROWTH_RATE_3MONTHS_CIQ" hidden="1">"c3787"</definedName>
    <definedName name="IQ_PERCENT_CHANGE_EST_5YR_GROWTH_RATE_3MONTHS_THOM" hidden="1">"c5266"</definedName>
    <definedName name="IQ_PERCENT_CHANGE_EST_5YR_GROWTH_RATE_6MONTHS" hidden="1">"c1850"</definedName>
    <definedName name="IQ_PERCENT_CHANGE_EST_5YR_GROWTH_RATE_6MONTHS_CIQ" hidden="1">"c3788"</definedName>
    <definedName name="IQ_PERCENT_CHANGE_EST_5YR_GROWTH_RATE_6MONTHS_THOM" hidden="1">"c5267"</definedName>
    <definedName name="IQ_PERCENT_CHANGE_EST_5YR_GROWTH_RATE_9MONTHS" hidden="1">"c1851"</definedName>
    <definedName name="IQ_PERCENT_CHANGE_EST_5YR_GROWTH_RATE_9MONTHS_CIQ" hidden="1">"c3789"</definedName>
    <definedName name="IQ_PERCENT_CHANGE_EST_5YR_GROWTH_RATE_9MONTHS_THOM" hidden="1">"c5268"</definedName>
    <definedName name="IQ_PERCENT_CHANGE_EST_5YR_GROWTH_RATE_DAY" hidden="1">"c1846"</definedName>
    <definedName name="IQ_PERCENT_CHANGE_EST_5YR_GROWTH_RATE_DAY_CIQ" hidden="1">"c3785"</definedName>
    <definedName name="IQ_PERCENT_CHANGE_EST_5YR_GROWTH_RATE_DAY_THOM" hidden="1">"c5264"</definedName>
    <definedName name="IQ_PERCENT_CHANGE_EST_5YR_GROWTH_RATE_MONTH" hidden="1">"c1848"</definedName>
    <definedName name="IQ_PERCENT_CHANGE_EST_5YR_GROWTH_RATE_MONTH_CIQ" hidden="1">"c3786"</definedName>
    <definedName name="IQ_PERCENT_CHANGE_EST_5YR_GROWTH_RATE_MONTH_THOM" hidden="1">"c5265"</definedName>
    <definedName name="IQ_PERCENT_CHANGE_EST_5YR_GROWTH_RATE_WEEK" hidden="1">"c1847"</definedName>
    <definedName name="IQ_PERCENT_CHANGE_EST_5YR_GROWTH_RATE_WEEK_CIQ" hidden="1">"c3797"</definedName>
    <definedName name="IQ_PERCENT_CHANGE_EST_5YR_GROWTH_RATE_WEEK_THOM" hidden="1">"c5277"</definedName>
    <definedName name="IQ_PERCENT_CHANGE_EST_CFPS_12MONTHS" hidden="1">"c1812"</definedName>
    <definedName name="IQ_PERCENT_CHANGE_EST_CFPS_12MONTHS_THOM" hidden="1">"c5234"</definedName>
    <definedName name="IQ_PERCENT_CHANGE_EST_CFPS_18MONTHS" hidden="1">"c1813"</definedName>
    <definedName name="IQ_PERCENT_CHANGE_EST_CFPS_18MONTHS_THOM" hidden="1">"c5235"</definedName>
    <definedName name="IQ_PERCENT_CHANGE_EST_CFPS_3MONTHS" hidden="1">"c1809"</definedName>
    <definedName name="IQ_PERCENT_CHANGE_EST_CFPS_3MONTHS_THOM" hidden="1">"c5231"</definedName>
    <definedName name="IQ_PERCENT_CHANGE_EST_CFPS_6MONTHS" hidden="1">"c1810"</definedName>
    <definedName name="IQ_PERCENT_CHANGE_EST_CFPS_6MONTHS_THOM" hidden="1">"c5232"</definedName>
    <definedName name="IQ_PERCENT_CHANGE_EST_CFPS_9MONTHS" hidden="1">"c1811"</definedName>
    <definedName name="IQ_PERCENT_CHANGE_EST_CFPS_9MONTHS_THOM" hidden="1">"c5233"</definedName>
    <definedName name="IQ_PERCENT_CHANGE_EST_CFPS_DAY" hidden="1">"c1806"</definedName>
    <definedName name="IQ_PERCENT_CHANGE_EST_CFPS_DAY_THOM" hidden="1">"c5229"</definedName>
    <definedName name="IQ_PERCENT_CHANGE_EST_CFPS_MONTH" hidden="1">"c1808"</definedName>
    <definedName name="IQ_PERCENT_CHANGE_EST_CFPS_MONTH_THOM" hidden="1">"c5230"</definedName>
    <definedName name="IQ_PERCENT_CHANGE_EST_CFPS_WEEK" hidden="1">"c1807"</definedName>
    <definedName name="IQ_PERCENT_CHANGE_EST_CFPS_WEEK_THOM" hidden="1">"c5272"</definedName>
    <definedName name="IQ_PERCENT_CHANGE_EST_DPS_12MONTHS" hidden="1">"c1820"</definedName>
    <definedName name="IQ_PERCENT_CHANGE_EST_DPS_12MONTHS_THOM" hidden="1">"c5241"</definedName>
    <definedName name="IQ_PERCENT_CHANGE_EST_DPS_18MONTHS" hidden="1">"c1821"</definedName>
    <definedName name="IQ_PERCENT_CHANGE_EST_DPS_18MONTHS_THOM" hidden="1">"c5242"</definedName>
    <definedName name="IQ_PERCENT_CHANGE_EST_DPS_3MONTHS" hidden="1">"c1817"</definedName>
    <definedName name="IQ_PERCENT_CHANGE_EST_DPS_3MONTHS_THOM" hidden="1">"c5238"</definedName>
    <definedName name="IQ_PERCENT_CHANGE_EST_DPS_6MONTHS" hidden="1">"c1818"</definedName>
    <definedName name="IQ_PERCENT_CHANGE_EST_DPS_6MONTHS_THOM" hidden="1">"c5239"</definedName>
    <definedName name="IQ_PERCENT_CHANGE_EST_DPS_9MONTHS" hidden="1">"c1819"</definedName>
    <definedName name="IQ_PERCENT_CHANGE_EST_DPS_9MONTHS_THOM" hidden="1">"c5240"</definedName>
    <definedName name="IQ_PERCENT_CHANGE_EST_DPS_DAY" hidden="1">"c1814"</definedName>
    <definedName name="IQ_PERCENT_CHANGE_EST_DPS_DAY_THOM" hidden="1">"c5236"</definedName>
    <definedName name="IQ_PERCENT_CHANGE_EST_DPS_MONTH" hidden="1">"c1816"</definedName>
    <definedName name="IQ_PERCENT_CHANGE_EST_DPS_MONTH_THOM" hidden="1">"c5237"</definedName>
    <definedName name="IQ_PERCENT_CHANGE_EST_DPS_WEEK" hidden="1">"c1815"</definedName>
    <definedName name="IQ_PERCENT_CHANGE_EST_DPS_WEEK_THOM" hidden="1">"c5273"</definedName>
    <definedName name="IQ_PERCENT_CHANGE_EST_EBITDA_12MONTHS" hidden="1">"c1804"</definedName>
    <definedName name="IQ_PERCENT_CHANGE_EST_EBITDA_12MONTHS_CIQ" hidden="1">"c3748"</definedName>
    <definedName name="IQ_PERCENT_CHANGE_EST_EBITDA_12MONTHS_THOM" hidden="1">"c5227"</definedName>
    <definedName name="IQ_PERCENT_CHANGE_EST_EBITDA_18MONTHS" hidden="1">"c1805"</definedName>
    <definedName name="IQ_PERCENT_CHANGE_EST_EBITDA_18MONTHS_CIQ" hidden="1">"c3749"</definedName>
    <definedName name="IQ_PERCENT_CHANGE_EST_EBITDA_18MONTHS_THOM" hidden="1">"c5228"</definedName>
    <definedName name="IQ_PERCENT_CHANGE_EST_EBITDA_3MONTHS" hidden="1">"c1801"</definedName>
    <definedName name="IQ_PERCENT_CHANGE_EST_EBITDA_3MONTHS_CIQ" hidden="1">"c3745"</definedName>
    <definedName name="IQ_PERCENT_CHANGE_EST_EBITDA_3MONTHS_THOM" hidden="1">"c5224"</definedName>
    <definedName name="IQ_PERCENT_CHANGE_EST_EBITDA_6MONTHS" hidden="1">"c1802"</definedName>
    <definedName name="IQ_PERCENT_CHANGE_EST_EBITDA_6MONTHS_CIQ" hidden="1">"c3746"</definedName>
    <definedName name="IQ_PERCENT_CHANGE_EST_EBITDA_6MONTHS_THOM" hidden="1">"c5225"</definedName>
    <definedName name="IQ_PERCENT_CHANGE_EST_EBITDA_9MONTHS" hidden="1">"c1803"</definedName>
    <definedName name="IQ_PERCENT_CHANGE_EST_EBITDA_9MONTHS_CIQ" hidden="1">"c3747"</definedName>
    <definedName name="IQ_PERCENT_CHANGE_EST_EBITDA_9MONTHS_THOM" hidden="1">"c5226"</definedName>
    <definedName name="IQ_PERCENT_CHANGE_EST_EBITDA_DAY" hidden="1">"c1798"</definedName>
    <definedName name="IQ_PERCENT_CHANGE_EST_EBITDA_DAY_CIQ" hidden="1">"c3743"</definedName>
    <definedName name="IQ_PERCENT_CHANGE_EST_EBITDA_DAY_THOM" hidden="1">"c5222"</definedName>
    <definedName name="IQ_PERCENT_CHANGE_EST_EBITDA_MONTH" hidden="1">"c1800"</definedName>
    <definedName name="IQ_PERCENT_CHANGE_EST_EBITDA_MONTH_CIQ" hidden="1">"c3744"</definedName>
    <definedName name="IQ_PERCENT_CHANGE_EST_EBITDA_MONTH_THOM" hidden="1">"c5223"</definedName>
    <definedName name="IQ_PERCENT_CHANGE_EST_EBITDA_WEEK" hidden="1">"c1799"</definedName>
    <definedName name="IQ_PERCENT_CHANGE_EST_EBITDA_WEEK_CIQ" hidden="1">"c3792"</definedName>
    <definedName name="IQ_PERCENT_CHANGE_EST_EBITDA_WEEK_THOM" hidden="1">"c5271"</definedName>
    <definedName name="IQ_PERCENT_CHANGE_EST_EPS_12MONTHS" hidden="1">"c1788"</definedName>
    <definedName name="IQ_PERCENT_CHANGE_EST_EPS_12MONTHS_CIQ" hidden="1">"c3733"</definedName>
    <definedName name="IQ_PERCENT_CHANGE_EST_EPS_12MONTHS_THOM" hidden="1">"c5212"</definedName>
    <definedName name="IQ_PERCENT_CHANGE_EST_EPS_18MONTHS" hidden="1">"c1789"</definedName>
    <definedName name="IQ_PERCENT_CHANGE_EST_EPS_18MONTHS_CIQ" hidden="1">"c3734"</definedName>
    <definedName name="IQ_PERCENT_CHANGE_EST_EPS_18MONTHS_THOM" hidden="1">"c5213"</definedName>
    <definedName name="IQ_PERCENT_CHANGE_EST_EPS_3MONTHS" hidden="1">"c1785"</definedName>
    <definedName name="IQ_PERCENT_CHANGE_EST_EPS_3MONTHS_CIQ" hidden="1">"c3730"</definedName>
    <definedName name="IQ_PERCENT_CHANGE_EST_EPS_3MONTHS_THOM" hidden="1">"c5209"</definedName>
    <definedName name="IQ_PERCENT_CHANGE_EST_EPS_6MONTHS" hidden="1">"c1786"</definedName>
    <definedName name="IQ_PERCENT_CHANGE_EST_EPS_6MONTHS_CIQ" hidden="1">"c3731"</definedName>
    <definedName name="IQ_PERCENT_CHANGE_EST_EPS_6MONTHS_THOM" hidden="1">"c5210"</definedName>
    <definedName name="IQ_PERCENT_CHANGE_EST_EPS_9MONTHS" hidden="1">"c1787"</definedName>
    <definedName name="IQ_PERCENT_CHANGE_EST_EPS_9MONTHS_CIQ" hidden="1">"c3732"</definedName>
    <definedName name="IQ_PERCENT_CHANGE_EST_EPS_9MONTHS_THOM" hidden="1">"c5211"</definedName>
    <definedName name="IQ_PERCENT_CHANGE_EST_EPS_DAY" hidden="1">"c1782"</definedName>
    <definedName name="IQ_PERCENT_CHANGE_EST_EPS_DAY_CIQ" hidden="1">"c3727"</definedName>
    <definedName name="IQ_PERCENT_CHANGE_EST_EPS_DAY_THOM" hidden="1">"c5206"</definedName>
    <definedName name="IQ_PERCENT_CHANGE_EST_EPS_MONTH" hidden="1">"c1784"</definedName>
    <definedName name="IQ_PERCENT_CHANGE_EST_EPS_MONTH_CIQ" hidden="1">"c3729"</definedName>
    <definedName name="IQ_PERCENT_CHANGE_EST_EPS_MONTH_THOM" hidden="1">"c5208"</definedName>
    <definedName name="IQ_PERCENT_CHANGE_EST_EPS_WEEK" hidden="1">"c1783"</definedName>
    <definedName name="IQ_PERCENT_CHANGE_EST_EPS_WEEK_CIQ" hidden="1">"c3728"</definedName>
    <definedName name="IQ_PERCENT_CHANGE_EST_EPS_WEEK_THOM" hidden="1">"c5207"</definedName>
    <definedName name="IQ_PERCENT_CHANGE_EST_FFO_12MONTHS" hidden="1">"c1828"</definedName>
    <definedName name="IQ_PERCENT_CHANGE_EST_FFO_12MONTHS_THOM" hidden="1">"c5248"</definedName>
    <definedName name="IQ_PERCENT_CHANGE_EST_FFO_18MONTHS" hidden="1">"c1829"</definedName>
    <definedName name="IQ_PERCENT_CHANGE_EST_FFO_18MONTHS_THOM" hidden="1">"c5249"</definedName>
    <definedName name="IQ_PERCENT_CHANGE_EST_FFO_3MONTHS" hidden="1">"c1825"</definedName>
    <definedName name="IQ_PERCENT_CHANGE_EST_FFO_3MONTHS_THOM" hidden="1">"c5245"</definedName>
    <definedName name="IQ_PERCENT_CHANGE_EST_FFO_6MONTHS" hidden="1">"c1826"</definedName>
    <definedName name="IQ_PERCENT_CHANGE_EST_FFO_6MONTHS_THOM" hidden="1">"c5246"</definedName>
    <definedName name="IQ_PERCENT_CHANGE_EST_FFO_9MONTHS" hidden="1">"c1827"</definedName>
    <definedName name="IQ_PERCENT_CHANGE_EST_FFO_9MONTHS_THOM" hidden="1">"c5247"</definedName>
    <definedName name="IQ_PERCENT_CHANGE_EST_FFO_DAY" hidden="1">"c1822"</definedName>
    <definedName name="IQ_PERCENT_CHANGE_EST_FFO_DAY_THOM" hidden="1">"c5243"</definedName>
    <definedName name="IQ_PERCENT_CHANGE_EST_FFO_MONTH" hidden="1">"c1824"</definedName>
    <definedName name="IQ_PERCENT_CHANGE_EST_FFO_MONTH_THOM" hidden="1">"c5244"</definedName>
    <definedName name="IQ_PERCENT_CHANGE_EST_FFO_SHARE_SHARE_12MONTHS" hidden="1">"c1828"</definedName>
    <definedName name="IQ_PERCENT_CHANGE_EST_FFO_SHARE_SHARE_12MONTHS_THOM" hidden="1">"c5248"</definedName>
    <definedName name="IQ_PERCENT_CHANGE_EST_FFO_SHARE_SHARE_18MONTHS" hidden="1">"c1829"</definedName>
    <definedName name="IQ_PERCENT_CHANGE_EST_FFO_SHARE_SHARE_18MONTHS_THOM" hidden="1">"c5249"</definedName>
    <definedName name="IQ_PERCENT_CHANGE_EST_FFO_SHARE_SHARE_3MONTHS" hidden="1">"c1825"</definedName>
    <definedName name="IQ_PERCENT_CHANGE_EST_FFO_SHARE_SHARE_3MONTHS_THOM" hidden="1">"c5245"</definedName>
    <definedName name="IQ_PERCENT_CHANGE_EST_FFO_SHARE_SHARE_6MONTHS" hidden="1">"c1826"</definedName>
    <definedName name="IQ_PERCENT_CHANGE_EST_FFO_SHARE_SHARE_6MONTHS_THOM" hidden="1">"c5246"</definedName>
    <definedName name="IQ_PERCENT_CHANGE_EST_FFO_SHARE_SHARE_9MONTHS" hidden="1">"c1827"</definedName>
    <definedName name="IQ_PERCENT_CHANGE_EST_FFO_SHARE_SHARE_9MONTHS_THOM" hidden="1">"c5247"</definedName>
    <definedName name="IQ_PERCENT_CHANGE_EST_FFO_SHARE_SHARE_DAY" hidden="1">"c1822"</definedName>
    <definedName name="IQ_PERCENT_CHANGE_EST_FFO_SHARE_SHARE_DAY_THOM" hidden="1">"c5243"</definedName>
    <definedName name="IQ_PERCENT_CHANGE_EST_FFO_SHARE_SHARE_MONTH" hidden="1">"c1824"</definedName>
    <definedName name="IQ_PERCENT_CHANGE_EST_FFO_SHARE_SHARE_MONTH_THOM" hidden="1">"c5244"</definedName>
    <definedName name="IQ_PERCENT_CHANGE_EST_FFO_SHARE_SHARE_WEEK" hidden="1">"c1823"</definedName>
    <definedName name="IQ_PERCENT_CHANGE_EST_FFO_SHARE_SHARE_WEEK_THOM" hidden="1">"c5274"</definedName>
    <definedName name="IQ_PERCENT_CHANGE_EST_FFO_WEEK" hidden="1">"c1823"</definedName>
    <definedName name="IQ_PERCENT_CHANGE_EST_FFO_WEEK_THOM" hidden="1">"c5274"</definedName>
    <definedName name="IQ_PERCENT_CHANGE_EST_PRICE_TARGET_12MONTHS" hidden="1">"c1844"</definedName>
    <definedName name="IQ_PERCENT_CHANGE_EST_PRICE_TARGET_12MONTHS_CIQ" hidden="1">"c3783"</definedName>
    <definedName name="IQ_PERCENT_CHANGE_EST_PRICE_TARGET_12MONTHS_THOM" hidden="1">"c5262"</definedName>
    <definedName name="IQ_PERCENT_CHANGE_EST_PRICE_TARGET_18MONTHS" hidden="1">"c1845"</definedName>
    <definedName name="IQ_PERCENT_CHANGE_EST_PRICE_TARGET_18MONTHS_CIQ" hidden="1">"c3784"</definedName>
    <definedName name="IQ_PERCENT_CHANGE_EST_PRICE_TARGET_18MONTHS_THOM" hidden="1">"c5263"</definedName>
    <definedName name="IQ_PERCENT_CHANGE_EST_PRICE_TARGET_3MONTHS" hidden="1">"c1841"</definedName>
    <definedName name="IQ_PERCENT_CHANGE_EST_PRICE_TARGET_3MONTHS_CIQ" hidden="1">"c3780"</definedName>
    <definedName name="IQ_PERCENT_CHANGE_EST_PRICE_TARGET_3MONTHS_THOM" hidden="1">"c5259"</definedName>
    <definedName name="IQ_PERCENT_CHANGE_EST_PRICE_TARGET_6MONTHS" hidden="1">"c1842"</definedName>
    <definedName name="IQ_PERCENT_CHANGE_EST_PRICE_TARGET_6MONTHS_CIQ" hidden="1">"c3781"</definedName>
    <definedName name="IQ_PERCENT_CHANGE_EST_PRICE_TARGET_6MONTHS_THOM" hidden="1">"c5260"</definedName>
    <definedName name="IQ_PERCENT_CHANGE_EST_PRICE_TARGET_9MONTHS" hidden="1">"c1843"</definedName>
    <definedName name="IQ_PERCENT_CHANGE_EST_PRICE_TARGET_9MONTHS_CIQ" hidden="1">"c3782"</definedName>
    <definedName name="IQ_PERCENT_CHANGE_EST_PRICE_TARGET_9MONTHS_THOM" hidden="1">"c5261"</definedName>
    <definedName name="IQ_PERCENT_CHANGE_EST_PRICE_TARGET_DAY" hidden="1">"c1838"</definedName>
    <definedName name="IQ_PERCENT_CHANGE_EST_PRICE_TARGET_DAY_CIQ" hidden="1">"c3778"</definedName>
    <definedName name="IQ_PERCENT_CHANGE_EST_PRICE_TARGET_DAY_THOM" hidden="1">"c5257"</definedName>
    <definedName name="IQ_PERCENT_CHANGE_EST_PRICE_TARGET_MONTH" hidden="1">"c1840"</definedName>
    <definedName name="IQ_PERCENT_CHANGE_EST_PRICE_TARGET_MONTH_CIQ" hidden="1">"c3779"</definedName>
    <definedName name="IQ_PERCENT_CHANGE_EST_PRICE_TARGET_MONTH_THOM" hidden="1">"c5258"</definedName>
    <definedName name="IQ_PERCENT_CHANGE_EST_PRICE_TARGET_WEEK" hidden="1">"c1839"</definedName>
    <definedName name="IQ_PERCENT_CHANGE_EST_PRICE_TARGET_WEEK_CIQ" hidden="1">"c3798"</definedName>
    <definedName name="IQ_PERCENT_CHANGE_EST_PRICE_TARGET_WEEK_THOM" hidden="1">"c5276"</definedName>
    <definedName name="IQ_PERCENT_CHANGE_EST_RECO_12MONTHS" hidden="1">"c1836"</definedName>
    <definedName name="IQ_PERCENT_CHANGE_EST_RECO_12MONTHS_CIQ" hidden="1">"c3776"</definedName>
    <definedName name="IQ_PERCENT_CHANGE_EST_RECO_12MONTHS_THOM" hidden="1">"c5255"</definedName>
    <definedName name="IQ_PERCENT_CHANGE_EST_RECO_18MONTHS" hidden="1">"c1837"</definedName>
    <definedName name="IQ_PERCENT_CHANGE_EST_RECO_18MONTHS_CIQ" hidden="1">"c3777"</definedName>
    <definedName name="IQ_PERCENT_CHANGE_EST_RECO_18MONTHS_THOM" hidden="1">"c5256"</definedName>
    <definedName name="IQ_PERCENT_CHANGE_EST_RECO_3MONTHS" hidden="1">"c1833"</definedName>
    <definedName name="IQ_PERCENT_CHANGE_EST_RECO_3MONTHS_CIQ" hidden="1">"c3773"</definedName>
    <definedName name="IQ_PERCENT_CHANGE_EST_RECO_3MONTHS_THOM" hidden="1">"c5252"</definedName>
    <definedName name="IQ_PERCENT_CHANGE_EST_RECO_6MONTHS" hidden="1">"c1834"</definedName>
    <definedName name="IQ_PERCENT_CHANGE_EST_RECO_6MONTHS_CIQ" hidden="1">"c3774"</definedName>
    <definedName name="IQ_PERCENT_CHANGE_EST_RECO_6MONTHS_THOM" hidden="1">"c5253"</definedName>
    <definedName name="IQ_PERCENT_CHANGE_EST_RECO_9MONTHS" hidden="1">"c1835"</definedName>
    <definedName name="IQ_PERCENT_CHANGE_EST_RECO_9MONTHS_CIQ" hidden="1">"c3775"</definedName>
    <definedName name="IQ_PERCENT_CHANGE_EST_RECO_9MONTHS_THOM" hidden="1">"c5254"</definedName>
    <definedName name="IQ_PERCENT_CHANGE_EST_RECO_DAY" hidden="1">"c1830"</definedName>
    <definedName name="IQ_PERCENT_CHANGE_EST_RECO_DAY_CIQ" hidden="1">"c3771"</definedName>
    <definedName name="IQ_PERCENT_CHANGE_EST_RECO_DAY_THOM" hidden="1">"c5250"</definedName>
    <definedName name="IQ_PERCENT_CHANGE_EST_RECO_MONTH" hidden="1">"c1832"</definedName>
    <definedName name="IQ_PERCENT_CHANGE_EST_RECO_MONTH_CIQ" hidden="1">"c3772"</definedName>
    <definedName name="IQ_PERCENT_CHANGE_EST_RECO_MONTH_THOM" hidden="1">"c5251"</definedName>
    <definedName name="IQ_PERCENT_CHANGE_EST_RECO_WEEK" hidden="1">"c1831"</definedName>
    <definedName name="IQ_PERCENT_CHANGE_EST_RECO_WEEK_CIQ" hidden="1">"c3796"</definedName>
    <definedName name="IQ_PERCENT_CHANGE_EST_RECO_WEEK_THOM" hidden="1">"c5275"</definedName>
    <definedName name="IQ_PERCENT_CHANGE_EST_REV_12MONTHS" hidden="1">"c1796"</definedName>
    <definedName name="IQ_PERCENT_CHANGE_EST_REV_12MONTHS_CIQ" hidden="1">"c3741"</definedName>
    <definedName name="IQ_PERCENT_CHANGE_EST_REV_12MONTHS_THOM" hidden="1">"c5220"</definedName>
    <definedName name="IQ_PERCENT_CHANGE_EST_REV_18MONTHS" hidden="1">"c1797"</definedName>
    <definedName name="IQ_PERCENT_CHANGE_EST_REV_18MONTHS_CIQ" hidden="1">"c3742"</definedName>
    <definedName name="IQ_PERCENT_CHANGE_EST_REV_18MONTHS_THOM" hidden="1">"c5221"</definedName>
    <definedName name="IQ_PERCENT_CHANGE_EST_REV_3MONTHS" hidden="1">"c1793"</definedName>
    <definedName name="IQ_PERCENT_CHANGE_EST_REV_3MONTHS_CIQ" hidden="1">"c3738"</definedName>
    <definedName name="IQ_PERCENT_CHANGE_EST_REV_3MONTHS_THOM" hidden="1">"c5217"</definedName>
    <definedName name="IQ_PERCENT_CHANGE_EST_REV_6MONTHS" hidden="1">"c1794"</definedName>
    <definedName name="IQ_PERCENT_CHANGE_EST_REV_6MONTHS_CIQ" hidden="1">"c3739"</definedName>
    <definedName name="IQ_PERCENT_CHANGE_EST_REV_6MONTHS_THOM" hidden="1">"c5218"</definedName>
    <definedName name="IQ_PERCENT_CHANGE_EST_REV_9MONTHS" hidden="1">"c1795"</definedName>
    <definedName name="IQ_PERCENT_CHANGE_EST_REV_9MONTHS_CIQ" hidden="1">"c3740"</definedName>
    <definedName name="IQ_PERCENT_CHANGE_EST_REV_9MONTHS_THOM" hidden="1">"c5219"</definedName>
    <definedName name="IQ_PERCENT_CHANGE_EST_REV_DAY" hidden="1">"c1790"</definedName>
    <definedName name="IQ_PERCENT_CHANGE_EST_REV_DAY_CIQ" hidden="1">"c3735"</definedName>
    <definedName name="IQ_PERCENT_CHANGE_EST_REV_DAY_THOM" hidden="1">"c5214"</definedName>
    <definedName name="IQ_PERCENT_CHANGE_EST_REV_MONTH" hidden="1">"c1792"</definedName>
    <definedName name="IQ_PERCENT_CHANGE_EST_REV_MONTH_CIQ" hidden="1">"c3737"</definedName>
    <definedName name="IQ_PERCENT_CHANGE_EST_REV_MONTH_THOM" hidden="1">"c5216"</definedName>
    <definedName name="IQ_PERCENT_CHANGE_EST_REV_WEEK" hidden="1">"c1791"</definedName>
    <definedName name="IQ_PERCENT_CHANGE_EST_REV_WEEK_CIQ" hidden="1">"c3736"</definedName>
    <definedName name="IQ_PERCENT_CHANGE_EST_REV_WEEK_THOM" hidden="1">"c5215"</definedName>
    <definedName name="IQ_PERCENT_FLOAT" hidden="1">"c227"</definedName>
    <definedName name="IQ_PERCENT_INSURED_FDIC" hidden="1">"c6374"</definedName>
    <definedName name="IQ_PERIODDATE" hidden="1">"c1414"</definedName>
    <definedName name="IQ_PERIODDATE_AP" hidden="1">"c11745"</definedName>
    <definedName name="IQ_PERIODDATE_BS" hidden="1">"c1032"</definedName>
    <definedName name="IQ_PERIODDATE_CF" hidden="1">"c1033"</definedName>
    <definedName name="IQ_PERIODDATE_FDIC" hidden="1">"c13646"</definedName>
    <definedName name="IQ_PERIODDATE_IS" hidden="1">"c1034"</definedName>
    <definedName name="IQ_PERIODLENGTH_AP" hidden="1">"c11746"</definedName>
    <definedName name="IQ_PERIODLENGTH_CF" hidden="1">"c1502"</definedName>
    <definedName name="IQ_PERIODLENGTH_IS" hidden="1">"c1503"</definedName>
    <definedName name="IQ_PERSONAL_CONSUMER_SPENDING_DURABLE" hidden="1">"c6942"</definedName>
    <definedName name="IQ_PERSONAL_CONSUMER_SPENDING_DURABLE_APR" hidden="1">"c7602"</definedName>
    <definedName name="IQ_PERSONAL_CONSUMER_SPENDING_DURABLE_APR_FC" hidden="1">"c8482"</definedName>
    <definedName name="IQ_PERSONAL_CONSUMER_SPENDING_DURABLE_FC" hidden="1">"c7822"</definedName>
    <definedName name="IQ_PERSONAL_CONSUMER_SPENDING_DURABLE_POP" hidden="1">"c7162"</definedName>
    <definedName name="IQ_PERSONAL_CONSUMER_SPENDING_DURABLE_POP_FC" hidden="1">"c8042"</definedName>
    <definedName name="IQ_PERSONAL_CONSUMER_SPENDING_DURABLE_YOY" hidden="1">"c7382"</definedName>
    <definedName name="IQ_PERSONAL_CONSUMER_SPENDING_DURABLE_YOY_FC" hidden="1">"c8262"</definedName>
    <definedName name="IQ_PERSONAL_CONSUMER_SPENDING_NONDURABLE" hidden="1">"c6940"</definedName>
    <definedName name="IQ_PERSONAL_CONSUMER_SPENDING_NONDURABLE_APR" hidden="1">"c7600"</definedName>
    <definedName name="IQ_PERSONAL_CONSUMER_SPENDING_NONDURABLE_APR_FC" hidden="1">"c8480"</definedName>
    <definedName name="IQ_PERSONAL_CONSUMER_SPENDING_NONDURABLE_FC" hidden="1">"c7820"</definedName>
    <definedName name="IQ_PERSONAL_CONSUMER_SPENDING_NONDURABLE_POP" hidden="1">"c7160"</definedName>
    <definedName name="IQ_PERSONAL_CONSUMER_SPENDING_NONDURABLE_POP_FC" hidden="1">"c8040"</definedName>
    <definedName name="IQ_PERSONAL_CONSUMER_SPENDING_NONDURABLE_YOY" hidden="1">"c7380"</definedName>
    <definedName name="IQ_PERSONAL_CONSUMER_SPENDING_NONDURABLE_YOY_FC" hidden="1">"c8260"</definedName>
    <definedName name="IQ_PERSONAL_CONSUMER_SPENDING_REAL" hidden="1">"c6994"</definedName>
    <definedName name="IQ_PERSONAL_CONSUMER_SPENDING_REAL_APR" hidden="1">"c7654"</definedName>
    <definedName name="IQ_PERSONAL_CONSUMER_SPENDING_REAL_APR_FC" hidden="1">"c8534"</definedName>
    <definedName name="IQ_PERSONAL_CONSUMER_SPENDING_REAL_FC" hidden="1">"c7874"</definedName>
    <definedName name="IQ_PERSONAL_CONSUMER_SPENDING_REAL_POP" hidden="1">"c7214"</definedName>
    <definedName name="IQ_PERSONAL_CONSUMER_SPENDING_REAL_POP_FC" hidden="1">"c8094"</definedName>
    <definedName name="IQ_PERSONAL_CONSUMER_SPENDING_REAL_YOY" hidden="1">"c7434"</definedName>
    <definedName name="IQ_PERSONAL_CONSUMER_SPENDING_REAL_YOY_FC" hidden="1">"c8314"</definedName>
    <definedName name="IQ_PERSONAL_CONSUMER_SPENDING_SERVICES" hidden="1">"c6941"</definedName>
    <definedName name="IQ_PERSONAL_CONSUMER_SPENDING_SERVICES_APR" hidden="1">"c7601"</definedName>
    <definedName name="IQ_PERSONAL_CONSUMER_SPENDING_SERVICES_APR_FC" hidden="1">"c8481"</definedName>
    <definedName name="IQ_PERSONAL_CONSUMER_SPENDING_SERVICES_FC" hidden="1">"c7821"</definedName>
    <definedName name="IQ_PERSONAL_CONSUMER_SPENDING_SERVICES_POP" hidden="1">"c7161"</definedName>
    <definedName name="IQ_PERSONAL_CONSUMER_SPENDING_SERVICES_POP_FC" hidden="1">"c8041"</definedName>
    <definedName name="IQ_PERSONAL_CONSUMER_SPENDING_SERVICES_YOY" hidden="1">"c7381"</definedName>
    <definedName name="IQ_PERSONAL_CONSUMER_SPENDING_SERVICES_YOY_FC" hidden="1">"c8261"</definedName>
    <definedName name="IQ_PERSONAL_INCOME" hidden="1">"c6943"</definedName>
    <definedName name="IQ_PERSONAL_INCOME_APR" hidden="1">"c7603"</definedName>
    <definedName name="IQ_PERSONAL_INCOME_APR_FC" hidden="1">"c8483"</definedName>
    <definedName name="IQ_PERSONAL_INCOME_FC" hidden="1">"c7823"</definedName>
    <definedName name="IQ_PERSONAL_INCOME_POP" hidden="1">"c7163"</definedName>
    <definedName name="IQ_PERSONAL_INCOME_POP_FC" hidden="1">"c8043"</definedName>
    <definedName name="IQ_PERSONAL_INCOME_SAAR" hidden="1">"c6944"</definedName>
    <definedName name="IQ_PERSONAL_INCOME_SAAR_APR" hidden="1">"c7604"</definedName>
    <definedName name="IQ_PERSONAL_INCOME_SAAR_APR_FC" hidden="1">"c8484"</definedName>
    <definedName name="IQ_PERSONAL_INCOME_SAAR_FC" hidden="1">"c7824"</definedName>
    <definedName name="IQ_PERSONAL_INCOME_SAAR_POP" hidden="1">"c7164"</definedName>
    <definedName name="IQ_PERSONAL_INCOME_SAAR_POP_FC" hidden="1">"c8044"</definedName>
    <definedName name="IQ_PERSONAL_INCOME_SAAR_YOY" hidden="1">"c7384"</definedName>
    <definedName name="IQ_PERSONAL_INCOME_SAAR_YOY_FC" hidden="1">"c8264"</definedName>
    <definedName name="IQ_PERSONAL_INCOME_USD_APR_FC" hidden="1">"c11885"</definedName>
    <definedName name="IQ_PERSONAL_INCOME_USD_FC" hidden="1">"c11882"</definedName>
    <definedName name="IQ_PERSONAL_INCOME_USD_POP_FC" hidden="1">"c11883"</definedName>
    <definedName name="IQ_PERSONAL_INCOME_USD_YOY_FC" hidden="1">"c11884"</definedName>
    <definedName name="IQ_PERSONAL_INCOME_YOY" hidden="1">"c7383"</definedName>
    <definedName name="IQ_PERSONAL_INCOME_YOY_FC" hidden="1">"c8263"</definedName>
    <definedName name="IQ_PERTYPE" hidden="1">"c1611"</definedName>
    <definedName name="IQ_PHARMBIO_NUMBER_LICENSED_PATENT_APP" hidden="1">"c10018"</definedName>
    <definedName name="IQ_PHARMBIO_NUMBER_LICENSED_PATENTS" hidden="1">"c10017"</definedName>
    <definedName name="IQ_PHARMBIO_NUMBER_PATENTS" hidden="1">"c10015"</definedName>
    <definedName name="IQ_PHARMBIO_NUMBER_PROD__APPROVED_DURING_PERIOD" hidden="1">"c10027"</definedName>
    <definedName name="IQ_PHARMBIO_NUMBER_PROD__CLINICAL_DEV" hidden="1">"c10022"</definedName>
    <definedName name="IQ_PHARMBIO_NUMBER_PROD__LAUNCHED_DURING_PERIOD" hidden="1">"c10028"</definedName>
    <definedName name="IQ_PHARMBIO_NUMBER_PROD__PHASE_I" hidden="1">"c10023"</definedName>
    <definedName name="IQ_PHARMBIO_NUMBER_PROD__PHASE_II" hidden="1">"c10024"</definedName>
    <definedName name="IQ_PHARMBIO_NUMBER_PROD__PHASE_III" hidden="1">"c10025"</definedName>
    <definedName name="IQ_PHARMBIO_NUMBER_PROD__PRE_CLINICAL_TRIALS" hidden="1">"c10021"</definedName>
    <definedName name="IQ_PHARMBIO_NUMBER_PROD__PRE_REGISTRATION" hidden="1">"c10026"</definedName>
    <definedName name="IQ_PHARMBIO_NUMBER_PROD__RESEARCH_DEV" hidden="1">"c10020"</definedName>
    <definedName name="IQ_PHARMBIO_NUMBER_PROD_APPROVED_DURING_PERIOD" hidden="1">"c10027"</definedName>
    <definedName name="IQ_PHARMBIO_NUMBER_PROD_CLINICAL_DEV" hidden="1">"c10022"</definedName>
    <definedName name="IQ_PHARMBIO_NUMBER_PROD_DISCOVERY_RESEARCH" hidden="1">"c10019"</definedName>
    <definedName name="IQ_PHARMBIO_NUMBER_PROD_LAUNCHED_DURING_PERIOD" hidden="1">"c10028"</definedName>
    <definedName name="IQ_PHARMBIO_NUMBER_PROD_PHASE_I" hidden="1">"c10023"</definedName>
    <definedName name="IQ_PHARMBIO_NUMBER_PROD_PHASE_II" hidden="1">"c10024"</definedName>
    <definedName name="IQ_PHARMBIO_NUMBER_PROD_PHASE_III" hidden="1">"c10025"</definedName>
    <definedName name="IQ_PHARMBIO_NUMBER_PROD_PRE_CLINICAL_TRIALS" hidden="1">"c10021"</definedName>
    <definedName name="IQ_PHARMBIO_NUMBER_PROD_PRE_REGISTRATION" hidden="1">"c10026"</definedName>
    <definedName name="IQ_PHARMBIO_NUMBER_PROD_RESEARCH_DEV" hidden="1">"c10020"</definedName>
    <definedName name="IQ_PHARMBIO_PATENT_APP" hidden="1">"c10016"</definedName>
    <definedName name="IQ_PHILADELPHIA_FED_DIFFUSION_INDEX" hidden="1">"c6945"</definedName>
    <definedName name="IQ_PHILADELPHIA_FED_DIFFUSION_INDEX_APR" hidden="1">"c7605"</definedName>
    <definedName name="IQ_PHILADELPHIA_FED_DIFFUSION_INDEX_APR_FC" hidden="1">"c8485"</definedName>
    <definedName name="IQ_PHILADELPHIA_FED_DIFFUSION_INDEX_FC" hidden="1">"c7825"</definedName>
    <definedName name="IQ_PHILADELPHIA_FED_DIFFUSION_INDEX_POP" hidden="1">"c7165"</definedName>
    <definedName name="IQ_PHILADELPHIA_FED_DIFFUSION_INDEX_POP_FC" hidden="1">"c8045"</definedName>
    <definedName name="IQ_PHILADELPHIA_FED_DIFFUSION_INDEX_YOY" hidden="1">"c7385"</definedName>
    <definedName name="IQ_PHILADELPHIA_FED_DIFFUSION_INDEX_YOY_FC" hidden="1">"c8265"</definedName>
    <definedName name="IQ_PLEDGED_SECURITIES_FDIC" hidden="1">"c6401"</definedName>
    <definedName name="IQ_PLL" hidden="1">"c2114"</definedName>
    <definedName name="IQ_PMAC_DIFFUSION_INDEX" hidden="1">"c6946"</definedName>
    <definedName name="IQ_PMAC_DIFFUSION_INDEX_APR" hidden="1">"c7606"</definedName>
    <definedName name="IQ_PMAC_DIFFUSION_INDEX_APR_FC" hidden="1">"c8486"</definedName>
    <definedName name="IQ_PMAC_DIFFUSION_INDEX_FC" hidden="1">"c7826"</definedName>
    <definedName name="IQ_PMAC_DIFFUSION_INDEX_POP" hidden="1">"c7166"</definedName>
    <definedName name="IQ_PMAC_DIFFUSION_INDEX_POP_FC" hidden="1">"c8046"</definedName>
    <definedName name="IQ_PMAC_DIFFUSION_INDEX_YOY" hidden="1">"c7386"</definedName>
    <definedName name="IQ_PMAC_DIFFUSION_INDEX_YOY_FC" hidden="1">"c8266"</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OL_AMT_ORIGINAL" hidden="1">"c8970"</definedName>
    <definedName name="IQ_POOL_NAME" hidden="1">"c8967"</definedName>
    <definedName name="IQ_POOL_NUMBER" hidden="1">"c8968"</definedName>
    <definedName name="IQ_POOL_TYPE" hidden="1">"c8969"</definedName>
    <definedName name="IQ_POST_RETIRE_EXP" hidden="1">"c1039"</definedName>
    <definedName name="IQ_POSTPAID_CHURN" hidden="1">"c2121"</definedName>
    <definedName name="IQ_POSTPAID_SUBS" hidden="1">"c2118"</definedName>
    <definedName name="IQ_POTENTIAL_UPSIDE" hidden="1">"c1855"</definedName>
    <definedName name="IQ_POTENTIAL_UPSIDE_THOM" hidden="1">"c5279"</definedName>
    <definedName name="IQ_PP_ATTRIB_ORE_RESERVES_ALUM" hidden="1">"c9218"</definedName>
    <definedName name="IQ_PP_ATTRIB_ORE_RESERVES_COP" hidden="1">"c9162"</definedName>
    <definedName name="IQ_PP_ATTRIB_ORE_RESERVES_DIAM" hidden="1">"c9642"</definedName>
    <definedName name="IQ_PP_ATTRIB_ORE_RESERVES_GOLD" hidden="1">"c9003"</definedName>
    <definedName name="IQ_PP_ATTRIB_ORE_RESERVES_IRON" hidden="1">"c9377"</definedName>
    <definedName name="IQ_PP_ATTRIB_ORE_RESERVES_LEAD" hidden="1">"c9430"</definedName>
    <definedName name="IQ_PP_ATTRIB_ORE_RESERVES_MANG" hidden="1">"c9483"</definedName>
    <definedName name="IQ_PP_ATTRIB_ORE_RESERVES_MOLYB" hidden="1">"c9695"</definedName>
    <definedName name="IQ_PP_ATTRIB_ORE_RESERVES_NICK" hidden="1">"c9271"</definedName>
    <definedName name="IQ_PP_ATTRIB_ORE_RESERVES_PLAT" hidden="1">"c9109"</definedName>
    <definedName name="IQ_PP_ATTRIB_ORE_RESERVES_SILVER" hidden="1">"c9056"</definedName>
    <definedName name="IQ_PP_ATTRIB_ORE_RESERVES_TITAN" hidden="1">"c9536"</definedName>
    <definedName name="IQ_PP_ATTRIB_ORE_RESERVES_URAN" hidden="1">"c9589"</definedName>
    <definedName name="IQ_PP_ATTRIB_ORE_RESERVES_ZINC" hidden="1">"c9324"</definedName>
    <definedName name="IQ_PP_ORE_RESERVES_ALUM" hidden="1">"c9211"</definedName>
    <definedName name="IQ_PP_ORE_RESERVES_COP" hidden="1">"c9155"</definedName>
    <definedName name="IQ_PP_ORE_RESERVES_DIAM" hidden="1">"c9635"</definedName>
    <definedName name="IQ_PP_ORE_RESERVES_GOLD" hidden="1">"c8996"</definedName>
    <definedName name="IQ_PP_ORE_RESERVES_IRON" hidden="1">"c9370"</definedName>
    <definedName name="IQ_PP_ORE_RESERVES_LEAD" hidden="1">"c9423"</definedName>
    <definedName name="IQ_PP_ORE_RESERVES_MANG" hidden="1">"c9476"</definedName>
    <definedName name="IQ_PP_ORE_RESERVES_MOLYB" hidden="1">"c9688"</definedName>
    <definedName name="IQ_PP_ORE_RESERVES_NICK" hidden="1">"c9264"</definedName>
    <definedName name="IQ_PP_ORE_RESERVES_PLAT" hidden="1">"c9102"</definedName>
    <definedName name="IQ_PP_ORE_RESERVES_SILVER" hidden="1">"c9049"</definedName>
    <definedName name="IQ_PP_ORE_RESERVES_TITAN" hidden="1">"c9529"</definedName>
    <definedName name="IQ_PP_ORE_RESERVES_URAN" hidden="1">"c9582"</definedName>
    <definedName name="IQ_PP_ORE_RESERVES_ZINC" hidden="1">"c9317"</definedName>
    <definedName name="IQ_PP_RECOV_ATTRIB_RESERVES_ALUM" hidden="1">"c9221"</definedName>
    <definedName name="IQ_PP_RECOV_ATTRIB_RESERVES_COAL" hidden="1">"c9805"</definedName>
    <definedName name="IQ_PP_RECOV_ATTRIB_RESERVES_COP" hidden="1">"c9165"</definedName>
    <definedName name="IQ_PP_RECOV_ATTRIB_RESERVES_DIAM" hidden="1">"c9645"</definedName>
    <definedName name="IQ_PP_RECOV_ATTRIB_RESERVES_GOLD" hidden="1">"c9006"</definedName>
    <definedName name="IQ_PP_RECOV_ATTRIB_RESERVES_IRON" hidden="1">"c9380"</definedName>
    <definedName name="IQ_PP_RECOV_ATTRIB_RESERVES_LEAD" hidden="1">"c9433"</definedName>
    <definedName name="IQ_PP_RECOV_ATTRIB_RESERVES_MANG" hidden="1">"c9486"</definedName>
    <definedName name="IQ_PP_RECOV_ATTRIB_RESERVES_MET_COAL" hidden="1">"c9745"</definedName>
    <definedName name="IQ_PP_RECOV_ATTRIB_RESERVES_MOLYB" hidden="1">"c9698"</definedName>
    <definedName name="IQ_PP_RECOV_ATTRIB_RESERVES_NICK" hidden="1">"c9274"</definedName>
    <definedName name="IQ_PP_RECOV_ATTRIB_RESERVES_PLAT" hidden="1">"c9112"</definedName>
    <definedName name="IQ_PP_RECOV_ATTRIB_RESERVES_SILVER" hidden="1">"c9059"</definedName>
    <definedName name="IQ_PP_RECOV_ATTRIB_RESERVES_STEAM" hidden="1">"c9775"</definedName>
    <definedName name="IQ_PP_RECOV_ATTRIB_RESERVES_TITAN" hidden="1">"c9539"</definedName>
    <definedName name="IQ_PP_RECOV_ATTRIB_RESERVES_URAN" hidden="1">"c9592"</definedName>
    <definedName name="IQ_PP_RECOV_ATTRIB_RESERVES_ZINC" hidden="1">"c9327"</definedName>
    <definedName name="IQ_PP_RECOV_RESERVES_ALUM" hidden="1">"c9215"</definedName>
    <definedName name="IQ_PP_RECOV_RESERVES_COAL" hidden="1">"c9802"</definedName>
    <definedName name="IQ_PP_RECOV_RESERVES_COP" hidden="1">"c9159"</definedName>
    <definedName name="IQ_PP_RECOV_RESERVES_DIAM" hidden="1">"c9639"</definedName>
    <definedName name="IQ_PP_RECOV_RESERVES_GOLD" hidden="1">"c9000"</definedName>
    <definedName name="IQ_PP_RECOV_RESERVES_IRON" hidden="1">"c9374"</definedName>
    <definedName name="IQ_PP_RECOV_RESERVES_LEAD" hidden="1">"c9427"</definedName>
    <definedName name="IQ_PP_RECOV_RESERVES_MANG" hidden="1">"c9480"</definedName>
    <definedName name="IQ_PP_RECOV_RESERVES_MET_COAL" hidden="1">"c9742"</definedName>
    <definedName name="IQ_PP_RECOV_RESERVES_MOLYB" hidden="1">"c9692"</definedName>
    <definedName name="IQ_PP_RECOV_RESERVES_NICK" hidden="1">"c9268"</definedName>
    <definedName name="IQ_PP_RECOV_RESERVES_PLAT" hidden="1">"c9106"</definedName>
    <definedName name="IQ_PP_RECOV_RESERVES_SILVER" hidden="1">"c9053"</definedName>
    <definedName name="IQ_PP_RECOV_RESERVES_STEAM" hidden="1">"c9772"</definedName>
    <definedName name="IQ_PP_RECOV_RESERVES_TITAN" hidden="1">"c9533"</definedName>
    <definedName name="IQ_PP_RECOV_RESERVES_URAN" hidden="1">"c9586"</definedName>
    <definedName name="IQ_PP_RECOV_RESERVES_ZINC" hidden="1">"c9321"</definedName>
    <definedName name="IQ_PP_RESERVES_CALORIFIC_VALUE_COAL" hidden="1">"c9799"</definedName>
    <definedName name="IQ_PP_RESERVES_CALORIFIC_VALUE_MET_COAL" hidden="1">"c9739"</definedName>
    <definedName name="IQ_PP_RESERVES_CALORIFIC_VALUE_STEAM" hidden="1">"c9769"</definedName>
    <definedName name="IQ_PP_RESERVES_GRADE_ALUM" hidden="1">"c9212"</definedName>
    <definedName name="IQ_PP_RESERVES_GRADE_COP" hidden="1">"c9156"</definedName>
    <definedName name="IQ_PP_RESERVES_GRADE_DIAM" hidden="1">"c9636"</definedName>
    <definedName name="IQ_PP_RESERVES_GRADE_GOLD" hidden="1">"c8997"</definedName>
    <definedName name="IQ_PP_RESERVES_GRADE_IRON" hidden="1">"c9371"</definedName>
    <definedName name="IQ_PP_RESERVES_GRADE_LEAD" hidden="1">"c9424"</definedName>
    <definedName name="IQ_PP_RESERVES_GRADE_MANG" hidden="1">"c9477"</definedName>
    <definedName name="IQ_PP_RESERVES_GRADE_MOLYB" hidden="1">"c9689"</definedName>
    <definedName name="IQ_PP_RESERVES_GRADE_NICK" hidden="1">"c9265"</definedName>
    <definedName name="IQ_PP_RESERVES_GRADE_PLAT" hidden="1">"c9103"</definedName>
    <definedName name="IQ_PP_RESERVES_GRADE_SILVER" hidden="1">"c9050"</definedName>
    <definedName name="IQ_PP_RESERVES_GRADE_TITAN" hidden="1">"c9530"</definedName>
    <definedName name="IQ_PP_RESERVES_GRADE_URAN" hidden="1">"c9583"</definedName>
    <definedName name="IQ_PP_RESERVES_GRADE_ZINC" hidden="1">"c9318"</definedName>
    <definedName name="IQ_PPI" hidden="1">"c6810"</definedName>
    <definedName name="IQ_PPI_APR" hidden="1">"c7470"</definedName>
    <definedName name="IQ_PPI_APR_FC" hidden="1">"c8350"</definedName>
    <definedName name="IQ_PPI_CORE" hidden="1">"c6840"</definedName>
    <definedName name="IQ_PPI_CORE_APR" hidden="1">"c7500"</definedName>
    <definedName name="IQ_PPI_CORE_APR_FC" hidden="1">"c8380"</definedName>
    <definedName name="IQ_PPI_CORE_FC" hidden="1">"c7720"</definedName>
    <definedName name="IQ_PPI_CORE_POP" hidden="1">"c7060"</definedName>
    <definedName name="IQ_PPI_CORE_POP_FC" hidden="1">"c7940"</definedName>
    <definedName name="IQ_PPI_CORE_YOY" hidden="1">"c7280"</definedName>
    <definedName name="IQ_PPI_CORE_YOY_FC" hidden="1">"c8160"</definedName>
    <definedName name="IQ_PPI_FC" hidden="1">"c7690"</definedName>
    <definedName name="IQ_PPI_POP" hidden="1">"c7030"</definedName>
    <definedName name="IQ_PPI_POP_FC" hidden="1">"c7910"</definedName>
    <definedName name="IQ_PPI_YOY" hidden="1">"c7250"</definedName>
    <definedName name="IQ_PPI_YOY_FC" hidden="1">"c8130"</definedName>
    <definedName name="IQ_PRE_OPEN_COST" hidden="1">"c1040"</definedName>
    <definedName name="IQ_PRE_TAX_ACT_OR_EST" hidden="1">"c2221"</definedName>
    <definedName name="IQ_PRE_TAX_ACT_OR_EST_THOM" hidden="1">"c5305"</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"c1416"</definedName>
    <definedName name="IQ_PREF_TOT" hidden="1">"c1415"</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 hidden="1">"c16"</definedName>
    <definedName name="IQ_PRETAX_INC_10K" hidden="1">"IQ_PRETAX_INC_10K"</definedName>
    <definedName name="IQ_PRETAX_INC_10Q" hidden="1">"IQ_PRETAX_INC_10Q"</definedName>
    <definedName name="IQ_PRETAX_INC_10Q1" hidden="1">"IQ_PRETAX_INC_10Q1"</definedName>
    <definedName name="IQ_PRETAX_INC_EST" hidden="1">"c1695"</definedName>
    <definedName name="IQ_PRETAX_INC_EST_THOM" hidden="1">"c5119"</definedName>
    <definedName name="IQ_PRETAX_INC_HIGH_EST" hidden="1">"c1697"</definedName>
    <definedName name="IQ_PRETAX_INC_HIGH_EST_THOM" hidden="1">"c5121"</definedName>
    <definedName name="IQ_PRETAX_INC_LOW_EST" hidden="1">"c1698"</definedName>
    <definedName name="IQ_PRETAX_INC_LOW_EST_THOM" hidden="1">"c5122"</definedName>
    <definedName name="IQ_PRETAX_INC_MEDIAN_EST" hidden="1">"c1696"</definedName>
    <definedName name="IQ_PRETAX_INC_MEDIAN_EST_THOM" hidden="1">"c5120"</definedName>
    <definedName name="IQ_PRETAX_INC_NUM_EST" hidden="1">"c1699"</definedName>
    <definedName name="IQ_PRETAX_INC_NUM_EST_THOM" hidden="1">"c5123"</definedName>
    <definedName name="IQ_PRETAX_INC_STDDEV_EST" hidden="1">"c1700"</definedName>
    <definedName name="IQ_PRETAX_INC_STDDEV_EST_THOM" hidden="1">"c5124"</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ETAX_RETURN_ASSETS_FDIC" hidden="1">"c6731"</definedName>
    <definedName name="IQ_PREV_MONTHLY_FACTOR" hidden="1">"c8973"</definedName>
    <definedName name="IQ_PREV_MONTHLY_FACTOR_DATE" hidden="1">"c8974"</definedName>
    <definedName name="IQ_PRICE_CFPS_FWD" hidden="1">"c2237"</definedName>
    <definedName name="IQ_PRICE_CFPS_FWD_THOM" hidden="1">"c4060"</definedName>
    <definedName name="IQ_PRICE_OVER_BVPS" hidden="1">"c1412"</definedName>
    <definedName name="IQ_PRICE_OVER_EPS_EST" hidden="1">"c174"</definedName>
    <definedName name="IQ_PRICE_OVER_EPS_EST_1" hidden="1">"c175"</definedName>
    <definedName name="IQ_PRICE_OVER_LTM_EPS" hidden="1">"c1413"</definedName>
    <definedName name="IQ_PRICE_PAID_FARM_INDEX" hidden="1">"c6948"</definedName>
    <definedName name="IQ_PRICE_PAID_FARM_INDEX_APR" hidden="1">"c7608"</definedName>
    <definedName name="IQ_PRICE_PAID_FARM_INDEX_APR_FC" hidden="1">"c8488"</definedName>
    <definedName name="IQ_PRICE_PAID_FARM_INDEX_FC" hidden="1">"c7828"</definedName>
    <definedName name="IQ_PRICE_PAID_FARM_INDEX_POP" hidden="1">"c7168"</definedName>
    <definedName name="IQ_PRICE_PAID_FARM_INDEX_POP_FC" hidden="1">"c8048"</definedName>
    <definedName name="IQ_PRICE_PAID_FARM_INDEX_YOY" hidden="1">"c7388"</definedName>
    <definedName name="IQ_PRICE_PAID_FARM_INDEX_YOY_FC" hidden="1">"c8268"</definedName>
    <definedName name="IQ_PRICE_TARGET" hidden="1">"c82"</definedName>
    <definedName name="IQ_PRICE_TARGET_CIQ" hidden="1">"c3613"</definedName>
    <definedName name="IQ_PRICE_TARGET_REUT" hidden="1">"c3631"</definedName>
    <definedName name="IQ_PRICE_TARGET_THOM" hidden="1">"c3649"</definedName>
    <definedName name="IQ_PRICEDATE" hidden="1">"c1069"</definedName>
    <definedName name="IQ_PRICEDATETIME" hidden="1">"IQ_PRICEDATETIME"</definedName>
    <definedName name="IQ_PRICING_DATE" hidden="1">"c1613"</definedName>
    <definedName name="IQ_PRIMARY_EPS_TYPE" hidden="1">"c4498"</definedName>
    <definedName name="IQ_PRIMARY_INDUSTRY" hidden="1">"c1070"</definedName>
    <definedName name="IQ_PRINCIPAL_AMT" hidden="1">"c2157"</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FIXED_INVEST_TOTAL" hidden="1">"c12006"</definedName>
    <definedName name="IQ_PRIVATE_FIXED_INVEST_TOTAL_APR" hidden="1">"c12009"</definedName>
    <definedName name="IQ_PRIVATE_FIXED_INVEST_TOTAL_POP" hidden="1">"c12007"</definedName>
    <definedName name="IQ_PRIVATE_FIXED_INVEST_TOTAL_YOY" hidden="1">"c12008"</definedName>
    <definedName name="IQ_PRIVATE_NONRES_CONST_IMPROV" hidden="1">"c6949"</definedName>
    <definedName name="IQ_PRIVATE_NONRES_CONST_IMPROV_APR" hidden="1">"c7609"</definedName>
    <definedName name="IQ_PRIVATE_NONRES_CONST_IMPROV_APR_FC" hidden="1">"c8489"</definedName>
    <definedName name="IQ_PRIVATE_NONRES_CONST_IMPROV_FC" hidden="1">"c7829"</definedName>
    <definedName name="IQ_PRIVATE_NONRES_CONST_IMPROV_POP" hidden="1">"c7169"</definedName>
    <definedName name="IQ_PRIVATE_NONRES_CONST_IMPROV_POP_FC" hidden="1">"c8049"</definedName>
    <definedName name="IQ_PRIVATE_NONRES_CONST_IMPROV_YOY" hidden="1">"c7389"</definedName>
    <definedName name="IQ_PRIVATE_NONRES_CONST_IMPROV_YOY_FC" hidden="1">"c8269"</definedName>
    <definedName name="IQ_PRIVATE_RES_CONST_IMPROV" hidden="1">"c6950"</definedName>
    <definedName name="IQ_PRIVATE_RES_CONST_IMPROV_APR" hidden="1">"c7610"</definedName>
    <definedName name="IQ_PRIVATE_RES_CONST_IMPROV_APR_FC" hidden="1">"c8490"</definedName>
    <definedName name="IQ_PRIVATE_RES_CONST_IMPROV_FC" hidden="1">"c7830"</definedName>
    <definedName name="IQ_PRIVATE_RES_CONST_IMPROV_POP" hidden="1">"c7170"</definedName>
    <definedName name="IQ_PRIVATE_RES_CONST_IMPROV_POP_FC" hidden="1">"c8050"</definedName>
    <definedName name="IQ_PRIVATE_RES_CONST_IMPROV_YOY" hidden="1">"c7390"</definedName>
    <definedName name="IQ_PRIVATE_RES_CONST_IMPROV_YOY_FC" hidden="1">"c8270"</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_RES_FIXED_INVEST_REAL" hidden="1">"c11986"</definedName>
    <definedName name="IQ_PRIVATE_RES_FIXED_INVEST_REAL_APR" hidden="1">"c11989"</definedName>
    <definedName name="IQ_PRIVATE_RES_FIXED_INVEST_REAL_POP" hidden="1">"c11987"</definedName>
    <definedName name="IQ_PRIVATE_RES_FIXED_INVEST_REAL_YOY" hidden="1">"c11988"</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"c1452"</definedName>
    <definedName name="IQ_PROBABLE_ATTRIB_ORE_RESERVES_ALUM" hidden="1">"c9217"</definedName>
    <definedName name="IQ_PROBABLE_ATTRIB_ORE_RESERVES_COP" hidden="1">"c9161"</definedName>
    <definedName name="IQ_PROBABLE_ATTRIB_ORE_RESERVES_DIAM" hidden="1">"c9641"</definedName>
    <definedName name="IQ_PROBABLE_ATTRIB_ORE_RESERVES_GOLD" hidden="1">"c9002"</definedName>
    <definedName name="IQ_PROBABLE_ATTRIB_ORE_RESERVES_IRON" hidden="1">"c9376"</definedName>
    <definedName name="IQ_PROBABLE_ATTRIB_ORE_RESERVES_LEAD" hidden="1">"c9429"</definedName>
    <definedName name="IQ_PROBABLE_ATTRIB_ORE_RESERVES_MANG" hidden="1">"c9482"</definedName>
    <definedName name="IQ_PROBABLE_ATTRIB_ORE_RESERVES_MOLYB" hidden="1">"c9694"</definedName>
    <definedName name="IQ_PROBABLE_ATTRIB_ORE_RESERVES_NICK" hidden="1">"c9270"</definedName>
    <definedName name="IQ_PROBABLE_ATTRIB_ORE_RESERVES_PLAT" hidden="1">"c9108"</definedName>
    <definedName name="IQ_PROBABLE_ATTRIB_ORE_RESERVES_SILVER" hidden="1">"c9055"</definedName>
    <definedName name="IQ_PROBABLE_ATTRIB_ORE_RESERVES_TITAN" hidden="1">"c9535"</definedName>
    <definedName name="IQ_PROBABLE_ATTRIB_ORE_RESERVES_URAN" hidden="1">"c9588"</definedName>
    <definedName name="IQ_PROBABLE_ATTRIB_ORE_RESERVES_ZINC" hidden="1">"c9323"</definedName>
    <definedName name="IQ_PROBABLE_ORE_RESERVES_ALUM" hidden="1">"c9209"</definedName>
    <definedName name="IQ_PROBABLE_ORE_RESERVES_COP" hidden="1">"c9153"</definedName>
    <definedName name="IQ_PROBABLE_ORE_RESERVES_DIAM" hidden="1">"c9633"</definedName>
    <definedName name="IQ_PROBABLE_ORE_RESERVES_GOLD" hidden="1">"c8994"</definedName>
    <definedName name="IQ_PROBABLE_ORE_RESERVES_IRON" hidden="1">"c9368"</definedName>
    <definedName name="IQ_PROBABLE_ORE_RESERVES_LEAD" hidden="1">"c9421"</definedName>
    <definedName name="IQ_PROBABLE_ORE_RESERVES_MANG" hidden="1">"c9474"</definedName>
    <definedName name="IQ_PROBABLE_ORE_RESERVES_MOLYB" hidden="1">"c9686"</definedName>
    <definedName name="IQ_PROBABLE_ORE_RESERVES_NICK" hidden="1">"c9262"</definedName>
    <definedName name="IQ_PROBABLE_ORE_RESERVES_PLAT" hidden="1">"c9100"</definedName>
    <definedName name="IQ_PROBABLE_ORE_RESERVES_SILVER" hidden="1">"c9047"</definedName>
    <definedName name="IQ_PROBABLE_ORE_RESERVES_TITAN" hidden="1">"c9527"</definedName>
    <definedName name="IQ_PROBABLE_ORE_RESERVES_URAN" hidden="1">"c9580"</definedName>
    <definedName name="IQ_PROBABLE_ORE_RESERVES_ZINC" hidden="1">"c9315"</definedName>
    <definedName name="IQ_PROBABLE_RECOV_ATTRIB_RESERVES_ALUM" hidden="1">"c9220"</definedName>
    <definedName name="IQ_PROBABLE_RECOV_ATTRIB_RESERVES_COAL" hidden="1">"c9804"</definedName>
    <definedName name="IQ_PROBABLE_RECOV_ATTRIB_RESERVES_COP" hidden="1">"c9164"</definedName>
    <definedName name="IQ_PROBABLE_RECOV_ATTRIB_RESERVES_DIAM" hidden="1">"c9644"</definedName>
    <definedName name="IQ_PROBABLE_RECOV_ATTRIB_RESERVES_GOLD" hidden="1">"c9005"</definedName>
    <definedName name="IQ_PROBABLE_RECOV_ATTRIB_RESERVES_IRON" hidden="1">"c9379"</definedName>
    <definedName name="IQ_PROBABLE_RECOV_ATTRIB_RESERVES_LEAD" hidden="1">"c9432"</definedName>
    <definedName name="IQ_PROBABLE_RECOV_ATTRIB_RESERVES_MANG" hidden="1">"c9485"</definedName>
    <definedName name="IQ_PROBABLE_RECOV_ATTRIB_RESERVES_MET_COAL" hidden="1">"c9744"</definedName>
    <definedName name="IQ_PROBABLE_RECOV_ATTRIB_RESERVES_MOLYB" hidden="1">"c9697"</definedName>
    <definedName name="IQ_PROBABLE_RECOV_ATTRIB_RESERVES_NICK" hidden="1">"c9273"</definedName>
    <definedName name="IQ_PROBABLE_RECOV_ATTRIB_RESERVES_PLAT" hidden="1">"c9111"</definedName>
    <definedName name="IQ_PROBABLE_RECOV_ATTRIB_RESERVES_SILVER" hidden="1">"c9058"</definedName>
    <definedName name="IQ_PROBABLE_RECOV_ATTRIB_RESERVES_STEAM" hidden="1">"c9774"</definedName>
    <definedName name="IQ_PROBABLE_RECOV_ATTRIB_RESERVES_TITAN" hidden="1">"c9538"</definedName>
    <definedName name="IQ_PROBABLE_RECOV_ATTRIB_RESERVES_URAN" hidden="1">"c9591"</definedName>
    <definedName name="IQ_PROBABLE_RECOV_ATTRIB_RESERVES_ZINC" hidden="1">"c9326"</definedName>
    <definedName name="IQ_PROBABLE_RECOV_RESERVES_ALUM" hidden="1">"c9214"</definedName>
    <definedName name="IQ_PROBABLE_RECOV_RESERVES_COAL" hidden="1">"c9801"</definedName>
    <definedName name="IQ_PROBABLE_RECOV_RESERVES_COP" hidden="1">"c9158"</definedName>
    <definedName name="IQ_PROBABLE_RECOV_RESERVES_DIAM" hidden="1">"c9638"</definedName>
    <definedName name="IQ_PROBABLE_RECOV_RESERVES_GOLD" hidden="1">"c8999"</definedName>
    <definedName name="IQ_PROBABLE_RECOV_RESERVES_IRON" hidden="1">"c9373"</definedName>
    <definedName name="IQ_PROBABLE_RECOV_RESERVES_LEAD" hidden="1">"c9426"</definedName>
    <definedName name="IQ_PROBABLE_RECOV_RESERVES_MANG" hidden="1">"c9479"</definedName>
    <definedName name="IQ_PROBABLE_RECOV_RESERVES_MET_COAL" hidden="1">"c9741"</definedName>
    <definedName name="IQ_PROBABLE_RECOV_RESERVES_MOLYB" hidden="1">"c9691"</definedName>
    <definedName name="IQ_PROBABLE_RECOV_RESERVES_NICK" hidden="1">"c9267"</definedName>
    <definedName name="IQ_PROBABLE_RECOV_RESERVES_PLAT" hidden="1">"c9105"</definedName>
    <definedName name="IQ_PROBABLE_RECOV_RESERVES_SILVER" hidden="1">"c9052"</definedName>
    <definedName name="IQ_PROBABLE_RECOV_RESERVES_STEAM" hidden="1">"c9771"</definedName>
    <definedName name="IQ_PROBABLE_RECOV_RESERVES_TITAN" hidden="1">"c9532"</definedName>
    <definedName name="IQ_PROBABLE_RECOV_RESERVES_URAN" hidden="1">"c9585"</definedName>
    <definedName name="IQ_PROBABLE_RECOV_RESERVES_ZINC" hidden="1">"c9320"</definedName>
    <definedName name="IQ_PROBABLE_RESERVES_CALORIFIC_VALUE_COAL" hidden="1">"c9798"</definedName>
    <definedName name="IQ_PROBABLE_RESERVES_CALORIFIC_VALUE_MET_COAL" hidden="1">"c9738"</definedName>
    <definedName name="IQ_PROBABLE_RESERVES_CALORIFIC_VALUE_STEAM" hidden="1">"c9768"</definedName>
    <definedName name="IQ_PROBABLE_RESERVES_GRADE_ALUM" hidden="1">"c9210"</definedName>
    <definedName name="IQ_PROBABLE_RESERVES_GRADE_COP" hidden="1">"c9154"</definedName>
    <definedName name="IQ_PROBABLE_RESERVES_GRADE_DIAM" hidden="1">"c9634"</definedName>
    <definedName name="IQ_PROBABLE_RESERVES_GRADE_GOLD" hidden="1">"c8995"</definedName>
    <definedName name="IQ_PROBABLE_RESERVES_GRADE_IRON" hidden="1">"c9369"</definedName>
    <definedName name="IQ_PROBABLE_RESERVES_GRADE_LEAD" hidden="1">"c9422"</definedName>
    <definedName name="IQ_PROBABLE_RESERVES_GRADE_MANG" hidden="1">"c9475"</definedName>
    <definedName name="IQ_PROBABLE_RESERVES_GRADE_MOLYB" hidden="1">"c9687"</definedName>
    <definedName name="IQ_PROBABLE_RESERVES_GRADE_NICK" hidden="1">"c9263"</definedName>
    <definedName name="IQ_PROBABLE_RESERVES_GRADE_PLAT" hidden="1">"c9101"</definedName>
    <definedName name="IQ_PROBABLE_RESERVES_GRADE_SILVER" hidden="1">"c9048"</definedName>
    <definedName name="IQ_PROBABLE_RESERVES_GRADE_TITAN" hidden="1">"c9528"</definedName>
    <definedName name="IQ_PROBABLE_RESERVES_GRADE_URAN" hidden="1">"c9581"</definedName>
    <definedName name="IQ_PROBABLE_RESERVES_GRADE_ZINC" hidden="1">"c9316"</definedName>
    <definedName name="IQ_PRODUCTION_COST_ALUM" hidden="1">"c9253"</definedName>
    <definedName name="IQ_PRODUCTION_COST_COAL" hidden="1">"c9826"</definedName>
    <definedName name="IQ_PRODUCTION_COST_COP" hidden="1">"c9200"</definedName>
    <definedName name="IQ_PRODUCTION_COST_DIAM" hidden="1">"c9677"</definedName>
    <definedName name="IQ_PRODUCTION_COST_GOLD" hidden="1">"c9038"</definedName>
    <definedName name="IQ_PRODUCTION_COST_IRON" hidden="1">"c9412"</definedName>
    <definedName name="IQ_PRODUCTION_COST_LEAD" hidden="1">"c9465"</definedName>
    <definedName name="IQ_PRODUCTION_COST_MANG" hidden="1">"c9518"</definedName>
    <definedName name="IQ_PRODUCTION_COST_MET_COAL" hidden="1">"c9763"</definedName>
    <definedName name="IQ_PRODUCTION_COST_MOLYB" hidden="1">"c9730"</definedName>
    <definedName name="IQ_PRODUCTION_COST_NICK" hidden="1">"c9306"</definedName>
    <definedName name="IQ_PRODUCTION_COST_PLAT" hidden="1">"c9144"</definedName>
    <definedName name="IQ_PRODUCTION_COST_SILVER" hidden="1">"c9091"</definedName>
    <definedName name="IQ_PRODUCTION_COST_STEAM" hidden="1">"c9793"</definedName>
    <definedName name="IQ_PRODUCTION_COST_TITAN" hidden="1">"c9571"</definedName>
    <definedName name="IQ_PRODUCTION_COST_URAN" hidden="1">"c9624"</definedName>
    <definedName name="IQ_PRODUCTION_COST_ZINC" hidden="1">"c9359"</definedName>
    <definedName name="IQ_PROFESSIONAL" hidden="1">"c1071"</definedName>
    <definedName name="IQ_PROFESSIONAL_TITLE" hidden="1">"c1072"</definedName>
    <definedName name="IQ_PROFIT_AFTER_COST_CAPITAL_NEW_BUSINESS" hidden="1">"c9969"</definedName>
    <definedName name="IQ_PROFIT_BEFORE_COST_CAPITAL_NEW_BUSINESS" hidden="1">"c9967"</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ED_ATTRIB_ORE_RESERVES_ALUM" hidden="1">"c9216"</definedName>
    <definedName name="IQ_PROVED_ATTRIB_ORE_RESERVES_COP" hidden="1">"c9160"</definedName>
    <definedName name="IQ_PROVED_ATTRIB_ORE_RESERVES_DIAM" hidden="1">"c9640"</definedName>
    <definedName name="IQ_PROVED_ATTRIB_ORE_RESERVES_GOLD" hidden="1">"c9001"</definedName>
    <definedName name="IQ_PROVED_ATTRIB_ORE_RESERVES_IRON" hidden="1">"c9375"</definedName>
    <definedName name="IQ_PROVED_ATTRIB_ORE_RESERVES_LEAD" hidden="1">"c9428"</definedName>
    <definedName name="IQ_PROVED_ATTRIB_ORE_RESERVES_MANG" hidden="1">"c9481"</definedName>
    <definedName name="IQ_PROVED_ATTRIB_ORE_RESERVES_MOLYB" hidden="1">"c9693"</definedName>
    <definedName name="IQ_PROVED_ATTRIB_ORE_RESERVES_NICK" hidden="1">"c9269"</definedName>
    <definedName name="IQ_PROVED_ATTRIB_ORE_RESERVES_PLAT" hidden="1">"c9107"</definedName>
    <definedName name="IQ_PROVED_ATTRIB_ORE_RESERVES_SILVER" hidden="1">"c9054"</definedName>
    <definedName name="IQ_PROVED_ATTRIB_ORE_RESERVES_TITAN" hidden="1">"c9534"</definedName>
    <definedName name="IQ_PROVED_ATTRIB_ORE_RESERVES_URAN" hidden="1">"c9587"</definedName>
    <definedName name="IQ_PROVED_ATTRIB_ORE_RESERVES_ZINC" hidden="1">"c9322"</definedName>
    <definedName name="IQ_PROVED_ORE_RESERVES_ALUM" hidden="1">"c9207"</definedName>
    <definedName name="IQ_PROVED_ORE_RESERVES_COP" hidden="1">"c9151"</definedName>
    <definedName name="IQ_PROVED_ORE_RESERVES_DIAM" hidden="1">"c9631"</definedName>
    <definedName name="IQ_PROVED_ORE_RESERVES_GOLD" hidden="1">"c8992"</definedName>
    <definedName name="IQ_PROVED_ORE_RESERVES_IRON" hidden="1">"c9366"</definedName>
    <definedName name="IQ_PROVED_ORE_RESERVES_LEAD" hidden="1">"c9419"</definedName>
    <definedName name="IQ_PROVED_ORE_RESERVES_MANG" hidden="1">"c9472"</definedName>
    <definedName name="IQ_PROVED_ORE_RESERVES_MOLYB" hidden="1">"c9684"</definedName>
    <definedName name="IQ_PROVED_ORE_RESERVES_NICK" hidden="1">"c9260"</definedName>
    <definedName name="IQ_PROVED_ORE_RESERVES_PLAT" hidden="1">"c9098"</definedName>
    <definedName name="IQ_PROVED_ORE_RESERVES_SILVER" hidden="1">"c9045"</definedName>
    <definedName name="IQ_PROVED_ORE_RESERVES_TITAN" hidden="1">"c9525"</definedName>
    <definedName name="IQ_PROVED_ORE_RESERVES_URAN" hidden="1">"c9578"</definedName>
    <definedName name="IQ_PROVED_ORE_RESERVES_ZINC" hidden="1">"c9313"</definedName>
    <definedName name="IQ_PROVED_RECOV_ATTRIB_RESERVES_ALUM" hidden="1">"c9219"</definedName>
    <definedName name="IQ_PROVED_RECOV_ATTRIB_RESERVES_COAL" hidden="1">"c9803"</definedName>
    <definedName name="IQ_PROVED_RECOV_ATTRIB_RESERVES_COP" hidden="1">"c9163"</definedName>
    <definedName name="IQ_PROVED_RECOV_ATTRIB_RESERVES_DIAM" hidden="1">"c9643"</definedName>
    <definedName name="IQ_PROVED_RECOV_ATTRIB_RESERVES_GOLD" hidden="1">"c9004"</definedName>
    <definedName name="IQ_PROVED_RECOV_ATTRIB_RESERVES_IRON" hidden="1">"c9378"</definedName>
    <definedName name="IQ_PROVED_RECOV_ATTRIB_RESERVES_LEAD" hidden="1">"c9431"</definedName>
    <definedName name="IQ_PROVED_RECOV_ATTRIB_RESERVES_MANG" hidden="1">"c9484"</definedName>
    <definedName name="IQ_PROVED_RECOV_ATTRIB_RESERVES_MET_COAL" hidden="1">"c9743"</definedName>
    <definedName name="IQ_PROVED_RECOV_ATTRIB_RESERVES_MOLYB" hidden="1">"c9696"</definedName>
    <definedName name="IQ_PROVED_RECOV_ATTRIB_RESERVES_NICK" hidden="1">"c9272"</definedName>
    <definedName name="IQ_PROVED_RECOV_ATTRIB_RESERVES_PLAT" hidden="1">"c9110"</definedName>
    <definedName name="IQ_PROVED_RECOV_ATTRIB_RESERVES_SILVER" hidden="1">"c9057"</definedName>
    <definedName name="IQ_PROVED_RECOV_ATTRIB_RESERVES_STEAM" hidden="1">"c9773"</definedName>
    <definedName name="IQ_PROVED_RECOV_ATTRIB_RESERVES_TITAN" hidden="1">"c9537"</definedName>
    <definedName name="IQ_PROVED_RECOV_ATTRIB_RESERVES_URAN" hidden="1">"c9590"</definedName>
    <definedName name="IQ_PROVED_RECOV_ATTRIB_RESERVES_ZINC" hidden="1">"c9325"</definedName>
    <definedName name="IQ_PROVED_RECOV_RESERVES_ALUM" hidden="1">"c9213"</definedName>
    <definedName name="IQ_PROVED_RECOV_RESERVES_COAL" hidden="1">"c9800"</definedName>
    <definedName name="IQ_PROVED_RECOV_RESERVES_COP" hidden="1">"c9157"</definedName>
    <definedName name="IQ_PROVED_RECOV_RESERVES_DIAM" hidden="1">"c9637"</definedName>
    <definedName name="IQ_PROVED_RECOV_RESERVES_GOLD" hidden="1">"c8998"</definedName>
    <definedName name="IQ_PROVED_RECOV_RESERVES_IRON" hidden="1">"c9372"</definedName>
    <definedName name="IQ_PROVED_RECOV_RESERVES_LEAD" hidden="1">"c9425"</definedName>
    <definedName name="IQ_PROVED_RECOV_RESERVES_MANG" hidden="1">"c9478"</definedName>
    <definedName name="IQ_PROVED_RECOV_RESERVES_MET_COAL" hidden="1">"c9740"</definedName>
    <definedName name="IQ_PROVED_RECOV_RESERVES_MOLYB" hidden="1">"c9690"</definedName>
    <definedName name="IQ_PROVED_RECOV_RESERVES_NICK" hidden="1">"c9266"</definedName>
    <definedName name="IQ_PROVED_RECOV_RESERVES_PLAT" hidden="1">"c9104"</definedName>
    <definedName name="IQ_PROVED_RECOV_RESERVES_SILVER" hidden="1">"c9051"</definedName>
    <definedName name="IQ_PROVED_RECOV_RESERVES_STEAM" hidden="1">"c9770"</definedName>
    <definedName name="IQ_PROVED_RECOV_RESERVES_TITAN" hidden="1">"c9531"</definedName>
    <definedName name="IQ_PROVED_RECOV_RESERVES_URAN" hidden="1">"c9584"</definedName>
    <definedName name="IQ_PROVED_RECOV_RESERVES_ZINC" hidden="1">"c9319"</definedName>
    <definedName name="IQ_PROVED_RESERVES_CALORIFIC_VALUE_COAL" hidden="1">"c9797"</definedName>
    <definedName name="IQ_PROVED_RESERVES_CALORIFIC_VALUE_MET_COAL" hidden="1">"c9737"</definedName>
    <definedName name="IQ_PROVED_RESERVES_CALORIFIC_VALUE_STEAM" hidden="1">"c9767"</definedName>
    <definedName name="IQ_PROVED_RESERVES_GRADE_ALUM" hidden="1">"c9208"</definedName>
    <definedName name="IQ_PROVED_RESERVES_GRADE_COP" hidden="1">"c9152"</definedName>
    <definedName name="IQ_PROVED_RESERVES_GRADE_DIAM" hidden="1">"c9632"</definedName>
    <definedName name="IQ_PROVED_RESERVES_GRADE_GOLD" hidden="1">"c8993"</definedName>
    <definedName name="IQ_PROVED_RESERVES_GRADE_IRON" hidden="1">"c9367"</definedName>
    <definedName name="IQ_PROVED_RESERVES_GRADE_LEAD" hidden="1">"c9420"</definedName>
    <definedName name="IQ_PROVED_RESERVES_GRADE_MANG" hidden="1">"c9473"</definedName>
    <definedName name="IQ_PROVED_RESERVES_GRADE_MOLYB" hidden="1">"c9685"</definedName>
    <definedName name="IQ_PROVED_RESERVES_GRADE_NICK" hidden="1">"c9261"</definedName>
    <definedName name="IQ_PROVED_RESERVES_GRADE_PLAT" hidden="1">"c9099"</definedName>
    <definedName name="IQ_PROVED_RESERVES_GRADE_SILVER" hidden="1">"c9046"</definedName>
    <definedName name="IQ_PROVED_RESERVES_GRADE_TITAN" hidden="1">"c9526"</definedName>
    <definedName name="IQ_PROVED_RESERVES_GRADE_URAN" hidden="1">"c9579"</definedName>
    <definedName name="IQ_PROVED_RESERVES_GRADE_ZINC" hidden="1">"c9314"</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PUT_DATE_SCHEDULE" hidden="1">"c2483"</definedName>
    <definedName name="IQ_PUT_NOTIFICATION" hidden="1">"c2485"</definedName>
    <definedName name="IQ_PUT_PRICE_SCHEDULE" hidden="1">"c2484"</definedName>
    <definedName name="IQ_PV_PREMIUMS_NEW_BUSINESS" hidden="1">"c9973"</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DEPR_AMORT" hidden="1">"c8750"</definedName>
    <definedName name="IQ_RE_FCCR" hidden="1">"c8858"</definedName>
    <definedName name="IQ_RE_FCCR_CONT_OPS" hidden="1">"c8859"</definedName>
    <definedName name="IQ_RE_FCCR_INCL_DISC_OPS" hidden="1">"c8860"</definedName>
    <definedName name="IQ_RE_FCCR_INCL_PREF_DIV" hidden="1">"c8861"</definedName>
    <definedName name="IQ_RE_FCCR_INCL_PREF_DIV_CONT_OPS" hidden="1">"c8862"</definedName>
    <definedName name="IQ_RE_FCCR_INCL_PREF_DIV_INCL_DISC_OPS" hidden="1">"c8863"</definedName>
    <definedName name="IQ_RE_FIXED_CHARGES" hidden="1">"c8856"</definedName>
    <definedName name="IQ_RE_FIXED_CHARGES_INCL_PREF_DIV" hidden="1">"c8857"</definedName>
    <definedName name="IQ_RE_FORECLOSURE_FDIC" hidden="1">"c6332"</definedName>
    <definedName name="IQ_RE_GAIN_LOSS_SALE_ASSETS" hidden="1">"c8751"</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_MAINT_CAPEX" hidden="1">"c8755"</definedName>
    <definedName name="IQ_RE_MINORITY_INTEREST" hidden="1">"c8752"</definedName>
    <definedName name="IQ_RE_NET_INCOME" hidden="1">"c8749"</definedName>
    <definedName name="IQ_RE_NOI" hidden="1">"c8864"</definedName>
    <definedName name="IQ_RE_NOI_GROWTH_SAME_PROP" hidden="1">"c8866"</definedName>
    <definedName name="IQ_RE_NOI_SAME_PROP" hidden="1">"c8865"</definedName>
    <definedName name="IQ_RE_OTHER_ITEMS" hidden="1">"c8753"</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ACT_OR_EST_CIQ" hidden="1">"c5045"</definedName>
    <definedName name="IQ_RECURRING_PROFIT_SHARE_ACT_OR_EST" hidden="1">"c4508"</definedName>
    <definedName name="IQ_RECURRING_PROFIT_SHARE_ACT_OR_EST_CIQ" hidden="1">"c5046"</definedName>
    <definedName name="IQ_REDEEM_PREF_STOCK" hidden="1">"c1417"</definedName>
    <definedName name="IQ_REF_ENTITY" hidden="1">"c6033"</definedName>
    <definedName name="IQ_REF_ENTITY_CIQID" hidden="1">"c6024"</definedName>
    <definedName name="IQ_REF_ENTITY_TICKER" hidden="1">"c6023"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_PER_SQ_FT_AVG_CONSOL" hidden="1">"c8846"</definedName>
    <definedName name="IQ_RENT_PER_SQ_FT_AVG_MANAGED" hidden="1">"c8848"</definedName>
    <definedName name="IQ_RENT_PER_SQ_FT_AVG_OTHER" hidden="1">"c8849"</definedName>
    <definedName name="IQ_RENT_PER_SQ_FT_AVG_TOTAL" hidden="1">"c8850"</definedName>
    <definedName name="IQ_RENT_PER_SQ_FT_AVG_UNCONSOL" hidden="1">"c8847"</definedName>
    <definedName name="IQ_RENT_PER_SQ_METER_AVG_CONSOL" hidden="1">"c8851"</definedName>
    <definedName name="IQ_RENT_PER_SQ_METER_AVG_MANAGED" hidden="1">"c8853"</definedName>
    <definedName name="IQ_RENT_PER_SQ_METER_AVG_OTHER" hidden="1">"c8854"</definedName>
    <definedName name="IQ_RENT_PER_SQ_METER_AVG_TOTAL" hidden="1">"c8855"</definedName>
    <definedName name="IQ_RENT_PER_SQ_METER_AVG_UNCONSOL" hidden="1">"c8852"</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_FIXED_INVEST" hidden="1">"c7001"</definedName>
    <definedName name="IQ_RES_FIXED_INVEST_APR" hidden="1">"c7661"</definedName>
    <definedName name="IQ_RES_FIXED_INVEST_APR_FC" hidden="1">"c8541"</definedName>
    <definedName name="IQ_RES_FIXED_INVEST_FC" hidden="1">"c7881"</definedName>
    <definedName name="IQ_RES_FIXED_INVEST_POP" hidden="1">"c7221"</definedName>
    <definedName name="IQ_RES_FIXED_INVEST_POP_FC" hidden="1">"c8101"</definedName>
    <definedName name="IQ_RES_FIXED_INVEST_REAL" hidden="1">"c6998"</definedName>
    <definedName name="IQ_RES_FIXED_INVEST_REAL_APR" hidden="1">"c7658"</definedName>
    <definedName name="IQ_RES_FIXED_INVEST_REAL_APR_FC" hidden="1">"c8538"</definedName>
    <definedName name="IQ_RES_FIXED_INVEST_REAL_FC" hidden="1">"c7878"</definedName>
    <definedName name="IQ_RES_FIXED_INVEST_REAL_POP" hidden="1">"c7218"</definedName>
    <definedName name="IQ_RES_FIXED_INVEST_REAL_POP_FC" hidden="1">"c8098"</definedName>
    <definedName name="IQ_RES_FIXED_INVEST_REAL_YOY" hidden="1">"c7438"</definedName>
    <definedName name="IQ_RES_FIXED_INVEST_REAL_YOY_FC" hidden="1">"c8318"</definedName>
    <definedName name="IQ_RES_FIXED_INVEST_SAAR" hidden="1">"c11994"</definedName>
    <definedName name="IQ_RES_FIXED_INVEST_SAAR_APR" hidden="1">"c11997"</definedName>
    <definedName name="IQ_RES_FIXED_INVEST_SAAR_POP" hidden="1">"c11995"</definedName>
    <definedName name="IQ_RES_FIXED_INVEST_SAAR_REAL" hidden="1">"c11990"</definedName>
    <definedName name="IQ_RES_FIXED_INVEST_SAAR_REAL_APR" hidden="1">"c11993"</definedName>
    <definedName name="IQ_RES_FIXED_INVEST_SAAR_REAL_POP" hidden="1">"c11991"</definedName>
    <definedName name="IQ_RES_FIXED_INVEST_SAAR_REAL_YOY" hidden="1">"c11992"</definedName>
    <definedName name="IQ_RES_FIXED_INVEST_SAAR_YOY" hidden="1">"c11996"</definedName>
    <definedName name="IQ_RES_FIXED_INVEST_YOY" hidden="1">"c7441"</definedName>
    <definedName name="IQ_RES_FIXED_INVEST_YOY_FC" hidden="1">"c8321"</definedName>
    <definedName name="IQ_RESEARCH_DEV" hidden="1">"c1419"</definedName>
    <definedName name="IQ_RESIDENTIAL_LOANS" hidden="1">"c1102"</definedName>
    <definedName name="IQ_REST_ACQUIRED_AFFILIATED_OTHER_RESTAURANTS" hidden="1">"c9873"</definedName>
    <definedName name="IQ_REST_ACQUIRED_FRANCHISE_RESTAURANTS" hidden="1">"c9867"</definedName>
    <definedName name="IQ_REST_ACQUIRED_OWNED_RESTAURANTS" hidden="1">"c9861"</definedName>
    <definedName name="IQ_REST_ACQUIRED_RESTAURANTS" hidden="1">"c9855"</definedName>
    <definedName name="IQ_REST_AFFILIATED_OTHER_RESTAURANTS_BEG" hidden="1">"c9871"</definedName>
    <definedName name="IQ_REST_AVG_VALUE_TRANSACTION" hidden="1">"c9887"</definedName>
    <definedName name="IQ_REST_AVG_VALUE_TRANSACTION_GROWTH" hidden="1">"c9888"</definedName>
    <definedName name="IQ_REST_AVG_WEEKLY_SALES" hidden="1">"c9879"</definedName>
    <definedName name="IQ_REST_AVG_WEEKLY_SALES_FRANCHISE" hidden="1">"c9877"</definedName>
    <definedName name="IQ_REST_AVG_WEEKLY_SALES_OWNED" hidden="1">"c9878"</definedName>
    <definedName name="IQ_REST_CLOSED_AFFILIATED_OTHER_RESTAURANTS" hidden="1">"c9874"</definedName>
    <definedName name="IQ_REST_CLOSED_FRANCHISE_RESTAURANTS" hidden="1">"c9868"</definedName>
    <definedName name="IQ_REST_CLOSED_OWNED_RESTAURANTS" hidden="1">"c9862"</definedName>
    <definedName name="IQ_REST_CLOSED_RESTAURANTS" hidden="1">"c9856"</definedName>
    <definedName name="IQ_REST_FRANCHISE_RESTAURANTS_BEG" hidden="1">"c9865"</definedName>
    <definedName name="IQ_REST_GUEST_COUNT_GROWTH" hidden="1">"c9889"</definedName>
    <definedName name="IQ_REST_OPENED_AFFILIATED_OTHER_RESTAURANTS" hidden="1">"c9872"</definedName>
    <definedName name="IQ_REST_OPENED_FRANCHISE_RESTAURANTS" hidden="1">"c9866"</definedName>
    <definedName name="IQ_REST_OPENED_OWNED_RESTAURANTS" hidden="1">"c9860"</definedName>
    <definedName name="IQ_REST_OPENED_RESTAURANTS" hidden="1">"c9854"</definedName>
    <definedName name="IQ_REST_OPERATING_MARGIN" hidden="1">"c9886"</definedName>
    <definedName name="IQ_REST_OWNED_RESTAURANTS_BEG" hidden="1">"c9859"</definedName>
    <definedName name="IQ_REST_RESTAURANTS_BEG" hidden="1">"c9853"</definedName>
    <definedName name="IQ_REST_SAME_RESTAURANT_SALES" hidden="1">"c9885"</definedName>
    <definedName name="IQ_REST_SAME_RESTAURANT_SALES_FRANCHISE" hidden="1">"c9883"</definedName>
    <definedName name="IQ_REST_SAME_RESTAURANT_SALES_GROWTH" hidden="1">"c9882"</definedName>
    <definedName name="IQ_REST_SAME_RESTAURANT_SALES_GROWTH_FRANCHISE" hidden="1">"c9880"</definedName>
    <definedName name="IQ_REST_SAME_RESTAURANT_SALES_GROWTH_OWNED" hidden="1">"c9881"</definedName>
    <definedName name="IQ_REST_SAME_RESTAURANT_SALES_OWNED" hidden="1">"c9884"</definedName>
    <definedName name="IQ_REST_SOLD_AFFILIATED_OTHER_RESTAURANTS" hidden="1">"c9875"</definedName>
    <definedName name="IQ_REST_SOLD_FRANCHISE_RESTAURANTS" hidden="1">"c9869"</definedName>
    <definedName name="IQ_REST_SOLD_OWNED_RESTAURANTS" hidden="1">"c9863"</definedName>
    <definedName name="IQ_REST_SOLD_RESTAURANTS" hidden="1">"c9857"</definedName>
    <definedName name="IQ_REST_TOTAL_AFFILIATED_OTHER_RESTAURANTS" hidden="1">"c9876"</definedName>
    <definedName name="IQ_REST_TOTAL_FRANCHISE_RESTAURANTS" hidden="1">"c9870"</definedName>
    <definedName name="IQ_REST_TOTAL_OWNED_RESTAURANTS" hidden="1">"c9864"</definedName>
    <definedName name="IQ_REST_TOTAL_RESTAURANTS" hidden="1">"c9858"</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AFFILIATED_OTHER_STORES" hidden="1">"c9892"</definedName>
    <definedName name="IQ_RETAIL_ACQUIRED_FRANCHISE_STORES" hidden="1">"c2895"</definedName>
    <definedName name="IQ_RETAIL_ACQUIRED_OWNED_STORES" hidden="1">"c2903"</definedName>
    <definedName name="IQ_RETAIL_ACQUIRED_STORES" hidden="1">"c2887"</definedName>
    <definedName name="IQ_RETAIL_AFFILIATED_OTHER_STORES_BEG" hidden="1">"c9890"</definedName>
    <definedName name="IQ_RETAIL_AVG_SQ_METERS_GROSS" hidden="1">"c9908"</definedName>
    <definedName name="IQ_RETAIL_AVG_SQ_METERS_NET" hidden="1">"c9907"</definedName>
    <definedName name="IQ_RETAIL_AVG_STORE_SIZE_GROSS" hidden="1">"c2066"</definedName>
    <definedName name="IQ_RETAIL_AVG_STORE_SIZE_NET" hidden="1">"c2067"</definedName>
    <definedName name="IQ_RETAIL_AVG_VALUE_TRANSACTION" hidden="1">"c9915"</definedName>
    <definedName name="IQ_RETAIL_AVG_VALUE_TRANSACTION_GROWTH" hidden="1">"c9916"</definedName>
    <definedName name="IQ_RETAIL_AVG_WK_SALES" hidden="1">"c2891"</definedName>
    <definedName name="IQ_RETAIL_AVG_WK_SALES_FRANCHISE" hidden="1">"c2899"</definedName>
    <definedName name="IQ_RETAIL_AVG_WK_SALES_OWNED" hidden="1">"c2907"</definedName>
    <definedName name="IQ_RETAIL_CLOSED_AFFILIATED_OTHER_STORES" hidden="1">"c9893"</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GROSS_MARGIN" hidden="1">"c9899"</definedName>
    <definedName name="IQ_RETAIL_IS_RATIO" hidden="1">"c7002"</definedName>
    <definedName name="IQ_RETAIL_IS_RATIO_FC" hidden="1">"c7882"</definedName>
    <definedName name="IQ_RETAIL_IS_RATIO_POP" hidden="1">"c7222"</definedName>
    <definedName name="IQ_RETAIL_IS_RATIO_POP_FC" hidden="1">"c8102"</definedName>
    <definedName name="IQ_RETAIL_IS_RATIO_YOY" hidden="1">"c7442"</definedName>
    <definedName name="IQ_RETAIL_IS_RATIO_YOY_FC" hidden="1">"c8322"</definedName>
    <definedName name="IQ_RETAIL_MERCHANDISE_MARGIN" hidden="1">"c9901"</definedName>
    <definedName name="IQ_RETAIL_OPENED_AFFILIATED_OTHER_STORES" hidden="1">"c9891"</definedName>
    <definedName name="IQ_RETAIL_OPENED_FRANCHISE_STORES" hidden="1">"c2894"</definedName>
    <definedName name="IQ_RETAIL_OPENED_OWNED_STORES" hidden="1">"c2902"</definedName>
    <definedName name="IQ_RETAIL_OPENED_STORES" hidden="1">"c2062"</definedName>
    <definedName name="IQ_RETAIL_OPERATING_MARGIN" hidden="1">"c9900"</definedName>
    <definedName name="IQ_RETAIL_OWNED_STORES_BEG" hidden="1">"c2901"</definedName>
    <definedName name="IQ_RETAIL_SALES" hidden="1">"c7003"</definedName>
    <definedName name="IQ_RETAIL_SALES_APR" hidden="1">"c7663"</definedName>
    <definedName name="IQ_RETAIL_SALES_APR_FC" hidden="1">"c8543"</definedName>
    <definedName name="IQ_RETAIL_SALES_CATALOG" hidden="1">"c9903"</definedName>
    <definedName name="IQ_RETAIL_SALES_FC" hidden="1">"c7883"</definedName>
    <definedName name="IQ_RETAIL_SALES_FOOD" hidden="1">"c7004"</definedName>
    <definedName name="IQ_RETAIL_SALES_FOOD_APR" hidden="1">"c7664"</definedName>
    <definedName name="IQ_RETAIL_SALES_FOOD_APR_FC" hidden="1">"c8544"</definedName>
    <definedName name="IQ_RETAIL_SALES_FOOD_EXCL_VEHICLE" hidden="1">"c7005"</definedName>
    <definedName name="IQ_RETAIL_SALES_FOOD_EXCL_VEHICLE_APR" hidden="1">"c7665"</definedName>
    <definedName name="IQ_RETAIL_SALES_FOOD_EXCL_VEHICLE_APR_FC" hidden="1">"c8545"</definedName>
    <definedName name="IQ_RETAIL_SALES_FOOD_EXCL_VEHICLE_FC" hidden="1">"c7885"</definedName>
    <definedName name="IQ_RETAIL_SALES_FOOD_EXCL_VEHICLE_POP" hidden="1">"c7225"</definedName>
    <definedName name="IQ_RETAIL_SALES_FOOD_EXCL_VEHICLE_POP_FC" hidden="1">"c8105"</definedName>
    <definedName name="IQ_RETAIL_SALES_FOOD_EXCL_VEHICLE_YOY" hidden="1">"c7445"</definedName>
    <definedName name="IQ_RETAIL_SALES_FOOD_EXCL_VEHICLE_YOY_FC" hidden="1">"c8325"</definedName>
    <definedName name="IQ_RETAIL_SALES_FOOD_FC" hidden="1">"c7884"</definedName>
    <definedName name="IQ_RETAIL_SALES_FOOD_POP" hidden="1">"c7224"</definedName>
    <definedName name="IQ_RETAIL_SALES_FOOD_POP_FC" hidden="1">"c8104"</definedName>
    <definedName name="IQ_RETAIL_SALES_FOOD_YOY" hidden="1">"c7444"</definedName>
    <definedName name="IQ_RETAIL_SALES_FOOD_YOY_FC" hidden="1">"c8324"</definedName>
    <definedName name="IQ_RETAIL_SALES_ONLINE" hidden="1">"c9904"</definedName>
    <definedName name="IQ_RETAIL_SALES_POP" hidden="1">"c7223"</definedName>
    <definedName name="IQ_RETAIL_SALES_POP_FC" hidden="1">"c8103"</definedName>
    <definedName name="IQ_RETAIL_SALES_RETAIL" hidden="1">"c9902"</definedName>
    <definedName name="IQ_RETAIL_SALES_SAAR" hidden="1">"c7009"</definedName>
    <definedName name="IQ_RETAIL_SALES_SAAR_APR" hidden="1">"c7669"</definedName>
    <definedName name="IQ_RETAIL_SALES_SAAR_APR_FC" hidden="1">"c8549"</definedName>
    <definedName name="IQ_RETAIL_SALES_SAAR_FC" hidden="1">"c7889"</definedName>
    <definedName name="IQ_RETAIL_SALES_SAAR_POP" hidden="1">"c7229"</definedName>
    <definedName name="IQ_RETAIL_SALES_SAAR_POP_FC" hidden="1">"c8109"</definedName>
    <definedName name="IQ_RETAIL_SALES_SAAR_YOY" hidden="1">"c7449"</definedName>
    <definedName name="IQ_RETAIL_SALES_SAAR_YOY_FC" hidden="1">"c8329"</definedName>
    <definedName name="IQ_RETAIL_SALES_SQ_METER_COMPARABLE_GROSS" hidden="1">"c9914"</definedName>
    <definedName name="IQ_RETAIL_SALES_SQ_METER_COMPARABLE_NET" hidden="1">"c9913"</definedName>
    <definedName name="IQ_RETAIL_SALES_SQ_METER_GROSS" hidden="1">"c9910"</definedName>
    <definedName name="IQ_RETAIL_SALES_SQ_METER_NET" hidden="1">"c9909"</definedName>
    <definedName name="IQ_RETAIL_SALES_SQ_METER_OWNED_GROSS" hidden="1">"c9912"</definedName>
    <definedName name="IQ_RETAIL_SALES_SQ_METER_OWNED_NET" hidden="1">"c9911"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ALES_VALUE_INDEX" hidden="1">"c7006"</definedName>
    <definedName name="IQ_RETAIL_SALES_VALUE_INDEX_APR" hidden="1">"c7666"</definedName>
    <definedName name="IQ_RETAIL_SALES_VALUE_INDEX_APR_FC" hidden="1">"c8546"</definedName>
    <definedName name="IQ_RETAIL_SALES_VALUE_INDEX_FC" hidden="1">"c7886"</definedName>
    <definedName name="IQ_RETAIL_SALES_VALUE_INDEX_POP" hidden="1">"c7226"</definedName>
    <definedName name="IQ_RETAIL_SALES_VALUE_INDEX_POP_FC" hidden="1">"c8106"</definedName>
    <definedName name="IQ_RETAIL_SALES_VALUE_INDEX_YOY" hidden="1">"c7446"</definedName>
    <definedName name="IQ_RETAIL_SALES_VALUE_INDEX_YOY_FC" hidden="1">"c8326"</definedName>
    <definedName name="IQ_RETAIL_SALES_VOL_INDEX" hidden="1">"c7007"</definedName>
    <definedName name="IQ_RETAIL_SALES_VOL_INDEX_APR" hidden="1">"c7667"</definedName>
    <definedName name="IQ_RETAIL_SALES_VOL_INDEX_APR_FC" hidden="1">"c8547"</definedName>
    <definedName name="IQ_RETAIL_SALES_VOL_INDEX_EXCL_MOTOR" hidden="1">"c7008"</definedName>
    <definedName name="IQ_RETAIL_SALES_VOL_INDEX_EXCL_MOTOR_APR" hidden="1">"c7668"</definedName>
    <definedName name="IQ_RETAIL_SALES_VOL_INDEX_EXCL_MOTOR_APR_FC" hidden="1">"c8548"</definedName>
    <definedName name="IQ_RETAIL_SALES_VOL_INDEX_EXCL_MOTOR_FC" hidden="1">"c7888"</definedName>
    <definedName name="IQ_RETAIL_SALES_VOL_INDEX_EXCL_MOTOR_POP" hidden="1">"c7228"</definedName>
    <definedName name="IQ_RETAIL_SALES_VOL_INDEX_EXCL_MOTOR_POP_FC" hidden="1">"c8108"</definedName>
    <definedName name="IQ_RETAIL_SALES_VOL_INDEX_EXCL_MOTOR_YOY" hidden="1">"c7448"</definedName>
    <definedName name="IQ_RETAIL_SALES_VOL_INDEX_EXCL_MOTOR_YOY_FC" hidden="1">"c8328"</definedName>
    <definedName name="IQ_RETAIL_SALES_VOL_INDEX_FC" hidden="1">"c7887"</definedName>
    <definedName name="IQ_RETAIL_SALES_VOL_INDEX_POP" hidden="1">"c7227"</definedName>
    <definedName name="IQ_RETAIL_SALES_VOL_INDEX_POP_FC" hidden="1">"c8107"</definedName>
    <definedName name="IQ_RETAIL_SALES_VOL_INDEX_YOY" hidden="1">"c7447"</definedName>
    <definedName name="IQ_RETAIL_SALES_VOL_INDEX_YOY_FC" hidden="1">"c8327"</definedName>
    <definedName name="IQ_RETAIL_SALES_YOY" hidden="1">"c7443"</definedName>
    <definedName name="IQ_RETAIL_SALES_YOY_FC" hidden="1">"c8323"</definedName>
    <definedName name="IQ_RETAIL_SAME_STORE_SALES" hidden="1">"c9898"</definedName>
    <definedName name="IQ_RETAIL_SAME_STORE_SALES_FRANCHISE" hidden="1">"c9896"</definedName>
    <definedName name="IQ_RETAIL_SAME_STORE_SALES_OWNED" hidden="1">"c9897"</definedName>
    <definedName name="IQ_RETAIL_SOLD_AFFILIATED_OTHER_STORES" hidden="1">"c9894"</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AFFILIATED_OTHER_STORES" hidden="1">"c9895"</definedName>
    <definedName name="IQ_RETAIL_TOTAL_FRANCHISE_STORES" hidden="1">"c2898"</definedName>
    <definedName name="IQ_RETAIL_TOTAL_OWNED_STORES" hidden="1">"c2906"</definedName>
    <definedName name="IQ_RETAIL_TOTAL_SQ_METERS_GROSS" hidden="1">"c9906"</definedName>
    <definedName name="IQ_RETAIL_TOTAL_SQ_METERS_NET" hidden="1">"c9905"</definedName>
    <definedName name="IQ_RETAIL_TOTAL_STORES" hidden="1">"c2061"</definedName>
    <definedName name="IQ_RETAINED_EARN" hidden="1">"c1420"</definedName>
    <definedName name="IQ_RETAINED_EARNINGS_AVERAGE_EQUITY_FDIC" hidden="1">"c6733"</definedName>
    <definedName name="IQ_RETURN_ASSETS" hidden="1">"c1113"</definedName>
    <definedName name="IQ_RETURN_ASSETS_ACT_OR_EST" hidden="1">"c3585"</definedName>
    <definedName name="IQ_RETURN_ASSETS_ACT_OR_EST_THOM" hidden="1">"c5310"</definedName>
    <definedName name="IQ_RETURN_ASSETS_BANK" hidden="1">"c1114"</definedName>
    <definedName name="IQ_RETURN_ASSETS_BROK" hidden="1">"c1115"</definedName>
    <definedName name="IQ_RETURN_ASSETS_EST" hidden="1">"c3529"</definedName>
    <definedName name="IQ_RETURN_ASSETS_EST_THOM" hidden="1">"c4034"</definedName>
    <definedName name="IQ_RETURN_ASSETS_FDIC" hidden="1">"c6730"</definedName>
    <definedName name="IQ_RETURN_ASSETS_FS" hidden="1">"c1116"</definedName>
    <definedName name="IQ_RETURN_ASSETS_HIGH_EST" hidden="1">"c3530"</definedName>
    <definedName name="IQ_RETURN_ASSETS_HIGH_EST_THOM" hidden="1">"c4036"</definedName>
    <definedName name="IQ_RETURN_ASSETS_LOW_EST" hidden="1">"c3531"</definedName>
    <definedName name="IQ_RETURN_ASSETS_LOW_EST_THOM" hidden="1">"c4037"</definedName>
    <definedName name="IQ_RETURN_ASSETS_MEDIAN_EST" hidden="1">"c3532"</definedName>
    <definedName name="IQ_RETURN_ASSETS_MEDIAN_EST_THOM" hidden="1">"c4035"</definedName>
    <definedName name="IQ_RETURN_ASSETS_NUM_EST" hidden="1">"c3527"</definedName>
    <definedName name="IQ_RETURN_ASSETS_NUM_EST_THOM" hidden="1">"c4038"</definedName>
    <definedName name="IQ_RETURN_ASSETS_STDDEV_EST" hidden="1">"c3528"</definedName>
    <definedName name="IQ_RETURN_ASSETS_STDDEV_EST_THOM" hidden="1">"c4039"</definedName>
    <definedName name="IQ_RETURN_CAPITAL" hidden="1">"c1117"</definedName>
    <definedName name="IQ_RETURN_EMBEDDED_VALUE" hidden="1">"c9974"</definedName>
    <definedName name="IQ_RETURN_EQUITY" hidden="1">"c1118"</definedName>
    <definedName name="IQ_RETURN_EQUITY_ACT_OR_EST" hidden="1">"c3586"</definedName>
    <definedName name="IQ_RETURN_EQUITY_ACT_OR_EST_THOM" hidden="1">"c5311"</definedName>
    <definedName name="IQ_RETURN_EQUITY_BANK" hidden="1">"c1119"</definedName>
    <definedName name="IQ_RETURN_EQUITY_BROK" hidden="1">"c1120"</definedName>
    <definedName name="IQ_RETURN_EQUITY_EST" hidden="1">"c3535"</definedName>
    <definedName name="IQ_RETURN_EQUITY_EST_THOM" hidden="1">"c5479"</definedName>
    <definedName name="IQ_RETURN_EQUITY_FDIC" hidden="1">"c6732"</definedName>
    <definedName name="IQ_RETURN_EQUITY_FS" hidden="1">"c1121"</definedName>
    <definedName name="IQ_RETURN_EQUITY_HIGH_EST" hidden="1">"c3536"</definedName>
    <definedName name="IQ_RETURN_EQUITY_HIGH_EST_THOM" hidden="1">"c5283"</definedName>
    <definedName name="IQ_RETURN_EQUITY_LOW_EST" hidden="1">"c3537"</definedName>
    <definedName name="IQ_RETURN_EQUITY_LOW_EST_THOM" hidden="1">"c5284"</definedName>
    <definedName name="IQ_RETURN_EQUITY_MEDIAN_EST" hidden="1">"c3538"</definedName>
    <definedName name="IQ_RETURN_EQUITY_MEDIAN_EST_THOM" hidden="1">"c5282"</definedName>
    <definedName name="IQ_RETURN_EQUITY_NUM_EST" hidden="1">"c3533"</definedName>
    <definedName name="IQ_RETURN_EQUITY_NUM_EST_THOM" hidden="1">"c5285"</definedName>
    <definedName name="IQ_RETURN_EQUITY_STDDEV_EST" hidden="1">"c3534"</definedName>
    <definedName name="IQ_RETURN_EQUITY_STDDEV_EST_THOM" hidden="1">"c5286"</definedName>
    <definedName name="IQ_RETURN_INVESTMENT" hidden="1">"c1421"</definedName>
    <definedName name="IQ_REV" hidden="1">"c1122"</definedName>
    <definedName name="IQ_REV_AP" hidden="1">"c8873"</definedName>
    <definedName name="IQ_REV_AP_ABS" hidden="1">"c8892"</definedName>
    <definedName name="IQ_REV_BEFORE_LL" hidden="1">"c1123"</definedName>
    <definedName name="IQ_REV_NAME_AP" hidden="1">"c8911"</definedName>
    <definedName name="IQ_REV_NAME_AP_ABS" hidden="1">"c8930"</definedName>
    <definedName name="IQ_REV_STDDEV_EST" hidden="1">"c1124"</definedName>
    <definedName name="IQ_REV_STDDEV_EST_CIQ" hidden="1">"c3621"</definedName>
    <definedName name="IQ_REV_STDDEV_EST_REUT" hidden="1">"c3639"</definedName>
    <definedName name="IQ_REV_STDDEV_EST_THOM" hidden="1">"c3657"</definedName>
    <definedName name="IQ_REV_UTI" hidden="1">"c1125"</definedName>
    <definedName name="IQ_REVALUATION_GAINS_FDIC" hidden="1">"c6428"</definedName>
    <definedName name="IQ_REVALUATION_LOSSES_FDIC" hidden="1">"c6429"</definedName>
    <definedName name="IQ_REVENUE" hidden="1">"c1422"</definedName>
    <definedName name="IQ_REVENUE_10K" hidden="1">"IQ_REVENUE_10K"</definedName>
    <definedName name="IQ_REVENUE_10Q" hidden="1">"IQ_REVENUE_10Q"</definedName>
    <definedName name="IQ_REVENUE_10Q1" hidden="1">"IQ_REVENUE_10Q1"</definedName>
    <definedName name="IQ_REVENUE_ACT_OR_EST" hidden="1">"c2214"</definedName>
    <definedName name="IQ_REVENUE_ACT_OR_EST_CIQ" hidden="1">"c5059"</definedName>
    <definedName name="IQ_REVENUE_ACT_OR_EST_THOM" hidden="1">"c5299"</definedName>
    <definedName name="IQ_REVENUE_EST" hidden="1">"c1126"</definedName>
    <definedName name="IQ_REVENUE_EST_1" hidden="1">"c190"</definedName>
    <definedName name="IQ_REVENUE_EST_CIQ" hidden="1">"c3616"</definedName>
    <definedName name="IQ_REVENUE_EST_REUT" hidden="1">"c3634"</definedName>
    <definedName name="IQ_REVENUE_EST_THOM" hidden="1">"c3652"</definedName>
    <definedName name="IQ_REVENUE_GROWTH_1" hidden="1">"c155"</definedName>
    <definedName name="IQ_REVENUE_GROWTH_2" hidden="1">"c159"</definedName>
    <definedName name="IQ_REVENUE_HIGH_EST" hidden="1">"c1127"</definedName>
    <definedName name="IQ_REVENUE_HIGH_EST_CIQ" hidden="1">"c3618"</definedName>
    <definedName name="IQ_REVENUE_HIGH_EST_REUT" hidden="1">"c3636"</definedName>
    <definedName name="IQ_REVENUE_HIGH_EST_THOM" hidden="1">"c3654"</definedName>
    <definedName name="IQ_REVENUE_LOW_EST" hidden="1">"c1128"</definedName>
    <definedName name="IQ_REVENUE_LOW_EST_CIQ" hidden="1">"c3619"</definedName>
    <definedName name="IQ_REVENUE_LOW_EST_REUT" hidden="1">"c3637"</definedName>
    <definedName name="IQ_REVENUE_LOW_EST_THOM" hidden="1">"c3655"</definedName>
    <definedName name="IQ_REVENUE_MEDIAN_EST" hidden="1">"c1662"</definedName>
    <definedName name="IQ_REVENUE_MEDIAN_EST_CIQ" hidden="1">"c3617"</definedName>
    <definedName name="IQ_REVENUE_MEDIAN_EST_REUT" hidden="1">"c3635"</definedName>
    <definedName name="IQ_REVENUE_MEDIAN_EST_THOM" hidden="1">"c3653"</definedName>
    <definedName name="IQ_REVENUE_NO_EST" hidden="1">"c263"</definedName>
    <definedName name="IQ_REVENUE_NUM_EST" hidden="1">"c1129"</definedName>
    <definedName name="IQ_REVENUE_NUM_EST_CIQ" hidden="1">"c3620"</definedName>
    <definedName name="IQ_REVENUE_NUM_EST_REUT" hidden="1">"c3638"</definedName>
    <definedName name="IQ_REVENUE_NUM_EST_THOM" hidden="1">"c3656"</definedName>
    <definedName name="IQ_REVISION_DATE_" hidden="1">39358.4284837963</definedName>
    <definedName name="IQ_RISK_ADJ_BANK_ASSETS" hidden="1">"c2670"</definedName>
    <definedName name="IQ_RISK_WEIGHTED_ASSETS_FDIC" hidden="1">"c6370"</definedName>
    <definedName name="IQ_SALARIED_WORKFORCE" hidden="1">"c7010"</definedName>
    <definedName name="IQ_SALARIED_WORKFORCE_APR" hidden="1">"c7670"</definedName>
    <definedName name="IQ_SALARIED_WORKFORCE_APR_FC" hidden="1">"c8550"</definedName>
    <definedName name="IQ_SALARIED_WORKFORCE_FC" hidden="1">"c7890"</definedName>
    <definedName name="IQ_SALARIED_WORKFORCE_POP" hidden="1">"c7230"</definedName>
    <definedName name="IQ_SALARIED_WORKFORCE_POP_FC" hidden="1">"c8110"</definedName>
    <definedName name="IQ_SALARIED_WORKFORCE_YOY" hidden="1">"c7450"</definedName>
    <definedName name="IQ_SALARIED_WORKFORCE_YOY_FC" hidden="1">"c8330"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AVINGS_RATE_DISP_INC_PCT" hidden="1">"c7011"</definedName>
    <definedName name="IQ_SAVINGS_RATE_DISP_INC_PCT_FC" hidden="1">"c7891"</definedName>
    <definedName name="IQ_SAVINGS_RATE_DISP_INC_PCT_POP" hidden="1">"c7231"</definedName>
    <definedName name="IQ_SAVINGS_RATE_DISP_INC_PCT_POP_FC" hidden="1">"c8111"</definedName>
    <definedName name="IQ_SAVINGS_RATE_DISP_INC_PCT_YOY" hidden="1">"c7451"</definedName>
    <definedName name="IQ_SAVINGS_RATE_DISP_INC_PCT_YOY_FC" hidden="1">"c8331"</definedName>
    <definedName name="IQ_SAVINGS_RATE_GDP_PCT" hidden="1">"c7012"</definedName>
    <definedName name="IQ_SAVINGS_RATE_GDP_PCT_FC" hidden="1">"c7892"</definedName>
    <definedName name="IQ_SAVINGS_RATE_GDP_PCT_POP" hidden="1">"c7232"</definedName>
    <definedName name="IQ_SAVINGS_RATE_GDP_PCT_POP_FC" hidden="1">"c8112"</definedName>
    <definedName name="IQ_SAVINGS_RATE_GDP_PCT_YOY" hidden="1">"c7452"</definedName>
    <definedName name="IQ_SAVINGS_RATE_GDP_PCT_YOY_FC" hidden="1">"c8332"</definedName>
    <definedName name="IQ_SAVINGS_RATE_PERSONAL_INC_PCT" hidden="1">"c7013"</definedName>
    <definedName name="IQ_SAVINGS_RATE_PERSONAL_INC_PCT_FC" hidden="1">"c7893"</definedName>
    <definedName name="IQ_SAVINGS_RATE_PERSONAL_INC_PCT_POP" hidden="1">"c7233"</definedName>
    <definedName name="IQ_SAVINGS_RATE_PERSONAL_INC_PCT_POP_FC" hidden="1">"c8113"</definedName>
    <definedName name="IQ_SAVINGS_RATE_PERSONAL_INC_PCT_YOY" hidden="1">"c7453"</definedName>
    <definedName name="IQ_SAVINGS_RATE_PERSONAL_INC_PCT_YOY_FC" hidden="1">"c8333"</definedName>
    <definedName name="IQ_SEC_PURCHASED_RESELL" hidden="1">"c5513"</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MI_BACKLOG" hidden="1">"c10005"</definedName>
    <definedName name="IQ_SEMI_BACKLOG_AVG_PRICE" hidden="1">"c10006"</definedName>
    <definedName name="IQ_SEMI_BACKLOG_VALUE" hidden="1">"c10007"</definedName>
    <definedName name="IQ_SEMI_BOOK_TO_BILL_RATIO" hidden="1">"c10008"</definedName>
    <definedName name="IQ_SEMI_ORDER_AVG_PRICE" hidden="1">"c10002"</definedName>
    <definedName name="IQ_SEMI_ORDER_VALUE" hidden="1">"c10003"</definedName>
    <definedName name="IQ_SEMI_ORDER_VALUE_CHANGE" hidden="1">"c10004"</definedName>
    <definedName name="IQ_SEMI_ORDERS" hidden="1">"c10001"</definedName>
    <definedName name="IQ_SEMI_WARRANTY_RES_ACQ" hidden="1">"c10011"</definedName>
    <definedName name="IQ_SEMI_WARRANTY_RES_BEG" hidden="1">"c10009"</definedName>
    <definedName name="IQ_SEMI_WARRANTY_RES_END" hidden="1">"c10014"</definedName>
    <definedName name="IQ_SEMI_WARRANTY_RES_ISS" hidden="1">"c10010"</definedName>
    <definedName name="IQ_SEMI_WARRANTY_RES_OTHER" hidden="1">"c10013"</definedName>
    <definedName name="IQ_SEMI_WARRANTY_RES_PAY" hidden="1">"c10012"</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ERVICE_FEE" hidden="1">"c8951"</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INTEREST_VOLUME" hidden="1">"c228"</definedName>
    <definedName name="IQ_SHORT_TERM_INVEST" hidden="1">"c1425"</definedName>
    <definedName name="IQ_SMALL_INT_BEAR_CD" hidden="1">"c1166"</definedName>
    <definedName name="IQ_SOC_SEC_RECEIPTS_SAAR_USD_APR_FC" hidden="1">"c12005"</definedName>
    <definedName name="IQ_SOC_SEC_RECEIPTS_SAAR_USD_FC" hidden="1">"c12002"</definedName>
    <definedName name="IQ_SOC_SEC_RECEIPTS_SAAR_USD_POP_FC" hidden="1">"c12003"</definedName>
    <definedName name="IQ_SOC_SEC_RECEIPTS_SAAR_USD_YOY_FC" hidden="1">"c12004"</definedName>
    <definedName name="IQ_SOC_SEC_RECEIPTS_USD_APR_FC" hidden="1">"c12001"</definedName>
    <definedName name="IQ_SOC_SEC_RECEIPTS_USD_FC" hidden="1">"c11998"</definedName>
    <definedName name="IQ_SOC_SEC_RECEIPTS_USD_POP_FC" hidden="1">"c11999"</definedName>
    <definedName name="IQ_SOC_SEC_RECEIPTS_USD_YOY_FC" hidden="1">"c12000"</definedName>
    <definedName name="IQ_SOCIAL_SEC_RECEIPTS" hidden="1">"c7015"</definedName>
    <definedName name="IQ_SOCIAL_SEC_RECEIPTS_APR" hidden="1">"c7675"</definedName>
    <definedName name="IQ_SOCIAL_SEC_RECEIPTS_APR_FC" hidden="1">"c8555"</definedName>
    <definedName name="IQ_SOCIAL_SEC_RECEIPTS_FC" hidden="1">"c7895"</definedName>
    <definedName name="IQ_SOCIAL_SEC_RECEIPTS_POP" hidden="1">"c7235"</definedName>
    <definedName name="IQ_SOCIAL_SEC_RECEIPTS_POP_FC" hidden="1">"c8115"</definedName>
    <definedName name="IQ_SOCIAL_SEC_RECEIPTS_SAAR" hidden="1">"c7016"</definedName>
    <definedName name="IQ_SOCIAL_SEC_RECEIPTS_SAAR_APR" hidden="1">"c7676"</definedName>
    <definedName name="IQ_SOCIAL_SEC_RECEIPTS_SAAR_APR_FC" hidden="1">"c8556"</definedName>
    <definedName name="IQ_SOCIAL_SEC_RECEIPTS_SAAR_FC" hidden="1">"c7896"</definedName>
    <definedName name="IQ_SOCIAL_SEC_RECEIPTS_SAAR_POP" hidden="1">"c7236"</definedName>
    <definedName name="IQ_SOCIAL_SEC_RECEIPTS_SAAR_POP_FC" hidden="1">"c8116"</definedName>
    <definedName name="IQ_SOCIAL_SEC_RECEIPTS_SAAR_YOY" hidden="1">"c7456"</definedName>
    <definedName name="IQ_SOCIAL_SEC_RECEIPTS_SAAR_YOY_FC" hidden="1">"c8336"</definedName>
    <definedName name="IQ_SOCIAL_SEC_RECEIPTS_YOY" hidden="1">"c7455"</definedName>
    <definedName name="IQ_SOCIAL_SEC_RECEIPTS_YOY_FC" hidden="1">"c8335"</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Q_FT_LEASED_GROSS_CONSOL" hidden="1">"c8820"</definedName>
    <definedName name="IQ_SQ_FT_LEASED_GROSS_MANAGED" hidden="1">"c8822"</definedName>
    <definedName name="IQ_SQ_FT_LEASED_GROSS_OTHER" hidden="1">"c8823"</definedName>
    <definedName name="IQ_SQ_FT_LEASED_GROSS_TOTAL" hidden="1">"c8824"</definedName>
    <definedName name="IQ_SQ_FT_LEASED_GROSS_UNCONSOL" hidden="1">"c8821"</definedName>
    <definedName name="IQ_SQ_FT_LEASED_NET_CONSOL" hidden="1">"c8825"</definedName>
    <definedName name="IQ_SQ_FT_LEASED_NET_MANAGED" hidden="1">"c8827"</definedName>
    <definedName name="IQ_SQ_FT_LEASED_NET_OTHER" hidden="1">"c8828"</definedName>
    <definedName name="IQ_SQ_FT_LEASED_NET_TOTAL" hidden="1">"c8829"</definedName>
    <definedName name="IQ_SQ_FT_LEASED_NET_UNCONSOL" hidden="1">"c8826"</definedName>
    <definedName name="IQ_SQ_METER_LEASED_GROSS_CONSOL" hidden="1">"c8830"</definedName>
    <definedName name="IQ_SQ_METER_LEASED_GROSS_MANAGED" hidden="1">"c8832"</definedName>
    <definedName name="IQ_SQ_METER_LEASED_GROSS_OTHER" hidden="1">"c8833"</definedName>
    <definedName name="IQ_SQ_METER_LEASED_GROSS_TOTAL" hidden="1">"c8834"</definedName>
    <definedName name="IQ_SQ_METER_LEASED_GROSS_UNCONSOL" hidden="1">"c8831"</definedName>
    <definedName name="IQ_SQ_METER_LEASED_NET_CONSOL" hidden="1">"c8835"</definedName>
    <definedName name="IQ_SQ_METER_LEASED_NET_MANAGED" hidden="1">"c8837"</definedName>
    <definedName name="IQ_SQ_METER_LEASED_NET_OTHER" hidden="1">"c8838"</definedName>
    <definedName name="IQ_SQ_METER_LEASED_NET_TOTAL" hidden="1">"c8839"</definedName>
    <definedName name="IQ_SQ_METER_LEASED_NET_UNCONSOL" hidden="1">"c8836"</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UTI" hidden="1">"c1198"</definedName>
    <definedName name="IQ_ST_NOTE_RECEIV" hidden="1">"c1199"</definedName>
    <definedName name="IQ_STATE" hidden="1">"c1200"</definedName>
    <definedName name="IQ_STATE_LOCAL_SPENDING_SAAR" hidden="1">"c7017"</definedName>
    <definedName name="IQ_STATE_LOCAL_SPENDING_SAAR_APR" hidden="1">"c7677"</definedName>
    <definedName name="IQ_STATE_LOCAL_SPENDING_SAAR_APR_FC" hidden="1">"c8557"</definedName>
    <definedName name="IQ_STATE_LOCAL_SPENDING_SAAR_FC" hidden="1">"c7897"</definedName>
    <definedName name="IQ_STATE_LOCAL_SPENDING_SAAR_POP" hidden="1">"c7237"</definedName>
    <definedName name="IQ_STATE_LOCAL_SPENDING_SAAR_POP_FC" hidden="1">"c8117"</definedName>
    <definedName name="IQ_STATE_LOCAL_SPENDING_SAAR_YOY" hidden="1">"c7457"</definedName>
    <definedName name="IQ_STATE_LOCAL_SPENDING_SAAR_YOY_FC" hidden="1">"c8337"</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RUCT_FIN_CLASS" hidden="1">"c8950"</definedName>
    <definedName name="IQ_STRUCT_FIN_SERIES" hidden="1">"c8956"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LASTCLOSE" hidden="1">"c1855"</definedName>
    <definedName name="IQ_TARGET_PRICE_NUM" hidden="1">"c1653"</definedName>
    <definedName name="IQ_TARGET_PRICE_NUM_CIQ" hidden="1">"c4661"</definedName>
    <definedName name="IQ_TARGET_PRICE_NUM_REUT" hidden="1">"c5319"</definedName>
    <definedName name="IQ_TARGET_PRICE_NUM_THOM" hidden="1">"c5098"</definedName>
    <definedName name="IQ_TARGET_PRICE_STDDEV" hidden="1">"c1654"</definedName>
    <definedName name="IQ_TARGET_PRICE_STDDEV_CIQ" hidden="1">"c4662"</definedName>
    <definedName name="IQ_TARGET_PRICE_STDDEV_REUT" hidden="1">"c5320"</definedName>
    <definedName name="IQ_TARGET_PRICE_STDDEV_THOM" hidden="1">"c5099"</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AX_OTHER_EXP_AP" hidden="1">"c8878"</definedName>
    <definedName name="IQ_TAX_OTHER_EXP_AP_ABS" hidden="1">"c8897"</definedName>
    <definedName name="IQ_TAX_OTHER_EXP_NAME_AP" hidden="1">"c8916"</definedName>
    <definedName name="IQ_TAX_OTHER_EXP_NAME_AP_ABS" hidden="1">"c8935"</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_FWD_THOM" hidden="1">"c4061"</definedName>
    <definedName name="IQ_TEV_EBITDA" hidden="1">"c1222"</definedName>
    <definedName name="IQ_TEV_EBITDA_AVG" hidden="1">"c1223"</definedName>
    <definedName name="IQ_TEV_EBITDA_FWD" hidden="1">"c1224"</definedName>
    <definedName name="IQ_TEV_EBITDA_FWD_CIQ" hidden="1">"c4043"</definedName>
    <definedName name="IQ_TEV_EBITDA_FWD_REUT" hidden="1">"c4050"</definedName>
    <definedName name="IQ_TEV_EBITDA_FWD_THOM" hidden="1">"c4057"</definedName>
    <definedName name="IQ_TEV_EMPLOYEE_AVG" hidden="1">"c1225"</definedName>
    <definedName name="IQ_TEV_EST" hidden="1">"c4526"</definedName>
    <definedName name="IQ_TEV_EST_THOM" hidden="1">"c5529"</definedName>
    <definedName name="IQ_TEV_HIGH_EST" hidden="1">"c4527"</definedName>
    <definedName name="IQ_TEV_HIGH_EST_THOM" hidden="1">"c5530"</definedName>
    <definedName name="IQ_TEV_LOW_EST" hidden="1">"c4528"</definedName>
    <definedName name="IQ_TEV_LOW_EST_THOM" hidden="1">"c5531"</definedName>
    <definedName name="IQ_TEV_MEDIAN_EST" hidden="1">"c4529"</definedName>
    <definedName name="IQ_TEV_MEDIAN_EST_THOM" hidden="1">"c5532"</definedName>
    <definedName name="IQ_TEV_NUM_EST" hidden="1">"c4530"</definedName>
    <definedName name="IQ_TEV_NUM_EST_THOM" hidden="1">"c5533"</definedName>
    <definedName name="IQ_TEV_STDDEV_EST" hidden="1">"c4531"</definedName>
    <definedName name="IQ_TEV_STDDEV_EST_THOM" hidden="1">"c5534"</definedName>
    <definedName name="IQ_TEV_TOTAL_REV" hidden="1">"c1226"</definedName>
    <definedName name="IQ_TEV_TOTAL_REV_AVG" hidden="1">"c1227"</definedName>
    <definedName name="IQ_TEV_TOTAL_REV_FWD" hidden="1">"c1228"</definedName>
    <definedName name="IQ_TEV_TOTAL_REV_FWD_CIQ" hidden="1">"c4044"</definedName>
    <definedName name="IQ_TEV_TOTAL_REV_FWD_REUT" hidden="1">"c4051"</definedName>
    <definedName name="IQ_TEV_TOTAL_REV_FWD_THOM" hidden="1">"c4058"</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FDIC" hidden="1">"c6339"</definedName>
    <definedName name="IQ_TOTAL_ASSETS_SUBTOTAL_AP" hidden="1">"c8985"</definedName>
    <definedName name="IQ_TOTAL_ATTRIB_ORE_RESOURCES_ALUM" hidden="1">"c9241"</definedName>
    <definedName name="IQ_TOTAL_ATTRIB_ORE_RESOURCES_COP" hidden="1">"c9185"</definedName>
    <definedName name="IQ_TOTAL_ATTRIB_ORE_RESOURCES_DIAM" hidden="1">"c9665"</definedName>
    <definedName name="IQ_TOTAL_ATTRIB_ORE_RESOURCES_GOLD" hidden="1">"c9026"</definedName>
    <definedName name="IQ_TOTAL_ATTRIB_ORE_RESOURCES_IRON" hidden="1">"c9400"</definedName>
    <definedName name="IQ_TOTAL_ATTRIB_ORE_RESOURCES_LEAD" hidden="1">"c9453"</definedName>
    <definedName name="IQ_TOTAL_ATTRIB_ORE_RESOURCES_MANG" hidden="1">"c9506"</definedName>
    <definedName name="IQ_TOTAL_ATTRIB_ORE_RESOURCES_MOLYB" hidden="1">"c9718"</definedName>
    <definedName name="IQ_TOTAL_ATTRIB_ORE_RESOURCES_NICK" hidden="1">"c9294"</definedName>
    <definedName name="IQ_TOTAL_ATTRIB_ORE_RESOURCES_PLAT" hidden="1">"c9132"</definedName>
    <definedName name="IQ_TOTAL_ATTRIB_ORE_RESOURCES_SILVER" hidden="1">"c9079"</definedName>
    <definedName name="IQ_TOTAL_ATTRIB_ORE_RESOURCES_TITAN" hidden="1">"c9559"</definedName>
    <definedName name="IQ_TOTAL_ATTRIB_ORE_RESOURCES_URAN" hidden="1">"c9612"</definedName>
    <definedName name="IQ_TOTAL_ATTRIB_ORE_RESOURCES_ZINC" hidden="1">"c9347"</definedName>
    <definedName name="IQ_TOTAL_AVG_CE_TOTAL_AVG_ASSETS" hidden="1">"c1241"</definedName>
    <definedName name="IQ_TOTAL_AVG_EQUITY_TOTAL_AVG_ASSETS" hidden="1">"c1242"</definedName>
    <definedName name="IQ_TOTAL_BANK_CAPITAL" hidden="1">"c2668"</definedName>
    <definedName name="IQ_TOTAL_BEDS" hidden="1">"c8785"</definedName>
    <definedName name="IQ_TOTAL_CA" hidden="1">"c1243"</definedName>
    <definedName name="IQ_TOTAL_CA_SUBTOTAL_AP" hidden="1">"c8986"</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ARGE_OFFS_FDIC" hidden="1">"c6603"</definedName>
    <definedName name="IQ_TOTAL_CHURN" hidden="1">"c2122"</definedName>
    <definedName name="IQ_TOTAL_CL" hidden="1">"c1245"</definedName>
    <definedName name="IQ_TOTAL_CL_SUBTOTAL_AP" hidden="1">"c8987"</definedName>
    <definedName name="IQ_TOTAL_COAL_PRODUCTION_COAL" hidden="1">"c9824"</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CURRENT" hidden="1">"c6190"</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NON_CURRENT" hidden="1">"c6191"</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 hidden="1">"c2141"</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EQUITY_SUBTOTAL_AP" hidden="1">"c8989"</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EQUITY_SUBTOTAL_AP" hidden="1">"c8988"</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"c1435"</definedName>
    <definedName name="IQ_TOTAL_LIAB_TOTAL_ASSETS" hidden="1">"c1283"</definedName>
    <definedName name="IQ_TOTAL_LIABILITIES_FDIC" hidden="1">"c6348"</definedName>
    <definedName name="IQ_TOTAL_LOANS" hidden="1">"c5653"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RE_RESOURCES_ALUM" hidden="1">"c9230"</definedName>
    <definedName name="IQ_TOTAL_ORE_RESOURCES_COP" hidden="1">"c9174"</definedName>
    <definedName name="IQ_TOTAL_ORE_RESOURCES_DIAM" hidden="1">"c9654"</definedName>
    <definedName name="IQ_TOTAL_ORE_RESOURCES_GOLD" hidden="1">"c9015"</definedName>
    <definedName name="IQ_TOTAL_ORE_RESOURCES_IRON" hidden="1">"c9389"</definedName>
    <definedName name="IQ_TOTAL_ORE_RESOURCES_LEAD" hidden="1">"c9442"</definedName>
    <definedName name="IQ_TOTAL_ORE_RESOURCES_MANG" hidden="1">"c9495"</definedName>
    <definedName name="IQ_TOTAL_ORE_RESOURCES_MOLYB" hidden="1">"c9707"</definedName>
    <definedName name="IQ_TOTAL_ORE_RESOURCES_NICK" hidden="1">"c9283"</definedName>
    <definedName name="IQ_TOTAL_ORE_RESOURCES_PLAT" hidden="1">"c9121"</definedName>
    <definedName name="IQ_TOTAL_ORE_RESOURCES_SILVER" hidden="1">"c9068"</definedName>
    <definedName name="IQ_TOTAL_ORE_RESOURCES_TITAN" hidden="1">"c9548"</definedName>
    <definedName name="IQ_TOTAL_ORE_RESOURCES_URAN" hidden="1">"c9601"</definedName>
    <definedName name="IQ_TOTAL_ORE_RESOURCES_ZINC" hidden="1">"c9336"</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P" hidden="1">"c8765"</definedName>
    <definedName name="IQ_TOTAL_PROVED_RESERVES_NGL" hidden="1">"c2924"</definedName>
    <definedName name="IQ_TOTAL_PROVED_RESERVES_OIL" hidden="1">"c2040"</definedName>
    <definedName name="IQ_TOTAL_RECEIV" hidden="1">"c1293"</definedName>
    <definedName name="IQ_TOTAL_RECOV_ATTRIB_RESOURCES_ALUM" hidden="1">"c9246"</definedName>
    <definedName name="IQ_TOTAL_RECOV_ATTRIB_RESOURCES_COAL" hidden="1">"c9820"</definedName>
    <definedName name="IQ_TOTAL_RECOV_ATTRIB_RESOURCES_COP" hidden="1">"c9190"</definedName>
    <definedName name="IQ_TOTAL_RECOV_ATTRIB_RESOURCES_DIAM" hidden="1">"c9670"</definedName>
    <definedName name="IQ_TOTAL_RECOV_ATTRIB_RESOURCES_GOLD" hidden="1">"c9031"</definedName>
    <definedName name="IQ_TOTAL_RECOV_ATTRIB_RESOURCES_IRON" hidden="1">"c9405"</definedName>
    <definedName name="IQ_TOTAL_RECOV_ATTRIB_RESOURCES_LEAD" hidden="1">"c9458"</definedName>
    <definedName name="IQ_TOTAL_RECOV_ATTRIB_RESOURCES_MANG" hidden="1">"c9511"</definedName>
    <definedName name="IQ_TOTAL_RECOV_ATTRIB_RESOURCES_MET_COAL" hidden="1">"c9760"</definedName>
    <definedName name="IQ_TOTAL_RECOV_ATTRIB_RESOURCES_MOLYB" hidden="1">"c9723"</definedName>
    <definedName name="IQ_TOTAL_RECOV_ATTRIB_RESOURCES_NICK" hidden="1">"c9299"</definedName>
    <definedName name="IQ_TOTAL_RECOV_ATTRIB_RESOURCES_PLAT" hidden="1">"c9137"</definedName>
    <definedName name="IQ_TOTAL_RECOV_ATTRIB_RESOURCES_SILVER" hidden="1">"c9084"</definedName>
    <definedName name="IQ_TOTAL_RECOV_ATTRIB_RESOURCES_STEAM" hidden="1">"c9790"</definedName>
    <definedName name="IQ_TOTAL_RECOV_ATTRIB_RESOURCES_TITAN" hidden="1">"c9564"</definedName>
    <definedName name="IQ_TOTAL_RECOV_ATTRIB_RESOURCES_URAN" hidden="1">"c9617"</definedName>
    <definedName name="IQ_TOTAL_RECOV_ATTRIB_RESOURCES_ZINC" hidden="1">"c9352"</definedName>
    <definedName name="IQ_TOTAL_RECOV_RESOURCES_ALUM" hidden="1">"c9236"</definedName>
    <definedName name="IQ_TOTAL_RECOV_RESOURCES_COAL" hidden="1">"c9815"</definedName>
    <definedName name="IQ_TOTAL_RECOV_RESOURCES_COP" hidden="1">"c9180"</definedName>
    <definedName name="IQ_TOTAL_RECOV_RESOURCES_DIAM" hidden="1">"c9660"</definedName>
    <definedName name="IQ_TOTAL_RECOV_RESOURCES_GOLD" hidden="1">"c9021"</definedName>
    <definedName name="IQ_TOTAL_RECOV_RESOURCES_IRON" hidden="1">"c9395"</definedName>
    <definedName name="IQ_TOTAL_RECOV_RESOURCES_LEAD" hidden="1">"c9448"</definedName>
    <definedName name="IQ_TOTAL_RECOV_RESOURCES_MANG" hidden="1">"c9501"</definedName>
    <definedName name="IQ_TOTAL_RECOV_RESOURCES_MET_COAL" hidden="1">"c9755"</definedName>
    <definedName name="IQ_TOTAL_RECOV_RESOURCES_MOLYB" hidden="1">"c9713"</definedName>
    <definedName name="IQ_TOTAL_RECOV_RESOURCES_NICK" hidden="1">"c9289"</definedName>
    <definedName name="IQ_TOTAL_RECOV_RESOURCES_PLAT" hidden="1">"c9127"</definedName>
    <definedName name="IQ_TOTAL_RECOV_RESOURCES_SILVER" hidden="1">"c9074"</definedName>
    <definedName name="IQ_TOTAL_RECOV_RESOURCES_STEAM" hidden="1">"c9785"</definedName>
    <definedName name="IQ_TOTAL_RECOV_RESOURCES_TITAN" hidden="1">"c9554"</definedName>
    <definedName name="IQ_TOTAL_RECOV_RESOURCES_URAN" hidden="1">"c9607"</definedName>
    <definedName name="IQ_TOTAL_RECOV_RESOURCES_ZINC" hidden="1">"c9342"</definedName>
    <definedName name="IQ_TOTAL_RECOVERIES_FDIC" hidden="1">"c6622"</definedName>
    <definedName name="IQ_TOTAL_RESOURCES_CALORIFIC_VALUE_COAL" hidden="1">"c9810"</definedName>
    <definedName name="IQ_TOTAL_RESOURCES_CALORIFIC_VALUE_MET_COAL" hidden="1">"c9750"</definedName>
    <definedName name="IQ_TOTAL_RESOURCES_CALORIFIC_VALUE_STEAM" hidden="1">"c9780"</definedName>
    <definedName name="IQ_TOTAL_RESOURCES_GRADE_ALUM" hidden="1">"c9231"</definedName>
    <definedName name="IQ_TOTAL_RESOURCES_GRADE_COP" hidden="1">"c9175"</definedName>
    <definedName name="IQ_TOTAL_RESOURCES_GRADE_DIAM" hidden="1">"c9655"</definedName>
    <definedName name="IQ_TOTAL_RESOURCES_GRADE_GOLD" hidden="1">"c9016"</definedName>
    <definedName name="IQ_TOTAL_RESOURCES_GRADE_IRON" hidden="1">"c9390"</definedName>
    <definedName name="IQ_TOTAL_RESOURCES_GRADE_LEAD" hidden="1">"c9443"</definedName>
    <definedName name="IQ_TOTAL_RESOURCES_GRADE_MANG" hidden="1">"c9496"</definedName>
    <definedName name="IQ_TOTAL_RESOURCES_GRADE_MOLYB" hidden="1">"c9708"</definedName>
    <definedName name="IQ_TOTAL_RESOURCES_GRADE_NICK" hidden="1">"c9284"</definedName>
    <definedName name="IQ_TOTAL_RESOURCES_GRADE_PLAT" hidden="1">"c9122"</definedName>
    <definedName name="IQ_TOTAL_RESOURCES_GRADE_SILVER" hidden="1">"c9069"</definedName>
    <definedName name="IQ_TOTAL_RESOURCES_GRADE_TITAN" hidden="1">"c9549"</definedName>
    <definedName name="IQ_TOTAL_RESOURCES_GRADE_URAN" hidden="1">"c9602"</definedName>
    <definedName name="IQ_TOTAL_RESOURCES_GRADE_ZINC" hidden="1">"c9337"</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SUBTOTAL_AP" hidden="1">"c8975"</definedName>
    <definedName name="IQ_TOTAL_REV_UTI" hidden="1">"c1308"</definedName>
    <definedName name="IQ_TOTAL_REVENUE" hidden="1">"c1436"</definedName>
    <definedName name="IQ_TOTAL_RISK_BASED_CAPITAL_RATIO_FDIC" hidden="1">"c6747"</definedName>
    <definedName name="IQ_TOTAL_ROOMS" hidden="1">"c8789"</definedName>
    <definedName name="IQ_TOTAL_SECURITIES_FDIC" hidden="1">"c6306"</definedName>
    <definedName name="IQ_TOTAL_SPECIAL" hidden="1">"c1618"</definedName>
    <definedName name="IQ_TOTAL_SQ_FT" hidden="1">"c8781"</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ITS" hidden="1">"c8773"</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ITEM_CIQID" hidden="1">"c8949"</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"c1438"</definedName>
    <definedName name="IQ_TREASURY_STOCK_TRANSACTIONS_FDIC" hidden="1">"c6501"</definedName>
    <definedName name="IQ_TRUCK_ASSEMBLIES" hidden="1">"c7021"</definedName>
    <definedName name="IQ_TRUCK_ASSEMBLIES_APR" hidden="1">"c7681"</definedName>
    <definedName name="IQ_TRUCK_ASSEMBLIES_APR_FC" hidden="1">"c8561"</definedName>
    <definedName name="IQ_TRUCK_ASSEMBLIES_FC" hidden="1">"c7901"</definedName>
    <definedName name="IQ_TRUCK_ASSEMBLIES_POP" hidden="1">"c7241"</definedName>
    <definedName name="IQ_TRUCK_ASSEMBLIES_POP_FC" hidden="1">"c8121"</definedName>
    <definedName name="IQ_TRUCK_ASSEMBLIES_YOY" hidden="1">"c7461"</definedName>
    <definedName name="IQ_TRUCK_ASSEMBLIES_YOY_FC" hidden="1">"c8341"</definedName>
    <definedName name="IQ_TRUST_INC" hidden="1">"c1319"</definedName>
    <definedName name="IQ_TRUST_PREF" hidden="1">"c1320"</definedName>
    <definedName name="IQ_TRUST_PREFERRED" hidden="1">"c3029"</definedName>
    <definedName name="IQ_TRUST_PREFERRED_PCT" hidden="1">"c3030"</definedName>
    <definedName name="IQ_TRUSTEE" hidden="1">"c8959"</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CONSOL_BEDS" hidden="1">"c8783"</definedName>
    <definedName name="IQ_UNCONSOL_PROP" hidden="1">"c8762"</definedName>
    <definedName name="IQ_UNCONSOL_ROOMS" hidden="1">"c8787"</definedName>
    <definedName name="IQ_UNCONSOL_SQ_FT" hidden="1">"c8778"</definedName>
    <definedName name="IQ_UNCONSOL_UNITS" hidden="1">"c8770"</definedName>
    <definedName name="IQ_UNDERWRITER" hidden="1">"c8958"</definedName>
    <definedName name="IQ_UNDERWRITING_PROFIT" hidden="1">"c9975"</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EMPLOYMENT_RATE" hidden="1">"c7023"</definedName>
    <definedName name="IQ_UNEMPLOYMENT_RATE_FC" hidden="1">"c7903"</definedName>
    <definedName name="IQ_UNEMPLOYMENT_RATE_POP" hidden="1">"c7243"</definedName>
    <definedName name="IQ_UNEMPLOYMENT_RATE_POP_FC" hidden="1">"c8123"</definedName>
    <definedName name="IQ_UNEMPLOYMENT_RATE_YOY" hidden="1">"c7463"</definedName>
    <definedName name="IQ_UNEMPLOYMENT_RATE_YOY_FC" hidden="1">"c8343"</definedName>
    <definedName name="IQ_UNIT_LABOR_COST_INDEX" hidden="1">"c7025"</definedName>
    <definedName name="IQ_UNIT_LABOR_COST_INDEX_APR" hidden="1">"c7685"</definedName>
    <definedName name="IQ_UNIT_LABOR_COST_INDEX_APR_FC" hidden="1">"c8565"</definedName>
    <definedName name="IQ_UNIT_LABOR_COST_INDEX_FC" hidden="1">"c7905"</definedName>
    <definedName name="IQ_UNIT_LABOR_COST_INDEX_PCT_CHANGE" hidden="1">"c7024"</definedName>
    <definedName name="IQ_UNIT_LABOR_COST_INDEX_PCT_CHANGE_FC" hidden="1">"c7904"</definedName>
    <definedName name="IQ_UNIT_LABOR_COST_INDEX_PCT_CHANGE_POP" hidden="1">"c7244"</definedName>
    <definedName name="IQ_UNIT_LABOR_COST_INDEX_PCT_CHANGE_POP_FC" hidden="1">"c8124"</definedName>
    <definedName name="IQ_UNIT_LABOR_COST_INDEX_PCT_CHANGE_YOY" hidden="1">"c7464"</definedName>
    <definedName name="IQ_UNIT_LABOR_COST_INDEX_PCT_CHANGE_YOY_FC" hidden="1">"c8344"</definedName>
    <definedName name="IQ_UNIT_LABOR_COST_INDEX_POP" hidden="1">"c7245"</definedName>
    <definedName name="IQ_UNIT_LABOR_COST_INDEX_POP_FC" hidden="1">"c8125"</definedName>
    <definedName name="IQ_UNIT_LABOR_COST_INDEX_YOY" hidden="1">"c7465"</definedName>
    <definedName name="IQ_UNIT_LABOR_COST_INDEX_YOY_FC" hidden="1">"c8345"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EHICLE_ASSEMBLIES_LIGHT" hidden="1">"c6905"</definedName>
    <definedName name="IQ_VEHICLE_ASSEMBLIES_LIGHT_APR" hidden="1">"c7565"</definedName>
    <definedName name="IQ_VEHICLE_ASSEMBLIES_LIGHT_APR_FC" hidden="1">"c8445"</definedName>
    <definedName name="IQ_VEHICLE_ASSEMBLIES_LIGHT_FC" hidden="1">"c7785"</definedName>
    <definedName name="IQ_VEHICLE_ASSEMBLIES_LIGHT_NEW" hidden="1">"c6925"</definedName>
    <definedName name="IQ_VEHICLE_ASSEMBLIES_LIGHT_NEW_APR" hidden="1">"c7585"</definedName>
    <definedName name="IQ_VEHICLE_ASSEMBLIES_LIGHT_NEW_APR_FC" hidden="1">"c8465"</definedName>
    <definedName name="IQ_VEHICLE_ASSEMBLIES_LIGHT_NEW_FC" hidden="1">"c7805"</definedName>
    <definedName name="IQ_VEHICLE_ASSEMBLIES_LIGHT_NEW_POP" hidden="1">"c7145"</definedName>
    <definedName name="IQ_VEHICLE_ASSEMBLIES_LIGHT_NEW_POP_FC" hidden="1">"c8025"</definedName>
    <definedName name="IQ_VEHICLE_ASSEMBLIES_LIGHT_NEW_YOY" hidden="1">"c7365"</definedName>
    <definedName name="IQ_VEHICLE_ASSEMBLIES_LIGHT_NEW_YOY_FC" hidden="1">"c8245"</definedName>
    <definedName name="IQ_VEHICLE_ASSEMBLIES_LIGHT_POP" hidden="1">"c7125"</definedName>
    <definedName name="IQ_VEHICLE_ASSEMBLIES_LIGHT_POP_FC" hidden="1">"c8005"</definedName>
    <definedName name="IQ_VEHICLE_ASSEMBLIES_LIGHT_YOY" hidden="1">"c7345"</definedName>
    <definedName name="IQ_VEHICLE_ASSEMBLIES_LIGHT_YOY_FC" hidden="1">"c8225"</definedName>
    <definedName name="IQ_VEHICLE_ASSEMBLIES_TOTAL" hidden="1">"c7020"</definedName>
    <definedName name="IQ_VEHICLE_ASSEMBLIES_TOTAL_APR" hidden="1">"c7680"</definedName>
    <definedName name="IQ_VEHICLE_ASSEMBLIES_TOTAL_APR_FC" hidden="1">"c8560"</definedName>
    <definedName name="IQ_VEHICLE_ASSEMBLIES_TOTAL_FC" hidden="1">"c7900"</definedName>
    <definedName name="IQ_VEHICLE_ASSEMBLIES_TOTAL_POP" hidden="1">"c7240"</definedName>
    <definedName name="IQ_VEHICLE_ASSEMBLIES_TOTAL_POP_FC" hidden="1">"c8120"</definedName>
    <definedName name="IQ_VEHICLE_ASSEMBLIES_TOTAL_YOY" hidden="1">"c7460"</definedName>
    <definedName name="IQ_VEHICLE_ASSEMBLIES_TOTAL_YOY_FC" hidden="1">"c8340"</definedName>
    <definedName name="IQ_VIF_AFTER_COST_CAPITAL_COVERED" hidden="1">"c9966"</definedName>
    <definedName name="IQ_VIF_AFTER_COST_CAPITAL_GROUP" hidden="1">"c9952"</definedName>
    <definedName name="IQ_VIF_BEFORE_COST_CAPITAL_COVERED" hidden="1">"c9964"</definedName>
    <definedName name="IQ_VIF_BEFORE_COST_CAPITAL_GROUP" hidden="1">"c9950"</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C_CURRENT" hidden="1">"c8961"</definedName>
    <definedName name="IQ_WAC_ORIGINAL" hidden="1">"c8953"</definedName>
    <definedName name="IQ_WAM_CURRENT" hidden="1">"c8962"</definedName>
    <definedName name="IQ_WAM_ORIGINAL" hidden="1">"c8952"</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HOLESALE_INVENTORIES" hidden="1">"c7027"</definedName>
    <definedName name="IQ_WHOLESALE_INVENTORIES_APR" hidden="1">"c7687"</definedName>
    <definedName name="IQ_WHOLESALE_INVENTORIES_APR_FC" hidden="1">"c8567"</definedName>
    <definedName name="IQ_WHOLESALE_INVENTORIES_FC" hidden="1">"c7907"</definedName>
    <definedName name="IQ_WHOLESALE_INVENTORIES_POP" hidden="1">"c7247"</definedName>
    <definedName name="IQ_WHOLESALE_INVENTORIES_POP_FC" hidden="1">"c8127"</definedName>
    <definedName name="IQ_WHOLESALE_INVENTORIES_YOY" hidden="1">"c7467"</definedName>
    <definedName name="IQ_WHOLESALE_INVENTORIES_YOY_FC" hidden="1">"c8347"</definedName>
    <definedName name="IQ_WHOLESALE_IS_RATIO" hidden="1">"c7026"</definedName>
    <definedName name="IQ_WHOLESALE_IS_RATIO_FC" hidden="1">"c7906"</definedName>
    <definedName name="IQ_WHOLESALE_IS_RATIO_POP" hidden="1">"c7246"</definedName>
    <definedName name="IQ_WHOLESALE_IS_RATIO_POP_FC" hidden="1">"c8126"</definedName>
    <definedName name="IQ_WHOLESALE_IS_RATIO_YOY" hidden="1">"c7466"</definedName>
    <definedName name="IQ_WHOLESALE_IS_RATIO_YOY_FC" hidden="1">"c8346"</definedName>
    <definedName name="IQ_WHOLESALE_SALES" hidden="1">"c7028"</definedName>
    <definedName name="IQ_WHOLESALE_SALES_APR" hidden="1">"c7688"</definedName>
    <definedName name="IQ_WHOLESALE_SALES_APR_FC" hidden="1">"c8568"</definedName>
    <definedName name="IQ_WHOLESALE_SALES_FC" hidden="1">"c7908"</definedName>
    <definedName name="IQ_WHOLESALE_SALES_INDEX" hidden="1">"c7029"</definedName>
    <definedName name="IQ_WHOLESALE_SALES_INDEX_APR" hidden="1">"c7689"</definedName>
    <definedName name="IQ_WHOLESALE_SALES_INDEX_APR_FC" hidden="1">"c8569"</definedName>
    <definedName name="IQ_WHOLESALE_SALES_INDEX_FC" hidden="1">"c7909"</definedName>
    <definedName name="IQ_WHOLESALE_SALES_INDEX_POP" hidden="1">"c7249"</definedName>
    <definedName name="IQ_WHOLESALE_SALES_INDEX_POP_FC" hidden="1">"c8129"</definedName>
    <definedName name="IQ_WHOLESALE_SALES_INDEX_YOY" hidden="1">"c7469"</definedName>
    <definedName name="IQ_WHOLESALE_SALES_INDEX_YOY_FC" hidden="1">"c8349"</definedName>
    <definedName name="IQ_WHOLESALE_SALES_POP" hidden="1">"c7248"</definedName>
    <definedName name="IQ_WHOLESALE_SALES_POP_FC" hidden="1">"c8128"</definedName>
    <definedName name="IQ_WHOLESALE_SALES_YOY" hidden="1">"c7468"</definedName>
    <definedName name="IQ_WHOLESALE_SALES_YOY_FC" hidden="1">"c8348"</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"c2203"</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sColHidden" hidden="1">FALSE</definedName>
    <definedName name="IsLTMColHidden" hidden="1">FALSE</definedName>
    <definedName name="JNPRpublish" hidden="1">{#N/A,#N/A,FALSE,"Index";"Stmts_Qtrs",#N/A,FALSE,"Summary";"Stmts_24 mo",#N/A,FALSE,"Summary";"Summary_24",#N/A,FALSE,"Revenue";"Month_24",#N/A,FALSE,"Engineering";"Month_24",#N/A,FALSE,"Marketing";"Month_24",#N/A,FALSE,"G &amp; A";"Month_24",#N/A,FALSE,"Manufacturing"}</definedName>
    <definedName name="K2__LOCKEDCVW__" hidden="1">"MAIN,OTHERREV,ACTUAL,USD,E.2990,ALL_JOBS,ALL_ORGS,ALL_PROD,2004.JAN,PERIODIC,;"</definedName>
    <definedName name="K2__LOCKSTATUS__" hidden="1">2</definedName>
    <definedName name="K2__MAXEXPCOLS__" hidden="1">100</definedName>
    <definedName name="K2__MAXEXPROWS__" hidden="1">1000</definedName>
    <definedName name="K2__WBEVMODE__" hidden="1">0</definedName>
    <definedName name="K2__WBREFOPTIONS__" hidden="1">134217728</definedName>
    <definedName name="K2_WBEVMODE" hidden="1">-1</definedName>
    <definedName name="KeepVersions" localSheetId="7">IndexInformation!$B$8</definedName>
    <definedName name="klklklkl" hidden="1">{#N/A,#N/A,FALSE,"Index";"Stmts_Qtrs",#N/A,FALSE,"Summary";"Stmts_24 mo",#N/A,FALSE,"Summary";"Summary_24",#N/A,FALSE,"Revenue";"Month_24",#N/A,FALSE,"Engineering";"Month_24",#N/A,FALSE,"Marketing";"Month_24",#N/A,FALSE,"G &amp; A";"Month_24",#N/A,FALSE,"Manufacturing"}</definedName>
    <definedName name="L_\LIBRARY\LONG\FMC\Aug98\_fbpd_model1.xls_5_Year_DCF__07_28_98__10_03_AM">"DCF2"</definedName>
    <definedName name="L_\LIBRARY\LONG\FMC\Aug98\_fbpd_model1.xls_Combined__PF_BS__07_28_98__10_01_AM">"DCF1"</definedName>
    <definedName name="LanguageCode">IndexInformation!$B$38</definedName>
    <definedName name="LastCell" localSheetId="2">ImportantDisclosures!$A$22</definedName>
    <definedName name="limcount" hidden="1">2</definedName>
    <definedName name="Line2">"_____ "</definedName>
    <definedName name="Line3">"__________ "</definedName>
    <definedName name="Linking_72" xml:space="preserve">                     IS!$A$6:$W$103</definedName>
    <definedName name="Linking_Range_03">IS!$A$6:$W$103</definedName>
    <definedName name="Linking_Range_04">BS!$A$6:$Z$69</definedName>
    <definedName name="Linking_Range_10">CFS!$A$6:$T$49</definedName>
    <definedName name="Linking_Range_111">IS!$A$6:$V$103</definedName>
    <definedName name="Linking_Range_147">BS!$A$6:$AB$92</definedName>
    <definedName name="Linking_Range_19">BS!$A$6:$X$92</definedName>
    <definedName name="Linking_Range_20">BS!$A$6:$X$83</definedName>
    <definedName name="Linking_Range_21">BS!$A$6:$X$69</definedName>
    <definedName name="Linking_Range_22">CFS!$A$6:$W$49</definedName>
    <definedName name="Linking_Range_222">BS!$A$6:$AA$69</definedName>
    <definedName name="Linking_Range_23">CFS!$A$6:$W$63</definedName>
    <definedName name="Linking_Range_258">IS!$A$6:$W$111</definedName>
    <definedName name="Linking_Range_31">BS!$A$6:$Y$69</definedName>
    <definedName name="Linking_Range_32">CFS!$A$6:$X$49</definedName>
    <definedName name="Linking_Range_333">CFS!$A$6:$Z$49</definedName>
    <definedName name="Linking_Range_369">CFS!$A$6:$AA$63</definedName>
    <definedName name="Linking_Range_42">BS!$A$6:$Y$92</definedName>
    <definedName name="Linking_Range_43">CFS!$A$6:$X$63</definedName>
    <definedName name="Linking_Range_44">IS!$A$6:$DG$177</definedName>
    <definedName name="Linking_Range_46">IS!$A$6:$DG$111</definedName>
    <definedName name="Linking_Range_48">BS!$A$6:$Z$92</definedName>
    <definedName name="Linking_Range_49">CFS!$A$6:$Y$63</definedName>
    <definedName name="Linking_Range_5">BS!$A$6:$V$89</definedName>
    <definedName name="Linking_Range_6">BS!$A$6:$V$83</definedName>
    <definedName name="Linking_Range_7">CFS!$A$6:$U$49</definedName>
    <definedName name="ListOffset" hidden="1">1</definedName>
    <definedName name="MacroVersion" localSheetId="7">IndexInformation!$B$1</definedName>
    <definedName name="market.premium">0.072</definedName>
    <definedName name="MaxChange" localSheetId="3">CircularReferenceAlert!$B$9</definedName>
    <definedName name="MaxIterations" localSheetId="3">CircularReferenceAlert!$B$8</definedName>
    <definedName name="mcs03g.ReqArray">{"Price","YBTVA","LC125/LC126","N","0","0","V"}</definedName>
    <definedName name="ModelPrice" localSheetId="2">ImportantDisclosures!$A$14</definedName>
    <definedName name="MonitorRow">1</definedName>
    <definedName name="Monthlies_title">#N/A</definedName>
    <definedName name="MtCap">10000000000</definedName>
    <definedName name="Multiplier" localSheetId="7">IndexInformation!$B$35</definedName>
    <definedName name="newProjectName">{"Client Name or Project Name"}</definedName>
    <definedName name="NewProjName">{"Client Name or Project Name"}</definedName>
    <definedName name="NextYearEPS" localSheetId="7">IndexInformation!$B$13</definedName>
    <definedName name="NextYearTotalRevenue" localSheetId="7">IndexInformation!$B$12</definedName>
    <definedName name="NextYearTotalRevenueActual" localSheetId="7">IndexInformation!$B$33</definedName>
    <definedName name="nmnmm" hidden="1">{#N/A,#N/A,FALSE,"Index";"Stmts_Qtrs",#N/A,FALSE,"Summary";"Stmts_24 mo",#N/A,FALSE,"Summary";"Summary_24",#N/A,FALSE,"Revenue";"Month_24",#N/A,FALSE,"Engineering";"Month_24",#N/A,FALSE,"Marketing";"Month_24",#N/A,FALSE,"G &amp; A";"Month_24",#N/A,FALSE,"Manufacturing"}</definedName>
    <definedName name="num">{126}</definedName>
    <definedName name="NumCUSIP">{1}</definedName>
    <definedName name="NumCUSIP_New_Drugs">{1}</definedName>
    <definedName name="NumCUSIPMissing">{0}</definedName>
    <definedName name="NumCUSIPMissing_New_Drugs">{0}</definedName>
    <definedName name="NumInst">{126}</definedName>
    <definedName name="NumInst_New">{126}</definedName>
    <definedName name="NumInstCSUM">{25}</definedName>
    <definedName name="NvsASD">"V2000-12-31"</definedName>
    <definedName name="NvsAutoDrillOk">"VN"</definedName>
    <definedName name="NvsElapsedTime">0.000516666666953824</definedName>
    <definedName name="NvsEndTime">37585.5170123843</definedName>
    <definedName name="NvsInstLang">"VENG"</definedName>
    <definedName name="NvsInstSpec">"%"</definedName>
    <definedName name="NvsInstSpec1">","</definedName>
    <definedName name="NvsInstSpec2">","</definedName>
    <definedName name="NvsInstSpec3">","</definedName>
    <definedName name="NvsInstSpec4">","</definedName>
    <definedName name="NvsInstSpec5">","</definedName>
    <definedName name="NvsInstSpec6">","</definedName>
    <definedName name="NvsInstSpec7">","</definedName>
    <definedName name="NvsInstSpec8">","</definedName>
    <definedName name="NvsInstSpec9">","</definedName>
    <definedName name="NvsLayoutType">"M3"</definedName>
    <definedName name="NvsNplSpec">"%,X,RNF..,CNF.."</definedName>
    <definedName name="NvsPanelBusUnit">"V"</definedName>
    <definedName name="NvsPanelEffdt">"V1997-07-09"</definedName>
    <definedName name="NvsPanelSetid">"V01"</definedName>
    <definedName name="NvsReqBU">"V01"</definedName>
    <definedName name="NvsReqBUOnly">"VN"</definedName>
    <definedName name="NvsTransLed">"VN"</definedName>
    <definedName name="NvsTreeASD">"V2000-12-31"</definedName>
    <definedName name="NvsValTbl.ACCOUNT">"GL_ACCOUNT_TBL"</definedName>
    <definedName name="o" hidden="1">{"P&amp;L",#N/A,TRUE,"HC";"P&amp;L Percents",#N/A,TRUE,"P&amp;L";"M&amp;A3 P&amp;L",#N/A,TRUE,"HC";"M&amp;A3 Pipeline",#N/A,TRUE,"HC";"Franchises",#N/A,TRUE,"HC";"CF&amp;BS",#N/A,TRUE,"HC"}</definedName>
    <definedName name="ObjectType">IndexInformation!$B$37</definedName>
    <definedName name="OK" hidden="1">{#N/A,#N/A,FALSE,"Cover";#N/A,#N/A,FALSE,"LUMI";#N/A,#N/A,FALSE,"COMD";#N/A,#N/A,FALSE,"Valuation";#N/A,#N/A,FALSE,"Assumptions";#N/A,#N/A,FALSE,"Pooling";#N/A,#N/A,FALSE,"BalanceSheet"}</definedName>
    <definedName name="OpDay_printarea">#N/A</definedName>
    <definedName name="OPEN">{1}</definedName>
    <definedName name="orject">{"Project Cork LBO"}</definedName>
    <definedName name="P_C_eta">364555.662947771</definedName>
    <definedName name="P_C_lambda">0</definedName>
    <definedName name="P_C_ol">245918.445065017</definedName>
    <definedName name="P_C_pi">30841.2775368761</definedName>
    <definedName name="P_C_sigma">0</definedName>
    <definedName name="P_C_TotAssets">937433.834135586</definedName>
    <definedName name="PANA" localSheetId="8">ModPubIndex!$A$11</definedName>
    <definedName name="PathName" localSheetId="7">IndexInformation!$B$25</definedName>
    <definedName name="pn">{"Client Name or Project Name"}</definedName>
    <definedName name="_xlnm.Print_Area" localSheetId="4">IS!$A$1:$DE$522</definedName>
    <definedName name="_xlnm.Print_Titles">#REF!</definedName>
    <definedName name="PRODUCT" localSheetId="8">ModPubIndex!$A$6</definedName>
    <definedName name="Proj_Name">{"Client Name or Project Name"}</definedName>
    <definedName name="Proj_Name_2">{"Client Name or Project Name"}</definedName>
    <definedName name="Proj_Name_3">{"Client Name or Project Name"}</definedName>
    <definedName name="Proj_Name_4">{"Client Name or Project Name"}</definedName>
    <definedName name="proj_name2">{"Client Name or Project Name"}</definedName>
    <definedName name="ProjectName" localSheetId="5">{"Client Name or Project Name"}</definedName>
    <definedName name="ProjectName" localSheetId="0">{"Client Name or Project Name"}</definedName>
    <definedName name="ProjectName">{"Client Name or Project Name"}</definedName>
    <definedName name="ProjectName_New">{"Atrium Medical Corporation"}</definedName>
    <definedName name="ProjectName_Options">{"Client Name or Project Name"}</definedName>
    <definedName name="ProjectName1">{"Client Name or Project Name"}</definedName>
    <definedName name="ProjectName2">{"Client Name or Project Name"}</definedName>
    <definedName name="projectnamez">{"Client Name or Project Name"}</definedName>
    <definedName name="ProjektName">{"Client Name or Project Name"}</definedName>
    <definedName name="PSYM" localSheetId="8">ModPubIndex!$A$4</definedName>
    <definedName name="PUB_FileID" hidden="1">"L10004026.xls"</definedName>
    <definedName name="PUB_UserID" hidden="1">"MAYERX"</definedName>
    <definedName name="PublishDate" localSheetId="7">IndexInformation!$B$2</definedName>
    <definedName name="q" hidden="1">{"Qtr Op Mgd Q2",#N/A,FALSE,"Qtr-Op (Mng)";"Qtr Op Rpt Q2",#N/A,FALSE,"Qtr-Op (Rpt)";"Operating Vs Reported",#N/A,FALSE,"Rpt-Op Inc"}</definedName>
    <definedName name="Rating" localSheetId="7">IndexInformation!$B$9</definedName>
    <definedName name="RatingsDefined" localSheetId="2">ImportantDisclosures!$A$21</definedName>
    <definedName name="RatingsDefs" localSheetId="2">ImportantDisclosures!#REF!</definedName>
    <definedName name="redo" hidden="1">{#N/A,#N/A,FALSE,"ACQ_GRAPHS";#N/A,#N/A,FALSE,"T_1 GRAPHS";#N/A,#N/A,FALSE,"T_2 GRAPHS";#N/A,#N/A,FALSE,"COMB_GRAPHS"}</definedName>
    <definedName name="RegACDisclosure" localSheetId="2">ImportantDisclosures!#REF!</definedName>
    <definedName name="relconNEW">{2}</definedName>
    <definedName name="rep" hidden="1">{#N/A,#N/A,FALSE,"COVER";#N/A,#N/A,FALSE,"VALUATION";#N/A,#N/A,FALSE,"FORECAST";#N/A,#N/A,FALSE,"FY ANALYSIS ";#N/A,#N/A,FALSE," HY ANALYSIS"}</definedName>
    <definedName name="RepairedName0001">"Formula removed, name can be deleted."</definedName>
    <definedName name="ResearchTopic" localSheetId="7">IndexInformation!$B$4</definedName>
    <definedName name="rhon">#N/A</definedName>
    <definedName name="RIC" localSheetId="7">IndexInformation!$B$21</definedName>
    <definedName name="risk.free.rate">0.065</definedName>
    <definedName name="rmcCategory">35247</definedName>
    <definedName name="rmcName">930</definedName>
    <definedName name="RMCOptions">"*100000000000000"</definedName>
    <definedName name="rmcPeriod">9312</definedName>
    <definedName name="s">{13}</definedName>
    <definedName name="SAPBEXdnldView" hidden="1">"3YPDU3QUROXECWVOQV8IEZR4C"</definedName>
    <definedName name="SAPBEXrevision" hidden="1">1</definedName>
    <definedName name="SAPBEXsysID" hidden="1">"BWG"</definedName>
    <definedName name="SAPBEXwbID" hidden="1">"3P9RIBDX808FQVPLLC8WO2EZU"</definedName>
    <definedName name="sd" hidden="1">{#N/A,#N/A,TRUE,"Comps";#N/A,#N/A,TRUE,"Notes";#N/A,#N/A,TRUE,"Trend Analysis 97";#N/A,#N/A,TRUE,"Trend Analysis 98"}</definedName>
    <definedName name="SECSettlement" localSheetId="2">ImportantDisclosures!#REF!</definedName>
    <definedName name="sectors">{"Client Name or Project Name"}</definedName>
    <definedName name="SEDOL" localSheetId="7">IndexInformation!$B$22</definedName>
    <definedName name="sencount" hidden="1">2</definedName>
    <definedName name="SID" hidden="1">"Cpavan"</definedName>
    <definedName name="SourceDefined" localSheetId="2">ImportantDisclosures!$A$19</definedName>
    <definedName name="Sp">"       "</definedName>
    <definedName name="Spaces">"      "</definedName>
    <definedName name="SPWD" hidden="1">"pepsico"</definedName>
    <definedName name="state">{"Client Name or Project Name"}</definedName>
    <definedName name="States">{"Client Name or Project Name"}</definedName>
    <definedName name="states_new">{"Client Name or Project Name"}</definedName>
    <definedName name="StockRating" localSheetId="2">ImportantDisclosures!$A$11</definedName>
    <definedName name="SubjectCode" localSheetId="7">IndexInformation!$B$6</definedName>
    <definedName name="SubmitterUserId">IndexInformation!$B$39</definedName>
    <definedName name="SUPPRESSED" localSheetId="8">ModPubIndex!$A$13</definedName>
    <definedName name="TargetPrice" localSheetId="2">ImportantDisclosures!$A$15</definedName>
    <definedName name="Taxes___HC">"ssflat"</definedName>
    <definedName name="TCredo" hidden="1">{#N/A,#N/A,FALSE,"ACQ_GRAPHS";#N/A,#N/A,FALSE,"T_1 GRAPHS";#N/A,#N/A,FALSE,"T_2 GRAPHS";#N/A,#N/A,FALSE,"COMB_GRAPHS"}</definedName>
    <definedName name="TCwrn" hidden="1">{#N/A,#N/A,FALSE,"INPUTS";#N/A,#N/A,FALSE,"PROFORMA BSHEET";#N/A,#N/A,FALSE,"COMBINED";#N/A,#N/A,FALSE,"ACQUIROR";#N/A,#N/A,FALSE,"TARGET 1";#N/A,#N/A,FALSE,"TARGET 2";#N/A,#N/A,FALSE,"HIGH YIELD";#N/A,#N/A,FALSE,"OVERFUND"}</definedName>
    <definedName name="TCwrn.comb" hidden="1">{#N/A,#N/A,FALSE,"INPUTS";#N/A,#N/A,FALSE,"PROFORMA BSHEET";#N/A,#N/A,FALSE,"COMBINED";#N/A,#N/A,FALSE,"HIGH YIELD";#N/A,#N/A,FALSE,"COMB_GRAPHS"}</definedName>
    <definedName name="TCwrn.graphs" hidden="1">{#N/A,#N/A,FALSE,"ACQ_GRAPHS";#N/A,#N/A,FALSE,"T_1 GRAPHS";#N/A,#N/A,FALSE,"T_2 GRAPHS";#N/A,#N/A,FALSE,"COMB_GRAPHS"}</definedName>
    <definedName name="TCwrn.val" hidden="1">{#N/A,#N/A,FALSE,"Valuation Assumptions";#N/A,#N/A,FALSE,"Summary";#N/A,#N/A,FALSE,"DCF";#N/A,#N/A,FALSE,"Valuation";#N/A,#N/A,FALSE,"WACC";#N/A,#N/A,FALSE,"UBVH";#N/A,#N/A,FALSE,"Free Cash Flow"}</definedName>
    <definedName name="TemplateRegion">IndexInformation!$B$36</definedName>
    <definedName name="TestAdd">"Test RefersTo1"</definedName>
    <definedName name="Ticker" localSheetId="2">ImportantDisclosures!$A$10</definedName>
    <definedName name="TickerRegion">IndexInformation!$B$41</definedName>
    <definedName name="Tickers" localSheetId="7">IndexInformation!$B$19</definedName>
    <definedName name="try" hidden="1">{#N/A,#N/A,FALSE,"Cover";#N/A,#N/A,FALSE,"LUMI";#N/A,#N/A,FALSE,"COMD";#N/A,#N/A,FALSE,"Valuation";#N/A,#N/A,FALSE,"Assumptions";#N/A,#N/A,FALSE,"Pooling";#N/A,#N/A,FALSE,"BalanceSheet"}</definedName>
    <definedName name="ttt" hidden="1">{"Teacher",#N/A,FALSE,"Summary";"Teacher",#N/A,FALSE,"Assumptions";"Teacher",#N/A,FALSE,"Buildup";"Teacher",#N/A,FALSE,"Financials";"Teacher",#N/A,FALSE,"Debt &amp; Other"}</definedName>
    <definedName name="tttt" hidden="1">{"Reader",#N/A,FALSE,"Summary";"Reader",#N/A,FALSE,"Buildup";"Reader",#N/A,FALSE,"Financials";"Reader",#N/A,FALSE,"Debt &amp; Other"}</definedName>
    <definedName name="tyrty" hidden="1">{#N/A,#N/A,FALSE,"Cover";#N/A,#N/A,FALSE,"LUMI";#N/A,#N/A,FALSE,"COMD";#N/A,#N/A,FALSE,"Valuation";#N/A,#N/A,FALSE,"Assumptions";#N/A,#N/A,FALSE,"Pooling";#N/A,#N/A,FALSE,"BalanceSheet"}</definedName>
    <definedName name="UNI_FILT_OFFSPEC" hidden="1">2</definedName>
    <definedName name="UNI_FILT_ONSPEC" hidden="1">1</definedName>
    <definedName name="UNI_NOTHING" hidden="1">0</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OUTLIERS" hidden="1">32</definedName>
    <definedName name="UNI_RET_ATTRIB" hidden="1">64</definedName>
    <definedName name="UNI_RET_CONF" hidden="1">32</definedName>
    <definedName name="UNI_RET_DESC" hidden="1">4</definedName>
    <definedName name="UNI_RET_EQUIP" hidden="1">1</definedName>
    <definedName name="UNI_RET_OFFSPEC" hidden="1">512</definedName>
    <definedName name="UNI_RET_ONSPEC" hidden="1">256</definedName>
    <definedName name="UNI_RET_PROP" hidden="1">32</definedName>
    <definedName name="UNI_RET_PROPDESC" hidden="1">64</definedName>
    <definedName name="UNI_RET_SMPLPNT" hidden="1">4</definedName>
    <definedName name="UNI_RET_SPECMAX" hidden="1">2048</definedName>
    <definedName name="UNI_RET_SPECMIN" hidden="1">1024</definedName>
    <definedName name="UNI_RET_TAG" hidden="1">1</definedName>
    <definedName name="UNI_RET_TESTTIME" hidden="1">128</definedName>
    <definedName name="UNI_RET_TIME" hidden="1">8</definedName>
    <definedName name="UNI_RET_UNIT" hidden="1">2</definedName>
    <definedName name="UNI_RET_VALUE" hidden="1">16</definedName>
    <definedName name="uo" hidden="1">{"Variance Q4",#N/A,FALSE,"Var"}</definedName>
    <definedName name="UpdateReason" localSheetId="7">IndexInformation!$B$17</definedName>
    <definedName name="USRegDisclosures" localSheetId="2">ImportantDisclosures!#REF!</definedName>
    <definedName name="VersionNo">1</definedName>
    <definedName name="vv" hidden="1">{"turnover",#N/A,FALSE;"profits",#N/A,FALSE;"cash",#N/A,FALSE}</definedName>
    <definedName name="wacc_olympia">{"Price","YBTVA","LC125/LC126","N","0","0","V"}</definedName>
    <definedName name="wrn.2._.pagers." hidden="1">{"Cover",#N/A,FALSE,"Cover";"Summary",#N/A,FALSE,"Summarpage"}</definedName>
    <definedName name="wrn.2._.pagers.1" hidden="1">{"Cover",#N/A,FALSE,"Cover";"Summary",#N/A,FALSE,"Summarpage"}</definedName>
    <definedName name="wrn.96_model." hidden="1">{"qtr_is_94_95",#N/A,FALSE,"MA";"ann_is_96",#N/A,FALSE,"MA";"seg_sales_96",#N/A,FALSE,"MA";"seg_inc_96",#N/A,FALSE,"MA";"divisional_91_95",#N/A,FALSE,"MA";"ann_bs_96",#N/A,FALSE,"MA";"ann_cf_96",#N/A,FALSE,"MA"}</definedName>
    <definedName name="wrn.Accounts." hidden="1">{"turnover",#N/A,FALSE;"profits",#N/A,FALSE;"cash",#N/A,FALSE}</definedName>
    <definedName name="wrn.All." hidden="1">{"Cons",#N/A,TRUE,"Consolidated";"Australia",#N/A,TRUE,"Australia";"Philippines",#N/A,TRUE,"Philippines";"South Korea",#N/A,TRUE,"Korea";"Indonesia",#N/A,TRUE,"Indonesia";"New Zealand",#N/A,TRUE,"New Zeal.";"Fiji",#N/A,TRUE,"Fiji";"PNG",#N/A,TRUE,"PNG"}</definedName>
    <definedName name="wrn.All._.Pages."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sheets." hidden="1">{#N/A,#N/A,FALSE,"Summary";#N/A,#N/A,FALSE,"Summary - Area";#N/A,#N/A,FALSE,"Centerpulse";#N/A,#N/A,FALSE,"Disetronic";#N/A,#N/A,FALSE,"Fresenius AG";#N/A,#N/A,FALSE,"FMC";#N/A,#N/A,FALSE,"Gambro";#N/A,#N/A,FALSE,"Instrumentarium";#N/A,#N/A,FALSE,"NobelBio";#N/A,#N/A,FALSE,"Phonak";#N/A,#N/A,FALSE,"Smith &amp; Nephew";#N/A,#N/A,FALSE,"Straumann";#N/A,#N/A,FALSE,"Synthes-Stratec";#N/A,#N/A,FALSE,"William Demant";#N/A,#N/A,FALSE,"Capio";#N/A,#N/A,FALSE,"GdS";#N/A,#N/A,FALSE,"Medidep";#N/A,#N/A,FALSE,"ORPEA";#N/A,#N/A,FALSE,"Rhon K";#N/A,#N/A,FALSE,"Disclaimer";#N/A,#N/A,FALSE,"Disclaimer cont"}</definedName>
    <definedName name="wrn.all1" hidden="1">{"P&amp;L",#N/A,TRUE,"HC";"P&amp;L Percents",#N/A,TRUE,"P&amp;L";"M&amp;A3 P&amp;L",#N/A,TRUE,"HC";"M&amp;A3 Pipeline",#N/A,TRUE,"HC";"Franchises",#N/A,TRUE,"HC";"CF&amp;BS",#N/A,TRUE,"HC"}</definedName>
    <definedName name="wrn.allpages." hidden="1">{#N/A,#N/A,TRUE,"Historicals";#N/A,#N/A,TRUE,"Charts";#N/A,#N/A,TRUE,"Forecasts"}</definedName>
    <definedName name="wrn.allpages.1" hidden="1">{#N/A,#N/A,TRUE,"Historicals";#N/A,#N/A,TRUE,"Charts";#N/A,#N/A,TRUE,"Forecasts"}</definedName>
    <definedName name="wrn.Annual._.Operating._.Earnings." hidden="1">{"Annual 1996",#N/A,FALSE,"Ann-Op (Mng)";"Annual 1996",#N/A,FALSE,"Ann-Op (Rep)";"Operating Vs. Reported Earnings",#N/A,FALSE,"Rpt-Op Inc"}</definedName>
    <definedName name="wrn.Annual._.Operating._.Earnings1." hidden="1">{"Annual 1996",#N/A,FALSE,"Ann-Op (Mng)";"Annual 1996",#N/A,FALSE,"Ann-Op (Rep)";"Operating Vs. Reported Earnings",#N/A,FALSE,"Rpt-Op Inc"}</definedName>
    <definedName name="wrn.AUGUST." hidden="1">{"p&amp;lSUM",#N/A,FALSE,"P&amp;L";"DETAIL",#N/A,FALSE,"P&amp;L";"% revenue",#N/A,FALSE,"P&amp;L";"% growth",#N/A,FALSE,"P&amp;L";"summary",#N/A,FALSE,"Summary";"chart",#N/A,FALSE,"Summary"}</definedName>
    <definedName name="wrn.august1" hidden="1">{"p&amp;lSUM",#N/A,FALSE,"P&amp;L";"DETAIL",#N/A,FALSE,"P&amp;L";"% revenue",#N/A,FALSE,"P&amp;L";"% growth",#N/A,FALSE,"P&amp;L";"summary",#N/A,FALSE,"Summary";"chart",#N/A,FALSE,"Summary"}</definedName>
    <definedName name="wrn.Aventis._.Analysis." hidden="1">{"P&amp;Lforaventis",#N/A,FALSE,"Franchises";"aventisP&amp;L",#N/A,FALSE,"Franchises";"inflam franchise",#N/A,FALSE,"Franchises"}</definedName>
    <definedName name="wrn.aventis._.analysis.1" hidden="1">{"P&amp;Lforaventis",#N/A,FALSE,"Franchises";"aventisP&amp;L",#N/A,FALSE,"Franchises";"inflam franchise",#N/A,FALSE,"Franchises"}</definedName>
    <definedName name="wrn.Basic." hidden="1">{#N/A,#N/A,FALSE,"Cover";#N/A,#N/A,FALSE,"Assumptions";#N/A,#N/A,FALSE,"Acquirer";#N/A,#N/A,FALSE,"Target";#N/A,#N/A,FALSE,"Income Statement";#N/A,#N/A,FALSE,"Summary Tables"}</definedName>
    <definedName name="wrn.Brief._.model." hidden="1">{#N/A,#N/A,FALSE,"Valuation";#N/A,#N/A,FALSE,"P&amp;L";#N/A,#N/A,FALSE,"Balance Sheet";#N/A,#N/A,FALSE,"Cash Flow";#N/A,#N/A,FALSE,"Revenue Model"}</definedName>
    <definedName name="wrn.BRL._.WACC." hidden="1">{#N/A,#N/A,FALSE,"Sheet1"}</definedName>
    <definedName name="wrn.c" hidden="1">{"p&amp;lSUM",#N/A,FALSE,"P&amp;L";"DETAIL",#N/A,FALSE,"P&amp;L";"% revenue",#N/A,FALSE,"P&amp;L";"% growth",#N/A,FALSE,"P&amp;L";"summary",#N/A,FALSE,"Summary";"chart",#N/A,FALSE,"Summary"}</definedName>
    <definedName name="wrn.Cash._.Flow." hidden="1">{"Cash Flow",#N/A,FALSE,"Cash Flow"}</definedName>
    <definedName name="wrn.Charts." hidden="1">{"Revenue chart",#N/A,FALSE,"Charts";"ExpenseChart",#N/A,FALSE,"Charts";"Netincomechart",#N/A,FALSE,"Charts"}</definedName>
    <definedName name="wrn.Client._.cfbs." hidden="1">{"client cfbs",#N/A,FALSE,"Client"}</definedName>
    <definedName name="wrn.Client._.is." hidden="1">{"Client is",#N/A,FALSE,"Client"}</definedName>
    <definedName name="wrn.Client._.stats." hidden="1">{"Client stats",#N/A,FALSE,"Client"}</definedName>
    <definedName name="wrn.COMBINED." hidden="1">{#N/A,#N/A,FALSE,"INPUTS";#N/A,#N/A,FALSE,"PROFORMA BSHEET";#N/A,#N/A,FALSE,"COMBINED";#N/A,#N/A,FALSE,"HIGH YIELD";#N/A,#N/A,FALSE,"COMB_GRAPHS"}</definedName>
    <definedName name="wrn.Complete."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_.Report."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wrn.Complete.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Report."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wrn.Consolidated._.Statements." hidden="1">{"view1",#N/A,FALSE,"EARN (US$)";"view1",#N/A,FALSE,"DASTBS (US$)";"view1",#N/A,FALSE,"DASTCF (US$)"}</definedName>
    <definedName name="wrn.Covers." hidden="1">{"view1",#N/A,FALSE,"MOTEARN";"view1",#N/A,FALSE,"Bal Sht";"view1",#N/A,FALSE,"Cash Flows"}</definedName>
    <definedName name="wrn.crom._.4cast." hidden="1">{#N/A,#N/A,TRUE,"TOTAL Roll-up";#N/A,#N/A,TRUE,"Launch timing assumptions"}</definedName>
    <definedName name="wrn.croma._.forecast." hidden="1">{#N/A,#N/A,TRUE,"TOTAL Roll-up";#N/A,#N/A,TRUE,"Launch timing assumptions"}</definedName>
    <definedName name="wrn.CUTS." hidden="1">{"REVENUE1",#N/A,FALSE,"REVPIVOT";"EXP1",#N/A,FALSE,"REVPIVOT";"EXP2",#N/A,FALSE,"REVPIVOT";"EXP4",#N/A,FALSE,"REVPIVOT";"EXP5",#N/A,FALSE,"REVPIVOT";"PIPELINE1",#N/A,FALSE,"REVPIVOT";"PIPELINE3",#N/A,FALSE,"REVPIVOT";"PIPELINE4",#N/A,FALSE,"REVPIVOT";"hc1",#N/A,FALSE,"REVPIVOT";"hc2",#N/A,FALSE,"REVPIVOT";"HC3",#N/A,FALSE,"REVPIVOT"}</definedName>
    <definedName name="wrn.detail." hidden="1">{"sales1",#N/A,FALSE,"CPB";"sales2",#N/A,FALSE,"CPB";"sales3",#N/A,FALSE,"CPB";"margin1",#N/A,FALSE,"CPB";"margins2",#N/A,FALSE,"CPB";"soupmodel",#N/A,FALSE,"CPB"}</definedName>
    <definedName name="wrn.financials." hidden="1">{"income",#N/A,FALSE,"CPB";"income2",#N/A,FALSE,"CPB";"cashflow",#N/A,FALSE,"CPB";"balances",#N/A,FALSE,"CPB";"ratios",#N/A,FALSE,"CPB";"expenses",#N/A,FALSE,"CPB";"sourcesanduses",#N/A,FALSE,"CPB"}</definedName>
    <definedName name="wrn.FISV._.5._.year._.model." hidden="1">{"Assns Fax",#N/A,FALSE,"Assumptions";"Financial View",#N/A,FALSE,"Earnings";"DCF View",#N/A,FALSE,"Earnings";"Sensitivity",#N/A,FALSE,"DCF"}</definedName>
    <definedName name="wrn.Forecast._.Q1." hidden="1">{"cover a","1q",FALSE,"Cover";"Op Earn Mgd Q1",#N/A,FALSE,"Op-Earn (Mng)";"Op Earn Rpt Q1",#N/A,FALSE,"Op-Earn (Rpt)";"Loans",#N/A,FALSE,"Loans";"Credit Costs",#N/A,FALSE,"CCosts";"Net Interest Margin",#N/A,FALSE,"Margin";"Nonint Income",#N/A,FALSE,"NonII";"Nonint Exp",#N/A,FALSE,"NonIE";"Valuation",#N/A,FALSE,"Valuation"}</definedName>
    <definedName name="wrn.Forecast._.Q2." hidden="1">{"cover a","2q",FALSE,"Cover";"Op Earn Mgd Q2",#N/A,FALSE,"Op-Earn (Mng)";"Op Earn Rpt Q2",#N/A,FALSE,"Op-Earn (Rpt)";"Loans",#N/A,FALSE,"Loans";"Credit Costs",#N/A,FALSE,"CCosts";"Net Interest Margin",#N/A,FALSE,"Margin";"Nonint Income",#N/A,FALSE,"NonII";"Nonint Exp",#N/A,FALSE,"NonIE";"Valuation",#N/A,FALSE,"Valuation"}</definedName>
    <definedName name="wrn.Forecast._.Q2a." hidden="1">{"cover a","2q",FALSE,"Cover";"Op Earn Mgd Q2",#N/A,FALSE,"Op-Earn (Mng)";"Op Earn Rpt Q2",#N/A,FALSE,"Op-Earn (Rpt)";"Loans",#N/A,FALSE,"Loans";"Credit Costs",#N/A,FALSE,"CCosts";"Net Interest Margin",#N/A,FALSE,"Margin";"Nonint Income",#N/A,FALSE,"NonII";"Nonint Exp",#N/A,FALSE,"NonIE";"Valuation",#N/A,FALSE,"Valuation"}</definedName>
    <definedName name="wrn.Forecast._.Q3." hidden="1">{"cover a","3q",FALSE,"Cover";"Op Earn Mgd Q3",#N/A,FALSE,"Op-Earn (Mng)";"Op Earn Rpt Q3",#N/A,FALSE,"Op-Earn (Rpt)";"Loans",#N/A,FALSE,"Loans";"Credit Costs",#N/A,FALSE,"CCosts";"Net Interest Margin",#N/A,FALSE,"Margin";"Nonint Income",#N/A,FALSE,"NonII";"Nonint Exp",#N/A,FALSE,"NonIE";"Valuation",#N/A,FALSE,"Valuation"}</definedName>
    <definedName name="wrn.Forecast._.Q4." hidden="1">{"cover a","4q",FALSE,"Cover";"Op Earn Mgd Q4",#N/A,FALSE,"Op-Earn (Mng)";"Op Earn Rpt Q4",#N/A,FALSE,"Op-Earn (Rpt)";"Loans",#N/A,FALSE,"Loans";"Credit Costs",#N/A,FALSE,"CCosts";"Net Interest Margin",#N/A,FALSE,"Margin";"Nonint Income",#N/A,FALSE,"NonII";"Nonint Exp",#N/A,FALSE,"NonIE";"Valuation",#N/A,FALSE,"Valuation"}</definedName>
    <definedName name="wrn.Forecast._.Q4a" hidden="1">{"cover a","4q",FALSE,"Cover";"Op Earn Mgd Q4",#N/A,FALSE,"Op-Earn (Mng)";"Op Earn Rpt Q4",#N/A,FALSE,"Op-Earn (Rpt)";"Loans",#N/A,FALSE,"Loans";"Credit Costs",#N/A,FALSE,"CCosts";"Net Interest Margin",#N/A,FALSE,"Margin";"Nonint Income",#N/A,FALSE,"NonII";"Nonint Exp",#N/A,FALSE,"NonIE";"Valuation",#N/A,FALSE,"Valuation"}</definedName>
    <definedName name="wrn.Fresenius._.model." hidden="1">{#N/A,#N/A,TRUE,"Valuation";#N/A,#N/A,TRUE,"Comps";#N/A,#N/A,TRUE,"P&amp;L";#N/A,#N/A,TRUE,"Cash Flow";#N/A,#N/A,TRUE,"Balance Sheet";#N/A,#N/A,TRUE,"Sales";#N/A,#N/A,TRUE,"Services";#N/A,#N/A,TRUE,"Products";#N/A,#N/A,TRUE,"EBIT analysis";#N/A,#N/A,TRUE,"Debt";#N/A,#N/A,TRUE,"RI"}</definedName>
    <definedName name="wrn.Full._.Financials." hidden="1">{#N/A,#N/A,TRUE,"Financials";#N/A,#N/A,TRUE,"Operating Statistics";#N/A,#N/A,TRUE,"Capex &amp; Depreciation";#N/A,#N/A,TRUE,"Debt"}</definedName>
    <definedName name="wrn.Full._.model." hidden="1">{#N/A,#N/A,FALSE,"Valuation";#N/A,#N/A,FALSE,"P&amp;L";#N/A,#N/A,FALSE,"Balance Sheet";#N/A,#N/A,FALSE,"Cash Flow";#N/A,#N/A,FALSE,"Revenue Model";#N/A,#N/A,FALSE,"Consumables";#N/A,#N/A,FALSE,"Instruments";#N/A,#N/A,FALSE,"Genomics";#N/A,#N/A,FALSE,"PreAnalytix JV";#N/A,#N/A,FALSE,"DCF Valuation"}</definedName>
    <definedName name="wrn.Full._.Report." hidden="1">{#N/A,#N/A,FALSE,"COVER";#N/A,#N/A,FALSE,"VALUATION";#N/A,#N/A,FALSE,"FORECAST";#N/A,#N/A,FALSE,"FY ANALYSIS ";#N/A,#N/A,FALSE," HY ANALYSIS"}</definedName>
    <definedName name="wrn.FUZ_REP." hidden="1">{"FUZ_INC_A",#N/A,FALSE,"NOBE";"FUZ_INC_Q",#N/A,FALSE,"NOBE";"FUZ_BAL_A",#N/A,FALSE,"NOBE";"FUZ_CASH_A",#N/A,FALSE,"NOBE";"FUZ_PROD_A",#N/A,FALSE,"NOBE"}</definedName>
    <definedName name="wrn.GRAPHS." hidden="1">{#N/A,#N/A,FALSE,"ACQ_GRAPHS";#N/A,#N/A,FALSE,"T_1 GRAPHS";#N/A,#N/A,FALSE,"T_2 GRAPHS";#N/A,#N/A,FALSE,"COMB_GRAPHS"}</definedName>
    <definedName name="wrn.Income._.Stmt." hidden="1">{"Income Stmt",#N/A,FALSE,"Model"}</definedName>
    <definedName name="wrn.Industry.xls." hidden="1">{#N/A,#N/A,FALSE,"Earnings";#N/A,#N/A,FALSE,"Overview";#N/A,#N/A,FALSE,"Summary";#N/A,#N/A,FALSE,"Summary II";#N/A,#N/A,FALSE,"R&amp;D";#N/A,#N/A,FALSE,"R&amp;D Forecast";#N/A,#N/A,FALSE,"Tax Adj";#N/A,#N/A,FALSE,"Goodwill";#N/A,#N/A,FALSE,"FX ";#N/A,#N/A,FALSE,"Consolidation";#N/A,#N/A,FALSE,"Provisions"}</definedName>
    <definedName name="wrn.Industry.xls.1" hidden="1">{#N/A,#N/A,FALSE,"Earnings";#N/A,#N/A,FALSE,"Overview";#N/A,#N/A,FALSE,"Summary";#N/A,#N/A,FALSE,"Summary II";#N/A,#N/A,FALSE,"R&amp;D";#N/A,#N/A,FALSE,"R&amp;D Forecast";#N/A,#N/A,FALSE,"Tax Adj";#N/A,#N/A,FALSE,"Goodwill";#N/A,#N/A,FALSE,"FX ";#N/A,#N/A,FALSE,"Consolidation";#N/A,#N/A,FALSE,"Provisions"}</definedName>
    <definedName name="wrn.Internal._.is." hidden="1">{"Internal is",#N/A,FALSE,"Model"}</definedName>
    <definedName name="wrn.IPO._.Valuation." hidden="1">{"assumptions",#N/A,FALSE,"Scenario 1";"valuation",#N/A,FALSE,"Scenario 1"}</definedName>
    <definedName name="wrn.LBO._.Summary." hidden="1">{"LBO Summary",#N/A,FALSE,"Summary"}</definedName>
    <definedName name="wrn.Leases.xls." hidden="1">{#N/A,#N/A,FALSE,"Initial Year";#N/A,#N/A,FALSE,"Historical";#N/A,#N/A,FALSE,"balsheet";#N/A,#N/A,FALSE,"incstate";#N/A,#N/A,FALSE,"Fleet"}</definedName>
    <definedName name="wrn.Leases.xls.1" hidden="1">{#N/A,#N/A,FALSE,"Initial Year";#N/A,#N/A,FALSE,"Historical";#N/A,#N/A,FALSE,"balsheet";#N/A,#N/A,FALSE,"incstate";#N/A,#N/A,FALSE,"Fleet"}</definedName>
    <definedName name="wrn.MOBIL." hidden="1">{"quarter",#N/A,FALSE,"MOB"}</definedName>
    <definedName name="wrn.MOBIL.1" hidden="1">{"quarter",#N/A,FALSE,"MOB"}</definedName>
    <definedName name="wrn.Model." hidden="1">{#N/A,#N/A,FALSE,"Cover";#N/A,#N/A,FALSE,"LUMI";#N/A,#N/A,FALSE,"COMD";#N/A,#N/A,FALSE,"Valuation";#N/A,#N/A,FALSE,"Assumptions";#N/A,#N/A,FALSE,"Pooling";#N/A,#N/A,FALSE,"BalanceSheet"}</definedName>
    <definedName name="wrn.NEW." hidden="1">{"Total P&amp;L",#N/A,FALSE,"P&amp;LTECH";"SUMPIPELINE",#N/A,FALSE,"P&amp;LTECH";"REVENUE",#N/A,FALSE,"P&amp;LTECH";"r&amp;d",#N/A,FALSE,"P&amp;LTECH"}</definedName>
    <definedName name="wrn.NOVARTIS._.MODELS." hidden="1">{"QTRINC",#N/A,FALSE,"US FORMAT - P&amp;L";"MARGIN",#N/A,FALSE,"US FORMAT-MARGIN";"SALES1",#N/A,FALSE,"US FORMAT - SALES";"SALES2",#N/A,FALSE,"US FORMAT - SALES";"SALES3",#N/A,FALSE,"US FORMAT - SALES";"SALES4",#N/A,FALSE,"US FORMAT - SALES";"SALES5",#N/A,FALSE,"US FORMAT - SALES"}</definedName>
    <definedName name="wrn.One._.Pager._.plus._.Technicals." hidden="1">{#N/A,#N/A,FALSE,"One Pager";#N/A,#N/A,FALSE,"Technical"}</definedName>
    <definedName name="wrn.Portrait._.IS." hidden="1">{"Portrait letter is",#N/A,FALSE,"Model"}</definedName>
    <definedName name="wrn.Portrait._.letter._.is." hidden="1">{"Portrait letter is",#N/A,FALSE,"Model"}</definedName>
    <definedName name="wrn.Print." hidden="1">{"vi1",#N/A,FALSE,"Financial Statements";"vi2",#N/A,FALSE,"Financial Statements";#N/A,#N/A,FALSE,"DCF"}</definedName>
    <definedName name="wrn.Print._.24." hidden="1">{#N/A,#N/A,FALSE,"Index";"Stmts_Qtrs",#N/A,FALSE,"Summary";"Stmts_24 mo",#N/A,FALSE,"Summary";"Summary_24",#N/A,FALSE,"Revenue";"Month_24",#N/A,FALSE,"Engineering";"Month_24",#N/A,FALSE,"Marketing";"Month_24",#N/A,FALSE,"G &amp; A";"Month_24",#N/A,FALSE,"Manufacturing"}</definedName>
    <definedName name="wrn.Print._.All._.Pages." hidden="1">{"LBO Summary",#N/A,FALSE,"Summary";"Income Statement",#N/A,FALSE,"Model";"Cash Flow",#N/A,FALSE,"Model";"Balance Sheet",#N/A,FALSE,"Model";"Working Capital",#N/A,FALSE,"Model";"Pro Forma Balance Sheets",#N/A,FALSE,"PFBS";"Debt Balances",#N/A,FALSE,"Model";"Fee Schedules",#N/A,FALSE,"Model"}</definedName>
    <definedName name="wrn.PRINT._.FULL." hidden="1">{#N/A,#N/A,FALSE,"face";#N/A,#N/A,FALSE,"RETURN SUMMARY ";#N/A,#N/A,FALSE,"return RS";#N/A,#N/A,FALSE,"return US$";#N/A,#N/A,FALSE,"Key Ratio";#N/A,#N/A,FALSE,"input";#N/A,#N/A,FALSE,"fnplan";#N/A,#N/A,FALSE,"RsKW";#N/A,#N/A,FALSE,"RsKW value";#N/A,#N/A,FALSE,"gen&amp;fuel";#N/A,#N/A,FALSE,"O&amp;M+admin";#N/A,#N/A,FALSE,"dep_rskw";#N/A,#N/A,FALSE,"wc_tariff";#N/A,#N/A,FALSE,"tax-tarif1";#N/A,#N/A,FALSE,"ROE";#N/A,#N/A,FALSE,"P&amp;L";#N/A,#N/A,FALSE,"fund";#N/A,#N/A,FALSE,"B.S.";#N/A,#N/A,FALSE,"wc-P&amp;L";#N/A,#N/A,FALSE,"tax-P&amp;L";#N/A,#N/A,FALSE,"dep-p&amp;l";#N/A,#N/A,FALSE,"Project Cost P&amp;L";#N/A,#N/A,FALSE,"IDCa";#N/A,#N/A,FALSE,"TN_PCOST";#N/A,#N/A,FALSE,"Local Debt in $ CEA";#N/A,#N/A,FALSE,"Debt Service"}</definedName>
    <definedName name="wrn.Print_model." hidden="1">{"toc",#N/A,TRUE,"TOC";"summary",#N/A,TRUE,"Summary";"credit_stats",#N/A,TRUE,"South Operating";"capital_structure",#N/A,TRUE,"Cap Structure";"income",#N/A,TRUE,"South Operating";"Margins_growth",#N/A,TRUE,"South Operating";"dep_amort_capx",#N/A,TRUE,"South Operating";"balance",#N/A,TRUE,"South Operating";"Balance_acq",#N/A,TRUE,"South Operating";"cash",#N/A,TRUE,"South Operating";"capitalization",#N/A,TRUE,"South Operating";"tax",#N/A,TRUE,"South Operating";"returns",#N/A,TRUE,"Returns";"return_calc",#N/A,TRUE,"Returns";"dep_tax",#N/A,TRUE,"South Operating";"dep_book",#N/A,TRUE,"South Operating";"fees",#N/A,TRUE,"Expenses";"tax_benefits",#N/A,TRUE,"Tax Benefits";"scenarios",#N/A,TRUE,"Operating Scenarios"}</definedName>
    <definedName name="wrn.printall." hidden="1">{"printall",#N/A,FALSE,"BAIRNUMB"}</definedName>
    <definedName name="wrn.Pulp." hidden="1">{"Pulp Production",#N/A,FALSE,"Pulp";"Pulp Earnings",#N/A,FALSE,"Pulp"}</definedName>
    <definedName name="wrn.Pulp.1" hidden="1">{"Pulp Production",#N/A,FALSE,"Pulp";"Pulp Earnings",#N/A,FALSE,"Pulp"}</definedName>
    <definedName name="wrn.qrt95." hidden="1">{"qrt95",#N/A,FALSE,"BAIRNUMB"}</definedName>
    <definedName name="wrn.Qtr._.Op._.Q1." hidden="1">{"Qtr Op Mgd Q1",#N/A,FALSE,"Qtr-Op (Mng)";"Qtr Op Rpt Q1",#N/A,FALSE,"Qtr-Op (Rpt)";"Operating Vs Reported",#N/A,FALSE,"Rpt-Op Inc"}</definedName>
    <definedName name="wrn.Qtr._.Op._.Q2." hidden="1">{"Qtr Op Mgd Q2",#N/A,FALSE,"Qtr-Op (Mng)";"Qtr Op Rpt Q2",#N/A,FALSE,"Qtr-Op (Rpt)";"Operating Vs Reported",#N/A,FALSE,"Rpt-Op Inc"}</definedName>
    <definedName name="wrn.Qtr._.Op._.Q3." hidden="1">{"Qtr Op Mgd Q3",#N/A,FALSE,"Qtr-Op (Mng)";"Qtr Op Rpt Q3",#N/A,FALSE,"Qtr-Op (Rpt)";"Operating Vs Reported",#N/A,FALSE,"Rpt-Op Inc"}</definedName>
    <definedName name="wrn.Qtr._.Op._.Q4." hidden="1">{"Qtr Op Mgd Q3",#N/A,FALSE,"Qtr-Op (Mng)";"Qtr Op Rpt Q4",#N/A,FALSE,"Qtr-Op (Rpt)";"Operating Vs Reported",#N/A,FALSE,"Rpt-Op Inc"}</definedName>
    <definedName name="wrn.Qtr._.Op._Q2a." hidden="1">{"Qtr Op Mgd Q2",#N/A,FALSE,"Qtr-Op (Mng)";"Qtr Op Rpt Q2",#N/A,FALSE,"Qtr-Op (Rpt)";"Operating Vs Reported",#N/A,FALSE,"Rpt-Op Inc"}</definedName>
    <definedName name="wrn.Qtr_.Op._.Q4." hidden="1">{"Qtr Op Mgd Q3",#N/A,FALSE,"Qtr-Op (Mng)";"Qtr Op Rpt Q4",#N/A,FALSE,"Qtr-Op (Rpt)";"Operating Vs Reported",#N/A,FALSE,"Rpt-Op Inc"}</definedName>
    <definedName name="wrn.quarterly." hidden="1">{"quarterly",#N/A,FALSE,"BAIRNUMB"}</definedName>
    <definedName name="wrn.Quarterly._.Analysis." hidden="1">{"Quarterly Analysis",#N/A,FALSE,"Income"}</definedName>
    <definedName name="wrn.Quarterly._.Model." hidden="1">{"Quarterly Model",#N/A,FALSE,"Income"}</definedName>
    <definedName name="wrn.Reader." hidden="1">{"Reader",#N/A,FALSE,"Summary";"Reader",#N/A,FALSE,"Buildup";"Reader",#N/A,FALSE,"Financials";"Reader",#N/A,FALSE,"Debt &amp; Other"}</definedName>
    <definedName name="wrn.Report." hidden="1">{#N/A,#N/A,FALSE,"COVER";#N/A,#N/A,FALSE,"FORECAST";#N/A,#N/A,FALSE,"VALUATION";#N/A,#N/A,FALSE,"FY ANALYSIS ";#N/A,#N/A,FALSE," HY ANALYSIS"}</definedName>
    <definedName name="wrn.Reports2." hidden="1">{"NI2",#N/A,FALSE,"Sum - Exp";"Revenue2",#N/A,FALSE,"Sum - Exp";"Headcount2",#N/A,FALSE,"Sum - Exp";"Pipeline2",#N/A,FALSE,"Sum - Exp";"expenses",#N/A,FALSE,"Sum - Exp"}</definedName>
    <definedName name="wrn.Segments." hidden="1">{"view1",#N/A,FALSE,"Consolidated";"view2",#N/A,FALSE,"Consolidated (sum)";"view1",#N/A,FALSE,"Gen Sys";"view1",#N/A,FALSE,"Semicon";"view1",#N/A,FALSE,"Mess|Med";"view1",#N/A,FALSE,"Land Mob";"view1",#N/A,FALSE,"Other Prod";"view1",#N/A,FALSE,"Adj|Elim"}</definedName>
    <definedName name="wrn.Sensitivity._.Analysis." hidden="1">{"Sensitivity Tables",#N/A,FALSE,"DCF"}</definedName>
    <definedName name="wrn.standard." hidden="1">{"standard",#N/A,FALSE,"KLMNUMB"}</definedName>
    <definedName name="wrn.Standard._.Reports." hidden="1">{#N/A,#N/A,FALSE,"Books";#N/A,#N/A,FALSE,"Barge";#N/A,#N/A,FALSE,"Insurance";#N/A,#N/A,FALSE,"Consolidated"}</definedName>
    <definedName name="wrn.Statements." hidden="1">{"Co1statements",#N/A,FALSE,"Cmpy1";"Co2statement",#N/A,FALSE,"Cmpy2";"co1pm",#N/A,FALSE,"Co1PM";"co2PM",#N/A,FALSE,"Co2PM";"value",#N/A,FALSE,"value";"opco",#N/A,FALSE,"NewSparkle";"adjusts",#N/A,FALSE,"Adjustments"}</definedName>
    <definedName name="wrn.Summaries." hidden="1">{#N/A,#N/A,FALSE,"Summary";#N/A,#N/A,FALSE,"Summary - Area"}</definedName>
    <definedName name="wrn.summary." hidden="1">{#N/A,#N/A,FALSE,"A"}</definedName>
    <definedName name="wrn.Tables." hidden="1">{"view1",#N/A,FALSE,"Tables";"view2",#N/A,FALSE,"Tables";"view3",#N/A,FALSE,"Tables"}</definedName>
    <definedName name="wrn.Tariff._.working." hidden="1">{#N/A,#N/A,TRUE,"input";#N/A,#N/A,TRUE,"fnplan";#N/A,#N/A,TRUE,"Key Ratio";#N/A,#N/A,TRUE,"Gen_BrkDn";#N/A,#N/A,TRUE,"RsKW";#N/A,#N/A,TRUE,"gen&amp;fuel";#N/A,#N/A,TRUE,"fuel_price";#N/A,#N/A,TRUE,"O&amp;M+admin";#N/A,#N/A,TRUE,"int(GB-debt)";#N/A,#N/A,TRUE,"dep_rskw";#N/A,#N/A,TRUE,"wc_tariff";#N/A,#N/A,TRUE,"tax-tarif1";#N/A,#N/A,TRUE,"ROE";#N/A,#N/A,TRUE,"TN_PCOST";#N/A,#N/A,TRUE,"fincost-tec";#N/A,#N/A,TRUE,"IDCa";#N/A,#N/A,TRUE,"fcloan(G)";#N/A,#N/A,TRUE,"fcloan(NO-G) ";#N/A,#N/A,TRUE,"Local Debt in $";#N/A,#N/A,TRUE,"Rsloan -CEA";#N/A,#N/A,TRUE,"SHL1 in $";#N/A,#N/A,TRUE,"SHL-1-INRs"}</definedName>
    <definedName name="wrn.Teacher." hidden="1">{"Teacher",#N/A,FALSE,"Summary";"Teacher",#N/A,FALSE,"Assumptions";"Teacher",#N/A,FALSE,"Buildup";"Teacher",#N/A,FALSE,"Financials";"Teacher",#N/A,FALSE,"Debt &amp; Other"}</definedName>
    <definedName name="wrn.VALUATION." hidden="1">{#N/A,#N/A,FALSE,"Valuation Assumptions";#N/A,#N/A,FALSE,"Summary";#N/A,#N/A,FALSE,"DCF";#N/A,#N/A,FALSE,"Valuation";#N/A,#N/A,FALSE,"WACC";#N/A,#N/A,FALSE,"UBVH";#N/A,#N/A,FALSE,"Free Cash Flow"}</definedName>
    <definedName name="wrn.Variance._.3." hidden="1">{"Variance Q3",#N/A,FALSE,"Var"}</definedName>
    <definedName name="wrn.Variance._.Q1." hidden="1">{"Variance Q1",#N/A,FALSE,"Var"}</definedName>
    <definedName name="wrn.Variance._.Q2." hidden="1">{"Variance Q2",#N/A,FALSE,"Var"}</definedName>
    <definedName name="wrn.Variance._.Q3." hidden="1">{"Variance Q3",#N/A,FALSE,"Var"}</definedName>
    <definedName name="wrn.Variance._.Q4" hidden="1">{"Variance Q4",#N/A,FALSE,"Var"}</definedName>
    <definedName name="wrn.Variance._.Q4." hidden="1">{"Variance Q4",#N/A,FALSE,"Var"}</definedName>
    <definedName name="wrn.weekly." hidden="1">{#N/A,#N/A,TRUE,"Comps";#N/A,#N/A,TRUE,"Notes";#N/A,#N/A,TRUE,"Trend Analysis 97";#N/A,#N/A,TRUE,"Trend Analysis 98"}</definedName>
    <definedName name="wvu.cash." hidden="1">{TRUE,TRUE,-1.25,-15.5,456.75,279.75,FALSE,FALSE,TRUE,TRUE,0,1,18,1,199,6,3,4,TRUE,TRUE,3,TRUE,1,TRUE,100,"Swvu.cash.","ACwvu.cash.",1,FALSE,FALSE,0.511811023622047,0.511811023622047,0.511811023622047,0.511811023622047,1,"","",FALSE,FALSE,FALSE,FALSE,1,#N/A,1,1,#DIV/0!,FALSE,"Rwvu.cash.",#N/A,FALSE,FALSE}</definedName>
    <definedName name="wvu.profits." hidden="1">{TRUE,TRUE,-1.25,-15.5,456.75,279.75,FALSE,FALSE,TRUE,TRUE,0,1,21,1,127,6,3,4,TRUE,TRUE,3,TRUE,1,TRUE,100,"Swvu.profits.","ACwvu.profits.",1,FALSE,FALSE,0.511811023622047,0.511811023622047,0.511811023622047,0.511811023622047,1,"","",FALSE,FALSE,FALSE,FALSE,1,#N/A,1,1,#DIV/0!,FALSE,"Rwvu.profits.",#N/A,FALSE,FALSE}</definedName>
    <definedName name="wvu.turnover." hidden="1">{TRUE,TRUE,-1.25,-15.5,456.75,279.75,FALSE,FALSE,TRUE,TRUE,0,1,8,1,4,6,3,4,TRUE,TRUE,3,TRUE,1,TRUE,100,"Swvu.turnover.","ACwvu.turnover.",1,FALSE,FALSE,0.511811023622047,0.511811023622047,0.511811023622047,0.511811023622047,1,"","",FALSE,FALSE,FALSE,FALSE,1,#N/A,1,1,#DIV/0!,FALSE,"Rwvu.turnover.",#N/A,FALSE,FALSE}</definedName>
    <definedName name="x" hidden="1">{"view1",#N/A,FALSE,"EARN (US$)";"view1",#N/A,FALSE,"DASTBS (US$)";"view1",#N/A,FALSE,"DASTCF (US$)"}</definedName>
    <definedName name="yeah" hidden="1">{"Quarterly Analysis",#N/A,FALSE,"Income"}</definedName>
    <definedName name="YearQtr_title">#N/A</definedName>
    <definedName name="years">5</definedName>
    <definedName name="yrgj" hidden="1">{#N/A,#N/A,TRUE,"Comps";#N/A,#N/A,TRUE,"Notes";#N/A,#N/A,TRUE,"Trend Analysis 97";#N/A,#N/A,TRUE,"Trend Analysis 98"}</definedName>
  </definedNames>
  <calcPr calcId="145621" calcMode="autoNoTable" calcOnSave="0"/>
</workbook>
</file>

<file path=xl/calcChain.xml><?xml version="1.0" encoding="utf-8"?>
<calcChain xmlns="http://schemas.openxmlformats.org/spreadsheetml/2006/main">
  <c r="DE454" i="515" l="1"/>
  <c r="U229" i="515" l="1"/>
  <c r="U217" i="515"/>
  <c r="DF222" i="515"/>
  <c r="U20" i="515" l="1"/>
  <c r="T264" i="515"/>
  <c r="DG264" i="515"/>
  <c r="DF287" i="515"/>
  <c r="T47" i="515"/>
  <c r="W486" i="515"/>
  <c r="V486" i="515"/>
  <c r="U489" i="515"/>
  <c r="DE447" i="515" l="1"/>
  <c r="V305" i="515"/>
  <c r="W305" i="515" s="1"/>
  <c r="DE149" i="515" l="1"/>
  <c r="DE127" i="515"/>
  <c r="DE27" i="515"/>
  <c r="DE33" i="515"/>
  <c r="DE264" i="515"/>
  <c r="DD258" i="515" l="1"/>
  <c r="T458" i="515"/>
  <c r="T446" i="515"/>
  <c r="T447" i="515" s="1"/>
  <c r="T404" i="515"/>
  <c r="T385" i="515"/>
  <c r="T343" i="515"/>
  <c r="T296" i="515"/>
  <c r="T263" i="515" s="1"/>
  <c r="T291" i="515"/>
  <c r="T177" i="515"/>
  <c r="T176" i="515"/>
  <c r="T175" i="515"/>
  <c r="T172" i="515"/>
  <c r="T153" i="515"/>
  <c r="T152" i="515"/>
  <c r="T151" i="515"/>
  <c r="T411" i="515" s="1"/>
  <c r="T148" i="515"/>
  <c r="T131" i="515"/>
  <c r="T130" i="515"/>
  <c r="T129" i="515"/>
  <c r="T409" i="515" s="1"/>
  <c r="T412" i="515" s="1"/>
  <c r="T32" i="515"/>
  <c r="T27" i="515"/>
  <c r="T26" i="515"/>
  <c r="DE102" i="515"/>
  <c r="DE96" i="515"/>
  <c r="DE458" i="515"/>
  <c r="DE456" i="515"/>
  <c r="DE457" i="515" s="1"/>
  <c r="DE441" i="515"/>
  <c r="DE438" i="515"/>
  <c r="DE437" i="515"/>
  <c r="DE434" i="515"/>
  <c r="DE424" i="515"/>
  <c r="DE411" i="515"/>
  <c r="DE409" i="515"/>
  <c r="DE404" i="515"/>
  <c r="DE401" i="515"/>
  <c r="DE396" i="515"/>
  <c r="DE397" i="515" s="1"/>
  <c r="DE394" i="515"/>
  <c r="DE392" i="515"/>
  <c r="DE380" i="515"/>
  <c r="DE338" i="515"/>
  <c r="DE300" i="515"/>
  <c r="DE299" i="515"/>
  <c r="DE297" i="515" s="1"/>
  <c r="DE295" i="515"/>
  <c r="DE228" i="515"/>
  <c r="DE226" i="515"/>
  <c r="DE225" i="515"/>
  <c r="DE222" i="515"/>
  <c r="DE173" i="515"/>
  <c r="DE174" i="515" s="1"/>
  <c r="DE165" i="515"/>
  <c r="DE247" i="515" s="1"/>
  <c r="DE164" i="515"/>
  <c r="DE439" i="515" s="1"/>
  <c r="DE163" i="515"/>
  <c r="DE245" i="515" s="1"/>
  <c r="DE150" i="515" l="1"/>
  <c r="DE347" i="515" s="1"/>
  <c r="DE161" i="515"/>
  <c r="DE440" i="515"/>
  <c r="T164" i="515"/>
  <c r="T246" i="515" s="1"/>
  <c r="DE412" i="515"/>
  <c r="DE128" i="515"/>
  <c r="DE398" i="515"/>
  <c r="DE399" i="515" s="1"/>
  <c r="DE442" i="515"/>
  <c r="T127" i="515"/>
  <c r="T267" i="515" s="1"/>
  <c r="T275" i="515" s="1"/>
  <c r="DE246" i="515"/>
  <c r="T149" i="515"/>
  <c r="T268" i="515" s="1"/>
  <c r="T276" i="515" s="1"/>
  <c r="DE352" i="515"/>
  <c r="DE360" i="515"/>
  <c r="DE367" i="515" s="1"/>
  <c r="T424" i="515"/>
  <c r="DE269" i="515" l="1"/>
  <c r="DE277" i="515" s="1"/>
  <c r="DE243" i="515"/>
  <c r="DE356" i="515"/>
  <c r="DE363" i="515" s="1"/>
  <c r="DE346" i="515"/>
  <c r="DE348" i="515" s="1"/>
  <c r="DE350" i="515" s="1"/>
  <c r="DE162" i="515"/>
  <c r="DE357" i="515" s="1"/>
  <c r="DE364" i="515" s="1"/>
  <c r="S479" i="515"/>
  <c r="DH38" i="515"/>
  <c r="DG38" i="515"/>
  <c r="DF38" i="515"/>
  <c r="DF446" i="515"/>
  <c r="DG446" i="515" s="1"/>
  <c r="DH446" i="515" s="1"/>
  <c r="DH287" i="515"/>
  <c r="DG287" i="515"/>
  <c r="DH177" i="515"/>
  <c r="DG177" i="515"/>
  <c r="DF177" i="515"/>
  <c r="DE358" i="515" l="1"/>
  <c r="DE244" i="515"/>
  <c r="DE160" i="515"/>
  <c r="DE353" i="515"/>
  <c r="DE365" i="515" l="1"/>
  <c r="DE359" i="515"/>
  <c r="DE366" i="515" s="1"/>
  <c r="DE242" i="515"/>
  <c r="V38" i="515"/>
  <c r="W38" i="515" s="1"/>
  <c r="X38" i="515" s="1"/>
  <c r="Y38" i="515" s="1"/>
  <c r="Z38" i="515" s="1"/>
  <c r="AA38" i="515" s="1"/>
  <c r="AB38" i="515" s="1"/>
  <c r="DE368" i="515" l="1"/>
  <c r="DF27" i="515"/>
  <c r="DH27" i="515"/>
  <c r="DG27" i="515"/>
  <c r="DD454" i="515"/>
  <c r="BA13" i="515" l="1"/>
  <c r="X177" i="515" l="1"/>
  <c r="Y177" i="515" s="1"/>
  <c r="Z177" i="515" s="1"/>
  <c r="AA177" i="515" s="1"/>
  <c r="AB177" i="515" s="1"/>
  <c r="DD173" i="515"/>
  <c r="DD264" i="515" l="1"/>
  <c r="DC33" i="515"/>
  <c r="DD33" i="515" l="1"/>
  <c r="DD96" i="515" l="1"/>
  <c r="DD458" i="515"/>
  <c r="DD456" i="515"/>
  <c r="DD441" i="515"/>
  <c r="DD438" i="515"/>
  <c r="DD437" i="515"/>
  <c r="DD434" i="515"/>
  <c r="DD424" i="515"/>
  <c r="DD411" i="515"/>
  <c r="DD409" i="515"/>
  <c r="DD404" i="515"/>
  <c r="DD401" i="515"/>
  <c r="DD396" i="515"/>
  <c r="DD398" i="515" s="1"/>
  <c r="DD399" i="515" s="1"/>
  <c r="DD394" i="515"/>
  <c r="DD392" i="515"/>
  <c r="DD386" i="515"/>
  <c r="DD380" i="515"/>
  <c r="DD344" i="515"/>
  <c r="DD338" i="515"/>
  <c r="DD318" i="515"/>
  <c r="DD316" i="515"/>
  <c r="DD305" i="515"/>
  <c r="DD300" i="515"/>
  <c r="DD299" i="515"/>
  <c r="DD297" i="515" s="1"/>
  <c r="DD229" i="515"/>
  <c r="DD228" i="515"/>
  <c r="DD226" i="515"/>
  <c r="DD225" i="515"/>
  <c r="DD222" i="515"/>
  <c r="DD174" i="515"/>
  <c r="DD165" i="515"/>
  <c r="DD247" i="515" s="1"/>
  <c r="DD164" i="515"/>
  <c r="DD439" i="515" s="1"/>
  <c r="DD163" i="515"/>
  <c r="DD245" i="515" s="1"/>
  <c r="DD150" i="515"/>
  <c r="DD128" i="515"/>
  <c r="DD347" i="515" l="1"/>
  <c r="DD412" i="515"/>
  <c r="DD457" i="515"/>
  <c r="DD440" i="515"/>
  <c r="DD246" i="515"/>
  <c r="DD442" i="515"/>
  <c r="DD360" i="515"/>
  <c r="DD367" i="515" s="1"/>
  <c r="DD352" i="515"/>
  <c r="DD162" i="515"/>
  <c r="DD356" i="515"/>
  <c r="DD363" i="515" s="1"/>
  <c r="DD357" i="515"/>
  <c r="DD364" i="515" s="1"/>
  <c r="DD346" i="515"/>
  <c r="DD348" i="515" s="1"/>
  <c r="DD350" i="515" s="1"/>
  <c r="DD161" i="515"/>
  <c r="DD397" i="515"/>
  <c r="DD353" i="515" l="1"/>
  <c r="DD166" i="515"/>
  <c r="DD243" i="515"/>
  <c r="DD358" i="515"/>
  <c r="DD244" i="515"/>
  <c r="DD160" i="515"/>
  <c r="DD242" i="515" s="1"/>
  <c r="DD365" i="515" l="1"/>
  <c r="DD359" i="515"/>
  <c r="DD366" i="515" s="1"/>
  <c r="DD368" i="515" l="1"/>
  <c r="DC401" i="515" l="1"/>
  <c r="DC454" i="515" l="1"/>
  <c r="DC257" i="515" l="1"/>
  <c r="DC256" i="515"/>
  <c r="DD325" i="515" l="1"/>
  <c r="DD319" i="515" s="1"/>
  <c r="DD315" i="515" s="1"/>
  <c r="DD323" i="515" s="1"/>
  <c r="DD317" i="515" s="1"/>
  <c r="DC315" i="515"/>
  <c r="DC458" i="515"/>
  <c r="DB458" i="515"/>
  <c r="DA458" i="515"/>
  <c r="CZ458" i="515"/>
  <c r="DE323" i="515" l="1"/>
  <c r="DC173" i="515"/>
  <c r="DC174" i="515" s="1"/>
  <c r="DC187" i="515" s="1"/>
  <c r="DC433" i="515"/>
  <c r="DC264" i="515"/>
  <c r="DC447" i="515" l="1"/>
  <c r="DC441" i="515"/>
  <c r="DC438" i="515"/>
  <c r="DC437" i="515"/>
  <c r="DC434" i="515"/>
  <c r="DC424" i="515"/>
  <c r="DC411" i="515"/>
  <c r="DC409" i="515"/>
  <c r="DC404" i="515"/>
  <c r="DC396" i="515"/>
  <c r="DC397" i="515" s="1"/>
  <c r="DC394" i="515"/>
  <c r="DC392" i="515"/>
  <c r="DC386" i="515"/>
  <c r="DC380" i="515"/>
  <c r="DC344" i="515"/>
  <c r="DC338" i="515"/>
  <c r="DC305" i="515"/>
  <c r="DC300" i="515"/>
  <c r="DC299" i="515"/>
  <c r="DC360" i="515"/>
  <c r="DC367" i="515" s="1"/>
  <c r="DC165" i="515"/>
  <c r="DC164" i="515"/>
  <c r="DC439" i="515" s="1"/>
  <c r="DC163" i="515"/>
  <c r="DC150" i="515"/>
  <c r="DC297" i="515" l="1"/>
  <c r="DC398" i="515"/>
  <c r="DC399" i="515" s="1"/>
  <c r="DC412" i="515"/>
  <c r="DC440" i="515"/>
  <c r="DC442" i="515"/>
  <c r="DC128" i="515"/>
  <c r="DC356" i="515" s="1"/>
  <c r="DC161" i="515"/>
  <c r="DC363" i="515" l="1"/>
  <c r="DC162" i="515"/>
  <c r="DC166" i="515" l="1"/>
  <c r="DC358" i="515"/>
  <c r="DC365" i="515" s="1"/>
  <c r="DC160" i="515"/>
  <c r="DC357" i="515"/>
  <c r="DC364" i="515" s="1"/>
  <c r="DC359" i="515" l="1"/>
  <c r="DC366" i="515" s="1"/>
  <c r="DC258" i="515"/>
  <c r="DC368" i="515"/>
  <c r="DB300" i="515"/>
  <c r="DB299" i="515"/>
  <c r="DB297" i="515" l="1"/>
  <c r="DB33" i="515"/>
  <c r="T33" i="515" s="1"/>
  <c r="DB257" i="515" l="1"/>
  <c r="DB256" i="515"/>
  <c r="DB454" i="515"/>
  <c r="S30" i="515"/>
  <c r="DB433" i="515" l="1"/>
  <c r="T433" i="515" s="1"/>
  <c r="DA319" i="515"/>
  <c r="DB264" i="515"/>
  <c r="T441" i="515" l="1"/>
  <c r="T439" i="515"/>
  <c r="T438" i="515"/>
  <c r="T437" i="515"/>
  <c r="DA454" i="515"/>
  <c r="W42" i="3"/>
  <c r="W38" i="3"/>
  <c r="X198" i="123" s="1"/>
  <c r="W32" i="3"/>
  <c r="W14" i="3"/>
  <c r="W23" i="3"/>
  <c r="W24" i="3"/>
  <c r="W10" i="3"/>
  <c r="X235" i="123"/>
  <c r="X221" i="123"/>
  <c r="X168" i="123"/>
  <c r="X154" i="123"/>
  <c r="X148" i="123"/>
  <c r="X159" i="123" s="1"/>
  <c r="X282" i="123"/>
  <c r="X50" i="123"/>
  <c r="X28" i="123"/>
  <c r="X20" i="123"/>
  <c r="X13" i="123"/>
  <c r="X11" i="123"/>
  <c r="DB150" i="515"/>
  <c r="T150" i="515" s="1"/>
  <c r="T347" i="515" s="1"/>
  <c r="DB456" i="515"/>
  <c r="DB447" i="515"/>
  <c r="DB441" i="515"/>
  <c r="DB438" i="515"/>
  <c r="DB437" i="515"/>
  <c r="DB434" i="515"/>
  <c r="DB424" i="515"/>
  <c r="DB411" i="515"/>
  <c r="DB409" i="515"/>
  <c r="DB404" i="515"/>
  <c r="DB401" i="515"/>
  <c r="DB396" i="515"/>
  <c r="DB394" i="515"/>
  <c r="DB392" i="515"/>
  <c r="DB386" i="515"/>
  <c r="DB380" i="515"/>
  <c r="DB344" i="515"/>
  <c r="DB338" i="515"/>
  <c r="DB305" i="515"/>
  <c r="DB295" i="515"/>
  <c r="DB165" i="515"/>
  <c r="DB164" i="515"/>
  <c r="DB439" i="515" s="1"/>
  <c r="DB163" i="515"/>
  <c r="DH435" i="515"/>
  <c r="DG435" i="515"/>
  <c r="DF435" i="515"/>
  <c r="DF433" i="515"/>
  <c r="DF385" i="515"/>
  <c r="DF384" i="515" s="1"/>
  <c r="DG359" i="515"/>
  <c r="DG366" i="515" s="1"/>
  <c r="DF319" i="515"/>
  <c r="DF318" i="515"/>
  <c r="DF317" i="515"/>
  <c r="DF316" i="515"/>
  <c r="DF315" i="515"/>
  <c r="DH314" i="515"/>
  <c r="DG314" i="515"/>
  <c r="DF314" i="515"/>
  <c r="DF296" i="515"/>
  <c r="DF263" i="515" s="1"/>
  <c r="DF291" i="515"/>
  <c r="DH165" i="515"/>
  <c r="DG165" i="515"/>
  <c r="DF165" i="515"/>
  <c r="T440" i="515" l="1"/>
  <c r="DB397" i="515"/>
  <c r="T396" i="515"/>
  <c r="T397" i="515" s="1"/>
  <c r="T442" i="515"/>
  <c r="DB398" i="515"/>
  <c r="DB399" i="515" s="1"/>
  <c r="DB412" i="515"/>
  <c r="DF96" i="515"/>
  <c r="DF295" i="515"/>
  <c r="DB440" i="515"/>
  <c r="DB442" i="515"/>
  <c r="DF409" i="515"/>
  <c r="DF247" i="515"/>
  <c r="DF229" i="515"/>
  <c r="DG247" i="515"/>
  <c r="DI177" i="515"/>
  <c r="DA149" i="515"/>
  <c r="DA257" i="515" s="1"/>
  <c r="DA127" i="515"/>
  <c r="DA256" i="515" s="1"/>
  <c r="CZ257" i="515"/>
  <c r="DF129" i="515" l="1"/>
  <c r="DI446" i="515"/>
  <c r="DH247" i="515"/>
  <c r="S404" i="515" l="1"/>
  <c r="R404" i="515"/>
  <c r="Q393" i="515"/>
  <c r="Q391" i="515"/>
  <c r="R393" i="515"/>
  <c r="R394" i="515" s="1"/>
  <c r="R391" i="515"/>
  <c r="R392" i="515" s="1"/>
  <c r="S393" i="515"/>
  <c r="S391" i="515"/>
  <c r="S32" i="515"/>
  <c r="DA389" i="515"/>
  <c r="DA338" i="515"/>
  <c r="S392" i="515" l="1"/>
  <c r="S394" i="515"/>
  <c r="DA35" i="515"/>
  <c r="DA177" i="515"/>
  <c r="DE229" i="515" l="1"/>
  <c r="DA264" i="515"/>
  <c r="S458" i="515" l="1"/>
  <c r="Q458" i="515"/>
  <c r="R458" i="515"/>
  <c r="S454" i="515"/>
  <c r="S433" i="515"/>
  <c r="T434" i="515" s="1"/>
  <c r="S385" i="515"/>
  <c r="T386" i="515" s="1"/>
  <c r="S27" i="515"/>
  <c r="S26" i="515"/>
  <c r="S343" i="515"/>
  <c r="T344" i="515" s="1"/>
  <c r="S302" i="515"/>
  <c r="S301" i="515"/>
  <c r="S296" i="515"/>
  <c r="S291" i="515"/>
  <c r="S176" i="515"/>
  <c r="S175" i="515"/>
  <c r="S153" i="515"/>
  <c r="S152" i="515"/>
  <c r="U152" i="515" s="1"/>
  <c r="V152" i="515" s="1"/>
  <c r="W152" i="515" s="1"/>
  <c r="X152" i="515" s="1"/>
  <c r="Y152" i="515" s="1"/>
  <c r="Z152" i="515" s="1"/>
  <c r="AA152" i="515" s="1"/>
  <c r="AB152" i="515" s="1"/>
  <c r="S151" i="515"/>
  <c r="S131" i="515"/>
  <c r="S130" i="515"/>
  <c r="S164" i="515" s="1"/>
  <c r="T216" i="515" s="1"/>
  <c r="S129" i="515"/>
  <c r="S409" i="515" s="1"/>
  <c r="DA456" i="515"/>
  <c r="CZ456" i="515"/>
  <c r="DA450" i="515"/>
  <c r="CZ454" i="515"/>
  <c r="DA441" i="515"/>
  <c r="CZ441" i="515"/>
  <c r="CY441" i="515"/>
  <c r="DA438" i="515"/>
  <c r="CZ438" i="515"/>
  <c r="CY438" i="515"/>
  <c r="DA437" i="515"/>
  <c r="CZ437" i="515"/>
  <c r="CY437" i="515"/>
  <c r="DA424" i="515"/>
  <c r="DA411" i="515"/>
  <c r="DA409" i="515"/>
  <c r="DA404" i="515"/>
  <c r="DA401" i="515"/>
  <c r="DA396" i="515"/>
  <c r="DA394" i="515"/>
  <c r="DA392" i="515"/>
  <c r="DA380" i="515"/>
  <c r="DA300" i="515"/>
  <c r="DA299" i="515"/>
  <c r="DA295" i="515"/>
  <c r="CZ252" i="515"/>
  <c r="DA165" i="515"/>
  <c r="DA164" i="515"/>
  <c r="DE216" i="515" s="1"/>
  <c r="DA163" i="515"/>
  <c r="DA150" i="515"/>
  <c r="DE214" i="515" l="1"/>
  <c r="T225" i="515"/>
  <c r="S263" i="515"/>
  <c r="T97" i="515" s="1"/>
  <c r="T310" i="515"/>
  <c r="DE410" i="515"/>
  <c r="T228" i="515"/>
  <c r="DE217" i="515"/>
  <c r="T410" i="515"/>
  <c r="DE425" i="515"/>
  <c r="S305" i="515"/>
  <c r="T305" i="515"/>
  <c r="DA439" i="515"/>
  <c r="DA297" i="515"/>
  <c r="S437" i="515"/>
  <c r="S438" i="515"/>
  <c r="DA397" i="515"/>
  <c r="DA398" i="515"/>
  <c r="DA399" i="515" s="1"/>
  <c r="S424" i="515"/>
  <c r="S411" i="515"/>
  <c r="S268" i="515"/>
  <c r="S276" i="515" s="1"/>
  <c r="T284" i="515" s="1"/>
  <c r="S441" i="515"/>
  <c r="DA442" i="515"/>
  <c r="DA440" i="515"/>
  <c r="DA412" i="515"/>
  <c r="DA161" i="515"/>
  <c r="S267" i="515"/>
  <c r="S275" i="515" s="1"/>
  <c r="T283" i="515" s="1"/>
  <c r="DA128" i="515"/>
  <c r="T425" i="515" l="1"/>
  <c r="DE413" i="515"/>
  <c r="DE212" i="515"/>
  <c r="DE219" i="515"/>
  <c r="S412" i="515"/>
  <c r="DA356" i="515"/>
  <c r="DA363" i="515" s="1"/>
  <c r="DE371" i="515" s="1"/>
  <c r="DA162" i="515"/>
  <c r="DE213" i="515" s="1"/>
  <c r="T413" i="515" l="1"/>
  <c r="DA357" i="515"/>
  <c r="DA364" i="515" s="1"/>
  <c r="DE372" i="515" s="1"/>
  <c r="DA358" i="515"/>
  <c r="DA166" i="515"/>
  <c r="DA160" i="515"/>
  <c r="DE211" i="515" s="1"/>
  <c r="DA258" i="515" l="1"/>
  <c r="DA365" i="515"/>
  <c r="DE373" i="515" s="1"/>
  <c r="CO97" i="515" l="1"/>
  <c r="CV97" i="515"/>
  <c r="DD97" i="515"/>
  <c r="E9" i="3"/>
  <c r="N9" i="3"/>
  <c r="O9" i="3"/>
  <c r="L10" i="3"/>
  <c r="M10" i="3"/>
  <c r="M12" i="3" s="1"/>
  <c r="F11" i="3"/>
  <c r="F12" i="3" s="1"/>
  <c r="H11" i="3"/>
  <c r="H12" i="3" s="1"/>
  <c r="Q11" i="3"/>
  <c r="Q10" i="3" s="1"/>
  <c r="R152" i="123" s="1"/>
  <c r="R11" i="3"/>
  <c r="R10" i="3" s="1"/>
  <c r="S11" i="3"/>
  <c r="S10" i="3" s="1"/>
  <c r="S12" i="3" s="1"/>
  <c r="T11" i="3"/>
  <c r="T10" i="3"/>
  <c r="U152" i="123" s="1"/>
  <c r="U11" i="3"/>
  <c r="V10" i="3"/>
  <c r="W152" i="123" s="1"/>
  <c r="C12" i="3"/>
  <c r="D12" i="3"/>
  <c r="E12" i="3"/>
  <c r="G12" i="3"/>
  <c r="N12" i="3"/>
  <c r="O12" i="3"/>
  <c r="P12" i="3"/>
  <c r="N13" i="3"/>
  <c r="O13" i="3"/>
  <c r="P13" i="3"/>
  <c r="Q13" i="3"/>
  <c r="R13" i="3"/>
  <c r="S13" i="3"/>
  <c r="C14" i="3"/>
  <c r="D14" i="3"/>
  <c r="H14" i="3"/>
  <c r="I14" i="3"/>
  <c r="J14" i="3"/>
  <c r="K14" i="3"/>
  <c r="L14" i="3"/>
  <c r="M14" i="3"/>
  <c r="N15" i="3"/>
  <c r="H16" i="3"/>
  <c r="H17" i="3"/>
  <c r="H18" i="3"/>
  <c r="H19" i="3"/>
  <c r="N20" i="3"/>
  <c r="E21" i="3"/>
  <c r="E14" i="3" s="1"/>
  <c r="F21" i="3"/>
  <c r="F14" i="3" s="1"/>
  <c r="G21" i="3"/>
  <c r="G14" i="3" s="1"/>
  <c r="N21" i="3"/>
  <c r="O21" i="3"/>
  <c r="P21" i="3"/>
  <c r="Q21" i="3"/>
  <c r="R21" i="3"/>
  <c r="S21" i="3"/>
  <c r="T21" i="3"/>
  <c r="U21" i="3"/>
  <c r="N22" i="3"/>
  <c r="N23" i="3"/>
  <c r="O23" i="3"/>
  <c r="P23" i="3"/>
  <c r="Q23" i="3"/>
  <c r="R23" i="3"/>
  <c r="S23" i="3"/>
  <c r="T23" i="3"/>
  <c r="U23" i="3"/>
  <c r="V23" i="3"/>
  <c r="V14" i="3" s="1"/>
  <c r="C24" i="3"/>
  <c r="D24" i="3"/>
  <c r="E24" i="3"/>
  <c r="F24" i="3"/>
  <c r="G24" i="3"/>
  <c r="H24" i="3"/>
  <c r="I24" i="3"/>
  <c r="J24" i="3"/>
  <c r="K24" i="3"/>
  <c r="L24" i="3"/>
  <c r="M24" i="3"/>
  <c r="N24" i="3" s="1"/>
  <c r="O24" i="3"/>
  <c r="P24" i="3"/>
  <c r="Q24" i="3"/>
  <c r="R24" i="3"/>
  <c r="S24" i="3"/>
  <c r="T24" i="3"/>
  <c r="U24" i="3"/>
  <c r="V24" i="3"/>
  <c r="C25" i="3"/>
  <c r="E29" i="3"/>
  <c r="F29" i="3"/>
  <c r="F33" i="3" s="1"/>
  <c r="N29" i="3"/>
  <c r="N30" i="3"/>
  <c r="N31" i="3"/>
  <c r="C32" i="3"/>
  <c r="C33" i="3" s="1"/>
  <c r="D32" i="3"/>
  <c r="D33" i="3"/>
  <c r="E32" i="3"/>
  <c r="I32" i="3"/>
  <c r="I33" i="3" s="1"/>
  <c r="J32" i="3"/>
  <c r="K32" i="3"/>
  <c r="K33" i="3" s="1"/>
  <c r="L32" i="3"/>
  <c r="L33" i="3" s="1"/>
  <c r="M32" i="3"/>
  <c r="O32" i="3"/>
  <c r="O33" i="3" s="1"/>
  <c r="P32" i="3"/>
  <c r="P33" i="3" s="1"/>
  <c r="Q32" i="3"/>
  <c r="Q33" i="3" s="1"/>
  <c r="R32" i="3"/>
  <c r="R33" i="3" s="1"/>
  <c r="S32" i="3"/>
  <c r="S33" i="3" s="1"/>
  <c r="T32" i="3"/>
  <c r="T33" i="3" s="1"/>
  <c r="U32" i="3"/>
  <c r="U33" i="3" s="1"/>
  <c r="V32" i="3"/>
  <c r="V33" i="3" s="1"/>
  <c r="G33" i="3"/>
  <c r="H33" i="3"/>
  <c r="J33" i="3"/>
  <c r="N36" i="3"/>
  <c r="C37" i="3"/>
  <c r="D37" i="3"/>
  <c r="E37" i="3"/>
  <c r="F37" i="3"/>
  <c r="N37" i="3"/>
  <c r="O37" i="3"/>
  <c r="O38" i="3" s="1"/>
  <c r="P198" i="123" s="1"/>
  <c r="C38" i="3"/>
  <c r="D38" i="3"/>
  <c r="E38" i="3"/>
  <c r="F38" i="3"/>
  <c r="G38" i="3"/>
  <c r="I38" i="3"/>
  <c r="J38" i="3"/>
  <c r="J43" i="3" s="1"/>
  <c r="K38" i="3"/>
  <c r="K43" i="3" s="1"/>
  <c r="L38" i="3"/>
  <c r="M38" i="3"/>
  <c r="M198" i="123" s="1"/>
  <c r="P38" i="3"/>
  <c r="Q198" i="123" s="1"/>
  <c r="Q38" i="3"/>
  <c r="R198" i="123" s="1"/>
  <c r="R38" i="3"/>
  <c r="S38" i="3"/>
  <c r="T38" i="3"/>
  <c r="U198" i="123" s="1"/>
  <c r="U38" i="3"/>
  <c r="I39" i="3"/>
  <c r="I68" i="3" s="1"/>
  <c r="N39" i="3"/>
  <c r="O39" i="3" s="1"/>
  <c r="N40" i="3"/>
  <c r="D41" i="3"/>
  <c r="E41" i="3"/>
  <c r="F41" i="3"/>
  <c r="F68" i="3" s="1"/>
  <c r="G41" i="3"/>
  <c r="N41" i="3"/>
  <c r="O41" i="3"/>
  <c r="P41" i="3"/>
  <c r="X41" i="3"/>
  <c r="X68" i="3" s="1"/>
  <c r="Y41" i="3"/>
  <c r="Y68" i="3" s="1"/>
  <c r="Z41" i="3"/>
  <c r="Z68" i="3" s="1"/>
  <c r="AA41" i="3"/>
  <c r="AA68" i="3" s="1"/>
  <c r="AB41" i="3"/>
  <c r="AB68" i="3" s="1"/>
  <c r="AC41" i="3"/>
  <c r="AC68" i="3" s="1"/>
  <c r="AD41" i="3"/>
  <c r="AD68" i="3" s="1"/>
  <c r="AE41" i="3"/>
  <c r="AE68" i="3" s="1"/>
  <c r="AF41" i="3"/>
  <c r="AF68" i="3" s="1"/>
  <c r="C42" i="3"/>
  <c r="D42" i="3"/>
  <c r="E42" i="3"/>
  <c r="F42" i="3"/>
  <c r="G42" i="3"/>
  <c r="H42" i="3"/>
  <c r="H43" i="3" s="1"/>
  <c r="L42" i="3"/>
  <c r="M42" i="3"/>
  <c r="N42" i="3" s="1"/>
  <c r="O42" i="3"/>
  <c r="P42" i="3"/>
  <c r="Q42" i="3"/>
  <c r="R42" i="3"/>
  <c r="S42" i="3"/>
  <c r="T42" i="3"/>
  <c r="U42" i="3"/>
  <c r="V42" i="3"/>
  <c r="V43" i="3" s="1"/>
  <c r="N45" i="3"/>
  <c r="Q45" i="3"/>
  <c r="R45" i="3" s="1"/>
  <c r="C51" i="3"/>
  <c r="D51" i="3"/>
  <c r="V66" i="3"/>
  <c r="X66" i="3" s="1"/>
  <c r="Y66" i="3" s="1"/>
  <c r="Z66" i="3" s="1"/>
  <c r="AA66" i="3" s="1"/>
  <c r="AB66" i="3" s="1"/>
  <c r="AC66" i="3" s="1"/>
  <c r="AD66" i="3" s="1"/>
  <c r="AE66" i="3" s="1"/>
  <c r="AF66" i="3" s="1"/>
  <c r="G68" i="3"/>
  <c r="H68" i="3"/>
  <c r="J68" i="3"/>
  <c r="M68" i="3"/>
  <c r="R68" i="3"/>
  <c r="S68" i="3"/>
  <c r="T68" i="3"/>
  <c r="U68" i="3"/>
  <c r="V68" i="3"/>
  <c r="P73" i="3"/>
  <c r="Q73" i="3"/>
  <c r="R73" i="3"/>
  <c r="P74" i="3"/>
  <c r="Q74" i="3"/>
  <c r="R74" i="3"/>
  <c r="S74" i="3"/>
  <c r="T74" i="3"/>
  <c r="U74" i="3"/>
  <c r="V74" i="3"/>
  <c r="P76" i="3"/>
  <c r="Q76" i="3"/>
  <c r="R76" i="3"/>
  <c r="S76" i="3"/>
  <c r="T76" i="3"/>
  <c r="U76" i="3"/>
  <c r="V76" i="3"/>
  <c r="R77" i="3"/>
  <c r="S77" i="3"/>
  <c r="P84" i="3"/>
  <c r="P88" i="3" s="1"/>
  <c r="N88" i="3"/>
  <c r="O88" i="3"/>
  <c r="Q88" i="3"/>
  <c r="R88" i="3"/>
  <c r="S88" i="3"/>
  <c r="P91" i="3"/>
  <c r="P95" i="3"/>
  <c r="N95" i="3"/>
  <c r="O95" i="3"/>
  <c r="Q95" i="3"/>
  <c r="R95" i="3"/>
  <c r="S95" i="3"/>
  <c r="E11" i="123"/>
  <c r="E135" i="123" s="1"/>
  <c r="E136" i="123" s="1"/>
  <c r="F11" i="123"/>
  <c r="G11" i="123"/>
  <c r="H11" i="123"/>
  <c r="I11" i="123"/>
  <c r="I128" i="123" s="1"/>
  <c r="J11" i="123"/>
  <c r="K11" i="123"/>
  <c r="L11" i="123"/>
  <c r="M11" i="123"/>
  <c r="M16" i="123" s="1"/>
  <c r="N11" i="123"/>
  <c r="O11" i="123"/>
  <c r="O16" i="123" s="1"/>
  <c r="P12" i="123"/>
  <c r="P13" i="123"/>
  <c r="T13" i="123"/>
  <c r="U13" i="123"/>
  <c r="V13" i="123"/>
  <c r="V11" i="123" s="1"/>
  <c r="W13" i="123"/>
  <c r="W11" i="123" s="1"/>
  <c r="P14" i="123"/>
  <c r="Q14" i="123"/>
  <c r="R14" i="123"/>
  <c r="S14" i="123"/>
  <c r="J15" i="123"/>
  <c r="P15" i="123"/>
  <c r="P16" i="123" s="1"/>
  <c r="Q15" i="123"/>
  <c r="Q16" i="123" s="1"/>
  <c r="R15" i="123"/>
  <c r="R16" i="123" s="1"/>
  <c r="S15" i="123"/>
  <c r="S16" i="123" s="1"/>
  <c r="T15" i="123"/>
  <c r="U15" i="123"/>
  <c r="U16" i="123" s="1"/>
  <c r="V15" i="123"/>
  <c r="W15" i="123"/>
  <c r="D16" i="123"/>
  <c r="E16" i="123"/>
  <c r="F16" i="123"/>
  <c r="G16" i="123"/>
  <c r="H16" i="123"/>
  <c r="T16" i="123"/>
  <c r="E18" i="123"/>
  <c r="N18" i="123"/>
  <c r="N20" i="123" s="1"/>
  <c r="D20" i="123"/>
  <c r="F20" i="123"/>
  <c r="G20" i="123"/>
  <c r="H20" i="123"/>
  <c r="I20" i="123"/>
  <c r="J20" i="123"/>
  <c r="K20" i="123"/>
  <c r="L20" i="123"/>
  <c r="M20" i="123"/>
  <c r="O20" i="123"/>
  <c r="P20" i="123"/>
  <c r="Q20" i="123"/>
  <c r="R20" i="123"/>
  <c r="S20" i="123"/>
  <c r="T20" i="123"/>
  <c r="U20" i="123"/>
  <c r="V20" i="123"/>
  <c r="W20" i="123"/>
  <c r="Y22" i="123"/>
  <c r="Z22" i="123" s="1"/>
  <c r="AA22" i="123" s="1"/>
  <c r="AB22" i="123" s="1"/>
  <c r="AC22" i="123" s="1"/>
  <c r="AD22" i="123" s="1"/>
  <c r="AE22" i="123" s="1"/>
  <c r="AF22" i="123" s="1"/>
  <c r="AG22" i="123" s="1"/>
  <c r="K23" i="123"/>
  <c r="L23" i="123" s="1"/>
  <c r="M23" i="123" s="1"/>
  <c r="Y23" i="123"/>
  <c r="Z23" i="123" s="1"/>
  <c r="AA23" i="123" s="1"/>
  <c r="AB23" i="123" s="1"/>
  <c r="AC23" i="123" s="1"/>
  <c r="AD23" i="123" s="1"/>
  <c r="AE23" i="123" s="1"/>
  <c r="AF23" i="123" s="1"/>
  <c r="AG23" i="123" s="1"/>
  <c r="I24" i="123"/>
  <c r="J24" i="123"/>
  <c r="J25" i="123" s="1"/>
  <c r="L24" i="123"/>
  <c r="M24" i="123" s="1"/>
  <c r="N24" i="123" s="1"/>
  <c r="Q24" i="123"/>
  <c r="R24" i="123" s="1"/>
  <c r="S24" i="123" s="1"/>
  <c r="F25" i="123"/>
  <c r="I25" i="123"/>
  <c r="O25" i="123"/>
  <c r="P25" i="123"/>
  <c r="U25" i="123"/>
  <c r="O28" i="123"/>
  <c r="J29" i="123"/>
  <c r="O29" i="123"/>
  <c r="O168" i="123" s="1"/>
  <c r="D30" i="123"/>
  <c r="E30" i="123"/>
  <c r="F30" i="123"/>
  <c r="G30" i="123"/>
  <c r="H30" i="123"/>
  <c r="I30" i="123"/>
  <c r="K30" i="123"/>
  <c r="L30" i="123"/>
  <c r="M30" i="123"/>
  <c r="N30" i="123"/>
  <c r="P30" i="123"/>
  <c r="Q30" i="123"/>
  <c r="Q166" i="123" s="1"/>
  <c r="R30" i="123"/>
  <c r="S30" i="123"/>
  <c r="S166" i="123" s="1"/>
  <c r="T30" i="123"/>
  <c r="U30" i="123"/>
  <c r="U166" i="123" s="1"/>
  <c r="V30" i="123"/>
  <c r="V166" i="123" s="1"/>
  <c r="W30" i="123"/>
  <c r="W166" i="123" s="1"/>
  <c r="E35" i="123"/>
  <c r="O35" i="123"/>
  <c r="D36" i="123"/>
  <c r="E36" i="123"/>
  <c r="F36" i="123"/>
  <c r="G36" i="123"/>
  <c r="H36" i="123"/>
  <c r="I36" i="123"/>
  <c r="I114" i="123" s="1"/>
  <c r="M36" i="123"/>
  <c r="N36" i="123"/>
  <c r="P36" i="123"/>
  <c r="Q36" i="123"/>
  <c r="R36" i="123"/>
  <c r="S36" i="123"/>
  <c r="T36" i="123"/>
  <c r="W36" i="123"/>
  <c r="O37" i="123"/>
  <c r="O38" i="123"/>
  <c r="U38" i="123"/>
  <c r="V38" i="123" s="1"/>
  <c r="V36" i="123" s="1"/>
  <c r="Y38" i="123"/>
  <c r="Z38" i="123" s="1"/>
  <c r="AA38" i="123" s="1"/>
  <c r="AB38" i="123" s="1"/>
  <c r="AC38" i="123" s="1"/>
  <c r="AD38" i="123" s="1"/>
  <c r="AE38" i="123" s="1"/>
  <c r="AF38" i="123" s="1"/>
  <c r="AG38" i="123" s="1"/>
  <c r="X39" i="123"/>
  <c r="Y39" i="123" s="1"/>
  <c r="Z39" i="123" s="1"/>
  <c r="O40" i="123"/>
  <c r="J41" i="123"/>
  <c r="J36" i="123" s="1"/>
  <c r="J114" i="123" s="1"/>
  <c r="K41" i="123"/>
  <c r="L41" i="123"/>
  <c r="L36" i="123" s="1"/>
  <c r="O41" i="123"/>
  <c r="Y41" i="123"/>
  <c r="Z41" i="123" s="1"/>
  <c r="AA41" i="123" s="1"/>
  <c r="AB41" i="123" s="1"/>
  <c r="AC41" i="123" s="1"/>
  <c r="AD41" i="123" s="1"/>
  <c r="AE41" i="123" s="1"/>
  <c r="AF41" i="123" s="1"/>
  <c r="AG41" i="123" s="1"/>
  <c r="D42" i="123"/>
  <c r="E42" i="123"/>
  <c r="F42" i="123"/>
  <c r="G42" i="123"/>
  <c r="H42" i="123"/>
  <c r="M42" i="123"/>
  <c r="N42" i="123"/>
  <c r="Y42" i="123"/>
  <c r="Z42" i="123" s="1"/>
  <c r="AA42" i="123" s="1"/>
  <c r="AB42" i="123" s="1"/>
  <c r="AC42" i="123" s="1"/>
  <c r="AD42" i="123" s="1"/>
  <c r="AE42" i="123" s="1"/>
  <c r="AF42" i="123" s="1"/>
  <c r="AG42" i="123" s="1"/>
  <c r="O43" i="123"/>
  <c r="O45" i="123" s="1"/>
  <c r="S43" i="123"/>
  <c r="S45" i="123" s="1"/>
  <c r="S46" i="123" s="1"/>
  <c r="T43" i="123"/>
  <c r="V43" i="123"/>
  <c r="V45" i="123" s="1"/>
  <c r="X43" i="123"/>
  <c r="I44" i="123"/>
  <c r="I45" i="123" s="1"/>
  <c r="D45" i="123"/>
  <c r="E45" i="123"/>
  <c r="E75" i="123" s="1"/>
  <c r="F45" i="123"/>
  <c r="F75" i="123"/>
  <c r="G45" i="123"/>
  <c r="G46" i="123" s="1"/>
  <c r="G58" i="123" s="1"/>
  <c r="H45" i="123"/>
  <c r="H75" i="123" s="1"/>
  <c r="J45" i="123"/>
  <c r="K45" i="123"/>
  <c r="K75" i="123" s="1"/>
  <c r="L45" i="123"/>
  <c r="L75" i="123" s="1"/>
  <c r="M45" i="123"/>
  <c r="M75" i="123" s="1"/>
  <c r="N45" i="123"/>
  <c r="P45" i="123"/>
  <c r="P46" i="123" s="1"/>
  <c r="Q45" i="123"/>
  <c r="R45" i="123"/>
  <c r="R46" i="123" s="1"/>
  <c r="U45" i="123"/>
  <c r="W45" i="123"/>
  <c r="W46" i="123" s="1"/>
  <c r="T46" i="123"/>
  <c r="V88" i="123" s="1"/>
  <c r="F49" i="123"/>
  <c r="Y49" i="123"/>
  <c r="E50" i="123"/>
  <c r="F50" i="123"/>
  <c r="W50" i="123"/>
  <c r="Y50" i="123" s="1"/>
  <c r="Z50" i="123" s="1"/>
  <c r="AA50" i="123" s="1"/>
  <c r="AB50" i="123" s="1"/>
  <c r="AC50" i="123" s="1"/>
  <c r="AD50" i="123" s="1"/>
  <c r="AE50" i="123" s="1"/>
  <c r="AF50" i="123" s="1"/>
  <c r="AG50" i="123" s="1"/>
  <c r="P51" i="123"/>
  <c r="Q51" i="123" s="1"/>
  <c r="R51" i="123" s="1"/>
  <c r="M52" i="123"/>
  <c r="N52" i="123"/>
  <c r="O52" i="123"/>
  <c r="P52" i="123"/>
  <c r="Q52" i="123"/>
  <c r="R52" i="123"/>
  <c r="S52" i="123"/>
  <c r="S114" i="123" s="1"/>
  <c r="T52" i="123"/>
  <c r="U52" i="123"/>
  <c r="V52" i="123"/>
  <c r="I53" i="123"/>
  <c r="J53" i="123"/>
  <c r="M53" i="123"/>
  <c r="N53" i="123"/>
  <c r="P53" i="123"/>
  <c r="Q53" i="123"/>
  <c r="R53" i="123"/>
  <c r="I54" i="123"/>
  <c r="J54" i="123"/>
  <c r="N54" i="123"/>
  <c r="O55" i="123"/>
  <c r="O174" i="123" s="1"/>
  <c r="O56" i="123"/>
  <c r="O175" i="123" s="1"/>
  <c r="V56" i="123"/>
  <c r="V175" i="123" s="1"/>
  <c r="K57" i="123"/>
  <c r="K53" i="123" s="1"/>
  <c r="L57" i="123"/>
  <c r="L176" i="123" s="1"/>
  <c r="O57" i="123"/>
  <c r="O176" i="123" s="1"/>
  <c r="V57" i="123"/>
  <c r="Y60" i="123"/>
  <c r="Z60" i="123" s="1"/>
  <c r="AA60" i="123" s="1"/>
  <c r="AB60" i="123" s="1"/>
  <c r="AC60" i="123" s="1"/>
  <c r="AD60" i="123" s="1"/>
  <c r="AE60" i="123" s="1"/>
  <c r="AF60" i="123" s="1"/>
  <c r="AG60" i="123" s="1"/>
  <c r="I61" i="123"/>
  <c r="J61" i="123" s="1"/>
  <c r="K61" i="123" s="1"/>
  <c r="W61" i="123"/>
  <c r="X61" i="123" s="1"/>
  <c r="Y61" i="123" s="1"/>
  <c r="Z61" i="123" s="1"/>
  <c r="AA61" i="123" s="1"/>
  <c r="AB61" i="123" s="1"/>
  <c r="AC61" i="123" s="1"/>
  <c r="AD61" i="123" s="1"/>
  <c r="AE61" i="123" s="1"/>
  <c r="AF61" i="123" s="1"/>
  <c r="AG61" i="123" s="1"/>
  <c r="M62" i="123"/>
  <c r="Y62" i="123"/>
  <c r="Z62" i="123" s="1"/>
  <c r="AA62" i="123" s="1"/>
  <c r="AB62" i="123" s="1"/>
  <c r="AC62" i="123" s="1"/>
  <c r="AD62" i="123" s="1"/>
  <c r="AE62" i="123" s="1"/>
  <c r="AF62" i="123" s="1"/>
  <c r="AG62" i="123" s="1"/>
  <c r="M63" i="123"/>
  <c r="M64" i="123"/>
  <c r="M65" i="123"/>
  <c r="O65" i="123"/>
  <c r="O67" i="123" s="1"/>
  <c r="Y66" i="123"/>
  <c r="Z66" i="123" s="1"/>
  <c r="AA66" i="123" s="1"/>
  <c r="AB66" i="123" s="1"/>
  <c r="AC66" i="123" s="1"/>
  <c r="AD66" i="123" s="1"/>
  <c r="AE66" i="123" s="1"/>
  <c r="AF66" i="123" s="1"/>
  <c r="AG66" i="123" s="1"/>
  <c r="E67" i="123"/>
  <c r="F67" i="123"/>
  <c r="G67" i="123"/>
  <c r="H67" i="123"/>
  <c r="N67" i="123"/>
  <c r="P67" i="123"/>
  <c r="Q67" i="123"/>
  <c r="R67" i="123"/>
  <c r="S67" i="123"/>
  <c r="T67" i="123"/>
  <c r="U67" i="123"/>
  <c r="V67" i="123"/>
  <c r="G114" i="123"/>
  <c r="I129" i="123"/>
  <c r="I138" i="123"/>
  <c r="I139" i="123" s="1"/>
  <c r="E145" i="123"/>
  <c r="F145" i="123"/>
  <c r="G145" i="123"/>
  <c r="H145" i="123"/>
  <c r="I145" i="123"/>
  <c r="J145" i="123"/>
  <c r="K145" i="123"/>
  <c r="M145" i="123"/>
  <c r="O145" i="123"/>
  <c r="P145" i="123"/>
  <c r="Q145" i="123"/>
  <c r="R145" i="123"/>
  <c r="S145" i="123"/>
  <c r="T145" i="123"/>
  <c r="U145" i="123"/>
  <c r="V145" i="123"/>
  <c r="W145" i="123"/>
  <c r="D148" i="123"/>
  <c r="F148" i="123"/>
  <c r="G148" i="123"/>
  <c r="H144" i="123" s="1"/>
  <c r="H148" i="123"/>
  <c r="I148" i="123"/>
  <c r="J144" i="123" s="1"/>
  <c r="J148" i="123"/>
  <c r="K148" i="123"/>
  <c r="M148" i="123"/>
  <c r="O148" i="123"/>
  <c r="P144" i="123" s="1"/>
  <c r="P148" i="123"/>
  <c r="Q148" i="123"/>
  <c r="R144" i="123" s="1"/>
  <c r="R148" i="123"/>
  <c r="S148" i="123"/>
  <c r="T144" i="123" s="1"/>
  <c r="T148" i="123"/>
  <c r="U148" i="123"/>
  <c r="V144" i="123" s="1"/>
  <c r="V148" i="123"/>
  <c r="W148" i="123"/>
  <c r="X144" i="123" s="1"/>
  <c r="M151" i="123"/>
  <c r="O151" i="123"/>
  <c r="E152" i="123"/>
  <c r="E157" i="123" s="1"/>
  <c r="F152" i="123"/>
  <c r="G152" i="123"/>
  <c r="H152" i="123"/>
  <c r="I152" i="123"/>
  <c r="I157" i="123" s="1"/>
  <c r="O152" i="123"/>
  <c r="O157" i="123" s="1"/>
  <c r="P152" i="123"/>
  <c r="Q152" i="123"/>
  <c r="V152" i="123"/>
  <c r="D154" i="123"/>
  <c r="E151" i="123" s="1"/>
  <c r="E154" i="123"/>
  <c r="F151" i="123" s="1"/>
  <c r="F154" i="123"/>
  <c r="G151" i="123" s="1"/>
  <c r="G154" i="123"/>
  <c r="H154" i="123"/>
  <c r="I151" i="123" s="1"/>
  <c r="I154" i="123"/>
  <c r="J151" i="123" s="1"/>
  <c r="J154" i="123"/>
  <c r="K151" i="123" s="1"/>
  <c r="K154" i="123"/>
  <c r="M154" i="123"/>
  <c r="O154" i="123"/>
  <c r="P151" i="123" s="1"/>
  <c r="P154" i="123"/>
  <c r="Q151" i="123" s="1"/>
  <c r="Q154" i="123"/>
  <c r="R154" i="123"/>
  <c r="S151" i="123" s="1"/>
  <c r="S154" i="123"/>
  <c r="T151" i="123" s="1"/>
  <c r="T154" i="123"/>
  <c r="U151" i="123" s="1"/>
  <c r="U154" i="123"/>
  <c r="V154" i="123"/>
  <c r="W151" i="123" s="1"/>
  <c r="W154" i="123"/>
  <c r="X151" i="123" s="1"/>
  <c r="J166" i="123"/>
  <c r="K166" i="123"/>
  <c r="L166" i="123"/>
  <c r="M166" i="123"/>
  <c r="N166" i="123"/>
  <c r="O166" i="123"/>
  <c r="P166" i="123"/>
  <c r="T166" i="123"/>
  <c r="E167" i="123"/>
  <c r="F167" i="123"/>
  <c r="G167" i="123"/>
  <c r="H167" i="123"/>
  <c r="I167" i="123"/>
  <c r="K168" i="123"/>
  <c r="K169" i="123"/>
  <c r="L168" i="123"/>
  <c r="M168" i="123"/>
  <c r="N168" i="123"/>
  <c r="P168" i="123"/>
  <c r="Q168" i="123"/>
  <c r="R168" i="123"/>
  <c r="S168" i="123"/>
  <c r="T168" i="123"/>
  <c r="U168" i="123"/>
  <c r="V168" i="123"/>
  <c r="W168" i="123"/>
  <c r="Y168" i="123"/>
  <c r="Z168" i="123" s="1"/>
  <c r="AA168" i="123" s="1"/>
  <c r="AB168" i="123" s="1"/>
  <c r="AC168" i="123" s="1"/>
  <c r="AD168" i="123" s="1"/>
  <c r="AE168" i="123" s="1"/>
  <c r="AF168" i="123" s="1"/>
  <c r="AG168" i="123" s="1"/>
  <c r="D169" i="123"/>
  <c r="D179" i="123" s="1"/>
  <c r="E169" i="123"/>
  <c r="F169" i="123"/>
  <c r="G169" i="123"/>
  <c r="H169" i="123"/>
  <c r="H184" i="123" s="1"/>
  <c r="I169" i="123"/>
  <c r="G173" i="123"/>
  <c r="H173" i="123"/>
  <c r="M173" i="123"/>
  <c r="G174" i="123"/>
  <c r="G180" i="123" s="1"/>
  <c r="H174" i="123"/>
  <c r="I174" i="123"/>
  <c r="J174" i="123"/>
  <c r="K174" i="123"/>
  <c r="L174" i="123"/>
  <c r="M174" i="123"/>
  <c r="N174" i="123"/>
  <c r="P174" i="123"/>
  <c r="Q174" i="123"/>
  <c r="R174" i="123"/>
  <c r="G175" i="123"/>
  <c r="H175" i="123"/>
  <c r="I175" i="123"/>
  <c r="J175" i="123"/>
  <c r="K175" i="123"/>
  <c r="L175" i="123"/>
  <c r="M175" i="123"/>
  <c r="N175" i="123"/>
  <c r="P175" i="123"/>
  <c r="Q175" i="123"/>
  <c r="R175" i="123"/>
  <c r="S175" i="123"/>
  <c r="T175" i="123"/>
  <c r="U175" i="123"/>
  <c r="G176" i="123"/>
  <c r="H176" i="123"/>
  <c r="I176" i="123"/>
  <c r="J176" i="123"/>
  <c r="M176" i="123"/>
  <c r="N176" i="123"/>
  <c r="P176" i="123"/>
  <c r="Q176" i="123"/>
  <c r="R176" i="123"/>
  <c r="S176" i="123"/>
  <c r="T176" i="123"/>
  <c r="U176" i="123"/>
  <c r="E180" i="123"/>
  <c r="F180" i="123"/>
  <c r="J186" i="123"/>
  <c r="K186" i="123"/>
  <c r="Y186" i="123"/>
  <c r="Z186" i="123"/>
  <c r="AA186" i="123"/>
  <c r="AB186" i="123"/>
  <c r="AC186" i="123"/>
  <c r="AD186" i="123"/>
  <c r="AE186" i="123"/>
  <c r="AF186" i="123"/>
  <c r="AG186" i="123"/>
  <c r="D193" i="123"/>
  <c r="Q193" i="123"/>
  <c r="R193" i="123"/>
  <c r="I198" i="123"/>
  <c r="T198" i="123"/>
  <c r="W198" i="123"/>
  <c r="Y198" i="123"/>
  <c r="Z198" i="123"/>
  <c r="AA198" i="123"/>
  <c r="AB198" i="123"/>
  <c r="AC198" i="123"/>
  <c r="AD198" i="123"/>
  <c r="AE198" i="123"/>
  <c r="AF198" i="123"/>
  <c r="AG198" i="123"/>
  <c r="E199" i="123"/>
  <c r="E201" i="123" s="1"/>
  <c r="I200" i="123"/>
  <c r="I202" i="123" s="1"/>
  <c r="L200" i="123"/>
  <c r="I30" i="515" s="1"/>
  <c r="N200" i="123"/>
  <c r="O200" i="123" s="1"/>
  <c r="P200" i="123"/>
  <c r="K485" i="515" s="1"/>
  <c r="F202" i="123"/>
  <c r="G202" i="123"/>
  <c r="H202" i="123"/>
  <c r="J202" i="123"/>
  <c r="M202" i="123"/>
  <c r="M203" i="123"/>
  <c r="S214" i="123"/>
  <c r="T214" i="123" s="1"/>
  <c r="P221" i="123"/>
  <c r="Q221" i="123"/>
  <c r="R221" i="123"/>
  <c r="S221" i="123"/>
  <c r="T221" i="123"/>
  <c r="U221" i="123"/>
  <c r="V221" i="123"/>
  <c r="W221" i="123"/>
  <c r="Y221" i="123"/>
  <c r="Z221" i="123"/>
  <c r="AA221" i="123"/>
  <c r="AB221" i="123"/>
  <c r="AC221" i="123"/>
  <c r="AD221" i="123"/>
  <c r="AE221" i="123"/>
  <c r="AF221" i="123"/>
  <c r="AG221" i="123"/>
  <c r="R225" i="123"/>
  <c r="R226" i="123" s="1"/>
  <c r="R227" i="123"/>
  <c r="R234" i="123"/>
  <c r="P235" i="123"/>
  <c r="P260" i="123" s="1"/>
  <c r="Q235" i="123"/>
  <c r="R235" i="123"/>
  <c r="S235" i="123"/>
  <c r="T235" i="123"/>
  <c r="U235" i="123"/>
  <c r="V235" i="123"/>
  <c r="W235" i="123"/>
  <c r="Y235" i="123"/>
  <c r="Z235" i="123"/>
  <c r="AA235" i="123"/>
  <c r="AB235" i="123"/>
  <c r="AC235" i="123"/>
  <c r="AD235" i="123"/>
  <c r="AE235" i="123"/>
  <c r="AF235" i="123"/>
  <c r="AG235" i="123"/>
  <c r="R238" i="123"/>
  <c r="S238" i="123" s="1"/>
  <c r="T238" i="123" s="1"/>
  <c r="U238" i="123" s="1"/>
  <c r="V238" i="123" s="1"/>
  <c r="W238" i="123" s="1"/>
  <c r="T239" i="123"/>
  <c r="U239" i="123" s="1"/>
  <c r="V239" i="123" s="1"/>
  <c r="W239" i="123" s="1"/>
  <c r="R242" i="123"/>
  <c r="S242" i="123" s="1"/>
  <c r="T242" i="123" s="1"/>
  <c r="U242" i="123" s="1"/>
  <c r="V242" i="123" s="1"/>
  <c r="W242" i="123" s="1"/>
  <c r="S243" i="123"/>
  <c r="T243" i="123" s="1"/>
  <c r="U243" i="123" s="1"/>
  <c r="V243" i="123" s="1"/>
  <c r="W243" i="123" s="1"/>
  <c r="S246" i="123"/>
  <c r="T246" i="123" s="1"/>
  <c r="U246" i="123" s="1"/>
  <c r="V246" i="123" s="1"/>
  <c r="W246" i="123" s="1"/>
  <c r="S247" i="123"/>
  <c r="T247" i="123" s="1"/>
  <c r="U247" i="123" s="1"/>
  <c r="V247" i="123" s="1"/>
  <c r="W247" i="123" s="1"/>
  <c r="T250" i="123"/>
  <c r="U250" i="123" s="1"/>
  <c r="V250" i="123" s="1"/>
  <c r="W250" i="123" s="1"/>
  <c r="T251" i="123"/>
  <c r="U251" i="123" s="1"/>
  <c r="V251" i="123" s="1"/>
  <c r="W251" i="123" s="1"/>
  <c r="Q265" i="123"/>
  <c r="S265" i="123"/>
  <c r="T265" i="123"/>
  <c r="U265" i="123"/>
  <c r="P269" i="123"/>
  <c r="K278" i="123"/>
  <c r="L278" i="123"/>
  <c r="M278" i="123"/>
  <c r="I280" i="123"/>
  <c r="I282" i="123"/>
  <c r="J282" i="123"/>
  <c r="K282" i="123"/>
  <c r="L282" i="123"/>
  <c r="M282" i="123"/>
  <c r="N282" i="123"/>
  <c r="O282" i="123"/>
  <c r="P282" i="123"/>
  <c r="Q282" i="123"/>
  <c r="R282" i="123"/>
  <c r="S282" i="123"/>
  <c r="T282" i="123"/>
  <c r="U282" i="123"/>
  <c r="V282" i="123"/>
  <c r="W282" i="123"/>
  <c r="Y282" i="123"/>
  <c r="Z282" i="123"/>
  <c r="AA282" i="123"/>
  <c r="AB282" i="123"/>
  <c r="AC282" i="123"/>
  <c r="AD282" i="123"/>
  <c r="AE282" i="123"/>
  <c r="AF282" i="123"/>
  <c r="AG282" i="123"/>
  <c r="V291" i="123"/>
  <c r="Y291" i="123"/>
  <c r="V292" i="123"/>
  <c r="W292" i="123" s="1"/>
  <c r="Y292" i="123"/>
  <c r="T293" i="123"/>
  <c r="T294" i="123"/>
  <c r="V296" i="123"/>
  <c r="V297" i="123"/>
  <c r="T298" i="123"/>
  <c r="F8" i="515"/>
  <c r="BF9" i="515"/>
  <c r="BF154" i="515" s="1"/>
  <c r="BN9" i="515"/>
  <c r="BN149" i="515" s="1"/>
  <c r="BO9" i="515"/>
  <c r="BP9" i="515"/>
  <c r="BP149" i="515" s="1"/>
  <c r="BP154" i="515" s="1"/>
  <c r="BQ9" i="515"/>
  <c r="BQ149" i="515" s="1"/>
  <c r="C13" i="515"/>
  <c r="D13" i="515"/>
  <c r="G128" i="123" s="1"/>
  <c r="E13" i="515"/>
  <c r="BN13" i="515"/>
  <c r="BO13" i="515"/>
  <c r="BP13" i="515"/>
  <c r="BQ13" i="515"/>
  <c r="CL13" i="515"/>
  <c r="CM13" i="515"/>
  <c r="CN13" i="515"/>
  <c r="CQ13" i="515"/>
  <c r="CV13" i="515"/>
  <c r="CW13" i="515"/>
  <c r="CX13" i="515"/>
  <c r="AP19" i="515"/>
  <c r="AZ19" i="515"/>
  <c r="BA19" i="515"/>
  <c r="BB19" i="515"/>
  <c r="BC19" i="515"/>
  <c r="BD19" i="515"/>
  <c r="BE19" i="515"/>
  <c r="B25" i="515"/>
  <c r="C25" i="515"/>
  <c r="D25" i="515"/>
  <c r="G25" i="515"/>
  <c r="H25" i="515" s="1"/>
  <c r="I25" i="515" s="1"/>
  <c r="J25" i="515" s="1"/>
  <c r="G26" i="515"/>
  <c r="I11" i="3" s="1"/>
  <c r="I10" i="3" s="1"/>
  <c r="I12" i="3" s="1"/>
  <c r="H26" i="515"/>
  <c r="J11" i="3" s="1"/>
  <c r="J10" i="3" s="1"/>
  <c r="I26" i="515"/>
  <c r="K11" i="3" s="1"/>
  <c r="K10" i="3" s="1"/>
  <c r="K12" i="3" s="1"/>
  <c r="L26" i="515"/>
  <c r="M26" i="515"/>
  <c r="N26" i="515"/>
  <c r="O26" i="515"/>
  <c r="P26" i="515"/>
  <c r="Q26" i="515"/>
  <c r="R26" i="515"/>
  <c r="AP26" i="515"/>
  <c r="AY26" i="515"/>
  <c r="BN26" i="515"/>
  <c r="BO26" i="515"/>
  <c r="BP26" i="515"/>
  <c r="BQ26" i="515"/>
  <c r="BS26" i="515"/>
  <c r="K26" i="515" s="1"/>
  <c r="G27" i="515"/>
  <c r="H27" i="515"/>
  <c r="I27" i="515"/>
  <c r="L27" i="515"/>
  <c r="M27" i="515"/>
  <c r="N27" i="515"/>
  <c r="O27" i="515"/>
  <c r="P27" i="515"/>
  <c r="Q27" i="515"/>
  <c r="R27" i="515"/>
  <c r="AE27" i="515"/>
  <c r="AF27" i="515"/>
  <c r="AH27" i="515"/>
  <c r="AI27" i="515"/>
  <c r="AJ27" i="515"/>
  <c r="AL27" i="515"/>
  <c r="AM27" i="515"/>
  <c r="AN27" i="515"/>
  <c r="AP27" i="515"/>
  <c r="AT27" i="515"/>
  <c r="BN27" i="515"/>
  <c r="BO27" i="515"/>
  <c r="BP27" i="515"/>
  <c r="BQ27" i="515"/>
  <c r="BU27" i="515"/>
  <c r="K27" i="515" s="1"/>
  <c r="C30" i="515"/>
  <c r="D30" i="515"/>
  <c r="E30" i="515"/>
  <c r="Q30" i="515"/>
  <c r="Q32" i="515" s="1"/>
  <c r="R30" i="515"/>
  <c r="R32" i="515" s="1"/>
  <c r="C31" i="515"/>
  <c r="D31" i="515"/>
  <c r="E31" i="515"/>
  <c r="F32" i="515"/>
  <c r="G32" i="515"/>
  <c r="I32" i="515"/>
  <c r="M32" i="515"/>
  <c r="Q75" i="3" s="1"/>
  <c r="O32" i="515"/>
  <c r="BH32" i="515"/>
  <c r="H32" i="515" s="1"/>
  <c r="H31" i="515" s="1"/>
  <c r="BO32" i="515"/>
  <c r="BP32" i="515"/>
  <c r="BQ32" i="515"/>
  <c r="BR32" i="515"/>
  <c r="BU32" i="515"/>
  <c r="BV32" i="515"/>
  <c r="L32" i="515" s="1"/>
  <c r="CG32" i="515"/>
  <c r="N32" i="515" s="1"/>
  <c r="CN32" i="515"/>
  <c r="P32" i="515"/>
  <c r="CP32" i="515"/>
  <c r="CQ32" i="515"/>
  <c r="BT33" i="515"/>
  <c r="K33" i="515"/>
  <c r="BW33" i="515"/>
  <c r="BX33" i="515"/>
  <c r="BY33" i="515"/>
  <c r="BZ33" i="515"/>
  <c r="CA33" i="515"/>
  <c r="CB33" i="515"/>
  <c r="CC33" i="515"/>
  <c r="CD33" i="515"/>
  <c r="CE33" i="515"/>
  <c r="CF33" i="515"/>
  <c r="CG33" i="515"/>
  <c r="CH33" i="515"/>
  <c r="CI33" i="515"/>
  <c r="CJ33" i="515"/>
  <c r="CK33" i="515"/>
  <c r="CL33" i="515"/>
  <c r="CM33" i="515"/>
  <c r="CN33" i="515"/>
  <c r="CO33" i="515"/>
  <c r="CP33" i="515"/>
  <c r="CQ33" i="515"/>
  <c r="CR33" i="515"/>
  <c r="CS33" i="515"/>
  <c r="CT33" i="515"/>
  <c r="CU33" i="515"/>
  <c r="CV33" i="515"/>
  <c r="CW33" i="515"/>
  <c r="CX33" i="515"/>
  <c r="CY33" i="515"/>
  <c r="CZ33" i="515"/>
  <c r="BC37" i="515"/>
  <c r="BE37" i="515"/>
  <c r="BV37" i="515"/>
  <c r="AY38" i="515"/>
  <c r="AY49" i="515"/>
  <c r="AY53" i="515" s="1"/>
  <c r="AZ38" i="515"/>
  <c r="AZ49" i="515"/>
  <c r="BA38" i="515"/>
  <c r="BA49" i="515" s="1"/>
  <c r="BA37" i="515" s="1"/>
  <c r="BB38" i="515"/>
  <c r="BB49" i="515" s="1"/>
  <c r="BB37" i="515" s="1"/>
  <c r="BC38" i="515"/>
  <c r="BD38" i="515"/>
  <c r="BD37" i="515" s="1"/>
  <c r="BF38" i="515"/>
  <c r="BF37" i="515" s="1"/>
  <c r="BK38" i="515"/>
  <c r="BM38" i="515"/>
  <c r="BN38" i="515"/>
  <c r="BN32" i="515" s="1"/>
  <c r="J32" i="515" s="1"/>
  <c r="J31" i="515" s="1"/>
  <c r="J479" i="515" s="1"/>
  <c r="BO38" i="515"/>
  <c r="BP38" i="515"/>
  <c r="BQ38" i="515"/>
  <c r="E39" i="515"/>
  <c r="F39" i="515" s="1"/>
  <c r="G39" i="515" s="1"/>
  <c r="H39" i="515" s="1"/>
  <c r="I39" i="515" s="1"/>
  <c r="G43" i="515"/>
  <c r="H43" i="515"/>
  <c r="AP43" i="515"/>
  <c r="AQ43" i="515"/>
  <c r="BJ43" i="515"/>
  <c r="I43" i="515" s="1"/>
  <c r="BC49" i="515"/>
  <c r="BC53" i="515" s="1"/>
  <c r="BD49" i="515"/>
  <c r="BE49" i="515"/>
  <c r="BG49" i="515"/>
  <c r="BG53" i="515" s="1"/>
  <c r="AX53" i="515"/>
  <c r="BD53" i="515"/>
  <c r="B57" i="515"/>
  <c r="C57" i="515"/>
  <c r="D57" i="515"/>
  <c r="E57" i="515"/>
  <c r="F57" i="515"/>
  <c r="G57" i="515"/>
  <c r="H57" i="515"/>
  <c r="I57" i="515"/>
  <c r="J57" i="515"/>
  <c r="K57" i="515"/>
  <c r="AX57" i="515"/>
  <c r="AY57" i="515"/>
  <c r="AZ57" i="515"/>
  <c r="BA57" i="515"/>
  <c r="BB57" i="515"/>
  <c r="BC57" i="515"/>
  <c r="BD57" i="515"/>
  <c r="BE57" i="515"/>
  <c r="BX57" i="515"/>
  <c r="CH57" i="515"/>
  <c r="AL58" i="515"/>
  <c r="AP58" i="515"/>
  <c r="AQ58" i="515"/>
  <c r="BJ58" i="515"/>
  <c r="BW65" i="515"/>
  <c r="F77" i="515"/>
  <c r="A80" i="515"/>
  <c r="A81" i="515"/>
  <c r="A82" i="515"/>
  <c r="A83" i="515"/>
  <c r="A84" i="515"/>
  <c r="A85" i="515"/>
  <c r="A86" i="515"/>
  <c r="A87" i="515"/>
  <c r="E88" i="515"/>
  <c r="E90" i="515" s="1"/>
  <c r="K90" i="515"/>
  <c r="L90" i="515"/>
  <c r="M90" i="515"/>
  <c r="N90" i="515"/>
  <c r="O90" i="515"/>
  <c r="P90" i="515"/>
  <c r="Q90" i="515"/>
  <c r="R90" i="515"/>
  <c r="S90" i="515"/>
  <c r="T90" i="515"/>
  <c r="U90" i="515"/>
  <c r="V90" i="515"/>
  <c r="W90" i="515"/>
  <c r="X90" i="515"/>
  <c r="Y90" i="515"/>
  <c r="Z90" i="515"/>
  <c r="AA90" i="515"/>
  <c r="AB90" i="515"/>
  <c r="F92" i="515"/>
  <c r="G92" i="515"/>
  <c r="I92" i="515"/>
  <c r="J92" i="515"/>
  <c r="K92" i="515"/>
  <c r="L92" i="515"/>
  <c r="M92" i="515"/>
  <c r="N92" i="515"/>
  <c r="O92" i="515"/>
  <c r="P92" i="515"/>
  <c r="Q92" i="515"/>
  <c r="R92" i="515"/>
  <c r="AH97" i="515"/>
  <c r="AI97" i="515"/>
  <c r="AM97" i="515"/>
  <c r="AN97" i="515"/>
  <c r="AQ97" i="515"/>
  <c r="AS97" i="515"/>
  <c r="AV97" i="515"/>
  <c r="AY97" i="515"/>
  <c r="BB97" i="515"/>
  <c r="BD97" i="515"/>
  <c r="BK97" i="515"/>
  <c r="BP97" i="515"/>
  <c r="BR296" i="515"/>
  <c r="BR310" i="515" s="1"/>
  <c r="BR333" i="515" s="1"/>
  <c r="BU97" i="515"/>
  <c r="BW97" i="515"/>
  <c r="CA97" i="515"/>
  <c r="CB97" i="515"/>
  <c r="CD97" i="515"/>
  <c r="CF97" i="515"/>
  <c r="CG97" i="515"/>
  <c r="AX97" i="515"/>
  <c r="BV126" i="515"/>
  <c r="BV256" i="515" s="1"/>
  <c r="BW126" i="515"/>
  <c r="BW256" i="515" s="1"/>
  <c r="BX126" i="515"/>
  <c r="BX256" i="515" s="1"/>
  <c r="BY126" i="515"/>
  <c r="BY256" i="515" s="1"/>
  <c r="BZ126" i="515"/>
  <c r="BZ256" i="515" s="1"/>
  <c r="CA126" i="515"/>
  <c r="CA256" i="515" s="1"/>
  <c r="CB126" i="515"/>
  <c r="CB256" i="515" s="1"/>
  <c r="CC126" i="515"/>
  <c r="CD126" i="515"/>
  <c r="CD128" i="515" s="1"/>
  <c r="CF126" i="515"/>
  <c r="CF256" i="515" s="1"/>
  <c r="B134" i="515"/>
  <c r="B142" i="515" s="1"/>
  <c r="D144" i="515"/>
  <c r="E127" i="515"/>
  <c r="E144" i="515" s="1"/>
  <c r="F127" i="515"/>
  <c r="G127" i="515"/>
  <c r="H127" i="515"/>
  <c r="I127" i="515"/>
  <c r="J127" i="515"/>
  <c r="L127" i="515"/>
  <c r="M127" i="515"/>
  <c r="AK127" i="515"/>
  <c r="BR127" i="515"/>
  <c r="BS127" i="515"/>
  <c r="BT127" i="515"/>
  <c r="BU127" i="515"/>
  <c r="CG127" i="515"/>
  <c r="CK127" i="515"/>
  <c r="CO127" i="515"/>
  <c r="CS127" i="515"/>
  <c r="K128" i="515"/>
  <c r="L128" i="515"/>
  <c r="L145" i="515" s="1"/>
  <c r="M128" i="515"/>
  <c r="CE128" i="515"/>
  <c r="CH128" i="515"/>
  <c r="CI128" i="515"/>
  <c r="CI346" i="515" s="1"/>
  <c r="CJ128" i="515"/>
  <c r="CL128" i="515"/>
  <c r="CM128" i="515"/>
  <c r="CN128" i="515"/>
  <c r="CN140" i="515" s="1"/>
  <c r="CN8" i="515" s="1"/>
  <c r="CO128" i="515"/>
  <c r="CP128" i="515"/>
  <c r="CQ128" i="515"/>
  <c r="CR128" i="515"/>
  <c r="CT128" i="515"/>
  <c r="CU128" i="515"/>
  <c r="CV128" i="515"/>
  <c r="CX128" i="515"/>
  <c r="CY128" i="515"/>
  <c r="CZ128" i="515"/>
  <c r="L129" i="515"/>
  <c r="M129" i="515"/>
  <c r="N129" i="515"/>
  <c r="O129" i="515"/>
  <c r="P129" i="515"/>
  <c r="Q129" i="515"/>
  <c r="R129" i="515"/>
  <c r="L130" i="515"/>
  <c r="M130" i="515"/>
  <c r="N130" i="515"/>
  <c r="O130" i="515"/>
  <c r="P130" i="515"/>
  <c r="Q130" i="515"/>
  <c r="R130" i="515"/>
  <c r="G131" i="515"/>
  <c r="H131" i="515"/>
  <c r="I131" i="515"/>
  <c r="K131" i="515"/>
  <c r="K165" i="515" s="1"/>
  <c r="P183" i="123" s="1"/>
  <c r="L131" i="515"/>
  <c r="L165" i="515" s="1"/>
  <c r="M131" i="515"/>
  <c r="O131" i="515"/>
  <c r="O165" i="515" s="1"/>
  <c r="T183" i="123" s="1"/>
  <c r="T184" i="123" s="1"/>
  <c r="P131" i="515"/>
  <c r="Q131" i="515"/>
  <c r="R131" i="515"/>
  <c r="R165" i="515" s="1"/>
  <c r="AY131" i="515"/>
  <c r="BP131" i="515"/>
  <c r="BQ131" i="515"/>
  <c r="CE131" i="515"/>
  <c r="N131" i="515" s="1"/>
  <c r="N165" i="515" s="1"/>
  <c r="G133" i="515"/>
  <c r="H133" i="515"/>
  <c r="H134" i="515" s="1"/>
  <c r="I133" i="515"/>
  <c r="AY133" i="515"/>
  <c r="AY200" i="515" s="1"/>
  <c r="C134" i="515"/>
  <c r="P134" i="515"/>
  <c r="Q134" i="515"/>
  <c r="AD134" i="515"/>
  <c r="AE134" i="515"/>
  <c r="AF134" i="515"/>
  <c r="AG134" i="515"/>
  <c r="AH134" i="515"/>
  <c r="AI134" i="515"/>
  <c r="AJ134" i="515"/>
  <c r="AL134" i="515"/>
  <c r="AM134" i="515"/>
  <c r="AM201" i="515" s="1"/>
  <c r="AN134" i="515"/>
  <c r="AO134" i="515"/>
  <c r="AP134" i="515"/>
  <c r="AQ134" i="515"/>
  <c r="AR134" i="515"/>
  <c r="AS134" i="515"/>
  <c r="AS201" i="515" s="1"/>
  <c r="AT134" i="515"/>
  <c r="AT201" i="515" s="1"/>
  <c r="AU134" i="515"/>
  <c r="AV134" i="515"/>
  <c r="AW134" i="515"/>
  <c r="AW201" i="515" s="1"/>
  <c r="AX134" i="515"/>
  <c r="AX201" i="515" s="1"/>
  <c r="AZ134" i="515"/>
  <c r="BA134" i="515"/>
  <c r="BB134" i="515"/>
  <c r="BC134" i="515"/>
  <c r="BD134" i="515"/>
  <c r="BD201" i="515" s="1"/>
  <c r="BE134" i="515"/>
  <c r="BF134" i="515"/>
  <c r="BF201" i="515" s="1"/>
  <c r="BG134" i="515"/>
  <c r="BG201" i="515" s="1"/>
  <c r="BH134" i="515"/>
  <c r="BH201" i="515" s="1"/>
  <c r="BI134" i="515"/>
  <c r="BJ134" i="515"/>
  <c r="BJ201" i="515" s="1"/>
  <c r="BK134" i="515"/>
  <c r="BL134" i="515"/>
  <c r="BL201" i="515" s="1"/>
  <c r="BM134" i="515"/>
  <c r="BM201" i="515" s="1"/>
  <c r="BN134" i="515"/>
  <c r="BO134" i="515"/>
  <c r="BP134" i="515"/>
  <c r="BP201" i="515" s="1"/>
  <c r="BQ134" i="515"/>
  <c r="BQ140" i="515"/>
  <c r="BQ8" i="515" s="1"/>
  <c r="BU134" i="515"/>
  <c r="BY134" i="515"/>
  <c r="CC134" i="515"/>
  <c r="D136" i="515"/>
  <c r="E136" i="515"/>
  <c r="AL137" i="515"/>
  <c r="AL205" i="515" s="1"/>
  <c r="AM137" i="515"/>
  <c r="AN137" i="515"/>
  <c r="AY137" i="515"/>
  <c r="AY205" i="515" s="1"/>
  <c r="AL138" i="515"/>
  <c r="AM138" i="515"/>
  <c r="AN138" i="515"/>
  <c r="AR206" i="515" s="1"/>
  <c r="AY138" i="515"/>
  <c r="AY206" i="515" s="1"/>
  <c r="BF138" i="515"/>
  <c r="BF206" i="515" s="1"/>
  <c r="BG138" i="515"/>
  <c r="BG139" i="515" s="1"/>
  <c r="BH138" i="515"/>
  <c r="BI138" i="515"/>
  <c r="BJ138" i="515"/>
  <c r="BK138" i="515"/>
  <c r="BK139" i="515" s="1"/>
  <c r="BK207" i="515" s="1"/>
  <c r="BL138" i="515"/>
  <c r="BL139" i="515" s="1"/>
  <c r="B139" i="515"/>
  <c r="C139" i="515"/>
  <c r="D139" i="515"/>
  <c r="E139" i="515"/>
  <c r="F139" i="515"/>
  <c r="AD139" i="515"/>
  <c r="AE139" i="515"/>
  <c r="AF139" i="515"/>
  <c r="AG139" i="515"/>
  <c r="AG140" i="515" s="1"/>
  <c r="AH139" i="515"/>
  <c r="AH207" i="515" s="1"/>
  <c r="AI139" i="515"/>
  <c r="AJ139" i="515"/>
  <c r="AK139" i="515"/>
  <c r="AO139" i="515"/>
  <c r="AP139" i="515"/>
  <c r="AP140" i="515" s="1"/>
  <c r="AQ139" i="515"/>
  <c r="AR139" i="515"/>
  <c r="AS139" i="515"/>
  <c r="AT139" i="515"/>
  <c r="AU139" i="515"/>
  <c r="AU140" i="515" s="1"/>
  <c r="AV139" i="515"/>
  <c r="AW139" i="515"/>
  <c r="AX139" i="515"/>
  <c r="AZ139" i="515"/>
  <c r="BA139" i="515"/>
  <c r="BB139" i="515"/>
  <c r="BC139" i="515"/>
  <c r="BD139" i="515"/>
  <c r="BE139" i="515"/>
  <c r="BF139" i="515"/>
  <c r="BM139" i="515"/>
  <c r="F140" i="515"/>
  <c r="BT140" i="515"/>
  <c r="BT8" i="515" s="1"/>
  <c r="BT16" i="515" s="1"/>
  <c r="BV140" i="515"/>
  <c r="BV8" i="515" s="1"/>
  <c r="BW140" i="515"/>
  <c r="BW8" i="515" s="1"/>
  <c r="BX140" i="515"/>
  <c r="BX8" i="515" s="1"/>
  <c r="BY140" i="515"/>
  <c r="BY8" i="515" s="1"/>
  <c r="BZ140" i="515"/>
  <c r="BZ8" i="515" s="1"/>
  <c r="CA140" i="515"/>
  <c r="CB140" i="515"/>
  <c r="CB8" i="515" s="1"/>
  <c r="CC140" i="515"/>
  <c r="CF140" i="515"/>
  <c r="CF8" i="515" s="1"/>
  <c r="CJ140" i="515"/>
  <c r="CJ8" i="515" s="1"/>
  <c r="C141" i="515"/>
  <c r="C144" i="515"/>
  <c r="P144" i="515"/>
  <c r="Q144" i="515"/>
  <c r="CP144" i="515"/>
  <c r="CQ144" i="515"/>
  <c r="CR144" i="515"/>
  <c r="CT144" i="515"/>
  <c r="CU144" i="515"/>
  <c r="CV144" i="515"/>
  <c r="CX144" i="515"/>
  <c r="CY144" i="515"/>
  <c r="CZ144" i="515"/>
  <c r="B145" i="515"/>
  <c r="C145" i="515"/>
  <c r="D145" i="515"/>
  <c r="E145" i="515"/>
  <c r="F145" i="515"/>
  <c r="G145" i="515"/>
  <c r="H145" i="515"/>
  <c r="I145" i="515"/>
  <c r="J145" i="515"/>
  <c r="M145" i="515"/>
  <c r="CT145" i="515"/>
  <c r="BV148" i="515"/>
  <c r="BW148" i="515"/>
  <c r="BW257" i="515" s="1"/>
  <c r="BX148" i="515"/>
  <c r="BX257" i="515" s="1"/>
  <c r="BY148" i="515"/>
  <c r="BZ148" i="515"/>
  <c r="CA148" i="515"/>
  <c r="CA257" i="515" s="1"/>
  <c r="CB148" i="515"/>
  <c r="CB257" i="515" s="1"/>
  <c r="CC148" i="515"/>
  <c r="CD148" i="515"/>
  <c r="CE148" i="515"/>
  <c r="CE257" i="515" s="1"/>
  <c r="CF148" i="515"/>
  <c r="CF257" i="515" s="1"/>
  <c r="CG148" i="515"/>
  <c r="L149" i="515"/>
  <c r="M149" i="515"/>
  <c r="N149" i="515"/>
  <c r="BO149" i="515"/>
  <c r="BO154" i="515" s="1"/>
  <c r="CK149" i="515"/>
  <c r="CO149" i="515"/>
  <c r="CO161" i="515" s="1"/>
  <c r="CO533" i="515" s="1"/>
  <c r="CS149" i="515"/>
  <c r="CS150" i="515" s="1"/>
  <c r="CW149" i="515"/>
  <c r="L150" i="515"/>
  <c r="M150" i="515"/>
  <c r="M347" i="515" s="1"/>
  <c r="N150" i="515"/>
  <c r="N347" i="515" s="1"/>
  <c r="BR150" i="515"/>
  <c r="BS150" i="515"/>
  <c r="BT150" i="515"/>
  <c r="BT149" i="515" s="1"/>
  <c r="BU150" i="515"/>
  <c r="CH150" i="515"/>
  <c r="CI150" i="515"/>
  <c r="CI347" i="515" s="1"/>
  <c r="CJ150" i="515"/>
  <c r="CL150" i="515"/>
  <c r="CM150" i="515"/>
  <c r="CN150" i="515"/>
  <c r="CP150" i="515"/>
  <c r="CP347" i="515" s="1"/>
  <c r="CQ150" i="515"/>
  <c r="CR150" i="515"/>
  <c r="CR347" i="515" s="1"/>
  <c r="CT150" i="515"/>
  <c r="CT157" i="515" s="1"/>
  <c r="CU150" i="515"/>
  <c r="CV150" i="515"/>
  <c r="CX150" i="515"/>
  <c r="CY150" i="515"/>
  <c r="CZ150" i="515"/>
  <c r="L151" i="515"/>
  <c r="M151" i="515"/>
  <c r="N151" i="515"/>
  <c r="O151" i="515"/>
  <c r="P151" i="515"/>
  <c r="Q151" i="515"/>
  <c r="R151" i="515"/>
  <c r="L152" i="515"/>
  <c r="M152" i="515"/>
  <c r="M164" i="515" s="1"/>
  <c r="N152" i="515"/>
  <c r="O152" i="515"/>
  <c r="P152" i="515"/>
  <c r="Q152" i="515"/>
  <c r="Q164" i="515" s="1"/>
  <c r="R152" i="515"/>
  <c r="B153" i="515"/>
  <c r="B154" i="515" s="1"/>
  <c r="C153" i="515"/>
  <c r="C154" i="515" s="1"/>
  <c r="C9" i="515" s="1"/>
  <c r="D153" i="515"/>
  <c r="D154" i="515" s="1"/>
  <c r="E153" i="515"/>
  <c r="E154" i="515" s="1"/>
  <c r="E9" i="515" s="1"/>
  <c r="F153" i="515"/>
  <c r="F154" i="515" s="1"/>
  <c r="G154" i="515"/>
  <c r="G9" i="515" s="1"/>
  <c r="H154" i="515"/>
  <c r="H9" i="515" s="1"/>
  <c r="I154" i="515"/>
  <c r="I9" i="515" s="1"/>
  <c r="J154" i="515"/>
  <c r="J9" i="515" s="1"/>
  <c r="AD154" i="515"/>
  <c r="AE154" i="515"/>
  <c r="AF154" i="515"/>
  <c r="AG154" i="515"/>
  <c r="AH154" i="515"/>
  <c r="AI154" i="515"/>
  <c r="AJ154" i="515"/>
  <c r="AK154" i="515"/>
  <c r="AL154" i="515"/>
  <c r="AM154" i="515"/>
  <c r="AN154" i="515"/>
  <c r="AO154" i="515"/>
  <c r="AP154" i="515"/>
  <c r="AQ154" i="515"/>
  <c r="AR154" i="515"/>
  <c r="AS154" i="515"/>
  <c r="AT154" i="515"/>
  <c r="AU154" i="515"/>
  <c r="AV154" i="515"/>
  <c r="AW154" i="515"/>
  <c r="AX154" i="515"/>
  <c r="AY154" i="515"/>
  <c r="AZ154" i="515"/>
  <c r="BA154" i="515"/>
  <c r="BB154" i="515"/>
  <c r="BC154" i="515"/>
  <c r="BD154" i="515"/>
  <c r="BE154" i="515"/>
  <c r="BG154" i="515"/>
  <c r="BH154" i="515"/>
  <c r="BI154" i="515"/>
  <c r="BJ154" i="515"/>
  <c r="BK154" i="515"/>
  <c r="BL154" i="515"/>
  <c r="BM154" i="515"/>
  <c r="BV154" i="515"/>
  <c r="BV9" i="515" s="1"/>
  <c r="BW154" i="515"/>
  <c r="BW9" i="515" s="1"/>
  <c r="BX154" i="515"/>
  <c r="BX9" i="515" s="1"/>
  <c r="BY154" i="515"/>
  <c r="BY9" i="515" s="1"/>
  <c r="BZ154" i="515"/>
  <c r="BZ9" i="515" s="1"/>
  <c r="CA154" i="515"/>
  <c r="CA9" i="515" s="1"/>
  <c r="CB154" i="515"/>
  <c r="CB9" i="515" s="1"/>
  <c r="CC154" i="515"/>
  <c r="CC9" i="515" s="1"/>
  <c r="CD154" i="515"/>
  <c r="CD9" i="515" s="1"/>
  <c r="CE154" i="515"/>
  <c r="CE9" i="515" s="1"/>
  <c r="CF154" i="515"/>
  <c r="CF9" i="515" s="1"/>
  <c r="CG154" i="515"/>
  <c r="CG9" i="515" s="1"/>
  <c r="CT154" i="515"/>
  <c r="CT9" i="515" s="1"/>
  <c r="CH156" i="515"/>
  <c r="CI156" i="515"/>
  <c r="CJ156" i="515"/>
  <c r="CL156" i="515"/>
  <c r="CM156" i="515"/>
  <c r="CN156" i="515"/>
  <c r="CP156" i="515"/>
  <c r="CQ156" i="515"/>
  <c r="CR156" i="515"/>
  <c r="CT156" i="515"/>
  <c r="CU156" i="515"/>
  <c r="CV156" i="515"/>
  <c r="CX156" i="515"/>
  <c r="CY156" i="515"/>
  <c r="CZ156" i="515"/>
  <c r="CP157" i="515"/>
  <c r="C161" i="515"/>
  <c r="C533" i="515" s="1"/>
  <c r="J161" i="515"/>
  <c r="P161" i="515"/>
  <c r="Q161" i="515"/>
  <c r="AD149" i="515"/>
  <c r="AD268" i="515" s="1"/>
  <c r="AD276" i="515" s="1"/>
  <c r="AG149" i="515"/>
  <c r="AG268" i="515" s="1"/>
  <c r="AG276" i="515" s="1"/>
  <c r="AK533" i="515"/>
  <c r="AM149" i="515"/>
  <c r="AM268" i="515" s="1"/>
  <c r="AM276" i="515" s="1"/>
  <c r="AQ269" i="515"/>
  <c r="AT149" i="515"/>
  <c r="AT268" i="515" s="1"/>
  <c r="AT276" i="515" s="1"/>
  <c r="AU149" i="515"/>
  <c r="AU268" i="515" s="1"/>
  <c r="AU276" i="515" s="1"/>
  <c r="AW269" i="515"/>
  <c r="AW277" i="515" s="1"/>
  <c r="BD149" i="515"/>
  <c r="BE149" i="515"/>
  <c r="BE268" i="515" s="1"/>
  <c r="BE276" i="515" s="1"/>
  <c r="BJ533" i="515"/>
  <c r="BV161" i="515"/>
  <c r="BW161" i="515"/>
  <c r="BX161" i="515"/>
  <c r="BY161" i="515"/>
  <c r="BZ161" i="515"/>
  <c r="CA161" i="515"/>
  <c r="CB161" i="515"/>
  <c r="CC161" i="515"/>
  <c r="CD161" i="515"/>
  <c r="CE161" i="515"/>
  <c r="CF161" i="515"/>
  <c r="CH161" i="515"/>
  <c r="CI161" i="515"/>
  <c r="CJ161" i="515"/>
  <c r="CL161" i="515"/>
  <c r="CM161" i="515"/>
  <c r="CN161" i="515"/>
  <c r="CP161" i="515"/>
  <c r="CQ161" i="515"/>
  <c r="CR161" i="515"/>
  <c r="CT161" i="515"/>
  <c r="CU161" i="515"/>
  <c r="CV161" i="515"/>
  <c r="CX161" i="515"/>
  <c r="CY161" i="515"/>
  <c r="DC212" i="515" s="1"/>
  <c r="CZ161" i="515"/>
  <c r="B162" i="515"/>
  <c r="C162" i="515"/>
  <c r="C160" i="515" s="1"/>
  <c r="D162" i="515"/>
  <c r="E162" i="515"/>
  <c r="F162" i="515"/>
  <c r="G162" i="515"/>
  <c r="H162" i="515"/>
  <c r="BV162" i="515"/>
  <c r="BW162" i="515"/>
  <c r="BX162" i="515"/>
  <c r="BX244" i="515" s="1"/>
  <c r="BY162" i="515"/>
  <c r="BY213" i="515" s="1"/>
  <c r="BZ162" i="515"/>
  <c r="CA162" i="515"/>
  <c r="CB162" i="515"/>
  <c r="CC162" i="515"/>
  <c r="CF162" i="515"/>
  <c r="CG162" i="515"/>
  <c r="B163" i="515"/>
  <c r="C163" i="515"/>
  <c r="D163" i="515"/>
  <c r="E163" i="515"/>
  <c r="F163" i="515"/>
  <c r="G163" i="515"/>
  <c r="H163" i="515"/>
  <c r="I163" i="515"/>
  <c r="BV163" i="515"/>
  <c r="BW163" i="515"/>
  <c r="BW537" i="515" s="1"/>
  <c r="BX163" i="515"/>
  <c r="BX537" i="515" s="1"/>
  <c r="BY163" i="515"/>
  <c r="BZ163" i="515"/>
  <c r="CA163" i="515"/>
  <c r="CB163" i="515"/>
  <c r="CB537" i="515" s="1"/>
  <c r="CC163" i="515"/>
  <c r="CD163" i="515"/>
  <c r="CE163" i="515"/>
  <c r="CF163" i="515"/>
  <c r="CG163" i="515"/>
  <c r="CH163" i="515"/>
  <c r="CI163" i="515"/>
  <c r="CJ163" i="515"/>
  <c r="CK163" i="515"/>
  <c r="CL163" i="515"/>
  <c r="CM163" i="515"/>
  <c r="CN163" i="515"/>
  <c r="CO163" i="515"/>
  <c r="CP163" i="515"/>
  <c r="CQ163" i="515"/>
  <c r="CQ245" i="515" s="1"/>
  <c r="CR163" i="515"/>
  <c r="CR214" i="515" s="1"/>
  <c r="CS163" i="515"/>
  <c r="CS214" i="515" s="1"/>
  <c r="CT163" i="515"/>
  <c r="CU163" i="515"/>
  <c r="CV163" i="515"/>
  <c r="CW163" i="515"/>
  <c r="CX163" i="515"/>
  <c r="CY163" i="515"/>
  <c r="CZ163" i="515"/>
  <c r="B164" i="515"/>
  <c r="C164" i="515"/>
  <c r="D164" i="515"/>
  <c r="E164" i="515"/>
  <c r="F164" i="515"/>
  <c r="G164" i="515"/>
  <c r="H164" i="515"/>
  <c r="I164" i="515"/>
  <c r="BV164" i="515"/>
  <c r="BW164" i="515"/>
  <c r="BX164" i="515"/>
  <c r="BY164" i="515"/>
  <c r="BZ164" i="515"/>
  <c r="CA164" i="515"/>
  <c r="CB164" i="515"/>
  <c r="CB216" i="515" s="1"/>
  <c r="CC164" i="515"/>
  <c r="CC216" i="515" s="1"/>
  <c r="CD164" i="515"/>
  <c r="CE164" i="515"/>
  <c r="CE216" i="515" s="1"/>
  <c r="CF164" i="515"/>
  <c r="CG164" i="515"/>
  <c r="CG216" i="515" s="1"/>
  <c r="CH164" i="515"/>
  <c r="CI164" i="515"/>
  <c r="CJ164" i="515"/>
  <c r="CK164" i="515"/>
  <c r="CL164" i="515"/>
  <c r="CM164" i="515"/>
  <c r="CM216" i="515" s="1"/>
  <c r="CN164" i="515"/>
  <c r="CO164" i="515"/>
  <c r="CP164" i="515"/>
  <c r="CQ164" i="515"/>
  <c r="CR164" i="515"/>
  <c r="CS164" i="515"/>
  <c r="CS216" i="515" s="1"/>
  <c r="CT164" i="515"/>
  <c r="CU164" i="515"/>
  <c r="CV164" i="515"/>
  <c r="CW164" i="515"/>
  <c r="CX164" i="515"/>
  <c r="CY164" i="515"/>
  <c r="CY439" i="515" s="1"/>
  <c r="CZ164" i="515"/>
  <c r="B165" i="515"/>
  <c r="B247" i="515" s="1"/>
  <c r="C165" i="515"/>
  <c r="D165" i="515"/>
  <c r="D247" i="515" s="1"/>
  <c r="E165" i="515"/>
  <c r="F165" i="515"/>
  <c r="K183" i="123" s="1"/>
  <c r="K184" i="123" s="1"/>
  <c r="G165" i="515"/>
  <c r="L183" i="123" s="1"/>
  <c r="I165" i="515"/>
  <c r="N183" i="123" s="1"/>
  <c r="Q165" i="515"/>
  <c r="BP165" i="515"/>
  <c r="BQ165" i="515"/>
  <c r="BV165" i="515"/>
  <c r="BW165" i="515"/>
  <c r="BW217" i="515" s="1"/>
  <c r="BX165" i="515"/>
  <c r="BY165" i="515"/>
  <c r="BZ165" i="515"/>
  <c r="CA165" i="515"/>
  <c r="CA217" i="515" s="1"/>
  <c r="CB165" i="515"/>
  <c r="CC165" i="515"/>
  <c r="CD165" i="515"/>
  <c r="CD247" i="515" s="1"/>
  <c r="CF165" i="515"/>
  <c r="CG165" i="515"/>
  <c r="CG247" i="515" s="1"/>
  <c r="CH165" i="515"/>
  <c r="CH247" i="515" s="1"/>
  <c r="CI165" i="515"/>
  <c r="CI247" i="515" s="1"/>
  <c r="CJ165" i="515"/>
  <c r="CK165" i="515"/>
  <c r="CL165" i="515"/>
  <c r="CL247" i="515" s="1"/>
  <c r="CM165" i="515"/>
  <c r="CN165" i="515"/>
  <c r="CO165" i="515"/>
  <c r="CP165" i="515"/>
  <c r="CP247" i="515" s="1"/>
  <c r="CQ165" i="515"/>
  <c r="CR165" i="515"/>
  <c r="CR217" i="515" s="1"/>
  <c r="CS165" i="515"/>
  <c r="CT165" i="515"/>
  <c r="CT247" i="515" s="1"/>
  <c r="CU165" i="515"/>
  <c r="CV165" i="515"/>
  <c r="CW165" i="515"/>
  <c r="CX165" i="515"/>
  <c r="CY165" i="515"/>
  <c r="CY217" i="515" s="1"/>
  <c r="CZ165" i="515"/>
  <c r="CZ168" i="515"/>
  <c r="B172" i="515"/>
  <c r="C172" i="515"/>
  <c r="D172" i="515"/>
  <c r="E172" i="515"/>
  <c r="CA172" i="515"/>
  <c r="CF172" i="515"/>
  <c r="CH172" i="515"/>
  <c r="CT172" i="515"/>
  <c r="CT222" i="515" s="1"/>
  <c r="AT173" i="515"/>
  <c r="AY173" i="515"/>
  <c r="AZ173" i="515"/>
  <c r="BA173" i="515"/>
  <c r="BA180" i="515" s="1"/>
  <c r="BB173" i="515"/>
  <c r="BC173" i="515"/>
  <c r="BD173" i="515"/>
  <c r="BE173" i="515"/>
  <c r="BF173" i="515"/>
  <c r="BG173" i="515"/>
  <c r="BH173" i="515"/>
  <c r="BI173" i="515"/>
  <c r="BI272" i="515" s="1"/>
  <c r="BM173" i="515"/>
  <c r="BO173" i="515"/>
  <c r="BP173" i="515"/>
  <c r="BQ173" i="515"/>
  <c r="BR173" i="515"/>
  <c r="BS173" i="515"/>
  <c r="BT173" i="515"/>
  <c r="BU173" i="515"/>
  <c r="BV173" i="515"/>
  <c r="BW173" i="515"/>
  <c r="BX173" i="515"/>
  <c r="BY173" i="515"/>
  <c r="BZ173" i="515"/>
  <c r="CB173" i="515"/>
  <c r="CC173" i="515"/>
  <c r="CD173" i="515"/>
  <c r="CE173" i="515"/>
  <c r="CG173" i="515"/>
  <c r="CG180" i="515" s="1"/>
  <c r="CS173" i="515"/>
  <c r="BR174" i="515"/>
  <c r="BS174" i="515"/>
  <c r="BT174" i="515"/>
  <c r="BX227" i="515" s="1"/>
  <c r="BU174" i="515"/>
  <c r="BU244" i="515" s="1"/>
  <c r="BV174" i="515"/>
  <c r="BW174" i="515"/>
  <c r="CA227" i="515" s="1"/>
  <c r="BY174" i="515"/>
  <c r="BY352" i="515" s="1"/>
  <c r="CC174" i="515"/>
  <c r="CD174" i="515"/>
  <c r="CG174" i="515"/>
  <c r="P175" i="515"/>
  <c r="Q175" i="515"/>
  <c r="R175" i="515"/>
  <c r="BV175" i="515"/>
  <c r="BW175" i="515"/>
  <c r="BX175" i="515"/>
  <c r="BX226" i="515" s="1"/>
  <c r="BY175" i="515"/>
  <c r="BZ175" i="515"/>
  <c r="CB175" i="515"/>
  <c r="CB424" i="515" s="1"/>
  <c r="CC175" i="515"/>
  <c r="CD175" i="515"/>
  <c r="CG175" i="515"/>
  <c r="CG424" i="515" s="1"/>
  <c r="CH175" i="515"/>
  <c r="O176" i="515"/>
  <c r="P176" i="515"/>
  <c r="Q176" i="515"/>
  <c r="R176" i="515"/>
  <c r="BV176" i="515"/>
  <c r="BW176" i="515"/>
  <c r="CA226" i="515" s="1"/>
  <c r="BX176" i="515"/>
  <c r="BY176" i="515"/>
  <c r="CB176" i="515"/>
  <c r="CB228" i="515" s="1"/>
  <c r="CC176" i="515"/>
  <c r="CD176" i="515"/>
  <c r="CD228" i="515" s="1"/>
  <c r="CG176" i="515"/>
  <c r="F177" i="515"/>
  <c r="M177" i="515"/>
  <c r="O177" i="515"/>
  <c r="P177" i="515"/>
  <c r="BE177" i="515"/>
  <c r="G177" i="515" s="1"/>
  <c r="BH177" i="515"/>
  <c r="BH229" i="515" s="1"/>
  <c r="BK177" i="515"/>
  <c r="BN177" i="515"/>
  <c r="BO177" i="515"/>
  <c r="BP177" i="515"/>
  <c r="BP229" i="515" s="1"/>
  <c r="BQ177" i="515"/>
  <c r="BU177" i="515"/>
  <c r="BX177" i="515"/>
  <c r="CB229" i="515" s="1"/>
  <c r="BY177" i="515"/>
  <c r="CE177" i="515"/>
  <c r="CQ177" i="515"/>
  <c r="CR177" i="515"/>
  <c r="CS177" i="515"/>
  <c r="CU177" i="515"/>
  <c r="CV177" i="515"/>
  <c r="CW177" i="515"/>
  <c r="CX177" i="515"/>
  <c r="CY177" i="515"/>
  <c r="F179" i="515"/>
  <c r="J179" i="515"/>
  <c r="K179" i="515"/>
  <c r="AL179" i="515"/>
  <c r="AL180" i="515" s="1"/>
  <c r="AM179" i="515"/>
  <c r="AM231" i="515" s="1"/>
  <c r="BC179" i="515"/>
  <c r="BD179" i="515"/>
  <c r="BE179" i="515"/>
  <c r="BE231" i="515"/>
  <c r="BF179" i="515"/>
  <c r="BF231" i="515" s="1"/>
  <c r="BG179" i="515"/>
  <c r="BH179" i="515"/>
  <c r="BH180" i="515" s="1"/>
  <c r="BI179" i="515"/>
  <c r="BI231" i="515"/>
  <c r="BJ179" i="515"/>
  <c r="BN231" i="515" s="1"/>
  <c r="BK179" i="515"/>
  <c r="BL179" i="515"/>
  <c r="BM179" i="515"/>
  <c r="BM231" i="515" s="1"/>
  <c r="B180" i="515"/>
  <c r="C180" i="515"/>
  <c r="D180" i="515"/>
  <c r="E180" i="515"/>
  <c r="AD180" i="515"/>
  <c r="AE180" i="515"/>
  <c r="AF180" i="515"/>
  <c r="AG180" i="515"/>
  <c r="AH180" i="515"/>
  <c r="AH232" i="515" s="1"/>
  <c r="AI180" i="515"/>
  <c r="AI232" i="515" s="1"/>
  <c r="AJ180" i="515"/>
  <c r="AJ232" i="515" s="1"/>
  <c r="AK180" i="515"/>
  <c r="AN180" i="515"/>
  <c r="AO180" i="515"/>
  <c r="AP180" i="515"/>
  <c r="AQ180" i="515"/>
  <c r="AR180" i="515"/>
  <c r="AR232" i="515" s="1"/>
  <c r="AS180" i="515"/>
  <c r="AS232" i="515" s="1"/>
  <c r="AU180" i="515"/>
  <c r="AV180" i="515"/>
  <c r="AW180" i="515"/>
  <c r="AX180" i="515"/>
  <c r="AY180" i="515"/>
  <c r="BB180" i="515"/>
  <c r="BN180" i="515"/>
  <c r="BN187" i="515" s="1"/>
  <c r="BN582" i="515" s="1"/>
  <c r="BO180" i="515"/>
  <c r="BO187" i="515" s="1"/>
  <c r="BR180" i="515"/>
  <c r="BS180" i="515"/>
  <c r="BU180" i="515"/>
  <c r="AL184" i="515"/>
  <c r="AM184" i="515"/>
  <c r="AQ236" i="515" s="1"/>
  <c r="AN184" i="515"/>
  <c r="AN236" i="515" s="1"/>
  <c r="BB184" i="515"/>
  <c r="BB236" i="515" s="1"/>
  <c r="BC184" i="515"/>
  <c r="BG236" i="515" s="1"/>
  <c r="BD184" i="515"/>
  <c r="BE184" i="515"/>
  <c r="BL184" i="515"/>
  <c r="BL236" i="515" s="1"/>
  <c r="BM184" i="515"/>
  <c r="AH185" i="515"/>
  <c r="AH237" i="515" s="1"/>
  <c r="AI185" i="515"/>
  <c r="AI186" i="515" s="1"/>
  <c r="AJ185" i="515"/>
  <c r="AJ186" i="515" s="1"/>
  <c r="AL185" i="515"/>
  <c r="AM185" i="515"/>
  <c r="AM237" i="515"/>
  <c r="AN185" i="515"/>
  <c r="BB185" i="515"/>
  <c r="BB237" i="515" s="1"/>
  <c r="BC185" i="515"/>
  <c r="BD185" i="515"/>
  <c r="BH237" i="515" s="1"/>
  <c r="BE185" i="515"/>
  <c r="BL185" i="515"/>
  <c r="BL237" i="515" s="1"/>
  <c r="BM185" i="515"/>
  <c r="BM237" i="515" s="1"/>
  <c r="B186" i="515"/>
  <c r="C186" i="515"/>
  <c r="D186" i="515"/>
  <c r="E186" i="515"/>
  <c r="F186" i="515"/>
  <c r="G186" i="515"/>
  <c r="H186" i="515"/>
  <c r="I186" i="515"/>
  <c r="J186" i="515"/>
  <c r="K186" i="515"/>
  <c r="L186" i="515"/>
  <c r="M186" i="515"/>
  <c r="N186" i="515"/>
  <c r="O186" i="515"/>
  <c r="P186" i="515"/>
  <c r="Q186" i="515"/>
  <c r="R186" i="515"/>
  <c r="S186" i="515"/>
  <c r="T186" i="515"/>
  <c r="U186" i="515"/>
  <c r="V186" i="515"/>
  <c r="W186" i="515"/>
  <c r="X186" i="515"/>
  <c r="Y186" i="515"/>
  <c r="Z186" i="515"/>
  <c r="AA186" i="515"/>
  <c r="AB186" i="515"/>
  <c r="AD186" i="515"/>
  <c r="AE186" i="515"/>
  <c r="AE187" i="515" s="1"/>
  <c r="AF186" i="515"/>
  <c r="AG186" i="515"/>
  <c r="AK186" i="515"/>
  <c r="AO186" i="515"/>
  <c r="AO187" i="515" s="1"/>
  <c r="AO22" i="515" s="1"/>
  <c r="AP186" i="515"/>
  <c r="AP187" i="515" s="1"/>
  <c r="AP22" i="515" s="1"/>
  <c r="AQ186" i="515"/>
  <c r="AR186" i="515"/>
  <c r="AS186" i="515"/>
  <c r="AT186" i="515"/>
  <c r="AU186" i="515"/>
  <c r="AU238" i="515" s="1"/>
  <c r="AV186" i="515"/>
  <c r="AW186" i="515"/>
  <c r="AX186" i="515"/>
  <c r="AY186" i="515"/>
  <c r="AY238" i="515" s="1"/>
  <c r="AZ186" i="515"/>
  <c r="BA186" i="515"/>
  <c r="BF186" i="515"/>
  <c r="BG186" i="515"/>
  <c r="BH186" i="515"/>
  <c r="BI186" i="515"/>
  <c r="BJ186" i="515"/>
  <c r="BJ238" i="515" s="1"/>
  <c r="BK186" i="515"/>
  <c r="BK238" i="515" s="1"/>
  <c r="BR187" i="515"/>
  <c r="BR22" i="515" s="1"/>
  <c r="BS187" i="515"/>
  <c r="CA187" i="515"/>
  <c r="CA22" i="515" s="1"/>
  <c r="CF187" i="515"/>
  <c r="AH194" i="515"/>
  <c r="AI194" i="515"/>
  <c r="AJ194" i="515"/>
  <c r="AL194" i="515"/>
  <c r="AM194" i="515"/>
  <c r="AN194" i="515"/>
  <c r="AP194" i="515"/>
  <c r="AQ194" i="515"/>
  <c r="AR194" i="515"/>
  <c r="AS194" i="515"/>
  <c r="AT194" i="515"/>
  <c r="AU194" i="515"/>
  <c r="AV194" i="515"/>
  <c r="AW194" i="515"/>
  <c r="AX194" i="515"/>
  <c r="AY194" i="515"/>
  <c r="AZ194" i="515"/>
  <c r="BA194" i="515"/>
  <c r="BB194" i="515"/>
  <c r="BC194" i="515"/>
  <c r="BD194" i="515"/>
  <c r="BE194" i="515"/>
  <c r="BF194" i="515"/>
  <c r="BG194" i="515"/>
  <c r="BH194" i="515"/>
  <c r="BI194" i="515"/>
  <c r="BJ194" i="515"/>
  <c r="BK194" i="515"/>
  <c r="BL194" i="515"/>
  <c r="BM194" i="515"/>
  <c r="BN194" i="515"/>
  <c r="BO194" i="515"/>
  <c r="BP194" i="515"/>
  <c r="BQ194" i="515"/>
  <c r="BT194" i="515"/>
  <c r="BV194" i="515"/>
  <c r="BX194" i="515"/>
  <c r="BZ194" i="515"/>
  <c r="CA194" i="515"/>
  <c r="CB194" i="515"/>
  <c r="CC194" i="515"/>
  <c r="CD194" i="515"/>
  <c r="CE194" i="515"/>
  <c r="CF194" i="515"/>
  <c r="BV197" i="515"/>
  <c r="BW197" i="515"/>
  <c r="BX197" i="515"/>
  <c r="BY197" i="515"/>
  <c r="BZ197" i="515"/>
  <c r="CA197" i="515"/>
  <c r="CB197" i="515"/>
  <c r="CC197" i="515"/>
  <c r="CF197" i="515"/>
  <c r="CG197" i="515"/>
  <c r="AH198" i="515"/>
  <c r="AI198" i="515"/>
  <c r="AJ198" i="515"/>
  <c r="AK198" i="515"/>
  <c r="AL198" i="515"/>
  <c r="AM198" i="515"/>
  <c r="AN198" i="515"/>
  <c r="AO198" i="515"/>
  <c r="AP198" i="515"/>
  <c r="AQ198" i="515"/>
  <c r="AR198" i="515"/>
  <c r="AS198" i="515"/>
  <c r="AT198" i="515"/>
  <c r="AU198" i="515"/>
  <c r="AV198" i="515"/>
  <c r="AW198" i="515"/>
  <c r="AX198" i="515"/>
  <c r="AZ198" i="515"/>
  <c r="BA198" i="515"/>
  <c r="BB198" i="515"/>
  <c r="BD198" i="515"/>
  <c r="BE198" i="515"/>
  <c r="BF198" i="515"/>
  <c r="BG198" i="515"/>
  <c r="BH198" i="515"/>
  <c r="BI198" i="515"/>
  <c r="BJ198" i="515"/>
  <c r="BK198" i="515"/>
  <c r="BL198" i="515"/>
  <c r="BM198" i="515"/>
  <c r="BN198" i="515"/>
  <c r="BO198" i="515"/>
  <c r="BP198" i="515"/>
  <c r="BQ198" i="515"/>
  <c r="BR198" i="515"/>
  <c r="BS198" i="515"/>
  <c r="BT198" i="515"/>
  <c r="BU198" i="515"/>
  <c r="BV198" i="515"/>
  <c r="BW198" i="515"/>
  <c r="BX198" i="515"/>
  <c r="BY198" i="515"/>
  <c r="BZ198" i="515"/>
  <c r="CA198" i="515"/>
  <c r="CB198" i="515"/>
  <c r="CC198" i="515"/>
  <c r="CD198" i="515"/>
  <c r="CF198" i="515"/>
  <c r="CG198" i="515"/>
  <c r="AH200" i="515"/>
  <c r="AI200" i="515"/>
  <c r="AJ200" i="515"/>
  <c r="AK200" i="515"/>
  <c r="AL200" i="515"/>
  <c r="AM200" i="515"/>
  <c r="AN200" i="515"/>
  <c r="AO200" i="515"/>
  <c r="AP200" i="515"/>
  <c r="AQ200" i="515"/>
  <c r="AR200" i="515"/>
  <c r="AS200" i="515"/>
  <c r="AT200" i="515"/>
  <c r="AU200" i="515"/>
  <c r="AV200" i="515"/>
  <c r="AW200" i="515"/>
  <c r="AX200" i="515"/>
  <c r="AZ200" i="515"/>
  <c r="BA200" i="515"/>
  <c r="BB200" i="515"/>
  <c r="BD200" i="515"/>
  <c r="BE200" i="515"/>
  <c r="BF200" i="515"/>
  <c r="BG200" i="515"/>
  <c r="BH200" i="515"/>
  <c r="BI200" i="515"/>
  <c r="BJ200" i="515"/>
  <c r="BK200" i="515"/>
  <c r="BL200" i="515"/>
  <c r="BM200" i="515"/>
  <c r="BN200" i="515"/>
  <c r="BO200" i="515"/>
  <c r="BP200" i="515"/>
  <c r="BQ200" i="515"/>
  <c r="BR200" i="515"/>
  <c r="BV200" i="515"/>
  <c r="BZ200" i="515"/>
  <c r="CD200" i="515"/>
  <c r="AP201" i="515"/>
  <c r="BQ201" i="515"/>
  <c r="BZ201" i="515"/>
  <c r="CD201" i="515"/>
  <c r="AH203" i="515"/>
  <c r="AI203" i="515"/>
  <c r="AJ203" i="515"/>
  <c r="AK203" i="515"/>
  <c r="AL203" i="515"/>
  <c r="AM203" i="515"/>
  <c r="AN203" i="515"/>
  <c r="AO203" i="515"/>
  <c r="AP203" i="515"/>
  <c r="AQ203" i="515"/>
  <c r="AR203" i="515"/>
  <c r="AS203" i="515"/>
  <c r="AT203" i="515"/>
  <c r="AU203" i="515"/>
  <c r="AH205" i="515"/>
  <c r="AI205" i="515"/>
  <c r="AJ205" i="515"/>
  <c r="AK205" i="515"/>
  <c r="AO205" i="515"/>
  <c r="AQ205" i="515"/>
  <c r="AR205" i="515"/>
  <c r="AS205" i="515"/>
  <c r="AT205" i="515"/>
  <c r="AU205" i="515"/>
  <c r="AV205" i="515"/>
  <c r="AW205" i="515"/>
  <c r="AX205" i="515"/>
  <c r="AZ205" i="515"/>
  <c r="BA205" i="515"/>
  <c r="BB205" i="515"/>
  <c r="BD205" i="515"/>
  <c r="BE205" i="515"/>
  <c r="BF205" i="515"/>
  <c r="BG205" i="515"/>
  <c r="BH205" i="515"/>
  <c r="BI205" i="515"/>
  <c r="BJ205" i="515"/>
  <c r="BK205" i="515"/>
  <c r="BL205" i="515"/>
  <c r="BM205" i="515"/>
  <c r="AH206" i="515"/>
  <c r="AI206" i="515"/>
  <c r="AJ206" i="515"/>
  <c r="AK206" i="515"/>
  <c r="AM206" i="515"/>
  <c r="AO206" i="515"/>
  <c r="AQ206" i="515"/>
  <c r="AS206" i="515"/>
  <c r="AT206" i="515"/>
  <c r="AU206" i="515"/>
  <c r="AV206" i="515"/>
  <c r="AW206" i="515"/>
  <c r="AX206" i="515"/>
  <c r="AZ206" i="515"/>
  <c r="BA206" i="515"/>
  <c r="BB206" i="515"/>
  <c r="BD206" i="515"/>
  <c r="BE206" i="515"/>
  <c r="BG206" i="515"/>
  <c r="BK206" i="515"/>
  <c r="AI207" i="515"/>
  <c r="CA212" i="515"/>
  <c r="CD212" i="515"/>
  <c r="CT212" i="515"/>
  <c r="CY212" i="515"/>
  <c r="BV213" i="515"/>
  <c r="CC213" i="515"/>
  <c r="CW214" i="515"/>
  <c r="CY214" i="515"/>
  <c r="CK215" i="515"/>
  <c r="CD216" i="515"/>
  <c r="CK216" i="515"/>
  <c r="CO216" i="515"/>
  <c r="BR217" i="515"/>
  <c r="BS217" i="515"/>
  <c r="BT217" i="515"/>
  <c r="CC217" i="515"/>
  <c r="CL222" i="515"/>
  <c r="CM222" i="515"/>
  <c r="CN222" i="515"/>
  <c r="CO222" i="515"/>
  <c r="CP222" i="515"/>
  <c r="CQ222" i="515"/>
  <c r="CR222" i="515"/>
  <c r="CS222" i="515"/>
  <c r="CU222" i="515"/>
  <c r="CV222" i="515"/>
  <c r="CW222" i="515"/>
  <c r="CY222" i="515"/>
  <c r="CZ222" i="515"/>
  <c r="C223" i="515"/>
  <c r="D223" i="515"/>
  <c r="E223" i="515"/>
  <c r="AH223" i="515"/>
  <c r="AI223" i="515"/>
  <c r="AJ223" i="515"/>
  <c r="AK223" i="515"/>
  <c r="AL223" i="515"/>
  <c r="AM223" i="515"/>
  <c r="AN223" i="515"/>
  <c r="AO223" i="515"/>
  <c r="AP223" i="515"/>
  <c r="AQ223" i="515"/>
  <c r="AR223" i="515"/>
  <c r="AS223" i="515"/>
  <c r="AU223" i="515"/>
  <c r="AV223" i="515"/>
  <c r="AW223" i="515"/>
  <c r="AY223" i="515"/>
  <c r="BB223" i="515"/>
  <c r="BG223" i="515"/>
  <c r="BK223" i="515"/>
  <c r="BN223" i="515"/>
  <c r="BO223" i="515"/>
  <c r="BR223" i="515"/>
  <c r="BS223" i="515"/>
  <c r="CA223" i="515"/>
  <c r="BV224" i="515"/>
  <c r="BX224" i="515"/>
  <c r="CA224" i="515"/>
  <c r="CB224" i="515"/>
  <c r="CD224" i="515"/>
  <c r="CE224" i="515"/>
  <c r="CF224" i="515"/>
  <c r="CE225" i="515"/>
  <c r="CI225" i="515"/>
  <c r="CJ225" i="515"/>
  <c r="CM225" i="515"/>
  <c r="CN225" i="515"/>
  <c r="CO225" i="515"/>
  <c r="CP225" i="515"/>
  <c r="CQ225" i="515"/>
  <c r="CR225" i="515"/>
  <c r="CS225" i="515"/>
  <c r="CT225" i="515"/>
  <c r="CU225" i="515"/>
  <c r="CV225" i="515"/>
  <c r="CW225" i="515"/>
  <c r="CX225" i="515"/>
  <c r="CY225" i="515"/>
  <c r="CZ225" i="515"/>
  <c r="BY226" i="515"/>
  <c r="CD226" i="515"/>
  <c r="CE226" i="515"/>
  <c r="CH226" i="515"/>
  <c r="CI226" i="515"/>
  <c r="CJ226" i="515"/>
  <c r="CL226" i="515"/>
  <c r="CM226" i="515"/>
  <c r="CN226" i="515"/>
  <c r="CO226" i="515"/>
  <c r="CP226" i="515"/>
  <c r="CQ226" i="515"/>
  <c r="CR226" i="515"/>
  <c r="CS226" i="515"/>
  <c r="CT226" i="515"/>
  <c r="CU226" i="515"/>
  <c r="CV226" i="515"/>
  <c r="CW226" i="515"/>
  <c r="CX226" i="515"/>
  <c r="CY226" i="515"/>
  <c r="CZ226" i="515"/>
  <c r="BV227" i="515"/>
  <c r="CB227" i="515"/>
  <c r="CD227" i="515"/>
  <c r="CE227" i="515"/>
  <c r="CF227" i="515"/>
  <c r="CA228" i="515"/>
  <c r="CE228" i="515"/>
  <c r="CF228" i="515"/>
  <c r="CH228" i="515"/>
  <c r="CI228" i="515"/>
  <c r="CJ228" i="515"/>
  <c r="CL228" i="515"/>
  <c r="CM228" i="515"/>
  <c r="CN228" i="515"/>
  <c r="CO228" i="515"/>
  <c r="CP228" i="515"/>
  <c r="CQ228" i="515"/>
  <c r="CR228" i="515"/>
  <c r="CS228" i="515"/>
  <c r="CT228" i="515"/>
  <c r="CU228" i="515"/>
  <c r="CV228" i="515"/>
  <c r="CW228" i="515"/>
  <c r="CX228" i="515"/>
  <c r="CY228" i="515"/>
  <c r="CZ228" i="515"/>
  <c r="C229" i="515"/>
  <c r="D229" i="515"/>
  <c r="E229" i="515"/>
  <c r="V229" i="515"/>
  <c r="W229" i="515"/>
  <c r="X229" i="515"/>
  <c r="Y229" i="515"/>
  <c r="Z229" i="515"/>
  <c r="AA229" i="515"/>
  <c r="AB229" i="515"/>
  <c r="AH229" i="515"/>
  <c r="AI229" i="515"/>
  <c r="AJ229" i="515"/>
  <c r="AK229" i="515"/>
  <c r="AL229" i="515"/>
  <c r="AM229" i="515"/>
  <c r="AN229" i="515"/>
  <c r="AO229" i="515"/>
  <c r="AP229" i="515"/>
  <c r="AQ229" i="515"/>
  <c r="AR229" i="515"/>
  <c r="AS229" i="515"/>
  <c r="AT229" i="515"/>
  <c r="AU229" i="515"/>
  <c r="AV229" i="515"/>
  <c r="AW229" i="515"/>
  <c r="AX229" i="515"/>
  <c r="AY229" i="515"/>
  <c r="AZ229" i="515"/>
  <c r="BA229" i="515"/>
  <c r="BB229" i="515"/>
  <c r="BC229" i="515"/>
  <c r="BD229" i="515"/>
  <c r="BE229" i="515"/>
  <c r="BF229" i="515"/>
  <c r="BG229" i="515"/>
  <c r="BJ229" i="515"/>
  <c r="BM229" i="515"/>
  <c r="BV229" i="515"/>
  <c r="BW229" i="515"/>
  <c r="BX229" i="515"/>
  <c r="BZ229" i="515"/>
  <c r="CA229" i="515"/>
  <c r="CD229" i="515"/>
  <c r="CF229" i="515"/>
  <c r="CG229" i="515"/>
  <c r="CH229" i="515"/>
  <c r="CJ229" i="515"/>
  <c r="CK229" i="515"/>
  <c r="CL229" i="515"/>
  <c r="CM229" i="515"/>
  <c r="CN229" i="515"/>
  <c r="CO229" i="515"/>
  <c r="CP229" i="515"/>
  <c r="CQ229" i="515"/>
  <c r="CR229" i="515"/>
  <c r="CT229" i="515"/>
  <c r="AH231" i="515"/>
  <c r="AI231" i="515"/>
  <c r="AJ231" i="515"/>
  <c r="AK231" i="515"/>
  <c r="AL231" i="515"/>
  <c r="AN231" i="515"/>
  <c r="AO231" i="515"/>
  <c r="AP231" i="515"/>
  <c r="AR231" i="515"/>
  <c r="AS231" i="515"/>
  <c r="AT231" i="515"/>
  <c r="AU231" i="515"/>
  <c r="AV231" i="515"/>
  <c r="AW231" i="515"/>
  <c r="AX231" i="515"/>
  <c r="AY231" i="515"/>
  <c r="AZ231" i="515"/>
  <c r="BA231" i="515"/>
  <c r="BB231" i="515"/>
  <c r="BJ231" i="515"/>
  <c r="BV232" i="515"/>
  <c r="BZ232" i="515"/>
  <c r="CA232" i="515"/>
  <c r="CB232" i="515"/>
  <c r="CD232" i="515"/>
  <c r="CE232" i="515"/>
  <c r="CF232" i="515"/>
  <c r="CH232" i="515"/>
  <c r="CI232" i="515"/>
  <c r="CJ232" i="515"/>
  <c r="AH234" i="515"/>
  <c r="AI234" i="515"/>
  <c r="AJ234" i="515"/>
  <c r="AK234" i="515"/>
  <c r="AL234" i="515"/>
  <c r="AM234" i="515"/>
  <c r="AN234" i="515"/>
  <c r="AO234" i="515"/>
  <c r="AP234" i="515"/>
  <c r="AQ234" i="515"/>
  <c r="AR234" i="515"/>
  <c r="AS234" i="515"/>
  <c r="AT234" i="515"/>
  <c r="AU234" i="515"/>
  <c r="AH236" i="515"/>
  <c r="AI236" i="515"/>
  <c r="AJ236" i="515"/>
  <c r="AK236" i="515"/>
  <c r="AO236" i="515"/>
  <c r="AS236" i="515"/>
  <c r="AT236" i="515"/>
  <c r="AU236" i="515"/>
  <c r="AV236" i="515"/>
  <c r="AW236" i="515"/>
  <c r="AX236" i="515"/>
  <c r="AY236" i="515"/>
  <c r="AZ236" i="515"/>
  <c r="BA236" i="515"/>
  <c r="BJ236" i="515"/>
  <c r="BK236" i="515"/>
  <c r="AI237" i="515"/>
  <c r="AK237" i="515"/>
  <c r="AO237" i="515"/>
  <c r="AR237" i="515"/>
  <c r="AS237" i="515"/>
  <c r="AT237" i="515"/>
  <c r="AU237" i="515"/>
  <c r="AV237" i="515"/>
  <c r="AW237" i="515"/>
  <c r="AX237" i="515"/>
  <c r="AY237" i="515"/>
  <c r="AZ237" i="515"/>
  <c r="BA237" i="515"/>
  <c r="BE237" i="515"/>
  <c r="BI237" i="515"/>
  <c r="BJ237" i="515"/>
  <c r="BK237" i="515"/>
  <c r="AV238" i="515"/>
  <c r="AG243" i="515"/>
  <c r="AM243" i="515"/>
  <c r="AO243" i="515"/>
  <c r="AQ243" i="515"/>
  <c r="AS243" i="515"/>
  <c r="AU243" i="515"/>
  <c r="AW243" i="515"/>
  <c r="BL243" i="515"/>
  <c r="BW243" i="515"/>
  <c r="CA243" i="515"/>
  <c r="BZ244" i="515"/>
  <c r="CC245" i="515"/>
  <c r="CK245" i="515"/>
  <c r="CO245" i="515"/>
  <c r="CS245" i="515"/>
  <c r="CW245" i="515"/>
  <c r="CD246" i="515"/>
  <c r="CK246" i="515"/>
  <c r="CO246" i="515"/>
  <c r="CS246" i="515"/>
  <c r="CV246" i="515"/>
  <c r="E247" i="515"/>
  <c r="BR247" i="515"/>
  <c r="BS247" i="515"/>
  <c r="BT247" i="515"/>
  <c r="CB247" i="515"/>
  <c r="CC247" i="515"/>
  <c r="CF247" i="515"/>
  <c r="CR247" i="515"/>
  <c r="BZ252" i="515"/>
  <c r="CA252" i="515"/>
  <c r="CB252" i="515"/>
  <c r="CC252" i="515"/>
  <c r="CD252" i="515"/>
  <c r="CD253" i="515" s="1"/>
  <c r="CE252" i="515"/>
  <c r="CE253" i="515" s="1"/>
  <c r="CF252" i="515"/>
  <c r="CF253" i="515" s="1"/>
  <c r="CG252" i="515"/>
  <c r="CG253" i="515" s="1"/>
  <c r="CH252" i="515"/>
  <c r="CH253" i="515" s="1"/>
  <c r="CI252" i="515"/>
  <c r="CI253" i="515" s="1"/>
  <c r="CJ252" i="515"/>
  <c r="CJ253" i="515" s="1"/>
  <c r="CK252" i="515"/>
  <c r="CK253" i="515" s="1"/>
  <c r="CL252" i="515"/>
  <c r="CL253" i="515" s="1"/>
  <c r="CM252" i="515"/>
  <c r="CM253" i="515" s="1"/>
  <c r="CN252" i="515"/>
  <c r="CN253" i="515" s="1"/>
  <c r="CO252" i="515"/>
  <c r="CO253" i="515" s="1"/>
  <c r="CP252" i="515"/>
  <c r="CP253" i="515" s="1"/>
  <c r="CQ252" i="515"/>
  <c r="CQ253" i="515" s="1"/>
  <c r="CR252" i="515"/>
  <c r="CS252" i="515"/>
  <c r="CT252" i="515"/>
  <c r="CT253" i="515" s="1"/>
  <c r="CU252" i="515"/>
  <c r="CV252" i="515"/>
  <c r="CW252" i="515"/>
  <c r="CW253" i="515" s="1"/>
  <c r="CX252" i="515"/>
  <c r="CY252" i="515"/>
  <c r="CZ253" i="515"/>
  <c r="CC256" i="515"/>
  <c r="CD256" i="515"/>
  <c r="CE256" i="515"/>
  <c r="CH256" i="515"/>
  <c r="CI256" i="515"/>
  <c r="CJ256" i="515"/>
  <c r="CL256" i="515"/>
  <c r="CM256" i="515"/>
  <c r="CN256" i="515"/>
  <c r="CO256" i="515"/>
  <c r="CP256" i="515"/>
  <c r="CQ256" i="515"/>
  <c r="CR256" i="515"/>
  <c r="CT256" i="515"/>
  <c r="CU256" i="515"/>
  <c r="CV256" i="515"/>
  <c r="CX256" i="515"/>
  <c r="CY256" i="515"/>
  <c r="CZ256" i="515"/>
  <c r="BV257" i="515"/>
  <c r="BY257" i="515"/>
  <c r="BZ257" i="515"/>
  <c r="CC257" i="515"/>
  <c r="CD257" i="515"/>
  <c r="CG257" i="515"/>
  <c r="CH257" i="515"/>
  <c r="CI257" i="515"/>
  <c r="CJ257" i="515"/>
  <c r="CL257" i="515"/>
  <c r="CM257" i="515"/>
  <c r="CN257" i="515"/>
  <c r="CP257" i="515"/>
  <c r="CQ257" i="515"/>
  <c r="CR257" i="515"/>
  <c r="CT257" i="515"/>
  <c r="CU257" i="515"/>
  <c r="CV257" i="515"/>
  <c r="CX257" i="515"/>
  <c r="CY257" i="515"/>
  <c r="CW259" i="515"/>
  <c r="B263" i="515"/>
  <c r="B272" i="515" s="1"/>
  <c r="B280" i="515" s="1"/>
  <c r="C263" i="515"/>
  <c r="D263" i="515"/>
  <c r="E263" i="515"/>
  <c r="F263" i="515"/>
  <c r="F268" i="515" s="1"/>
  <c r="F276" i="515" s="1"/>
  <c r="G263" i="515"/>
  <c r="H263" i="515"/>
  <c r="H271" i="515" s="1"/>
  <c r="H279" i="515" s="1"/>
  <c r="I263" i="515"/>
  <c r="J263" i="515"/>
  <c r="K263" i="515"/>
  <c r="L263" i="515"/>
  <c r="BO272" i="515"/>
  <c r="BO280" i="515" s="1"/>
  <c r="BQ271" i="515"/>
  <c r="BQ279" i="515" s="1"/>
  <c r="BR267" i="515"/>
  <c r="BR275" i="515" s="1"/>
  <c r="BS271" i="515"/>
  <c r="BS279" i="515" s="1"/>
  <c r="BT267" i="515"/>
  <c r="BT275" i="515" s="1"/>
  <c r="BU271" i="515"/>
  <c r="BU279" i="515" s="1"/>
  <c r="BU287" i="515" s="1"/>
  <c r="BV267" i="515"/>
  <c r="BV275" i="515" s="1"/>
  <c r="BW268" i="515"/>
  <c r="BW276" i="515" s="1"/>
  <c r="BZ267" i="515"/>
  <c r="BZ275" i="515" s="1"/>
  <c r="CA268" i="515"/>
  <c r="CA276" i="515" s="1"/>
  <c r="CD267" i="515"/>
  <c r="CD275" i="515" s="1"/>
  <c r="CE267" i="515"/>
  <c r="CE275" i="515" s="1"/>
  <c r="CG272" i="515"/>
  <c r="CG280" i="515" s="1"/>
  <c r="CL263" i="515"/>
  <c r="CL267" i="515" s="1"/>
  <c r="CL275" i="515" s="1"/>
  <c r="CM263" i="515"/>
  <c r="CM267" i="515" s="1"/>
  <c r="CM275" i="515" s="1"/>
  <c r="CN263" i="515"/>
  <c r="CO263" i="515"/>
  <c r="CP263" i="515"/>
  <c r="CP267" i="515" s="1"/>
  <c r="CP275" i="515" s="1"/>
  <c r="CQ263" i="515"/>
  <c r="CR263" i="515"/>
  <c r="CS263" i="515"/>
  <c r="CT263" i="515"/>
  <c r="CT267" i="515" s="1"/>
  <c r="CT275" i="515" s="1"/>
  <c r="CU263" i="515"/>
  <c r="CU268" i="515" s="1"/>
  <c r="CU276" i="515" s="1"/>
  <c r="CV263" i="515"/>
  <c r="CW263" i="515"/>
  <c r="CW268" i="515" s="1"/>
  <c r="CW276" i="515" s="1"/>
  <c r="CX263" i="515"/>
  <c r="CX268" i="515" s="1"/>
  <c r="CX276" i="515" s="1"/>
  <c r="CY263" i="515"/>
  <c r="CZ263" i="515"/>
  <c r="BX264" i="515"/>
  <c r="BY264" i="515"/>
  <c r="BZ264" i="515"/>
  <c r="CA264" i="515"/>
  <c r="CB264" i="515"/>
  <c r="CC264" i="515"/>
  <c r="CD264" i="515"/>
  <c r="CE264" i="515"/>
  <c r="CG264" i="515"/>
  <c r="CH264" i="515"/>
  <c r="CI264" i="515"/>
  <c r="CJ264" i="515"/>
  <c r="CK264" i="515"/>
  <c r="CL264" i="515"/>
  <c r="CM264" i="515"/>
  <c r="CN264" i="515"/>
  <c r="CO264" i="515"/>
  <c r="CP264" i="515"/>
  <c r="CQ264" i="515"/>
  <c r="CQ271" i="515" s="1"/>
  <c r="CQ279" i="515" s="1"/>
  <c r="CR264" i="515"/>
  <c r="CS264" i="515"/>
  <c r="CT264" i="515"/>
  <c r="CU264" i="515"/>
  <c r="CV264" i="515"/>
  <c r="CW264" i="515"/>
  <c r="CX264" i="515"/>
  <c r="S264" i="515" s="1"/>
  <c r="CY264" i="515"/>
  <c r="T271" i="515" s="1"/>
  <c r="T279" i="515" s="1"/>
  <c r="CZ264" i="515"/>
  <c r="AD267" i="515"/>
  <c r="AD275" i="515" s="1"/>
  <c r="AE267" i="515"/>
  <c r="AE275" i="515" s="1"/>
  <c r="AF267" i="515"/>
  <c r="AF275" i="515" s="1"/>
  <c r="AG267" i="515"/>
  <c r="AG275" i="515" s="1"/>
  <c r="AH267" i="515"/>
  <c r="AH275" i="515" s="1"/>
  <c r="AI267" i="515"/>
  <c r="AI275" i="515" s="1"/>
  <c r="AJ267" i="515"/>
  <c r="AJ275" i="515" s="1"/>
  <c r="AL267" i="515"/>
  <c r="AL275" i="515" s="1"/>
  <c r="AM267" i="515"/>
  <c r="AM275" i="515" s="1"/>
  <c r="AN267" i="515"/>
  <c r="AN275" i="515" s="1"/>
  <c r="AO267" i="515"/>
  <c r="AO275" i="515" s="1"/>
  <c r="AP267" i="515"/>
  <c r="AP275" i="515" s="1"/>
  <c r="AQ267" i="515"/>
  <c r="AQ275" i="515" s="1"/>
  <c r="AR267" i="515"/>
  <c r="AR275" i="515" s="1"/>
  <c r="AS267" i="515"/>
  <c r="AS275" i="515" s="1"/>
  <c r="AT267" i="515"/>
  <c r="AT275" i="515" s="1"/>
  <c r="AU267" i="515"/>
  <c r="AU275" i="515" s="1"/>
  <c r="AV267" i="515"/>
  <c r="AV275" i="515" s="1"/>
  <c r="AW267" i="515"/>
  <c r="AW275" i="515" s="1"/>
  <c r="AX267" i="515"/>
  <c r="AX275" i="515" s="1"/>
  <c r="AY267" i="515"/>
  <c r="AZ267" i="515"/>
  <c r="AZ275" i="515" s="1"/>
  <c r="BA267" i="515"/>
  <c r="BA275" i="515" s="1"/>
  <c r="BB267" i="515"/>
  <c r="BB275" i="515" s="1"/>
  <c r="BC267" i="515"/>
  <c r="BC275" i="515" s="1"/>
  <c r="BD267" i="515"/>
  <c r="BD275" i="515" s="1"/>
  <c r="BE267" i="515"/>
  <c r="BE275" i="515" s="1"/>
  <c r="BF267" i="515"/>
  <c r="BF275" i="515" s="1"/>
  <c r="BG267" i="515"/>
  <c r="BG275" i="515" s="1"/>
  <c r="BH267" i="515"/>
  <c r="BH275" i="515" s="1"/>
  <c r="BI267" i="515"/>
  <c r="BI275" i="515" s="1"/>
  <c r="BJ267" i="515"/>
  <c r="BJ275" i="515" s="1"/>
  <c r="BK267" i="515"/>
  <c r="BK275" i="515" s="1"/>
  <c r="BL267" i="515"/>
  <c r="BL275" i="515" s="1"/>
  <c r="BM267" i="515"/>
  <c r="BM275" i="515" s="1"/>
  <c r="BO267" i="515"/>
  <c r="BO275" i="515" s="1"/>
  <c r="BW267" i="515"/>
  <c r="BW275" i="515" s="1"/>
  <c r="CQ267" i="515"/>
  <c r="CQ275" i="515" s="1"/>
  <c r="CU267" i="515"/>
  <c r="CU275" i="515" s="1"/>
  <c r="BD268" i="515"/>
  <c r="BD276" i="515" s="1"/>
  <c r="CQ268" i="515"/>
  <c r="CQ276" i="515" s="1"/>
  <c r="AG269" i="515"/>
  <c r="AG277" i="515" s="1"/>
  <c r="AM269" i="515"/>
  <c r="AM277" i="515" s="1"/>
  <c r="AQ277" i="515"/>
  <c r="AQ285" i="515" s="1"/>
  <c r="AR269" i="515"/>
  <c r="AR277" i="515" s="1"/>
  <c r="AU269" i="515"/>
  <c r="AU277" i="515" s="1"/>
  <c r="BD269" i="515"/>
  <c r="BD277" i="515" s="1"/>
  <c r="BE269" i="515"/>
  <c r="BE277" i="515" s="1"/>
  <c r="BK269" i="515"/>
  <c r="BK277" i="515" s="1"/>
  <c r="BL269" i="515"/>
  <c r="BW269" i="515"/>
  <c r="BW277" i="515" s="1"/>
  <c r="CA269" i="515"/>
  <c r="CA277" i="515" s="1"/>
  <c r="CA285" i="515" s="1"/>
  <c r="CU269" i="515"/>
  <c r="CU277" i="515" s="1"/>
  <c r="BF271" i="515"/>
  <c r="BF279" i="515" s="1"/>
  <c r="BG271" i="515"/>
  <c r="BG279" i="515" s="1"/>
  <c r="BH271" i="515"/>
  <c r="BH279" i="515" s="1"/>
  <c r="BI271" i="515"/>
  <c r="BI279" i="515" s="1"/>
  <c r="BJ271" i="515"/>
  <c r="BJ279" i="515" s="1"/>
  <c r="BJ287" i="515" s="1"/>
  <c r="BK271" i="515"/>
  <c r="BK279" i="515" s="1"/>
  <c r="BL271" i="515"/>
  <c r="BL279" i="515" s="1"/>
  <c r="BL287" i="515" s="1"/>
  <c r="BM271" i="515"/>
  <c r="BM279" i="515" s="1"/>
  <c r="BO271" i="515"/>
  <c r="BO279" i="515" s="1"/>
  <c r="BW271" i="515"/>
  <c r="BW279" i="515" s="1"/>
  <c r="AD272" i="515"/>
  <c r="AD280" i="515" s="1"/>
  <c r="AE272" i="515"/>
  <c r="AE280" i="515" s="1"/>
  <c r="AF272" i="515"/>
  <c r="AF280" i="515" s="1"/>
  <c r="AG272" i="515"/>
  <c r="AG280" i="515" s="1"/>
  <c r="AH272" i="515"/>
  <c r="AH280" i="515" s="1"/>
  <c r="AI272" i="515"/>
  <c r="AI280" i="515" s="1"/>
  <c r="AI288" i="515" s="1"/>
  <c r="AJ272" i="515"/>
  <c r="AJ280" i="515" s="1"/>
  <c r="AJ288" i="515" s="1"/>
  <c r="AK272" i="515"/>
  <c r="AK280" i="515" s="1"/>
  <c r="AK288" i="515" s="1"/>
  <c r="AL272" i="515"/>
  <c r="AL280" i="515" s="1"/>
  <c r="AL288" i="515" s="1"/>
  <c r="AM272" i="515"/>
  <c r="AM280" i="515" s="1"/>
  <c r="AN272" i="515"/>
  <c r="AN280" i="515" s="1"/>
  <c r="AO272" i="515"/>
  <c r="AO280" i="515" s="1"/>
  <c r="AP272" i="515"/>
  <c r="AP280" i="515" s="1"/>
  <c r="AQ272" i="515"/>
  <c r="AQ280" i="515" s="1"/>
  <c r="AR272" i="515"/>
  <c r="AR280" i="515" s="1"/>
  <c r="AS272" i="515"/>
  <c r="AS280" i="515" s="1"/>
  <c r="AS288" i="515" s="1"/>
  <c r="AU272" i="515"/>
  <c r="AU280" i="515" s="1"/>
  <c r="AV272" i="515"/>
  <c r="AV280" i="515" s="1"/>
  <c r="AW272" i="515"/>
  <c r="AW280" i="515" s="1"/>
  <c r="AX272" i="515"/>
  <c r="AX280" i="515" s="1"/>
  <c r="AY272" i="515"/>
  <c r="AY280" i="515" s="1"/>
  <c r="BA272" i="515"/>
  <c r="BA280" i="515" s="1"/>
  <c r="BB272" i="515"/>
  <c r="BB280" i="515" s="1"/>
  <c r="BG272" i="515"/>
  <c r="BG280" i="515" s="1"/>
  <c r="BI280" i="515"/>
  <c r="BJ272" i="515"/>
  <c r="BJ280" i="515" s="1"/>
  <c r="BK272" i="515"/>
  <c r="BK280" i="515" s="1"/>
  <c r="BO288" i="515" s="1"/>
  <c r="BL272" i="515"/>
  <c r="BL280" i="515" s="1"/>
  <c r="BS272" i="515"/>
  <c r="BS280" i="515" s="1"/>
  <c r="BS288" i="515" s="1"/>
  <c r="BU272" i="515"/>
  <c r="BU280" i="515" s="1"/>
  <c r="CA272" i="515"/>
  <c r="CA280" i="515" s="1"/>
  <c r="AY275" i="515"/>
  <c r="AD278" i="515"/>
  <c r="AD279" i="515"/>
  <c r="U284" i="515"/>
  <c r="V284" i="515" s="1"/>
  <c r="W284" i="515" s="1"/>
  <c r="X284" i="515" s="1"/>
  <c r="Y284" i="515" s="1"/>
  <c r="Z284" i="515" s="1"/>
  <c r="AA284" i="515" s="1"/>
  <c r="AB284" i="515" s="1"/>
  <c r="B295" i="515"/>
  <c r="C295" i="515"/>
  <c r="D295" i="515"/>
  <c r="E295" i="515"/>
  <c r="F295" i="515"/>
  <c r="G295" i="515"/>
  <c r="H295" i="515"/>
  <c r="I295" i="515"/>
  <c r="J295" i="515"/>
  <c r="K295" i="515"/>
  <c r="L295" i="515"/>
  <c r="M295" i="515"/>
  <c r="M296" i="515" s="1"/>
  <c r="BZ295" i="515"/>
  <c r="CA295" i="515"/>
  <c r="CB295" i="515"/>
  <c r="CC295" i="515"/>
  <c r="CD295" i="515"/>
  <c r="CD309" i="515" s="1"/>
  <c r="CE295" i="515"/>
  <c r="CE309" i="515" s="1"/>
  <c r="CF295" i="515"/>
  <c r="CF309" i="515" s="1"/>
  <c r="CG295" i="515"/>
  <c r="CG309" i="515" s="1"/>
  <c r="CH295" i="515"/>
  <c r="CH309" i="515" s="1"/>
  <c r="CI295" i="515"/>
  <c r="CI309" i="515" s="1"/>
  <c r="CJ295" i="515"/>
  <c r="CJ309" i="515" s="1"/>
  <c r="CK295" i="515"/>
  <c r="CL295" i="515"/>
  <c r="CM295" i="515"/>
  <c r="CN295" i="515"/>
  <c r="CN309" i="515" s="1"/>
  <c r="CO295" i="515"/>
  <c r="CP295" i="515"/>
  <c r="CQ295" i="515"/>
  <c r="CR295" i="515"/>
  <c r="CS295" i="515"/>
  <c r="CS309" i="515" s="1"/>
  <c r="CT295" i="515"/>
  <c r="CU295" i="515"/>
  <c r="CV295" i="515"/>
  <c r="CV309" i="515" s="1"/>
  <c r="CW295" i="515"/>
  <c r="CX295" i="515"/>
  <c r="DB309" i="515" s="1"/>
  <c r="CY295" i="515"/>
  <c r="CZ295" i="515"/>
  <c r="CZ309" i="515" s="1"/>
  <c r="N296" i="515"/>
  <c r="O296" i="515"/>
  <c r="P296" i="515"/>
  <c r="Q296" i="515"/>
  <c r="R296" i="515"/>
  <c r="BJ296" i="515"/>
  <c r="BK296" i="515"/>
  <c r="BK304" i="515" s="1"/>
  <c r="BL296" i="515"/>
  <c r="BL304" i="515" s="1"/>
  <c r="BN296" i="515"/>
  <c r="BN295" i="515" s="1"/>
  <c r="BO296" i="515"/>
  <c r="BP296" i="515"/>
  <c r="BP304" i="515" s="1"/>
  <c r="BT296" i="515"/>
  <c r="BV296" i="515"/>
  <c r="BV295" i="515" s="1"/>
  <c r="BW296" i="515"/>
  <c r="BX296" i="515"/>
  <c r="BX252" i="515" s="1"/>
  <c r="BV299" i="515"/>
  <c r="BW299" i="515"/>
  <c r="BX299" i="515"/>
  <c r="BY299" i="515"/>
  <c r="BZ299" i="515"/>
  <c r="CA299" i="515"/>
  <c r="CA311" i="515" s="1"/>
  <c r="CB299" i="515"/>
  <c r="CC299" i="515"/>
  <c r="CC329" i="515" s="1"/>
  <c r="CD299" i="515"/>
  <c r="CE299" i="515"/>
  <c r="CE297" i="515" s="1"/>
  <c r="CF299" i="515"/>
  <c r="CF297" i="515" s="1"/>
  <c r="CG299" i="515"/>
  <c r="CG297" i="515" s="1"/>
  <c r="CH299" i="515"/>
  <c r="CI299" i="515"/>
  <c r="CJ299" i="515"/>
  <c r="CJ297" i="515" s="1"/>
  <c r="CK299" i="515"/>
  <c r="CK297" i="515" s="1"/>
  <c r="CL299" i="515"/>
  <c r="CM299" i="515"/>
  <c r="CM297" i="515" s="1"/>
  <c r="CN299" i="515"/>
  <c r="CO299" i="515"/>
  <c r="CO297" i="515" s="1"/>
  <c r="CP299" i="515"/>
  <c r="CQ299" i="515"/>
  <c r="CQ297" i="515" s="1"/>
  <c r="CR299" i="515"/>
  <c r="CR297" i="515" s="1"/>
  <c r="CS299" i="515"/>
  <c r="CT299" i="515"/>
  <c r="CT297" i="515" s="1"/>
  <c r="CU299" i="515"/>
  <c r="CU297" i="515" s="1"/>
  <c r="CV299" i="515"/>
  <c r="CV297" i="515" s="1"/>
  <c r="CW299" i="515"/>
  <c r="CX299" i="515"/>
  <c r="DB311" i="515" s="1"/>
  <c r="CY299" i="515"/>
  <c r="DC311" i="515" s="1"/>
  <c r="CZ299" i="515"/>
  <c r="BV300" i="515"/>
  <c r="BW300" i="515"/>
  <c r="BX300" i="515"/>
  <c r="BY300" i="515"/>
  <c r="BZ300" i="515"/>
  <c r="BZ312" i="515" s="1"/>
  <c r="CA300" i="515"/>
  <c r="CA312" i="515" s="1"/>
  <c r="CB300" i="515"/>
  <c r="CC300" i="515"/>
  <c r="CC312" i="515" s="1"/>
  <c r="CD300" i="515"/>
  <c r="CI300" i="515"/>
  <c r="CJ300" i="515"/>
  <c r="CL300" i="515"/>
  <c r="CM300" i="515"/>
  <c r="CN300" i="515"/>
  <c r="CO300" i="515"/>
  <c r="CP300" i="515"/>
  <c r="CQ300" i="515"/>
  <c r="CQ312" i="515" s="1"/>
  <c r="CR300" i="515"/>
  <c r="CS300" i="515"/>
  <c r="CS312" i="515" s="1"/>
  <c r="CT300" i="515"/>
  <c r="CU300" i="515"/>
  <c r="CV300" i="515"/>
  <c r="CW300" i="515"/>
  <c r="DA312" i="515" s="1"/>
  <c r="CX300" i="515"/>
  <c r="CY300" i="515"/>
  <c r="DC312" i="515" s="1"/>
  <c r="CZ300" i="515"/>
  <c r="O301" i="515"/>
  <c r="P301" i="515"/>
  <c r="Q301" i="515"/>
  <c r="R301" i="515"/>
  <c r="P302" i="515"/>
  <c r="Q302" i="515"/>
  <c r="R302" i="515"/>
  <c r="CE302" i="515"/>
  <c r="CE300" i="515" s="1"/>
  <c r="CF302" i="515"/>
  <c r="CF300" i="515" s="1"/>
  <c r="CG302" i="515"/>
  <c r="CH302" i="515"/>
  <c r="CH300" i="515" s="1"/>
  <c r="C305" i="515"/>
  <c r="D305" i="515"/>
  <c r="E305" i="515"/>
  <c r="F305" i="515"/>
  <c r="G305" i="515"/>
  <c r="H305" i="515"/>
  <c r="I305" i="515"/>
  <c r="J305" i="515"/>
  <c r="K305" i="515"/>
  <c r="L305" i="515"/>
  <c r="M305" i="515"/>
  <c r="N305" i="515"/>
  <c r="O305" i="515"/>
  <c r="P305" i="515"/>
  <c r="Q305" i="515"/>
  <c r="R305" i="515"/>
  <c r="BN305" i="515"/>
  <c r="BO305" i="515"/>
  <c r="BP305" i="515"/>
  <c r="BQ305" i="515"/>
  <c r="BR305" i="515"/>
  <c r="BS305" i="515"/>
  <c r="BT305" i="515"/>
  <c r="BU305" i="515"/>
  <c r="BV305" i="515"/>
  <c r="BW305" i="515"/>
  <c r="BX305" i="515"/>
  <c r="BY305" i="515"/>
  <c r="BZ305" i="515"/>
  <c r="CA305" i="515"/>
  <c r="CB305" i="515"/>
  <c r="CU305" i="515"/>
  <c r="CV305" i="515"/>
  <c r="CW305" i="515"/>
  <c r="CX305" i="515"/>
  <c r="CY305" i="515"/>
  <c r="CZ305" i="515"/>
  <c r="DG291" i="515"/>
  <c r="DH291" i="515"/>
  <c r="C306" i="515"/>
  <c r="D306" i="515"/>
  <c r="E306" i="515"/>
  <c r="F306" i="515"/>
  <c r="G306" i="515"/>
  <c r="H306" i="515"/>
  <c r="I306" i="515"/>
  <c r="J306" i="515"/>
  <c r="K306" i="515"/>
  <c r="L306" i="515"/>
  <c r="BN306" i="515"/>
  <c r="BO306" i="515"/>
  <c r="BP306" i="515"/>
  <c r="BQ306" i="515"/>
  <c r="BR306" i="515"/>
  <c r="BS306" i="515"/>
  <c r="BT306" i="515"/>
  <c r="BU306" i="515"/>
  <c r="BV306" i="515"/>
  <c r="BW306" i="515"/>
  <c r="BX306" i="515"/>
  <c r="BY306" i="515"/>
  <c r="C307" i="515"/>
  <c r="D307" i="515"/>
  <c r="E307" i="515"/>
  <c r="F307" i="515"/>
  <c r="G307" i="515"/>
  <c r="H307" i="515"/>
  <c r="I307" i="515"/>
  <c r="J307" i="515"/>
  <c r="K307" i="515"/>
  <c r="L307" i="515"/>
  <c r="BN307" i="515"/>
  <c r="BO307" i="515"/>
  <c r="BP307" i="515"/>
  <c r="BQ307" i="515"/>
  <c r="BR307" i="515"/>
  <c r="BS307" i="515"/>
  <c r="BT307" i="515"/>
  <c r="BU307" i="515"/>
  <c r="BV307" i="515"/>
  <c r="BW307" i="515"/>
  <c r="BX307" i="515"/>
  <c r="BY307" i="515"/>
  <c r="C308" i="515"/>
  <c r="D308" i="515"/>
  <c r="E308" i="515"/>
  <c r="F308" i="515"/>
  <c r="G308" i="515"/>
  <c r="H308" i="515"/>
  <c r="I308" i="515"/>
  <c r="J308" i="515"/>
  <c r="K308" i="515"/>
  <c r="L308" i="515"/>
  <c r="BN308" i="515"/>
  <c r="BO308" i="515"/>
  <c r="BP308" i="515"/>
  <c r="BQ308" i="515"/>
  <c r="BR308" i="515"/>
  <c r="BS308" i="515"/>
  <c r="BT308" i="515"/>
  <c r="BU308" i="515"/>
  <c r="BV308" i="515"/>
  <c r="BW308" i="515"/>
  <c r="BX308" i="515"/>
  <c r="BY308" i="515"/>
  <c r="O309" i="515"/>
  <c r="P309" i="515"/>
  <c r="Q309" i="515"/>
  <c r="R309" i="515"/>
  <c r="C310" i="515"/>
  <c r="D310" i="515"/>
  <c r="E310" i="515"/>
  <c r="F310" i="515"/>
  <c r="G310" i="515"/>
  <c r="H310" i="515"/>
  <c r="I310" i="515"/>
  <c r="J310" i="515"/>
  <c r="K310" i="515"/>
  <c r="L310" i="515"/>
  <c r="CE311" i="515"/>
  <c r="CF311" i="515"/>
  <c r="CG311" i="515"/>
  <c r="CH311" i="515"/>
  <c r="CI311" i="515"/>
  <c r="CJ311" i="515"/>
  <c r="CK311" i="515"/>
  <c r="CI312" i="515"/>
  <c r="CJ312" i="515"/>
  <c r="CK312" i="515"/>
  <c r="CL315" i="515"/>
  <c r="CN315" i="515"/>
  <c r="CO315" i="515"/>
  <c r="CP315" i="515"/>
  <c r="CP321" i="515" s="1"/>
  <c r="CQ315" i="515"/>
  <c r="CR315" i="515"/>
  <c r="CS315" i="515"/>
  <c r="CT315" i="515"/>
  <c r="CT321" i="515" s="1"/>
  <c r="CU315" i="515"/>
  <c r="CU321" i="515" s="1"/>
  <c r="CV323" i="515" s="1"/>
  <c r="CV317" i="515" s="1"/>
  <c r="CV315" i="515"/>
  <c r="CV321" i="515" s="1"/>
  <c r="CW315" i="515"/>
  <c r="CX315" i="515"/>
  <c r="CY315" i="515"/>
  <c r="CY321" i="515" s="1"/>
  <c r="CZ321" i="515" s="1"/>
  <c r="CZ315" i="515" s="1"/>
  <c r="DA315" i="515"/>
  <c r="DB315" i="515"/>
  <c r="CL316" i="515"/>
  <c r="CM316" i="515"/>
  <c r="CN316" i="515"/>
  <c r="CO316" i="515"/>
  <c r="CP316" i="515"/>
  <c r="CQ316" i="515"/>
  <c r="CR316" i="515"/>
  <c r="CS316" i="515"/>
  <c r="CT316" i="515"/>
  <c r="CU316" i="515"/>
  <c r="CV316" i="515"/>
  <c r="CW316" i="515"/>
  <c r="CX316" i="515"/>
  <c r="CY316" i="515"/>
  <c r="CZ316" i="515"/>
  <c r="DA316" i="515"/>
  <c r="DB316" i="515"/>
  <c r="DC316" i="515"/>
  <c r="CC317" i="515"/>
  <c r="CL317" i="515"/>
  <c r="CO317" i="515"/>
  <c r="CO323" i="515" s="1"/>
  <c r="CP317" i="515"/>
  <c r="CQ317" i="515"/>
  <c r="CQ323" i="515" s="1"/>
  <c r="CR317" i="515"/>
  <c r="CS317" i="515"/>
  <c r="CT317" i="515"/>
  <c r="CU317" i="515"/>
  <c r="CW317" i="515"/>
  <c r="CX317" i="515"/>
  <c r="CY317" i="515"/>
  <c r="CZ317" i="515"/>
  <c r="DA317" i="515"/>
  <c r="DB317" i="515"/>
  <c r="DC317" i="515"/>
  <c r="CK318" i="515"/>
  <c r="CM318" i="515"/>
  <c r="CO318" i="515"/>
  <c r="CQ318" i="515"/>
  <c r="CR318" i="515"/>
  <c r="CS318" i="515"/>
  <c r="CU318" i="515"/>
  <c r="CV318" i="515"/>
  <c r="CW318" i="515"/>
  <c r="CX318" i="515"/>
  <c r="CY318" i="515"/>
  <c r="CZ318" i="515"/>
  <c r="DA318" i="515"/>
  <c r="DB318" i="515"/>
  <c r="DC318" i="515"/>
  <c r="BV319" i="515"/>
  <c r="CJ319" i="515"/>
  <c r="CJ316" i="515" s="1"/>
  <c r="CJ323" i="515" s="1"/>
  <c r="CN324" i="515" s="1"/>
  <c r="CN318" i="515" s="1"/>
  <c r="CM319" i="515"/>
  <c r="CO319" i="515"/>
  <c r="CP319" i="515"/>
  <c r="CQ319" i="515"/>
  <c r="CR319" i="515"/>
  <c r="CS319" i="515"/>
  <c r="CT319" i="515"/>
  <c r="CU319" i="515"/>
  <c r="CV319" i="515"/>
  <c r="CW319" i="515"/>
  <c r="CY319" i="515"/>
  <c r="CZ319" i="515"/>
  <c r="DB319" i="515"/>
  <c r="DC319" i="515"/>
  <c r="CH323" i="515"/>
  <c r="CL324" i="515" s="1"/>
  <c r="CL318" i="515" s="1"/>
  <c r="CG325" i="515"/>
  <c r="CK325" i="515" s="1"/>
  <c r="CK319" i="515" s="1"/>
  <c r="CL325" i="515"/>
  <c r="CX325" i="515"/>
  <c r="CX319" i="515" s="1"/>
  <c r="BZ330" i="515"/>
  <c r="CA330" i="515"/>
  <c r="CB330" i="515"/>
  <c r="CC330" i="515"/>
  <c r="CC331" i="515"/>
  <c r="BJ333" i="515"/>
  <c r="BK333" i="515"/>
  <c r="BL333" i="515"/>
  <c r="BM333" i="515"/>
  <c r="F338" i="515"/>
  <c r="G338" i="515"/>
  <c r="H338" i="515"/>
  <c r="I338" i="515"/>
  <c r="J338" i="515"/>
  <c r="K338" i="515"/>
  <c r="L338" i="515"/>
  <c r="R338" i="515"/>
  <c r="AW338" i="515"/>
  <c r="AX338" i="515"/>
  <c r="AY338" i="515"/>
  <c r="AZ338" i="515"/>
  <c r="BA338" i="515"/>
  <c r="BB338" i="515"/>
  <c r="BC338" i="515"/>
  <c r="BD338" i="515"/>
  <c r="BE338" i="515"/>
  <c r="BF338" i="515"/>
  <c r="BG338" i="515"/>
  <c r="BH338" i="515"/>
  <c r="BI338" i="515"/>
  <c r="BJ338" i="515"/>
  <c r="BK338" i="515"/>
  <c r="BL338" i="515"/>
  <c r="BM338" i="515"/>
  <c r="BN338" i="515"/>
  <c r="BO338" i="515"/>
  <c r="BP338" i="515"/>
  <c r="BQ338" i="515"/>
  <c r="BR338" i="515"/>
  <c r="BS338" i="515"/>
  <c r="BT338" i="515"/>
  <c r="BV338" i="515"/>
  <c r="BW338" i="515"/>
  <c r="BX338" i="515"/>
  <c r="BY338" i="515"/>
  <c r="BZ338" i="515"/>
  <c r="CA338" i="515"/>
  <c r="CB338" i="515"/>
  <c r="CC338" i="515"/>
  <c r="CD338" i="515"/>
  <c r="CE338" i="515"/>
  <c r="CF338" i="515"/>
  <c r="CG338" i="515"/>
  <c r="CH338" i="515"/>
  <c r="CI338" i="515"/>
  <c r="CJ338" i="515"/>
  <c r="CK338" i="515"/>
  <c r="CL338" i="515"/>
  <c r="CM338" i="515"/>
  <c r="CN338" i="515"/>
  <c r="CO338" i="515"/>
  <c r="CP338" i="515"/>
  <c r="CQ338" i="515"/>
  <c r="CR338" i="515"/>
  <c r="CS338" i="515"/>
  <c r="CT338" i="515"/>
  <c r="CU338" i="515"/>
  <c r="CV338" i="515"/>
  <c r="CW338" i="515"/>
  <c r="CX338" i="515"/>
  <c r="CY338" i="515"/>
  <c r="CZ338" i="515"/>
  <c r="K343" i="515"/>
  <c r="L343" i="515"/>
  <c r="M343" i="515"/>
  <c r="N343" i="515"/>
  <c r="O343" i="515"/>
  <c r="P343" i="515"/>
  <c r="Q343" i="515"/>
  <c r="R343" i="515"/>
  <c r="S344" i="515" s="1"/>
  <c r="DG343" i="515"/>
  <c r="DH343" i="515"/>
  <c r="BV344" i="515"/>
  <c r="BW344" i="515"/>
  <c r="BX344" i="515"/>
  <c r="BY344" i="515"/>
  <c r="BZ344" i="515"/>
  <c r="CA344" i="515"/>
  <c r="CB344" i="515"/>
  <c r="CC344" i="515"/>
  <c r="CD344" i="515"/>
  <c r="CE344" i="515"/>
  <c r="CF344" i="515"/>
  <c r="CG344" i="515"/>
  <c r="CH344" i="515"/>
  <c r="CI344" i="515"/>
  <c r="CJ344" i="515"/>
  <c r="CK344" i="515"/>
  <c r="CL344" i="515"/>
  <c r="CM344" i="515"/>
  <c r="CN344" i="515"/>
  <c r="CO344" i="515"/>
  <c r="CP344" i="515"/>
  <c r="CQ344" i="515"/>
  <c r="CR344" i="515"/>
  <c r="CS344" i="515"/>
  <c r="CT344" i="515"/>
  <c r="CU344" i="515"/>
  <c r="CV344" i="515"/>
  <c r="CW344" i="515"/>
  <c r="CX344" i="515"/>
  <c r="CY344" i="515"/>
  <c r="CZ344" i="515"/>
  <c r="M346" i="515"/>
  <c r="BR346" i="515"/>
  <c r="BS346" i="515"/>
  <c r="BT346" i="515"/>
  <c r="BU346" i="515"/>
  <c r="BV346" i="515"/>
  <c r="BW346" i="515"/>
  <c r="BX346" i="515"/>
  <c r="BY346" i="515"/>
  <c r="BZ346" i="515"/>
  <c r="CA346" i="515"/>
  <c r="CB346" i="515"/>
  <c r="CC346" i="515"/>
  <c r="CF346" i="515"/>
  <c r="CG346" i="515"/>
  <c r="CH346" i="515"/>
  <c r="CN346" i="515"/>
  <c r="CX346" i="515"/>
  <c r="K347" i="515"/>
  <c r="K150" i="515" s="1"/>
  <c r="BT347" i="515"/>
  <c r="BT348" i="515" s="1"/>
  <c r="BV347" i="515"/>
  <c r="BW347" i="515"/>
  <c r="BX347" i="515"/>
  <c r="BY347" i="515"/>
  <c r="BZ347" i="515"/>
  <c r="CA347" i="515"/>
  <c r="CB347" i="515"/>
  <c r="CC347" i="515"/>
  <c r="CD347" i="515"/>
  <c r="CE347" i="515"/>
  <c r="CF347" i="515"/>
  <c r="CG347" i="515"/>
  <c r="CH347" i="515"/>
  <c r="CM347" i="515"/>
  <c r="CN347" i="515"/>
  <c r="CT347" i="515"/>
  <c r="CX347" i="515"/>
  <c r="CY347" i="515"/>
  <c r="J348" i="515"/>
  <c r="BS352" i="515"/>
  <c r="BT352" i="515"/>
  <c r="BU352" i="515"/>
  <c r="BW352" i="515"/>
  <c r="BX352" i="515"/>
  <c r="BZ352" i="515"/>
  <c r="CA352" i="515"/>
  <c r="CB352" i="515"/>
  <c r="CD352" i="515"/>
  <c r="CE352" i="515"/>
  <c r="CF352" i="515"/>
  <c r="CG352" i="515"/>
  <c r="J353" i="515"/>
  <c r="BR356" i="515"/>
  <c r="BR363" i="515" s="1"/>
  <c r="BS356" i="515"/>
  <c r="BS363" i="515" s="1"/>
  <c r="BT356" i="515"/>
  <c r="BT363" i="515" s="1"/>
  <c r="BU356" i="515"/>
  <c r="BU363" i="515" s="1"/>
  <c r="BV356" i="515"/>
  <c r="BV363" i="515" s="1"/>
  <c r="BV371" i="515" s="1"/>
  <c r="BW356" i="515"/>
  <c r="BW363" i="515" s="1"/>
  <c r="BW371" i="515" s="1"/>
  <c r="BX356" i="515"/>
  <c r="BX363" i="515" s="1"/>
  <c r="BX371" i="515" s="1"/>
  <c r="BY356" i="515"/>
  <c r="BY363" i="515" s="1"/>
  <c r="BZ356" i="515"/>
  <c r="BZ363" i="515" s="1"/>
  <c r="CA356" i="515"/>
  <c r="CA363" i="515" s="1"/>
  <c r="CB356" i="515"/>
  <c r="CB363" i="515" s="1"/>
  <c r="CB371" i="515" s="1"/>
  <c r="CC356" i="515"/>
  <c r="CC363" i="515" s="1"/>
  <c r="CF356" i="515"/>
  <c r="CF363" i="515" s="1"/>
  <c r="CG356" i="515"/>
  <c r="CG363" i="515" s="1"/>
  <c r="CN356" i="515"/>
  <c r="CN363" i="515" s="1"/>
  <c r="CX356" i="515"/>
  <c r="CX363" i="515" s="1"/>
  <c r="BR357" i="515"/>
  <c r="BR364" i="515" s="1"/>
  <c r="BS357" i="515"/>
  <c r="BS364" i="515" s="1"/>
  <c r="BT357" i="515"/>
  <c r="BT364" i="515" s="1"/>
  <c r="BU357" i="515"/>
  <c r="BU364" i="515" s="1"/>
  <c r="BV357" i="515"/>
  <c r="BV364" i="515" s="1"/>
  <c r="BY357" i="515"/>
  <c r="BY364" i="515" s="1"/>
  <c r="BZ357" i="515"/>
  <c r="BZ364" i="515" s="1"/>
  <c r="CC357" i="515"/>
  <c r="CC364" i="515" s="1"/>
  <c r="BR358" i="515"/>
  <c r="BR365" i="515" s="1"/>
  <c r="BS358" i="515"/>
  <c r="BS365" i="515" s="1"/>
  <c r="BT358" i="515"/>
  <c r="BT365" i="515" s="1"/>
  <c r="BU358" i="515"/>
  <c r="BV358" i="515"/>
  <c r="BV365" i="515" s="1"/>
  <c r="BV373" i="515" s="1"/>
  <c r="BY358" i="515"/>
  <c r="BZ358" i="515"/>
  <c r="BZ365" i="515" s="1"/>
  <c r="CB358" i="515"/>
  <c r="CC358" i="515"/>
  <c r="BR360" i="515"/>
  <c r="BR367" i="515" s="1"/>
  <c r="BT360" i="515"/>
  <c r="BT367" i="515" s="1"/>
  <c r="BU360" i="515"/>
  <c r="BW360" i="515"/>
  <c r="BW367" i="515" s="1"/>
  <c r="BX360" i="515"/>
  <c r="BX367" i="515" s="1"/>
  <c r="BY360" i="515"/>
  <c r="BY367" i="515" s="1"/>
  <c r="BZ360" i="515"/>
  <c r="CA360" i="515"/>
  <c r="CA367" i="515" s="1"/>
  <c r="CB360" i="515"/>
  <c r="CB367" i="515" s="1"/>
  <c r="CC360" i="515"/>
  <c r="CC367" i="515" s="1"/>
  <c r="CC375" i="515" s="1"/>
  <c r="CD360" i="515"/>
  <c r="CE360" i="515"/>
  <c r="CE367" i="515" s="1"/>
  <c r="CF360" i="515"/>
  <c r="CF367" i="515" s="1"/>
  <c r="CG360" i="515"/>
  <c r="CG367" i="515" s="1"/>
  <c r="BR378" i="515"/>
  <c r="BS379" i="515"/>
  <c r="BT379" i="515"/>
  <c r="BV379" i="515"/>
  <c r="BW379" i="515"/>
  <c r="BX379" i="515"/>
  <c r="BY379" i="515"/>
  <c r="BZ379" i="515"/>
  <c r="CA379" i="515"/>
  <c r="CB379" i="515"/>
  <c r="CD379" i="515"/>
  <c r="CE379" i="515"/>
  <c r="CH379" i="515"/>
  <c r="CI379" i="515"/>
  <c r="BR380" i="515"/>
  <c r="CP380" i="515"/>
  <c r="CQ380" i="515"/>
  <c r="CR380" i="515"/>
  <c r="CS380" i="515"/>
  <c r="CT380" i="515"/>
  <c r="CU380" i="515"/>
  <c r="CV380" i="515"/>
  <c r="CW380" i="515"/>
  <c r="CX380" i="515"/>
  <c r="CY380" i="515"/>
  <c r="CZ380" i="515"/>
  <c r="E385" i="515"/>
  <c r="E386" i="515" s="1"/>
  <c r="M385" i="515"/>
  <c r="N385" i="515"/>
  <c r="O385" i="515"/>
  <c r="P385" i="515"/>
  <c r="Q385" i="515"/>
  <c r="R385" i="515"/>
  <c r="S386" i="515" s="1"/>
  <c r="BP397" i="515"/>
  <c r="BX386" i="515"/>
  <c r="DH385" i="515"/>
  <c r="C386" i="515"/>
  <c r="D386" i="515"/>
  <c r="BZ386" i="515"/>
  <c r="CA386" i="515"/>
  <c r="CB386" i="515"/>
  <c r="CC386" i="515"/>
  <c r="CD386" i="515"/>
  <c r="CE386" i="515"/>
  <c r="CF386" i="515"/>
  <c r="CG386" i="515"/>
  <c r="CH386" i="515"/>
  <c r="CI386" i="515"/>
  <c r="CJ386" i="515"/>
  <c r="CK386" i="515"/>
  <c r="CL386" i="515"/>
  <c r="CM386" i="515"/>
  <c r="CN386" i="515"/>
  <c r="CO386" i="515"/>
  <c r="CP386" i="515"/>
  <c r="CQ386" i="515"/>
  <c r="CR386" i="515"/>
  <c r="CS386" i="515"/>
  <c r="CT386" i="515"/>
  <c r="CU386" i="515"/>
  <c r="CV386" i="515"/>
  <c r="CW386" i="515"/>
  <c r="CX386" i="515"/>
  <c r="CY386" i="515"/>
  <c r="CZ386" i="515"/>
  <c r="CE388" i="515"/>
  <c r="CE389" i="515"/>
  <c r="CX389" i="515"/>
  <c r="CV390" i="515"/>
  <c r="BV392" i="515"/>
  <c r="BW392" i="515"/>
  <c r="BX392" i="515"/>
  <c r="BY392" i="515"/>
  <c r="BZ392" i="515"/>
  <c r="CA392" i="515"/>
  <c r="CB392" i="515"/>
  <c r="CC392" i="515"/>
  <c r="CD392" i="515"/>
  <c r="CE392" i="515"/>
  <c r="CF392" i="515"/>
  <c r="CG392" i="515"/>
  <c r="CH392" i="515"/>
  <c r="CI392" i="515"/>
  <c r="CJ392" i="515"/>
  <c r="CK392" i="515"/>
  <c r="CL392" i="515"/>
  <c r="CM392" i="515"/>
  <c r="CN392" i="515"/>
  <c r="CO392" i="515"/>
  <c r="CP392" i="515"/>
  <c r="CQ392" i="515"/>
  <c r="CR392" i="515"/>
  <c r="CS392" i="515"/>
  <c r="CT392" i="515"/>
  <c r="CU392" i="515"/>
  <c r="CV392" i="515"/>
  <c r="CW392" i="515"/>
  <c r="CX392" i="515"/>
  <c r="CY392" i="515"/>
  <c r="CZ392" i="515"/>
  <c r="BV394" i="515"/>
  <c r="BW394" i="515"/>
  <c r="BX394" i="515"/>
  <c r="BY394" i="515"/>
  <c r="BZ394" i="515"/>
  <c r="CA394" i="515"/>
  <c r="CB394" i="515"/>
  <c r="CC394" i="515"/>
  <c r="CD394" i="515"/>
  <c r="CE394" i="515"/>
  <c r="CF394" i="515"/>
  <c r="CG394" i="515"/>
  <c r="CH394" i="515"/>
  <c r="CI394" i="515"/>
  <c r="CJ394" i="515"/>
  <c r="CK394" i="515"/>
  <c r="CL394" i="515"/>
  <c r="CM394" i="515"/>
  <c r="CN394" i="515"/>
  <c r="CO394" i="515"/>
  <c r="CP394" i="515"/>
  <c r="CQ394" i="515"/>
  <c r="CR394" i="515"/>
  <c r="CS394" i="515"/>
  <c r="CT394" i="515"/>
  <c r="CU394" i="515"/>
  <c r="CV394" i="515"/>
  <c r="CW394" i="515"/>
  <c r="CX394" i="515"/>
  <c r="CY394" i="515"/>
  <c r="CZ394" i="515"/>
  <c r="B397" i="515"/>
  <c r="C397" i="515"/>
  <c r="G397" i="515"/>
  <c r="BR396" i="515"/>
  <c r="BS396" i="515"/>
  <c r="BV396" i="515"/>
  <c r="BV397" i="515" s="1"/>
  <c r="BW396" i="515"/>
  <c r="BW397" i="515" s="1"/>
  <c r="BX396" i="515"/>
  <c r="BX398" i="515" s="1"/>
  <c r="BX399" i="515" s="1"/>
  <c r="BY396" i="515"/>
  <c r="BZ396" i="515"/>
  <c r="BZ398" i="515" s="1"/>
  <c r="BZ399" i="515" s="1"/>
  <c r="CA396" i="515"/>
  <c r="CA397" i="515" s="1"/>
  <c r="CB396" i="515"/>
  <c r="CB397" i="515" s="1"/>
  <c r="CC396" i="515"/>
  <c r="CD396" i="515"/>
  <c r="CE396" i="515"/>
  <c r="CE397" i="515" s="1"/>
  <c r="CF396" i="515"/>
  <c r="CF398" i="515" s="1"/>
  <c r="CF399" i="515" s="1"/>
  <c r="CG396" i="515"/>
  <c r="CH396" i="515"/>
  <c r="CH398" i="515" s="1"/>
  <c r="CH399" i="515" s="1"/>
  <c r="CI396" i="515"/>
  <c r="CJ396" i="515"/>
  <c r="CK396" i="515"/>
  <c r="CK398" i="515" s="1"/>
  <c r="CK399" i="515" s="1"/>
  <c r="CL396" i="515"/>
  <c r="CL397" i="515" s="1"/>
  <c r="CM396" i="515"/>
  <c r="CM397" i="515" s="1"/>
  <c r="CN396" i="515"/>
  <c r="CN398" i="515" s="1"/>
  <c r="CN399" i="515" s="1"/>
  <c r="CO396" i="515"/>
  <c r="CP396" i="515"/>
  <c r="CP398" i="515" s="1"/>
  <c r="CP399" i="515" s="1"/>
  <c r="CQ396" i="515"/>
  <c r="CQ397" i="515" s="1"/>
  <c r="CR396" i="515"/>
  <c r="CR397" i="515" s="1"/>
  <c r="CS396" i="515"/>
  <c r="CT396" i="515"/>
  <c r="CT397" i="515" s="1"/>
  <c r="CU396" i="515"/>
  <c r="CV396" i="515"/>
  <c r="CV397" i="515" s="1"/>
  <c r="CW396" i="515"/>
  <c r="CX396" i="515"/>
  <c r="CY396" i="515"/>
  <c r="CY397" i="515" s="1"/>
  <c r="CZ396" i="515"/>
  <c r="CZ398" i="515" s="1"/>
  <c r="CZ399" i="515" s="1"/>
  <c r="D397" i="515"/>
  <c r="B400" i="515"/>
  <c r="C400" i="515"/>
  <c r="D400" i="515"/>
  <c r="G400" i="515"/>
  <c r="CU401" i="515"/>
  <c r="CV401" i="515"/>
  <c r="CW401" i="515"/>
  <c r="CX401" i="515"/>
  <c r="CY401" i="515"/>
  <c r="CZ401" i="515"/>
  <c r="CH404" i="515"/>
  <c r="CP404" i="515"/>
  <c r="CQ404" i="515"/>
  <c r="CR404" i="515"/>
  <c r="CS404" i="515"/>
  <c r="CT404" i="515"/>
  <c r="CT406" i="515" s="1"/>
  <c r="CU404" i="515"/>
  <c r="CV404" i="515"/>
  <c r="CW404" i="515"/>
  <c r="CX404" i="515"/>
  <c r="CY404" i="515"/>
  <c r="CZ404" i="515"/>
  <c r="BV409" i="515"/>
  <c r="BV410" i="515" s="1"/>
  <c r="BW409" i="515"/>
  <c r="BW410" i="515" s="1"/>
  <c r="BX409" i="515"/>
  <c r="BX410" i="515" s="1"/>
  <c r="BY409" i="515"/>
  <c r="BZ409" i="515"/>
  <c r="CA409" i="515"/>
  <c r="CB409" i="515"/>
  <c r="CB410" i="515" s="1"/>
  <c r="CC409" i="515"/>
  <c r="CD409" i="515"/>
  <c r="CE409" i="515"/>
  <c r="CF409" i="515"/>
  <c r="CG409" i="515"/>
  <c r="CH409" i="515"/>
  <c r="CI409" i="515"/>
  <c r="CI410" i="515" s="1"/>
  <c r="CJ409" i="515"/>
  <c r="CK409" i="515"/>
  <c r="CL409" i="515"/>
  <c r="CL410" i="515" s="1"/>
  <c r="CM409" i="515"/>
  <c r="CN409" i="515"/>
  <c r="CN410" i="515" s="1"/>
  <c r="CO409" i="515"/>
  <c r="CP409" i="515"/>
  <c r="CQ409" i="515"/>
  <c r="CR409" i="515"/>
  <c r="CS409" i="515"/>
  <c r="CS410" i="515" s="1"/>
  <c r="CT409" i="515"/>
  <c r="CU409" i="515"/>
  <c r="CV409" i="515"/>
  <c r="CW409" i="515"/>
  <c r="DA410" i="515" s="1"/>
  <c r="CX409" i="515"/>
  <c r="DB410" i="515" s="1"/>
  <c r="CY409" i="515"/>
  <c r="CZ409" i="515"/>
  <c r="C410" i="515"/>
  <c r="D410" i="515"/>
  <c r="E410" i="515"/>
  <c r="F410" i="515"/>
  <c r="G410" i="515"/>
  <c r="H410" i="515"/>
  <c r="I410" i="515"/>
  <c r="J410" i="515"/>
  <c r="K410" i="515"/>
  <c r="BR410" i="515"/>
  <c r="BS410" i="515"/>
  <c r="BT410" i="515"/>
  <c r="BU410" i="515"/>
  <c r="E411" i="515"/>
  <c r="E412" i="515" s="1"/>
  <c r="F411" i="515"/>
  <c r="F412" i="515" s="1"/>
  <c r="G411" i="515"/>
  <c r="G412" i="515" s="1"/>
  <c r="H411" i="515"/>
  <c r="H412" i="515" s="1"/>
  <c r="I411" i="515"/>
  <c r="I412" i="515" s="1"/>
  <c r="J411" i="515"/>
  <c r="J412" i="515" s="1"/>
  <c r="K413" i="515" s="1"/>
  <c r="BN411" i="515"/>
  <c r="BN412" i="515" s="1"/>
  <c r="BN418" i="515" s="1"/>
  <c r="BN421" i="515" s="1"/>
  <c r="BO411" i="515"/>
  <c r="BO412" i="515" s="1"/>
  <c r="BP411" i="515"/>
  <c r="BQ411" i="515"/>
  <c r="BQ412" i="515" s="1"/>
  <c r="BQ418" i="515" s="1"/>
  <c r="BQ421" i="515" s="1"/>
  <c r="BR411" i="515"/>
  <c r="BR412" i="515" s="1"/>
  <c r="BR418" i="515" s="1"/>
  <c r="BS411" i="515"/>
  <c r="BS412" i="515" s="1"/>
  <c r="BT411" i="515"/>
  <c r="BT412" i="515" s="1"/>
  <c r="BT418" i="515" s="1"/>
  <c r="BU411" i="515"/>
  <c r="BU412" i="515" s="1"/>
  <c r="BV411" i="515"/>
  <c r="BW411" i="515"/>
  <c r="BX411" i="515"/>
  <c r="BY411" i="515"/>
  <c r="BZ411" i="515"/>
  <c r="CA411" i="515"/>
  <c r="CB411" i="515"/>
  <c r="CC411" i="515"/>
  <c r="CC412" i="515" s="1"/>
  <c r="CD411" i="515"/>
  <c r="CE411" i="515"/>
  <c r="CF411" i="515"/>
  <c r="CG411" i="515"/>
  <c r="CG412" i="515" s="1"/>
  <c r="CH411" i="515"/>
  <c r="CI411" i="515"/>
  <c r="CJ411" i="515"/>
  <c r="CK411" i="515"/>
  <c r="CL411" i="515"/>
  <c r="CM411" i="515"/>
  <c r="CN411" i="515"/>
  <c r="CO411" i="515"/>
  <c r="CO412" i="515" s="1"/>
  <c r="CP411" i="515"/>
  <c r="CQ411" i="515"/>
  <c r="CR411" i="515"/>
  <c r="CS411" i="515"/>
  <c r="CS412" i="515" s="1"/>
  <c r="CS418" i="515" s="1"/>
  <c r="CT411" i="515"/>
  <c r="CU411" i="515"/>
  <c r="CV411" i="515"/>
  <c r="CW411" i="515"/>
  <c r="CX411" i="515"/>
  <c r="CY411" i="515"/>
  <c r="CZ411" i="515"/>
  <c r="B412" i="515"/>
  <c r="C412" i="515"/>
  <c r="D412" i="515"/>
  <c r="BP412" i="515"/>
  <c r="K415" i="515"/>
  <c r="P415" i="515"/>
  <c r="Q415" i="515" s="1"/>
  <c r="BY415" i="515"/>
  <c r="BY416" i="515" s="1"/>
  <c r="CB415" i="515"/>
  <c r="CT415" i="515"/>
  <c r="C416" i="515"/>
  <c r="D416" i="515"/>
  <c r="E416" i="515"/>
  <c r="F416" i="515"/>
  <c r="G416" i="515"/>
  <c r="H416" i="515"/>
  <c r="I416" i="515"/>
  <c r="J416" i="515"/>
  <c r="M416" i="515"/>
  <c r="N416" i="515"/>
  <c r="O416" i="515"/>
  <c r="BR416" i="515"/>
  <c r="BS416" i="515"/>
  <c r="BT416" i="515"/>
  <c r="BU416" i="515"/>
  <c r="BX416" i="515"/>
  <c r="CD416" i="515"/>
  <c r="CE416" i="515"/>
  <c r="CH416" i="515"/>
  <c r="CI416" i="515"/>
  <c r="CJ416" i="515"/>
  <c r="CK416" i="515"/>
  <c r="CL416" i="515"/>
  <c r="CM416" i="515"/>
  <c r="CN416" i="515"/>
  <c r="CO416" i="515"/>
  <c r="CP416" i="515"/>
  <c r="CQ416" i="515"/>
  <c r="CR416" i="515"/>
  <c r="CS416" i="515"/>
  <c r="C419" i="515"/>
  <c r="D419" i="515"/>
  <c r="E419" i="515"/>
  <c r="F419" i="515"/>
  <c r="G419" i="515"/>
  <c r="H419" i="515"/>
  <c r="I419" i="515"/>
  <c r="J419" i="515"/>
  <c r="K419" i="515"/>
  <c r="B421" i="515"/>
  <c r="C421" i="515"/>
  <c r="D421" i="515"/>
  <c r="E421" i="515"/>
  <c r="F421" i="515"/>
  <c r="G421" i="515"/>
  <c r="H421" i="515"/>
  <c r="I421" i="515"/>
  <c r="J421" i="515"/>
  <c r="K421" i="515"/>
  <c r="BW424" i="515"/>
  <c r="BW425" i="515" s="1"/>
  <c r="BX424" i="515"/>
  <c r="BY424" i="515"/>
  <c r="BY425" i="515" s="1"/>
  <c r="BZ424" i="515"/>
  <c r="CA424" i="515"/>
  <c r="CA425" i="515" s="1"/>
  <c r="CD424" i="515"/>
  <c r="CE424" i="515"/>
  <c r="CF424" i="515"/>
  <c r="CH424" i="515"/>
  <c r="CI424" i="515"/>
  <c r="CJ424" i="515"/>
  <c r="CK424" i="515"/>
  <c r="CL424" i="515"/>
  <c r="CM424" i="515"/>
  <c r="CM425" i="515" s="1"/>
  <c r="CN424" i="515"/>
  <c r="CN425" i="515" s="1"/>
  <c r="CO424" i="515"/>
  <c r="CO425" i="515" s="1"/>
  <c r="CP424" i="515"/>
  <c r="CQ424" i="515"/>
  <c r="CQ425" i="515" s="1"/>
  <c r="CR424" i="515"/>
  <c r="CR425" i="515" s="1"/>
  <c r="CS424" i="515"/>
  <c r="CT424" i="515"/>
  <c r="CU424" i="515"/>
  <c r="CV424" i="515"/>
  <c r="CW424" i="515"/>
  <c r="DA425" i="515" s="1"/>
  <c r="CX424" i="515"/>
  <c r="DB425" i="515" s="1"/>
  <c r="CY424" i="515"/>
  <c r="DC425" i="515" s="1"/>
  <c r="CZ424" i="515"/>
  <c r="C425" i="515"/>
  <c r="D425" i="515"/>
  <c r="E425" i="515"/>
  <c r="F425" i="515"/>
  <c r="G425" i="515"/>
  <c r="H425" i="515"/>
  <c r="I425" i="515"/>
  <c r="J425" i="515"/>
  <c r="K425" i="515"/>
  <c r="BR425" i="515"/>
  <c r="BS425" i="515"/>
  <c r="BT425" i="515"/>
  <c r="BU425" i="515"/>
  <c r="M430" i="515"/>
  <c r="N430" i="515"/>
  <c r="O430" i="515"/>
  <c r="P430" i="515"/>
  <c r="Q430" i="515"/>
  <c r="BR430" i="515"/>
  <c r="BV430" i="515"/>
  <c r="L430" i="515" s="1"/>
  <c r="M431" i="515"/>
  <c r="N431" i="515"/>
  <c r="O431" i="515"/>
  <c r="P431" i="515"/>
  <c r="Q431" i="515"/>
  <c r="BR431" i="515"/>
  <c r="K431" i="515" s="1"/>
  <c r="BV431" i="515"/>
  <c r="L431" i="515" s="1"/>
  <c r="M432" i="515"/>
  <c r="N432" i="515"/>
  <c r="O432" i="515"/>
  <c r="BR432" i="515"/>
  <c r="K432" i="515" s="1"/>
  <c r="BV432" i="515"/>
  <c r="L432" i="515" s="1"/>
  <c r="CL432" i="515"/>
  <c r="CL433" i="515" s="1"/>
  <c r="CM432" i="515"/>
  <c r="CM433" i="515" s="1"/>
  <c r="CM437" i="515" s="1"/>
  <c r="CN432" i="515"/>
  <c r="CO432" i="515"/>
  <c r="CO433" i="515" s="1"/>
  <c r="CP432" i="515"/>
  <c r="CP433" i="515"/>
  <c r="CQ432" i="515"/>
  <c r="CQ433" i="515" s="1"/>
  <c r="CQ441" i="515" s="1"/>
  <c r="CR432" i="515"/>
  <c r="CR433" i="515" s="1"/>
  <c r="CS432" i="515"/>
  <c r="CS433" i="515"/>
  <c r="CT432" i="515"/>
  <c r="CT433" i="515" s="1"/>
  <c r="CT437" i="515" s="1"/>
  <c r="CU432" i="515"/>
  <c r="CU433" i="515" s="1"/>
  <c r="CV432" i="515"/>
  <c r="BS433" i="515"/>
  <c r="BT433" i="515"/>
  <c r="BU433" i="515"/>
  <c r="BW433" i="515"/>
  <c r="BX433" i="515"/>
  <c r="BY433" i="515"/>
  <c r="BY441" i="515" s="1"/>
  <c r="BZ433" i="515"/>
  <c r="CA433" i="515"/>
  <c r="CB433" i="515"/>
  <c r="CC433" i="515"/>
  <c r="CC439" i="515" s="1"/>
  <c r="CD433" i="515"/>
  <c r="CD441" i="515" s="1"/>
  <c r="CE433" i="515"/>
  <c r="CE434" i="515" s="1"/>
  <c r="CF433" i="515"/>
  <c r="CF439" i="515" s="1"/>
  <c r="CG433" i="515"/>
  <c r="CG434" i="515" s="1"/>
  <c r="CH433" i="515"/>
  <c r="CI433" i="515"/>
  <c r="CJ433" i="515"/>
  <c r="CK433" i="515"/>
  <c r="CK441" i="515" s="1"/>
  <c r="CN433" i="515"/>
  <c r="CV433" i="515"/>
  <c r="DG433" i="515"/>
  <c r="DH433" i="515"/>
  <c r="CX437" i="515"/>
  <c r="CX438" i="515"/>
  <c r="CX441" i="515"/>
  <c r="H446" i="515"/>
  <c r="N446" i="515"/>
  <c r="N462" i="515" s="1"/>
  <c r="O446" i="515"/>
  <c r="P446" i="515"/>
  <c r="P447" i="515" s="1"/>
  <c r="P452" i="515" s="1"/>
  <c r="Q446" i="515"/>
  <c r="R446" i="515"/>
  <c r="R447" i="515" s="1"/>
  <c r="R452" i="515" s="1"/>
  <c r="CH446" i="515"/>
  <c r="CV446" i="515"/>
  <c r="CV447" i="515" s="1"/>
  <c r="CV452" i="515" s="1"/>
  <c r="CW446" i="515"/>
  <c r="CX446" i="515"/>
  <c r="S446" i="515" s="1"/>
  <c r="B447" i="515"/>
  <c r="C447" i="515"/>
  <c r="D447" i="515"/>
  <c r="E447" i="515"/>
  <c r="F447" i="515"/>
  <c r="F448" i="515" s="1"/>
  <c r="S447" i="515"/>
  <c r="S452" i="515" s="1"/>
  <c r="BV447" i="515"/>
  <c r="BV452" i="515" s="1"/>
  <c r="BW447" i="515"/>
  <c r="BW452" i="515" s="1"/>
  <c r="BX447" i="515"/>
  <c r="BX452" i="515" s="1"/>
  <c r="BZ447" i="515"/>
  <c r="BZ452" i="515" s="1"/>
  <c r="CA447" i="515"/>
  <c r="CA452" i="515" s="1"/>
  <c r="CB447" i="515"/>
  <c r="CB452" i="515" s="1"/>
  <c r="CD447" i="515"/>
  <c r="CD452" i="515" s="1"/>
  <c r="CE447" i="515"/>
  <c r="CE452" i="515" s="1"/>
  <c r="CG447" i="515"/>
  <c r="CG452" i="515" s="1"/>
  <c r="CJ447" i="515"/>
  <c r="CJ452" i="515" s="1"/>
  <c r="CK447" i="515"/>
  <c r="CK452" i="515" s="1"/>
  <c r="CL447" i="515"/>
  <c r="CL452" i="515" s="1"/>
  <c r="CM447" i="515"/>
  <c r="CM452" i="515" s="1"/>
  <c r="CN447" i="515"/>
  <c r="CN452" i="515" s="1"/>
  <c r="CO447" i="515"/>
  <c r="CO452" i="515" s="1"/>
  <c r="CP447" i="515"/>
  <c r="CP452" i="515" s="1"/>
  <c r="CQ447" i="515"/>
  <c r="CQ452" i="515" s="1"/>
  <c r="CR447" i="515"/>
  <c r="CR452" i="515" s="1"/>
  <c r="CS447" i="515"/>
  <c r="CS452" i="515" s="1"/>
  <c r="CT447" i="515"/>
  <c r="CT452" i="515" s="1"/>
  <c r="CU447" i="515"/>
  <c r="CU452" i="515" s="1"/>
  <c r="CW447" i="515"/>
  <c r="CW452" i="515" s="1"/>
  <c r="CY447" i="515"/>
  <c r="CY452" i="515" s="1"/>
  <c r="CZ447" i="515"/>
  <c r="CZ452" i="515" s="1"/>
  <c r="G448" i="515"/>
  <c r="G462" i="515" s="1"/>
  <c r="G447" i="515" s="1"/>
  <c r="G452" i="515" s="1"/>
  <c r="H448" i="515"/>
  <c r="I448" i="515"/>
  <c r="J448" i="515"/>
  <c r="K448" i="515"/>
  <c r="K462" i="515" s="1"/>
  <c r="L448" i="515"/>
  <c r="M448" i="515"/>
  <c r="CF448" i="515"/>
  <c r="DF448" i="515"/>
  <c r="C450" i="515"/>
  <c r="O450" i="515"/>
  <c r="P450" i="515"/>
  <c r="CP450" i="515"/>
  <c r="C452" i="515"/>
  <c r="D452" i="515"/>
  <c r="E452" i="515"/>
  <c r="F452" i="515"/>
  <c r="F454" i="515" s="1"/>
  <c r="G450" i="515" s="1"/>
  <c r="K452" i="515"/>
  <c r="CF452" i="515"/>
  <c r="CH452" i="515"/>
  <c r="CI452" i="515"/>
  <c r="C453" i="515"/>
  <c r="C471" i="515" s="1"/>
  <c r="D453" i="515"/>
  <c r="D471" i="515" s="1"/>
  <c r="E453" i="515"/>
  <c r="E471" i="515" s="1"/>
  <c r="F471" i="515" s="1"/>
  <c r="F453" i="515"/>
  <c r="G453" i="515"/>
  <c r="H453" i="515"/>
  <c r="I453" i="515"/>
  <c r="J453" i="515"/>
  <c r="CA454" i="515"/>
  <c r="CB450" i="515" s="1"/>
  <c r="CB454" i="515"/>
  <c r="CC454" i="515"/>
  <c r="CL454" i="515"/>
  <c r="CM454" i="515"/>
  <c r="CN454" i="515"/>
  <c r="CO450" i="515" s="1"/>
  <c r="CP454" i="515"/>
  <c r="CQ454" i="515"/>
  <c r="CR450" i="515" s="1"/>
  <c r="CR454" i="515"/>
  <c r="CS450" i="515" s="1"/>
  <c r="CS454" i="515"/>
  <c r="CT450" i="515" s="1"/>
  <c r="CT454" i="515"/>
  <c r="CU454" i="515"/>
  <c r="CV450" i="515" s="1"/>
  <c r="CV454" i="515"/>
  <c r="CW450" i="515" s="1"/>
  <c r="CW454" i="515"/>
  <c r="CX454" i="515"/>
  <c r="CY454" i="515"/>
  <c r="CZ450" i="515" s="1"/>
  <c r="BV456" i="515"/>
  <c r="BW456" i="515"/>
  <c r="BX456" i="515"/>
  <c r="BZ456" i="515"/>
  <c r="BZ454" i="515" s="1"/>
  <c r="CA450" i="515" s="1"/>
  <c r="CA456" i="515"/>
  <c r="CB456" i="515"/>
  <c r="CD456" i="515"/>
  <c r="CE456" i="515"/>
  <c r="CF456" i="515"/>
  <c r="CH456" i="515"/>
  <c r="CJ456" i="515"/>
  <c r="CK456" i="515"/>
  <c r="CL456" i="515"/>
  <c r="CM456" i="515"/>
  <c r="CN456" i="515"/>
  <c r="CO456" i="515"/>
  <c r="CP456" i="515"/>
  <c r="CQ456" i="515"/>
  <c r="CR456" i="515"/>
  <c r="CS456" i="515"/>
  <c r="CT456" i="515"/>
  <c r="CU456" i="515"/>
  <c r="CV456" i="515"/>
  <c r="CW456" i="515"/>
  <c r="CX456" i="515"/>
  <c r="CY456" i="515"/>
  <c r="C457" i="515"/>
  <c r="D457" i="515"/>
  <c r="E457" i="515"/>
  <c r="M457" i="515"/>
  <c r="N457" i="515"/>
  <c r="O457" i="515"/>
  <c r="P457" i="515"/>
  <c r="F458" i="515"/>
  <c r="F457" i="515" s="1"/>
  <c r="G458" i="515"/>
  <c r="H458" i="515"/>
  <c r="I458" i="515"/>
  <c r="I457" i="515" s="1"/>
  <c r="J458" i="515"/>
  <c r="J457" i="515" s="1"/>
  <c r="K458" i="515"/>
  <c r="K93" i="515" s="1"/>
  <c r="L458" i="515"/>
  <c r="BV458" i="515"/>
  <c r="BV457" i="515" s="1"/>
  <c r="BW457" i="515" s="1"/>
  <c r="BX457" i="515" s="1"/>
  <c r="BY457" i="515" s="1"/>
  <c r="BW458" i="515"/>
  <c r="BX458" i="515"/>
  <c r="BY458" i="515"/>
  <c r="BZ458" i="515"/>
  <c r="CA458" i="515"/>
  <c r="CB458" i="515"/>
  <c r="CC458" i="515"/>
  <c r="CD458" i="515"/>
  <c r="CE458" i="515"/>
  <c r="CF458" i="515"/>
  <c r="CG458" i="515"/>
  <c r="CH458" i="515"/>
  <c r="CI458" i="515"/>
  <c r="CJ458" i="515"/>
  <c r="CK458" i="515"/>
  <c r="CK457" i="515" s="1"/>
  <c r="CL458" i="515"/>
  <c r="CM458" i="515"/>
  <c r="CM457" i="515" s="1"/>
  <c r="CN458" i="515"/>
  <c r="CO458" i="515"/>
  <c r="CO457" i="515" s="1"/>
  <c r="CP458" i="515"/>
  <c r="CQ458" i="515"/>
  <c r="CR458" i="515"/>
  <c r="CS458" i="515"/>
  <c r="CS457" i="515" s="1"/>
  <c r="CT458" i="515"/>
  <c r="CU458" i="515"/>
  <c r="CV458" i="515"/>
  <c r="CW458" i="515"/>
  <c r="CX458" i="515"/>
  <c r="CX457" i="515" s="1"/>
  <c r="CY458" i="515"/>
  <c r="H461" i="515"/>
  <c r="S462" i="515"/>
  <c r="K463" i="515"/>
  <c r="N463" i="515"/>
  <c r="O463" i="515"/>
  <c r="P463" i="515"/>
  <c r="C464" i="515"/>
  <c r="D461" i="515" s="1"/>
  <c r="D464" i="515" s="1"/>
  <c r="E461" i="515" s="1"/>
  <c r="E464" i="515" s="1"/>
  <c r="F461" i="515" s="1"/>
  <c r="F464" i="515" s="1"/>
  <c r="C469" i="515"/>
  <c r="D469" i="515"/>
  <c r="E469" i="515"/>
  <c r="C472" i="515"/>
  <c r="D472" i="515"/>
  <c r="E472" i="515"/>
  <c r="B478" i="515"/>
  <c r="B480" i="515" s="1"/>
  <c r="C478" i="515"/>
  <c r="D478" i="515"/>
  <c r="E478" i="515"/>
  <c r="F478" i="515"/>
  <c r="I478" i="515"/>
  <c r="J478" i="515"/>
  <c r="M193" i="123" s="1"/>
  <c r="K478" i="515"/>
  <c r="L478" i="515"/>
  <c r="R212" i="123" s="1"/>
  <c r="M478" i="515"/>
  <c r="N478" i="515"/>
  <c r="T212" i="123" s="1"/>
  <c r="O478" i="515"/>
  <c r="P478" i="515"/>
  <c r="V212" i="123" s="1"/>
  <c r="Q478" i="515"/>
  <c r="R478" i="515"/>
  <c r="C479" i="515"/>
  <c r="E479" i="515"/>
  <c r="F479" i="515"/>
  <c r="F480" i="515" s="1"/>
  <c r="G479" i="515"/>
  <c r="Q479" i="515"/>
  <c r="Q488" i="515" s="1"/>
  <c r="R479" i="515"/>
  <c r="R488" i="515" s="1"/>
  <c r="C483" i="515"/>
  <c r="D483" i="515"/>
  <c r="B484" i="515"/>
  <c r="CU484" i="515"/>
  <c r="B485" i="515"/>
  <c r="C485" i="515"/>
  <c r="D485" i="515"/>
  <c r="F485" i="515"/>
  <c r="G485" i="515"/>
  <c r="H485" i="515"/>
  <c r="I485" i="515"/>
  <c r="CU485" i="515"/>
  <c r="X486" i="515"/>
  <c r="Y486" i="515" s="1"/>
  <c r="Z486" i="515" s="1"/>
  <c r="AA486" i="515" s="1"/>
  <c r="AB486" i="515" s="1"/>
  <c r="C492" i="515"/>
  <c r="C495" i="515" s="1"/>
  <c r="D492" i="515"/>
  <c r="D495" i="515" s="1"/>
  <c r="E492" i="515"/>
  <c r="E495" i="515" s="1"/>
  <c r="C498" i="515"/>
  <c r="D498" i="515"/>
  <c r="E498" i="515"/>
  <c r="F498" i="515"/>
  <c r="F492" i="515" s="1"/>
  <c r="L502" i="515"/>
  <c r="T502" i="515"/>
  <c r="T503" i="515" s="1"/>
  <c r="M504" i="515"/>
  <c r="N504" i="515"/>
  <c r="N505" i="515" s="1"/>
  <c r="O502" i="515" s="1"/>
  <c r="G506" i="515"/>
  <c r="G498" i="515" s="1"/>
  <c r="G492" i="515" s="1"/>
  <c r="G495" i="515" s="1"/>
  <c r="H506" i="515"/>
  <c r="H498" i="515" s="1"/>
  <c r="H492" i="515" s="1"/>
  <c r="I506" i="515"/>
  <c r="I498" i="515" s="1"/>
  <c r="J506" i="515"/>
  <c r="J498" i="515" s="1"/>
  <c r="K506" i="515"/>
  <c r="K498" i="515" s="1"/>
  <c r="R506" i="515"/>
  <c r="R498" i="515" s="1"/>
  <c r="V61" i="3" s="1"/>
  <c r="S506" i="515"/>
  <c r="S498" i="515" s="1"/>
  <c r="W61" i="3" s="1"/>
  <c r="R510" i="515"/>
  <c r="J511" i="515"/>
  <c r="J513" i="515" s="1"/>
  <c r="J515" i="515" s="1"/>
  <c r="K511" i="515"/>
  <c r="K513" i="515" s="1"/>
  <c r="L511" i="515"/>
  <c r="M511" i="515"/>
  <c r="M513" i="515" s="1"/>
  <c r="N511" i="515"/>
  <c r="O511" i="515"/>
  <c r="P511" i="515"/>
  <c r="P513" i="515" s="1"/>
  <c r="L512" i="515"/>
  <c r="N512" i="515"/>
  <c r="Q512" i="515"/>
  <c r="R512" i="515" s="1"/>
  <c r="S512" i="515" s="1"/>
  <c r="X512" i="515" s="1"/>
  <c r="Y512" i="515" s="1"/>
  <c r="Z512" i="515" s="1"/>
  <c r="AA512" i="515" s="1"/>
  <c r="AB512" i="515" s="1"/>
  <c r="K519" i="515"/>
  <c r="K520" i="515"/>
  <c r="L520" i="515" s="1"/>
  <c r="O520" i="515"/>
  <c r="P520" i="515" s="1"/>
  <c r="Q520" i="515" s="1"/>
  <c r="R520" i="515" s="1"/>
  <c r="S520" i="515" s="1"/>
  <c r="T520" i="515" s="1"/>
  <c r="U520" i="515" s="1"/>
  <c r="V520" i="515" s="1"/>
  <c r="W520" i="515" s="1"/>
  <c r="X520" i="515" s="1"/>
  <c r="Y520" i="515" s="1"/>
  <c r="Z520" i="515" s="1"/>
  <c r="AA520" i="515" s="1"/>
  <c r="AB520" i="515" s="1"/>
  <c r="M521" i="515"/>
  <c r="J522" i="515"/>
  <c r="Q533" i="515"/>
  <c r="AG533" i="515"/>
  <c r="AM533" i="515"/>
  <c r="AO533" i="515"/>
  <c r="AQ533" i="515"/>
  <c r="AU533" i="515"/>
  <c r="AW533" i="515"/>
  <c r="BD533" i="515"/>
  <c r="BE533" i="515"/>
  <c r="BL533" i="515"/>
  <c r="BV533" i="515"/>
  <c r="BW533" i="515"/>
  <c r="CA533" i="515"/>
  <c r="CE533" i="515"/>
  <c r="CI533" i="515"/>
  <c r="CJ533" i="515"/>
  <c r="CM533" i="515"/>
  <c r="CN533" i="515"/>
  <c r="CP533" i="515"/>
  <c r="CT533" i="515"/>
  <c r="CY533" i="515"/>
  <c r="CF537" i="515"/>
  <c r="CK537" i="515"/>
  <c r="CN537" i="515"/>
  <c r="CO537" i="515"/>
  <c r="CQ537" i="515"/>
  <c r="CR537" i="515"/>
  <c r="CS537" i="515"/>
  <c r="CV537" i="515"/>
  <c r="CW537" i="515"/>
  <c r="CY537" i="515"/>
  <c r="K553" i="515"/>
  <c r="L553" i="515"/>
  <c r="M553" i="515"/>
  <c r="N553" i="515"/>
  <c r="O553" i="515"/>
  <c r="P553" i="515"/>
  <c r="Q553" i="515"/>
  <c r="R553" i="515"/>
  <c r="S553" i="515"/>
  <c r="T553" i="515"/>
  <c r="U553" i="515"/>
  <c r="V553" i="515"/>
  <c r="W553" i="515"/>
  <c r="X553" i="515"/>
  <c r="Y553" i="515"/>
  <c r="Z553" i="515"/>
  <c r="AA553" i="515"/>
  <c r="AB553" i="515"/>
  <c r="F555" i="515"/>
  <c r="G555" i="515"/>
  <c r="H555" i="515"/>
  <c r="J555" i="515"/>
  <c r="K555" i="515"/>
  <c r="L555" i="515"/>
  <c r="M555" i="515"/>
  <c r="N555" i="515"/>
  <c r="O555" i="515"/>
  <c r="P555" i="515"/>
  <c r="Q555" i="515"/>
  <c r="R555" i="515"/>
  <c r="S555" i="515"/>
  <c r="T555" i="515"/>
  <c r="U555" i="515"/>
  <c r="V555" i="515"/>
  <c r="W555" i="515"/>
  <c r="X555" i="515"/>
  <c r="Y555" i="515"/>
  <c r="Z555" i="515"/>
  <c r="AA555" i="515"/>
  <c r="AB555" i="515"/>
  <c r="D556" i="515"/>
  <c r="E556" i="515"/>
  <c r="I556" i="515"/>
  <c r="I555" i="515" s="1"/>
  <c r="CX559" i="515"/>
  <c r="B560" i="515"/>
  <c r="C560" i="515"/>
  <c r="D560" i="515"/>
  <c r="E560" i="515"/>
  <c r="F560" i="515"/>
  <c r="G560" i="515"/>
  <c r="AM186" i="515"/>
  <c r="BZ441" i="515"/>
  <c r="AQ237" i="515"/>
  <c r="BD236" i="515"/>
  <c r="AH186" i="515"/>
  <c r="BH236" i="515"/>
  <c r="P416" i="515"/>
  <c r="AM236" i="515"/>
  <c r="E33" i="3"/>
  <c r="J131" i="515"/>
  <c r="J142" i="515" s="1"/>
  <c r="J166" i="515" s="1"/>
  <c r="W169" i="123"/>
  <c r="R180" i="123"/>
  <c r="O30" i="123"/>
  <c r="O113" i="123" s="1"/>
  <c r="U25" i="3"/>
  <c r="U55" i="3" s="1"/>
  <c r="BN161" i="515"/>
  <c r="BN533" i="515" s="1"/>
  <c r="BN154" i="515"/>
  <c r="CA215" i="515"/>
  <c r="CU214" i="515"/>
  <c r="BS194" i="515"/>
  <c r="CG217" i="515"/>
  <c r="B144" i="515"/>
  <c r="CQ140" i="515"/>
  <c r="CQ8" i="515" s="1"/>
  <c r="BG207" i="515"/>
  <c r="BS134" i="515"/>
  <c r="AY134" i="515"/>
  <c r="BC201" i="515" s="1"/>
  <c r="Q163" i="515"/>
  <c r="CX162" i="515"/>
  <c r="T167" i="123"/>
  <c r="H46" i="123"/>
  <c r="D113" i="123"/>
  <c r="G113" i="123"/>
  <c r="G43" i="3"/>
  <c r="C43" i="3"/>
  <c r="CQ309" i="515"/>
  <c r="CN437" i="515"/>
  <c r="P386" i="515"/>
  <c r="CG357" i="515"/>
  <c r="CG364" i="515" s="1"/>
  <c r="CC352" i="515"/>
  <c r="L346" i="515"/>
  <c r="CU312" i="515"/>
  <c r="BU296" i="515"/>
  <c r="BU295" i="515" s="1"/>
  <c r="BQ296" i="515"/>
  <c r="BQ295" i="515" s="1"/>
  <c r="BM296" i="515"/>
  <c r="BQ310" i="515" s="1"/>
  <c r="BR272" i="515"/>
  <c r="BR280" i="515" s="1"/>
  <c r="AK269" i="515"/>
  <c r="AK277" i="515" s="1"/>
  <c r="CZ247" i="515"/>
  <c r="CA247" i="515"/>
  <c r="CE245" i="515"/>
  <c r="AK243" i="515"/>
  <c r="BI229" i="515"/>
  <c r="BW215" i="515"/>
  <c r="BI206" i="515"/>
  <c r="BC206" i="515"/>
  <c r="BC205" i="515"/>
  <c r="BW194" i="515"/>
  <c r="BA232" i="515"/>
  <c r="I173" i="515"/>
  <c r="I272" i="515" s="1"/>
  <c r="B161" i="515"/>
  <c r="B269" i="515" s="1"/>
  <c r="CQ157" i="515"/>
  <c r="S169" i="123"/>
  <c r="CY309" i="515"/>
  <c r="R462" i="515"/>
  <c r="CU457" i="515"/>
  <c r="CF425" i="515"/>
  <c r="CB412" i="515"/>
  <c r="BZ410" i="515"/>
  <c r="CH397" i="515"/>
  <c r="BN304" i="515"/>
  <c r="CA582" i="515"/>
  <c r="CC533" i="515"/>
  <c r="AT533" i="515"/>
  <c r="CN438" i="515"/>
  <c r="CM434" i="515"/>
  <c r="CB441" i="515"/>
  <c r="CZ412" i="515"/>
  <c r="CX397" i="515"/>
  <c r="BZ397" i="515"/>
  <c r="CQ356" i="515"/>
  <c r="CQ363" i="515" s="1"/>
  <c r="CI356" i="515"/>
  <c r="CI363" i="515" s="1"/>
  <c r="CL347" i="515"/>
  <c r="CM346" i="515"/>
  <c r="CM348" i="515" s="1"/>
  <c r="BZ321" i="515"/>
  <c r="CY312" i="515"/>
  <c r="N309" i="515"/>
  <c r="L264" i="515"/>
  <c r="BW247" i="515"/>
  <c r="AN237" i="515"/>
  <c r="BC231" i="515"/>
  <c r="BC200" i="515"/>
  <c r="BX187" i="515"/>
  <c r="C187" i="515"/>
  <c r="AN186" i="515"/>
  <c r="AN187" i="515" s="1"/>
  <c r="AN22" i="515" s="1"/>
  <c r="BS140" i="515"/>
  <c r="J177" i="123"/>
  <c r="O169" i="123"/>
  <c r="R113" i="123"/>
  <c r="T14" i="3"/>
  <c r="P14" i="3"/>
  <c r="H484" i="515"/>
  <c r="I483" i="515"/>
  <c r="O75" i="123"/>
  <c r="J484" i="515" s="1"/>
  <c r="AY288" i="515"/>
  <c r="BT366" i="515"/>
  <c r="CC297" i="515"/>
  <c r="AU187" i="515"/>
  <c r="L177" i="515"/>
  <c r="L247" i="515" s="1"/>
  <c r="N154" i="515"/>
  <c r="N9" i="515" s="1"/>
  <c r="C32" i="515"/>
  <c r="E138" i="123"/>
  <c r="E139" i="123" s="1"/>
  <c r="W157" i="123"/>
  <c r="K397" i="515"/>
  <c r="CI348" i="515"/>
  <c r="CB348" i="515"/>
  <c r="BX348" i="515"/>
  <c r="CJ325" i="515"/>
  <c r="CO311" i="515"/>
  <c r="CC311" i="515"/>
  <c r="BT271" i="515"/>
  <c r="BT279" i="515" s="1"/>
  <c r="CN269" i="515"/>
  <c r="CN277" i="515" s="1"/>
  <c r="BR232" i="515"/>
  <c r="AY187" i="515"/>
  <c r="AY22" i="515" s="1"/>
  <c r="BW187" i="515"/>
  <c r="BW582" i="515" s="1"/>
  <c r="U169" i="123"/>
  <c r="S159" i="123"/>
  <c r="R114" i="123"/>
  <c r="K25" i="123"/>
  <c r="K113" i="123" s="1"/>
  <c r="W68" i="3"/>
  <c r="E397" i="515"/>
  <c r="BZ348" i="515"/>
  <c r="BZ350" i="515" s="1"/>
  <c r="BV348" i="515"/>
  <c r="CF348" i="515"/>
  <c r="CF350" i="515" s="1"/>
  <c r="CM268" i="515"/>
  <c r="CM276" i="515" s="1"/>
  <c r="BX267" i="515"/>
  <c r="BX275" i="515" s="1"/>
  <c r="CA271" i="515"/>
  <c r="P167" i="123"/>
  <c r="L167" i="123"/>
  <c r="I159" i="123"/>
  <c r="G129" i="123"/>
  <c r="E77" i="123"/>
  <c r="BV372" i="515"/>
  <c r="CG439" i="515"/>
  <c r="BZ353" i="515"/>
  <c r="CX348" i="515"/>
  <c r="J304" i="515"/>
  <c r="CD297" i="515"/>
  <c r="BP267" i="515"/>
  <c r="BP275" i="515" s="1"/>
  <c r="P264" i="515"/>
  <c r="AJ237" i="515"/>
  <c r="AQ231" i="515"/>
  <c r="CA225" i="515"/>
  <c r="CX222" i="515"/>
  <c r="BY217" i="515"/>
  <c r="BF180" i="515"/>
  <c r="AZ180" i="515"/>
  <c r="CB226" i="515"/>
  <c r="BM166" i="515"/>
  <c r="E134" i="515"/>
  <c r="I203" i="123"/>
  <c r="G199" i="123"/>
  <c r="P180" i="123"/>
  <c r="H180" i="123"/>
  <c r="I173" i="123"/>
  <c r="E128" i="123"/>
  <c r="I113" i="123"/>
  <c r="O26" i="123"/>
  <c r="U87" i="123"/>
  <c r="V12" i="3"/>
  <c r="V25" i="3" s="1"/>
  <c r="CU284" i="515"/>
  <c r="K46" i="123"/>
  <c r="K58" i="123" s="1"/>
  <c r="BT397" i="515"/>
  <c r="K400" i="515"/>
  <c r="BZ372" i="515"/>
  <c r="CL297" i="515"/>
  <c r="CB271" i="515"/>
  <c r="CB279" i="515" s="1"/>
  <c r="CF268" i="515"/>
  <c r="CF276" i="515" s="1"/>
  <c r="CV229" i="515"/>
  <c r="BP180" i="515"/>
  <c r="BP187" i="515" s="1"/>
  <c r="BP22" i="515" s="1"/>
  <c r="BJ180" i="515"/>
  <c r="CG245" i="515"/>
  <c r="CS174" i="515"/>
  <c r="BW172" i="515"/>
  <c r="I161" i="515"/>
  <c r="I144" i="515"/>
  <c r="E142" i="515"/>
  <c r="I134" i="515"/>
  <c r="I142" i="515"/>
  <c r="I8" i="515" s="1"/>
  <c r="L198" i="123"/>
  <c r="K176" i="123"/>
  <c r="K177" i="123" s="1"/>
  <c r="I135" i="123"/>
  <c r="I136" i="123" s="1"/>
  <c r="E129" i="123"/>
  <c r="G75" i="123"/>
  <c r="G77" i="123" s="1"/>
  <c r="O77" i="123"/>
  <c r="E114" i="123"/>
  <c r="P26" i="123"/>
  <c r="P32" i="123" s="1"/>
  <c r="Q99" i="123" s="1"/>
  <c r="I16" i="123"/>
  <c r="S43" i="3"/>
  <c r="C48" i="3"/>
  <c r="S14" i="3"/>
  <c r="O14" i="3"/>
  <c r="E25" i="3"/>
  <c r="E55" i="3" s="1"/>
  <c r="E59" i="3" s="1"/>
  <c r="E62" i="3" s="1"/>
  <c r="BY434" i="515"/>
  <c r="BR433" i="515"/>
  <c r="CX410" i="515"/>
  <c r="CT398" i="515"/>
  <c r="CT399" i="515" s="1"/>
  <c r="BR368" i="515"/>
  <c r="BR359" i="515"/>
  <c r="CV311" i="515"/>
  <c r="CB272" i="515"/>
  <c r="CB280" i="515" s="1"/>
  <c r="CZ229" i="515"/>
  <c r="BU217" i="515"/>
  <c r="F217" i="515"/>
  <c r="BT187" i="515"/>
  <c r="BT180" i="515"/>
  <c r="BX232" i="515" s="1"/>
  <c r="AF187" i="515"/>
  <c r="AF22" i="515" s="1"/>
  <c r="BY247" i="515"/>
  <c r="N174" i="515"/>
  <c r="E161" i="515"/>
  <c r="E160" i="515" s="1"/>
  <c r="E242" i="515" s="1"/>
  <c r="CY157" i="515"/>
  <c r="CX145" i="515"/>
  <c r="R33" i="515"/>
  <c r="L33" i="515"/>
  <c r="R166" i="123"/>
  <c r="G115" i="123"/>
  <c r="N46" i="123"/>
  <c r="T113" i="123"/>
  <c r="F43" i="3"/>
  <c r="G413" i="515"/>
  <c r="H193" i="123"/>
  <c r="CA457" i="515"/>
  <c r="CG438" i="515"/>
  <c r="BY438" i="515"/>
  <c r="CG437" i="515"/>
  <c r="BY437" i="515"/>
  <c r="CR434" i="515"/>
  <c r="BT398" i="515"/>
  <c r="BT399" i="515" s="1"/>
  <c r="BT368" i="515"/>
  <c r="BT353" i="515"/>
  <c r="BZ310" i="515"/>
  <c r="BZ318" i="515" s="1"/>
  <c r="BZ324" i="515" s="1"/>
  <c r="K304" i="515"/>
  <c r="BV272" i="515"/>
  <c r="BV280" i="515" s="1"/>
  <c r="AL237" i="515"/>
  <c r="AP237" i="515"/>
  <c r="BC236" i="515"/>
  <c r="BC186" i="515"/>
  <c r="BF187" i="515"/>
  <c r="CN212" i="515"/>
  <c r="BE140" i="515"/>
  <c r="BE207" i="515"/>
  <c r="BA140" i="515"/>
  <c r="AV140" i="515"/>
  <c r="AV8" i="515" s="1"/>
  <c r="AV16" i="515" s="1"/>
  <c r="AV201" i="515"/>
  <c r="AR201" i="515"/>
  <c r="J144" i="515"/>
  <c r="J134" i="515"/>
  <c r="F134" i="515"/>
  <c r="F144" i="515"/>
  <c r="F161" i="515"/>
  <c r="G69" i="123"/>
  <c r="CW457" i="515"/>
  <c r="CG441" i="515"/>
  <c r="CV434" i="515"/>
  <c r="CB416" i="515"/>
  <c r="CU415" i="515"/>
  <c r="CV412" i="515"/>
  <c r="CN412" i="515"/>
  <c r="BX412" i="515"/>
  <c r="BX418" i="515" s="1"/>
  <c r="CZ410" i="515"/>
  <c r="CV410" i="515"/>
  <c r="CL412" i="515"/>
  <c r="BV412" i="515"/>
  <c r="BP398" i="515"/>
  <c r="BP399" i="515" s="1"/>
  <c r="BT386" i="515"/>
  <c r="BR366" i="515"/>
  <c r="CA353" i="515"/>
  <c r="BQ304" i="515"/>
  <c r="DA305" i="515"/>
  <c r="BZ272" i="515"/>
  <c r="BZ280" i="515" s="1"/>
  <c r="BO268" i="515"/>
  <c r="BO276" i="515" s="1"/>
  <c r="D267" i="515"/>
  <c r="D275" i="515" s="1"/>
  <c r="R264" i="515"/>
  <c r="J267" i="515"/>
  <c r="J275" i="515" s="1"/>
  <c r="J268" i="515"/>
  <c r="J276" i="515" s="1"/>
  <c r="J271" i="515"/>
  <c r="J279" i="515" s="1"/>
  <c r="F267" i="515"/>
  <c r="F275" i="515" s="1"/>
  <c r="B267" i="515"/>
  <c r="B275" i="515" s="1"/>
  <c r="B268" i="515"/>
  <c r="B276" i="515" s="1"/>
  <c r="B271" i="515"/>
  <c r="B279" i="515" s="1"/>
  <c r="BH231" i="515"/>
  <c r="BN22" i="515"/>
  <c r="R177" i="515"/>
  <c r="CU229" i="515"/>
  <c r="CU247" i="515"/>
  <c r="N177" i="515"/>
  <c r="CE229" i="515"/>
  <c r="CI229" i="515"/>
  <c r="BQ229" i="515"/>
  <c r="BU229" i="515"/>
  <c r="BK229" i="515"/>
  <c r="I177" i="515"/>
  <c r="U186" i="123"/>
  <c r="P229" i="515"/>
  <c r="CY216" i="515"/>
  <c r="CM246" i="515"/>
  <c r="CE246" i="515"/>
  <c r="CI154" i="515"/>
  <c r="CI9" i="515" s="1"/>
  <c r="CI157" i="515"/>
  <c r="CI162" i="515"/>
  <c r="BM140" i="515"/>
  <c r="BM8" i="515" s="1"/>
  <c r="BM16" i="515" s="1"/>
  <c r="AY198" i="515"/>
  <c r="BC198" i="515"/>
  <c r="N33" i="515"/>
  <c r="U144" i="123"/>
  <c r="K144" i="123"/>
  <c r="G144" i="123"/>
  <c r="S113" i="123"/>
  <c r="Q46" i="123"/>
  <c r="Q75" i="123"/>
  <c r="M199" i="123"/>
  <c r="M205" i="123"/>
  <c r="I46" i="123"/>
  <c r="I75" i="123"/>
  <c r="I199" i="123"/>
  <c r="I205" i="123"/>
  <c r="N58" i="123"/>
  <c r="F114" i="123"/>
  <c r="BL231" i="515"/>
  <c r="BL180" i="515"/>
  <c r="BP231" i="515"/>
  <c r="BD180" i="515"/>
  <c r="BH232" i="515" s="1"/>
  <c r="BD231" i="515"/>
  <c r="BN166" i="515"/>
  <c r="BN248" i="515" s="1"/>
  <c r="K67" i="123"/>
  <c r="L61" i="123"/>
  <c r="G87" i="123"/>
  <c r="G26" i="123"/>
  <c r="G32" i="123" s="1"/>
  <c r="N32" i="3"/>
  <c r="N33" i="3" s="1"/>
  <c r="M33" i="3"/>
  <c r="CC371" i="515"/>
  <c r="BZ247" i="515"/>
  <c r="CH215" i="515"/>
  <c r="CD215" i="515"/>
  <c r="BJ149" i="515"/>
  <c r="BJ268" i="515" s="1"/>
  <c r="BJ276" i="515" s="1"/>
  <c r="BJ166" i="515"/>
  <c r="BJ243" i="515"/>
  <c r="CR154" i="515"/>
  <c r="CR9" i="515" s="1"/>
  <c r="CR157" i="515"/>
  <c r="CM157" i="515"/>
  <c r="CM162" i="515"/>
  <c r="AZ37" i="515"/>
  <c r="AZ53" i="515"/>
  <c r="N38" i="3"/>
  <c r="O198" i="123" s="1"/>
  <c r="N198" i="123"/>
  <c r="J198" i="123"/>
  <c r="N43" i="3"/>
  <c r="CL537" i="515"/>
  <c r="CE457" i="515"/>
  <c r="G457" i="515"/>
  <c r="CC441" i="515"/>
  <c r="CC442" i="515" s="1"/>
  <c r="CK438" i="515"/>
  <c r="CC438" i="515"/>
  <c r="CK437" i="515"/>
  <c r="CC437" i="515"/>
  <c r="CK434" i="515"/>
  <c r="CC434" i="515"/>
  <c r="BT359" i="515"/>
  <c r="R299" i="515"/>
  <c r="AT243" i="515"/>
  <c r="BR239" i="515"/>
  <c r="BR192" i="515"/>
  <c r="AH187" i="515"/>
  <c r="AH22" i="515" s="1"/>
  <c r="AH238" i="515"/>
  <c r="BC237" i="515"/>
  <c r="BG237" i="515"/>
  <c r="BM186" i="515"/>
  <c r="BM236" i="515"/>
  <c r="AL236" i="515"/>
  <c r="AP236" i="515"/>
  <c r="AL186" i="515"/>
  <c r="AN206" i="515"/>
  <c r="E20" i="123"/>
  <c r="E148" i="123"/>
  <c r="V198" i="123"/>
  <c r="U43" i="3"/>
  <c r="BR582" i="515"/>
  <c r="P462" i="515"/>
  <c r="C473" i="515"/>
  <c r="CK439" i="515"/>
  <c r="CK440" i="515" s="1"/>
  <c r="CQ438" i="515"/>
  <c r="CF438" i="515"/>
  <c r="CB438" i="515"/>
  <c r="CQ437" i="515"/>
  <c r="CF437" i="515"/>
  <c r="CB437" i="515"/>
  <c r="CQ434" i="515"/>
  <c r="CJ434" i="515"/>
  <c r="CF434" i="515"/>
  <c r="CB434" i="515"/>
  <c r="CW412" i="515"/>
  <c r="CY412" i="515"/>
  <c r="DC413" i="515" s="1"/>
  <c r="CI412" i="515"/>
  <c r="CE412" i="515"/>
  <c r="BW412" i="515"/>
  <c r="E400" i="515"/>
  <c r="BN310" i="515"/>
  <c r="BN333" i="515" s="1"/>
  <c r="BR304" i="515"/>
  <c r="CX297" i="515"/>
  <c r="CH297" i="515"/>
  <c r="C243" i="515"/>
  <c r="BW22" i="515"/>
  <c r="CA239" i="515"/>
  <c r="AZ238" i="515"/>
  <c r="AR187" i="515"/>
  <c r="AR22" i="515" s="1"/>
  <c r="N176" i="515"/>
  <c r="CG246" i="515"/>
  <c r="CG226" i="515"/>
  <c r="CK226" i="515"/>
  <c r="CG228" i="515"/>
  <c r="CK228" i="515"/>
  <c r="CC226" i="515"/>
  <c r="CC228" i="515"/>
  <c r="O175" i="515"/>
  <c r="CL225" i="515"/>
  <c r="CH225" i="515"/>
  <c r="CB187" i="515"/>
  <c r="CB239" i="515" s="1"/>
  <c r="CB225" i="515"/>
  <c r="CF225" i="515"/>
  <c r="BW245" i="515"/>
  <c r="BW226" i="515"/>
  <c r="CG227" i="515"/>
  <c r="M174" i="515"/>
  <c r="M352" i="515" s="1"/>
  <c r="M353" i="515" s="1"/>
  <c r="CD172" i="515"/>
  <c r="CD259" i="515" s="1"/>
  <c r="CD272" i="515"/>
  <c r="CD280" i="515" s="1"/>
  <c r="CD243" i="515"/>
  <c r="BY223" i="515"/>
  <c r="BY272" i="515"/>
  <c r="BY280" i="515" s="1"/>
  <c r="BY288" i="515" s="1"/>
  <c r="BY180" i="515"/>
  <c r="BY232" i="515" s="1"/>
  <c r="BU187" i="515"/>
  <c r="BU582" i="515" s="1"/>
  <c r="BQ180" i="515"/>
  <c r="BQ187" i="515" s="1"/>
  <c r="BQ223" i="515"/>
  <c r="BI223" i="515"/>
  <c r="BE272" i="515"/>
  <c r="BE280" i="515" s="1"/>
  <c r="BE243" i="515"/>
  <c r="BA223" i="515"/>
  <c r="CF213" i="515"/>
  <c r="CF244" i="515"/>
  <c r="CC8" i="515"/>
  <c r="BU126" i="515"/>
  <c r="BU256" i="515" s="1"/>
  <c r="BU194" i="515"/>
  <c r="BY194" i="515"/>
  <c r="AK134" i="515"/>
  <c r="AK194" i="515"/>
  <c r="AO194" i="515"/>
  <c r="AK267" i="515"/>
  <c r="AK275" i="515" s="1"/>
  <c r="S193" i="123"/>
  <c r="N177" i="123"/>
  <c r="M46" i="123"/>
  <c r="O88" i="123" s="1"/>
  <c r="F26" i="123"/>
  <c r="F32" i="123" s="1"/>
  <c r="M43" i="3"/>
  <c r="D43" i="3"/>
  <c r="I179" i="515"/>
  <c r="H179" i="515"/>
  <c r="J177" i="515"/>
  <c r="CD187" i="515"/>
  <c r="CD22" i="515" s="1"/>
  <c r="BY187" i="515"/>
  <c r="L174" i="515"/>
  <c r="CG172" i="515"/>
  <c r="BS172" i="515"/>
  <c r="BS259" i="515" s="1"/>
  <c r="CB166" i="515"/>
  <c r="Q150" i="515"/>
  <c r="AX140" i="515"/>
  <c r="AT140" i="515"/>
  <c r="P33" i="515"/>
  <c r="T114" i="123"/>
  <c r="P114" i="123"/>
  <c r="M114" i="123"/>
  <c r="P113" i="123"/>
  <c r="Q26" i="123"/>
  <c r="Q32" i="123" s="1"/>
  <c r="O25" i="3"/>
  <c r="O55" i="3" s="1"/>
  <c r="Q264" i="515"/>
  <c r="O264" i="515"/>
  <c r="N264" i="515"/>
  <c r="M264" i="515"/>
  <c r="CC271" i="515"/>
  <c r="CC279" i="515" s="1"/>
  <c r="BY271" i="515"/>
  <c r="BY279" i="515" s="1"/>
  <c r="I97" i="515"/>
  <c r="E97" i="515"/>
  <c r="BA187" i="515"/>
  <c r="K174" i="515"/>
  <c r="BZ172" i="515"/>
  <c r="BR172" i="515"/>
  <c r="BR259" i="515" s="1"/>
  <c r="BY160" i="515"/>
  <c r="BY258" i="515" s="1"/>
  <c r="M154" i="515"/>
  <c r="M9" i="515" s="1"/>
  <c r="AY139" i="515"/>
  <c r="BC207" i="515" s="1"/>
  <c r="O164" i="515"/>
  <c r="O246" i="515" s="1"/>
  <c r="Q33" i="515"/>
  <c r="O33" i="515"/>
  <c r="M33" i="515"/>
  <c r="T300" i="123"/>
  <c r="U167" i="123"/>
  <c r="O159" i="123"/>
  <c r="H157" i="123"/>
  <c r="O81" i="123"/>
  <c r="W67" i="123"/>
  <c r="O53" i="123"/>
  <c r="N205" i="123"/>
  <c r="O36" i="123"/>
  <c r="O114" i="123" s="1"/>
  <c r="O115" i="123" s="1"/>
  <c r="K36" i="123"/>
  <c r="K114" i="123" s="1"/>
  <c r="K115" i="123" s="1"/>
  <c r="R43" i="3"/>
  <c r="CW271" i="515"/>
  <c r="CW279" i="515" s="1"/>
  <c r="CG271" i="515"/>
  <c r="CG279" i="515" s="1"/>
  <c r="D187" i="515"/>
  <c r="BL186" i="515"/>
  <c r="BL238" i="515" s="1"/>
  <c r="AN232" i="515"/>
  <c r="BV187" i="515"/>
  <c r="BV22" i="515" s="1"/>
  <c r="CC172" i="515"/>
  <c r="BV172" i="515"/>
  <c r="E222" i="515"/>
  <c r="C217" i="515"/>
  <c r="CB16" i="515"/>
  <c r="BX16" i="515"/>
  <c r="P163" i="515"/>
  <c r="P245" i="515" s="1"/>
  <c r="L163" i="515"/>
  <c r="CV162" i="515"/>
  <c r="CR162" i="515"/>
  <c r="CN162" i="515"/>
  <c r="CN358" i="515" s="1"/>
  <c r="CN365" i="515" s="1"/>
  <c r="CJ162" i="515"/>
  <c r="F170" i="123"/>
  <c r="M167" i="123"/>
  <c r="W159" i="123"/>
  <c r="F153" i="123"/>
  <c r="V157" i="123"/>
  <c r="L53" i="123"/>
  <c r="U46" i="123"/>
  <c r="W88" i="123" s="1"/>
  <c r="W16" i="123"/>
  <c r="L43" i="3"/>
  <c r="E43" i="3"/>
  <c r="U14" i="3"/>
  <c r="Q14" i="3"/>
  <c r="R14" i="3"/>
  <c r="P25" i="3"/>
  <c r="J492" i="515"/>
  <c r="O503" i="515"/>
  <c r="CP434" i="515"/>
  <c r="CP437" i="515"/>
  <c r="CP438" i="515"/>
  <c r="CP441" i="515"/>
  <c r="Q433" i="515"/>
  <c r="CP439" i="515"/>
  <c r="CP442" i="515" s="1"/>
  <c r="CL437" i="515"/>
  <c r="CL438" i="515"/>
  <c r="CL441" i="515"/>
  <c r="CL439" i="515"/>
  <c r="BS418" i="515"/>
  <c r="CG375" i="515"/>
  <c r="CG372" i="515"/>
  <c r="BZ309" i="515"/>
  <c r="BZ288" i="515"/>
  <c r="T186" i="123"/>
  <c r="O229" i="515"/>
  <c r="N247" i="515"/>
  <c r="CX169" i="515"/>
  <c r="P31" i="515"/>
  <c r="P479" i="515" s="1"/>
  <c r="P488" i="515" s="1"/>
  <c r="T75" i="3"/>
  <c r="N192" i="123"/>
  <c r="O192" i="123" s="1"/>
  <c r="O193" i="123" s="1"/>
  <c r="F495" i="515"/>
  <c r="CR453" i="515"/>
  <c r="CS441" i="515"/>
  <c r="CS439" i="515"/>
  <c r="CS437" i="515"/>
  <c r="CS438" i="515"/>
  <c r="CO437" i="515"/>
  <c r="CF375" i="515"/>
  <c r="K154" i="515"/>
  <c r="K9" i="515" s="1"/>
  <c r="K162" i="515"/>
  <c r="AJ187" i="515"/>
  <c r="AJ238" i="515"/>
  <c r="AN238" i="515"/>
  <c r="BV239" i="515"/>
  <c r="K148" i="515"/>
  <c r="CN166" i="515"/>
  <c r="CN160" i="515"/>
  <c r="CD140" i="515"/>
  <c r="CD346" i="515"/>
  <c r="CD162" i="515"/>
  <c r="CD160" i="515" s="1"/>
  <c r="CD356" i="515"/>
  <c r="CD363" i="515" s="1"/>
  <c r="CD371" i="515" s="1"/>
  <c r="CD197" i="515"/>
  <c r="AY37" i="515"/>
  <c r="CE418" i="515"/>
  <c r="C22" i="515"/>
  <c r="AI187" i="515"/>
  <c r="R186" i="123"/>
  <c r="P186" i="123"/>
  <c r="G229" i="515"/>
  <c r="M186" i="123"/>
  <c r="G247" i="515"/>
  <c r="N352" i="515"/>
  <c r="CK222" i="515"/>
  <c r="CG259" i="515"/>
  <c r="CS157" i="515"/>
  <c r="CS347" i="515"/>
  <c r="AT8" i="515"/>
  <c r="AT11" i="515" s="1"/>
  <c r="Q183" i="123"/>
  <c r="L217" i="515"/>
  <c r="K492" i="515"/>
  <c r="K495" i="515" s="1"/>
  <c r="G499" i="515"/>
  <c r="R415" i="515"/>
  <c r="S415" i="515" s="1"/>
  <c r="Q416" i="515"/>
  <c r="BV288" i="515"/>
  <c r="BO287" i="515"/>
  <c r="AG166" i="515"/>
  <c r="AG8" i="515"/>
  <c r="AG11" i="515" s="1"/>
  <c r="AG534" i="515" s="1"/>
  <c r="AG535" i="515" s="1"/>
  <c r="J165" i="515"/>
  <c r="J247" i="515" s="1"/>
  <c r="C454" i="515"/>
  <c r="D450" i="515" s="1"/>
  <c r="D454" i="515" s="1"/>
  <c r="CY450" i="515"/>
  <c r="CU450" i="515"/>
  <c r="CQ450" i="515"/>
  <c r="CQ453" i="515" s="1"/>
  <c r="CM450" i="515"/>
  <c r="DB452" i="515"/>
  <c r="DD447" i="515"/>
  <c r="CR441" i="515"/>
  <c r="CN441" i="515"/>
  <c r="Q432" i="515"/>
  <c r="K430" i="515"/>
  <c r="P424" i="515"/>
  <c r="BR398" i="515"/>
  <c r="BR399" i="515" s="1"/>
  <c r="BN398" i="515"/>
  <c r="BN399" i="515" s="1"/>
  <c r="BN397" i="515"/>
  <c r="BV386" i="515"/>
  <c r="BY365" i="515"/>
  <c r="BY368" i="515" s="1"/>
  <c r="BU365" i="515"/>
  <c r="K356" i="515"/>
  <c r="K363" i="515" s="1"/>
  <c r="BZ331" i="515"/>
  <c r="CX311" i="515"/>
  <c r="CT311" i="515"/>
  <c r="CY297" i="515"/>
  <c r="CA297" i="515"/>
  <c r="D272" i="515"/>
  <c r="D280" i="515" s="1"/>
  <c r="CX269" i="515"/>
  <c r="CX277" i="515" s="1"/>
  <c r="CG268" i="515"/>
  <c r="CG276" i="515" s="1"/>
  <c r="CC268" i="515"/>
  <c r="CC276" i="515" s="1"/>
  <c r="BY268" i="515"/>
  <c r="BY276" i="515" s="1"/>
  <c r="BQ268" i="515"/>
  <c r="BQ276" i="515" s="1"/>
  <c r="H268" i="515"/>
  <c r="H276" i="515" s="1"/>
  <c r="D268" i="515"/>
  <c r="D276" i="515" s="1"/>
  <c r="CX267" i="515"/>
  <c r="CX275" i="515" s="1"/>
  <c r="CX283" i="515" s="1"/>
  <c r="CC267" i="515"/>
  <c r="CC275" i="515" s="1"/>
  <c r="BY267" i="515"/>
  <c r="BY275" i="515" s="1"/>
  <c r="BU267" i="515"/>
  <c r="BU275" i="515" s="1"/>
  <c r="BQ267" i="515"/>
  <c r="BQ275" i="515" s="1"/>
  <c r="I267" i="515"/>
  <c r="I275" i="515" s="1"/>
  <c r="E267" i="515"/>
  <c r="E275" i="515" s="1"/>
  <c r="E283" i="515" s="1"/>
  <c r="R263" i="515"/>
  <c r="CA259" i="515"/>
  <c r="BV252" i="515"/>
  <c r="O247" i="515"/>
  <c r="C247" i="515"/>
  <c r="CZ245" i="515"/>
  <c r="CV245" i="515"/>
  <c r="CR245" i="515"/>
  <c r="CN245" i="515"/>
  <c r="CJ245" i="515"/>
  <c r="CF245" i="515"/>
  <c r="CB245" i="515"/>
  <c r="BX245" i="515"/>
  <c r="BW244" i="515"/>
  <c r="BA238" i="515"/>
  <c r="AO238" i="515"/>
  <c r="AK238" i="515"/>
  <c r="R225" i="515"/>
  <c r="CC224" i="515"/>
  <c r="BY224" i="515"/>
  <c r="CB223" i="515"/>
  <c r="BX223" i="515"/>
  <c r="BT223" i="515"/>
  <c r="BP223" i="515"/>
  <c r="BL223" i="515"/>
  <c r="BH223" i="515"/>
  <c r="BD223" i="515"/>
  <c r="AZ223" i="515"/>
  <c r="DB217" i="515"/>
  <c r="CT217" i="515"/>
  <c r="CP217" i="515"/>
  <c r="CL217" i="515"/>
  <c r="CH217" i="515"/>
  <c r="CD217" i="515"/>
  <c r="BZ217" i="515"/>
  <c r="C212" i="515"/>
  <c r="CF208" i="515"/>
  <c r="CB208" i="515"/>
  <c r="BX208" i="515"/>
  <c r="CS187" i="515"/>
  <c r="CS22" i="515" s="1"/>
  <c r="CG187" i="515"/>
  <c r="CC187" i="515"/>
  <c r="BB186" i="515"/>
  <c r="BM180" i="515"/>
  <c r="BI180" i="515"/>
  <c r="BE180" i="515"/>
  <c r="N175" i="515"/>
  <c r="N173" i="515"/>
  <c r="J173" i="515"/>
  <c r="F173" i="515"/>
  <c r="CB172" i="515"/>
  <c r="CB259" i="515" s="1"/>
  <c r="BX172" i="515"/>
  <c r="BX259" i="515" s="1"/>
  <c r="BT172" i="515"/>
  <c r="BT259" i="515" s="1"/>
  <c r="CX168" i="515"/>
  <c r="CI166" i="515"/>
  <c r="CE165" i="515"/>
  <c r="CI217" i="515" s="1"/>
  <c r="P165" i="515"/>
  <c r="BO161" i="515"/>
  <c r="G161" i="515"/>
  <c r="CY154" i="515"/>
  <c r="CY9" i="515" s="1"/>
  <c r="CM154" i="515"/>
  <c r="CM9" i="515" s="1"/>
  <c r="AK149" i="515"/>
  <c r="AK268" i="515" s="1"/>
  <c r="AK276" i="515" s="1"/>
  <c r="M148" i="515"/>
  <c r="G144" i="515"/>
  <c r="CX140" i="515"/>
  <c r="CX8" i="515" s="1"/>
  <c r="CO140" i="515"/>
  <c r="CO8" i="515" s="1"/>
  <c r="BU140" i="515"/>
  <c r="BT134" i="515"/>
  <c r="L134" i="515"/>
  <c r="D134" i="515"/>
  <c r="BR126" i="515"/>
  <c r="BR256" i="515" s="1"/>
  <c r="BS126" i="515"/>
  <c r="BS256" i="515" s="1"/>
  <c r="M126" i="515"/>
  <c r="J97" i="515"/>
  <c r="I93" i="515"/>
  <c r="D39" i="515"/>
  <c r="C39" i="515" s="1"/>
  <c r="CF11" i="515"/>
  <c r="BX11" i="515"/>
  <c r="BX17" i="515" s="1"/>
  <c r="V293" i="123"/>
  <c r="W293" i="123" s="1"/>
  <c r="W291" i="123"/>
  <c r="W213" i="123"/>
  <c r="P212" i="123"/>
  <c r="Q180" i="123"/>
  <c r="P177" i="123"/>
  <c r="M180" i="123"/>
  <c r="L177" i="123"/>
  <c r="I180" i="123"/>
  <c r="H179" i="123"/>
  <c r="G170" i="123"/>
  <c r="G179" i="123"/>
  <c r="G184" i="123"/>
  <c r="H170" i="123"/>
  <c r="V159" i="123"/>
  <c r="W144" i="123"/>
  <c r="W156" i="123" s="1"/>
  <c r="V147" i="123"/>
  <c r="R159" i="123"/>
  <c r="S144" i="123"/>
  <c r="S147" i="123" s="1"/>
  <c r="R147" i="123"/>
  <c r="M159" i="123"/>
  <c r="O144" i="123"/>
  <c r="H159" i="123"/>
  <c r="I144" i="123"/>
  <c r="I156" i="123" s="1"/>
  <c r="D159" i="123"/>
  <c r="E144" i="123"/>
  <c r="E156" i="123" s="1"/>
  <c r="J173" i="123"/>
  <c r="J203" i="123"/>
  <c r="K54" i="123"/>
  <c r="R115" i="123"/>
  <c r="N23" i="123"/>
  <c r="N25" i="123" s="1"/>
  <c r="M25" i="123"/>
  <c r="G99" i="123"/>
  <c r="Y15" i="123"/>
  <c r="X21" i="3" s="1"/>
  <c r="T12" i="3"/>
  <c r="J12" i="3"/>
  <c r="K152" i="123"/>
  <c r="K157" i="123" s="1"/>
  <c r="W212" i="123"/>
  <c r="V213" i="123"/>
  <c r="R396" i="515"/>
  <c r="BL295" i="515"/>
  <c r="BK270" i="515"/>
  <c r="BK278" i="515" s="1"/>
  <c r="G179" i="515"/>
  <c r="Q177" i="515"/>
  <c r="V186" i="123" s="1"/>
  <c r="M176" i="515"/>
  <c r="M175" i="515"/>
  <c r="M173" i="515"/>
  <c r="BX99" i="515"/>
  <c r="L126" i="515"/>
  <c r="DC96" i="515"/>
  <c r="BR100" i="515"/>
  <c r="O186" i="123"/>
  <c r="R87" i="123"/>
  <c r="R88" i="123"/>
  <c r="H77" i="123"/>
  <c r="H78" i="123"/>
  <c r="H120" i="123" s="1"/>
  <c r="H99" i="123"/>
  <c r="T24" i="123"/>
  <c r="S26" i="123"/>
  <c r="S32" i="123" s="1"/>
  <c r="T99" i="123" s="1"/>
  <c r="R26" i="123"/>
  <c r="R32" i="123" s="1"/>
  <c r="Y87" i="123"/>
  <c r="Y88" i="123"/>
  <c r="N25" i="3"/>
  <c r="P55" i="3"/>
  <c r="S25" i="3"/>
  <c r="S212" i="123"/>
  <c r="R213" i="123"/>
  <c r="CF441" i="515"/>
  <c r="CB439" i="515"/>
  <c r="I422" i="515"/>
  <c r="BU418" i="515"/>
  <c r="BU419" i="515" s="1"/>
  <c r="K416" i="515"/>
  <c r="CV398" i="515"/>
  <c r="CV399" i="515" s="1"/>
  <c r="CB398" i="515"/>
  <c r="CB399" i="515" s="1"/>
  <c r="CZ397" i="515"/>
  <c r="CN397" i="515"/>
  <c r="CF397" i="515"/>
  <c r="BX397" i="515"/>
  <c r="P310" i="515"/>
  <c r="DC295" i="515"/>
  <c r="BO295" i="515"/>
  <c r="CC272" i="515"/>
  <c r="CC280" i="515" s="1"/>
  <c r="CX271" i="515"/>
  <c r="CT271" i="515"/>
  <c r="CP271" i="515"/>
  <c r="CL271" i="515"/>
  <c r="CD271" i="515"/>
  <c r="CD279" i="515" s="1"/>
  <c r="CD287" i="515" s="1"/>
  <c r="BZ271" i="515"/>
  <c r="BZ279" i="515" s="1"/>
  <c r="BV271" i="515"/>
  <c r="BV279" i="515" s="1"/>
  <c r="BR271" i="515"/>
  <c r="BR279" i="515" s="1"/>
  <c r="BN271" i="515"/>
  <c r="BN279" i="515" s="1"/>
  <c r="I271" i="515"/>
  <c r="I279" i="515" s="1"/>
  <c r="I287" i="515" s="1"/>
  <c r="E271" i="515"/>
  <c r="P263" i="515"/>
  <c r="CX247" i="515"/>
  <c r="BZ245" i="515"/>
  <c r="BV245" i="515"/>
  <c r="BY244" i="515"/>
  <c r="CC243" i="515"/>
  <c r="CK232" i="515"/>
  <c r="BQ231" i="515"/>
  <c r="CW229" i="515"/>
  <c r="CS229" i="515"/>
  <c r="CC229" i="515"/>
  <c r="BY229" i="515"/>
  <c r="CC227" i="515"/>
  <c r="BY227" i="515"/>
  <c r="CK225" i="515"/>
  <c r="CG225" i="515"/>
  <c r="K217" i="515"/>
  <c r="G217" i="515"/>
  <c r="CJ215" i="515"/>
  <c r="CF215" i="515"/>
  <c r="CB215" i="515"/>
  <c r="BX215" i="515"/>
  <c r="CZ214" i="515"/>
  <c r="CV214" i="515"/>
  <c r="CF214" i="515"/>
  <c r="CB214" i="515"/>
  <c r="CX212" i="515"/>
  <c r="AP206" i="515"/>
  <c r="AP205" i="515"/>
  <c r="CC180" i="515"/>
  <c r="H177" i="515"/>
  <c r="L176" i="515"/>
  <c r="L175" i="515"/>
  <c r="L173" i="515"/>
  <c r="H173" i="515"/>
  <c r="N163" i="515"/>
  <c r="CS161" i="515"/>
  <c r="CS154" i="515"/>
  <c r="CS9" i="515" s="1"/>
  <c r="D142" i="515"/>
  <c r="CE140" i="515"/>
  <c r="CE8" i="515" s="1"/>
  <c r="CE16" i="515" s="1"/>
  <c r="BO140" i="515"/>
  <c r="BO8" i="515" s="1"/>
  <c r="BO16" i="515" s="1"/>
  <c r="BK140" i="515"/>
  <c r="BG140" i="515"/>
  <c r="BC140" i="515"/>
  <c r="BC8" i="515" s="1"/>
  <c r="K127" i="515"/>
  <c r="F97" i="515"/>
  <c r="J93" i="515"/>
  <c r="F129" i="123"/>
  <c r="F135" i="123"/>
  <c r="F136" i="123" s="1"/>
  <c r="F138" i="123"/>
  <c r="F139" i="123" s="1"/>
  <c r="CB11" i="515"/>
  <c r="BT11" i="515"/>
  <c r="T193" i="123"/>
  <c r="U214" i="123"/>
  <c r="S213" i="123"/>
  <c r="V169" i="123"/>
  <c r="V170" i="123" s="1"/>
  <c r="V167" i="123"/>
  <c r="W167" i="123"/>
  <c r="S167" i="123"/>
  <c r="N169" i="123"/>
  <c r="N167" i="123"/>
  <c r="O167" i="123"/>
  <c r="J167" i="123"/>
  <c r="K167" i="123"/>
  <c r="V151" i="123"/>
  <c r="U159" i="123"/>
  <c r="R151" i="123"/>
  <c r="Q159" i="123"/>
  <c r="H151" i="123"/>
  <c r="H153" i="123" s="1"/>
  <c r="G159" i="123"/>
  <c r="T152" i="123"/>
  <c r="T153" i="123" s="1"/>
  <c r="U147" i="123"/>
  <c r="K147" i="123"/>
  <c r="G147" i="123"/>
  <c r="M61" i="123"/>
  <c r="M67" i="123" s="1"/>
  <c r="L67" i="123"/>
  <c r="S51" i="123"/>
  <c r="T115" i="123"/>
  <c r="P115" i="123"/>
  <c r="R99" i="123"/>
  <c r="V16" i="123"/>
  <c r="V113" i="123"/>
  <c r="O43" i="3"/>
  <c r="O68" i="3"/>
  <c r="P39" i="3"/>
  <c r="U57" i="3"/>
  <c r="U59" i="3"/>
  <c r="U62" i="3" s="1"/>
  <c r="S152" i="123"/>
  <c r="S157" i="123" s="1"/>
  <c r="R12" i="3"/>
  <c r="M505" i="515"/>
  <c r="N502" i="515" s="1"/>
  <c r="P432" i="515"/>
  <c r="G193" i="123"/>
  <c r="CV439" i="515"/>
  <c r="E422" i="515"/>
  <c r="Q411" i="515"/>
  <c r="M411" i="515"/>
  <c r="Q409" i="515"/>
  <c r="CR398" i="515"/>
  <c r="CR399" i="515" s="1"/>
  <c r="Q396" i="515"/>
  <c r="Q399" i="515" s="1"/>
  <c r="Q400" i="515" s="1"/>
  <c r="M396" i="515"/>
  <c r="J343" i="515"/>
  <c r="J358" i="515" s="1"/>
  <c r="J365" i="515" s="1"/>
  <c r="U212" i="123"/>
  <c r="T213" i="123"/>
  <c r="Q212" i="123"/>
  <c r="P213" i="123"/>
  <c r="BW441" i="515"/>
  <c r="BV433" i="515"/>
  <c r="CZ425" i="515"/>
  <c r="CV425" i="515"/>
  <c r="CN418" i="515"/>
  <c r="CZ413" i="515"/>
  <c r="P411" i="515"/>
  <c r="P409" i="515"/>
  <c r="CY398" i="515"/>
  <c r="CY399" i="515" s="1"/>
  <c r="CQ398" i="515"/>
  <c r="CQ399" i="515" s="1"/>
  <c r="CM398" i="515"/>
  <c r="CM399" i="515" s="1"/>
  <c r="CI398" i="515"/>
  <c r="CI399" i="515" s="1"/>
  <c r="CE398" i="515"/>
  <c r="CE399" i="515" s="1"/>
  <c r="CA398" i="515"/>
  <c r="CA399" i="515" s="1"/>
  <c r="BW398" i="515"/>
  <c r="BW399" i="515" s="1"/>
  <c r="BS398" i="515"/>
  <c r="BS399" i="515" s="1"/>
  <c r="BO398" i="515"/>
  <c r="BO399" i="515" s="1"/>
  <c r="CI397" i="515"/>
  <c r="BS397" i="515"/>
  <c r="BO397" i="515"/>
  <c r="BW386" i="515"/>
  <c r="CA329" i="515"/>
  <c r="CX312" i="515"/>
  <c r="CT312" i="515"/>
  <c r="CP312" i="515"/>
  <c r="CY311" i="515"/>
  <c r="CU311" i="515"/>
  <c r="CQ311" i="515"/>
  <c r="O310" i="515"/>
  <c r="M309" i="515"/>
  <c r="BX272" i="515"/>
  <c r="BX280" i="515" s="1"/>
  <c r="CB288" i="515" s="1"/>
  <c r="BT272" i="515"/>
  <c r="BT280" i="515" s="1"/>
  <c r="BP272" i="515"/>
  <c r="BP280" i="515" s="1"/>
  <c r="BH272" i="515"/>
  <c r="BH280" i="515" s="1"/>
  <c r="BD272" i="515"/>
  <c r="BD280" i="515" s="1"/>
  <c r="AZ272" i="515"/>
  <c r="AZ280" i="515" s="1"/>
  <c r="E272" i="515"/>
  <c r="E280" i="515" s="1"/>
  <c r="D271" i="515"/>
  <c r="D279" i="515" s="1"/>
  <c r="CY269" i="515"/>
  <c r="CY277" i="515" s="1"/>
  <c r="CY285" i="515" s="1"/>
  <c r="CT269" i="515"/>
  <c r="CP269" i="515"/>
  <c r="CP277" i="515" s="1"/>
  <c r="CD269" i="515"/>
  <c r="BZ269" i="515"/>
  <c r="BZ277" i="515" s="1"/>
  <c r="BV269" i="515"/>
  <c r="BJ269" i="515"/>
  <c r="BJ270" i="515" s="1"/>
  <c r="BJ278" i="515" s="1"/>
  <c r="AT269" i="515"/>
  <c r="AT277" i="515" s="1"/>
  <c r="AD269" i="515"/>
  <c r="AD277" i="515" s="1"/>
  <c r="F269" i="515"/>
  <c r="F277" i="515" s="1"/>
  <c r="CT268" i="515"/>
  <c r="CT276" i="515" s="1"/>
  <c r="CP268" i="515"/>
  <c r="CP276" i="515" s="1"/>
  <c r="CL268" i="515"/>
  <c r="CL276" i="515" s="1"/>
  <c r="CD268" i="515"/>
  <c r="CD276" i="515" s="1"/>
  <c r="BZ268" i="515"/>
  <c r="BZ276" i="515" s="1"/>
  <c r="BV268" i="515"/>
  <c r="BV276" i="515" s="1"/>
  <c r="BN268" i="515"/>
  <c r="BN276" i="515" s="1"/>
  <c r="I268" i="515"/>
  <c r="I276" i="515" s="1"/>
  <c r="E268" i="515"/>
  <c r="E276" i="515" s="1"/>
  <c r="DD263" i="515"/>
  <c r="S97" i="515"/>
  <c r="O263" i="515"/>
  <c r="O271" i="515" s="1"/>
  <c r="O279" i="515" s="1"/>
  <c r="C97" i="515"/>
  <c r="CB246" i="515"/>
  <c r="BT244" i="515"/>
  <c r="BD243" i="515"/>
  <c r="BF237" i="515"/>
  <c r="BF236" i="515"/>
  <c r="BT229" i="515"/>
  <c r="BL229" i="515"/>
  <c r="CF226" i="515"/>
  <c r="CG223" i="515"/>
  <c r="CC223" i="515"/>
  <c r="BZ219" i="515"/>
  <c r="CE198" i="515"/>
  <c r="BS192" i="515"/>
  <c r="K173" i="515"/>
  <c r="G173" i="515"/>
  <c r="BY172" i="515"/>
  <c r="BY259" i="515" s="1"/>
  <c r="BU172" i="515"/>
  <c r="BU259" i="515" s="1"/>
  <c r="CY168" i="515"/>
  <c r="CT168" i="515"/>
  <c r="CP168" i="515"/>
  <c r="V183" i="123"/>
  <c r="V184" i="123" s="1"/>
  <c r="BP161" i="515"/>
  <c r="BP269" i="515" s="1"/>
  <c r="BP277" i="515" s="1"/>
  <c r="L161" i="515"/>
  <c r="L243" i="515" s="1"/>
  <c r="H161" i="515"/>
  <c r="D161" i="515"/>
  <c r="BZ160" i="515"/>
  <c r="BV160" i="515"/>
  <c r="BV258" i="515" s="1"/>
  <c r="J160" i="515"/>
  <c r="CS156" i="515"/>
  <c r="CO156" i="515"/>
  <c r="N148" i="515"/>
  <c r="L144" i="515"/>
  <c r="H144" i="515"/>
  <c r="L142" i="515"/>
  <c r="L140" i="515" s="1"/>
  <c r="C142" i="515"/>
  <c r="BZ16" i="515"/>
  <c r="BV16" i="515"/>
  <c r="N127" i="515"/>
  <c r="BT126" i="515"/>
  <c r="BT256" i="515" s="1"/>
  <c r="BA53" i="515"/>
  <c r="R75" i="3"/>
  <c r="J26" i="515"/>
  <c r="BZ11" i="515"/>
  <c r="Q177" i="123"/>
  <c r="M177" i="123"/>
  <c r="I177" i="123"/>
  <c r="Q153" i="123"/>
  <c r="J152" i="123"/>
  <c r="J153" i="123" s="1"/>
  <c r="F157" i="123"/>
  <c r="W113" i="123"/>
  <c r="S88" i="123"/>
  <c r="H81" i="123"/>
  <c r="E78" i="123"/>
  <c r="E120" i="123" s="1"/>
  <c r="E81" i="123"/>
  <c r="H58" i="123"/>
  <c r="H69" i="123" s="1"/>
  <c r="W57" i="123"/>
  <c r="V176" i="123"/>
  <c r="Z49" i="123"/>
  <c r="J205" i="123"/>
  <c r="F77" i="123"/>
  <c r="F81" i="123"/>
  <c r="I153" i="123"/>
  <c r="F128" i="123"/>
  <c r="U113" i="123"/>
  <c r="Q113" i="123"/>
  <c r="U88" i="123"/>
  <c r="G88" i="123"/>
  <c r="O46" i="123"/>
  <c r="N14" i="3"/>
  <c r="N199" i="123"/>
  <c r="J199" i="123"/>
  <c r="F199" i="123"/>
  <c r="F201" i="123" s="1"/>
  <c r="S198" i="123"/>
  <c r="K198" i="123"/>
  <c r="T169" i="123"/>
  <c r="T170" i="123" s="1"/>
  <c r="P169" i="123"/>
  <c r="L169" i="123"/>
  <c r="T159" i="123"/>
  <c r="P159" i="123"/>
  <c r="J159" i="123"/>
  <c r="F159" i="123"/>
  <c r="H114" i="123"/>
  <c r="D114" i="123"/>
  <c r="D115" i="123" s="1"/>
  <c r="F113" i="123"/>
  <c r="O78" i="123"/>
  <c r="G78" i="123"/>
  <c r="R75" i="123"/>
  <c r="N75" i="123"/>
  <c r="J75" i="123"/>
  <c r="V46" i="123"/>
  <c r="J46" i="123"/>
  <c r="J58" i="123" s="1"/>
  <c r="F46" i="123"/>
  <c r="F87" i="123" s="1"/>
  <c r="L25" i="123"/>
  <c r="C55" i="3"/>
  <c r="T43" i="3"/>
  <c r="P43" i="3"/>
  <c r="P48" i="3" s="1"/>
  <c r="H199" i="123"/>
  <c r="I184" i="123"/>
  <c r="E184" i="123"/>
  <c r="O180" i="123"/>
  <c r="I179" i="123"/>
  <c r="E179" i="123"/>
  <c r="G138" i="123"/>
  <c r="G139" i="123" s="1"/>
  <c r="G135" i="123"/>
  <c r="G136" i="123" s="1"/>
  <c r="H113" i="123"/>
  <c r="H115" i="123" s="1"/>
  <c r="P75" i="123"/>
  <c r="J67" i="123"/>
  <c r="J69" i="123" s="1"/>
  <c r="L46" i="123"/>
  <c r="L58" i="123" s="1"/>
  <c r="Y37" i="123"/>
  <c r="E147" i="123"/>
  <c r="W147" i="123"/>
  <c r="B243" i="515"/>
  <c r="B533" i="515"/>
  <c r="BS8" i="515"/>
  <c r="BS11" i="515" s="1"/>
  <c r="BW208" i="515"/>
  <c r="BX22" i="515"/>
  <c r="BX582" i="515"/>
  <c r="Q88" i="123"/>
  <c r="I397" i="515"/>
  <c r="O147" i="123"/>
  <c r="CS360" i="515"/>
  <c r="CS367" i="515" s="1"/>
  <c r="CS352" i="515"/>
  <c r="E243" i="515"/>
  <c r="E533" i="515"/>
  <c r="I160" i="515"/>
  <c r="I525" i="515"/>
  <c r="I533" i="515"/>
  <c r="I528" i="515"/>
  <c r="I531" i="515"/>
  <c r="BT582" i="515"/>
  <c r="BJ232" i="515"/>
  <c r="BJ187" i="515"/>
  <c r="BN232" i="515"/>
  <c r="G81" i="123"/>
  <c r="E483" i="515"/>
  <c r="D484" i="515"/>
  <c r="AZ232" i="515"/>
  <c r="AZ187" i="515"/>
  <c r="BX239" i="515"/>
  <c r="CD219" i="515"/>
  <c r="CD357" i="515"/>
  <c r="CD364" i="515" s="1"/>
  <c r="AF149" i="515"/>
  <c r="AF268" i="515" s="1"/>
  <c r="AF276" i="515" s="1"/>
  <c r="AF243" i="515"/>
  <c r="AF533" i="515"/>
  <c r="AF269" i="515"/>
  <c r="AF277" i="515" s="1"/>
  <c r="BU22" i="515"/>
  <c r="CB22" i="515"/>
  <c r="CB582" i="515"/>
  <c r="AR239" i="515"/>
  <c r="CM160" i="515"/>
  <c r="CM213" i="515"/>
  <c r="CM358" i="515"/>
  <c r="CM357" i="515"/>
  <c r="CM364" i="515" s="1"/>
  <c r="CS413" i="515"/>
  <c r="BD232" i="515"/>
  <c r="I58" i="123"/>
  <c r="Q58" i="123"/>
  <c r="Q69" i="123" s="1"/>
  <c r="Q71" i="123" s="1"/>
  <c r="S87" i="123"/>
  <c r="BP582" i="515"/>
  <c r="F212" i="515"/>
  <c r="W87" i="123"/>
  <c r="I147" i="123"/>
  <c r="J196" i="123"/>
  <c r="BI149" i="515"/>
  <c r="BI268" i="515" s="1"/>
  <c r="BI276" i="515" s="1"/>
  <c r="BI243" i="515"/>
  <c r="BI269" i="515"/>
  <c r="BI277" i="515" s="1"/>
  <c r="BI285" i="515" s="1"/>
  <c r="BI533" i="515"/>
  <c r="AN269" i="515"/>
  <c r="AN277" i="515" s="1"/>
  <c r="BU232" i="515"/>
  <c r="M360" i="515"/>
  <c r="M367" i="515" s="1"/>
  <c r="CK442" i="515"/>
  <c r="BP232" i="515"/>
  <c r="BZ259" i="515"/>
  <c r="AV149" i="515"/>
  <c r="AV268" i="515" s="1"/>
  <c r="AV276" i="515" s="1"/>
  <c r="AV533" i="515"/>
  <c r="AV243" i="515"/>
  <c r="AV269" i="515"/>
  <c r="AV277" i="515" s="1"/>
  <c r="E159" i="123"/>
  <c r="F144" i="123"/>
  <c r="N196" i="123"/>
  <c r="M204" i="123"/>
  <c r="CV415" i="515"/>
  <c r="CZ415" i="515" s="1"/>
  <c r="CY415" i="515"/>
  <c r="CU416" i="515"/>
  <c r="BF22" i="515"/>
  <c r="L69" i="123"/>
  <c r="J229" i="515"/>
  <c r="CV357" i="515"/>
  <c r="CV364" i="515" s="1"/>
  <c r="BE166" i="515"/>
  <c r="AI243" i="515"/>
  <c r="AI269" i="515"/>
  <c r="AI277" i="515" s="1"/>
  <c r="AM285" i="515" s="1"/>
  <c r="AI149" i="515"/>
  <c r="AI268" i="515" s="1"/>
  <c r="AI276" i="515" s="1"/>
  <c r="AI533" i="515"/>
  <c r="CH222" i="515"/>
  <c r="E26" i="123"/>
  <c r="E32" i="123" s="1"/>
  <c r="E113" i="123"/>
  <c r="E115" i="123" s="1"/>
  <c r="F484" i="515"/>
  <c r="Q77" i="123"/>
  <c r="BG238" i="515"/>
  <c r="BC238" i="515"/>
  <c r="J77" i="123"/>
  <c r="H483" i="515"/>
  <c r="G484" i="515"/>
  <c r="J78" i="123"/>
  <c r="J120" i="123" s="1"/>
  <c r="P196" i="123"/>
  <c r="O196" i="123"/>
  <c r="F84" i="123"/>
  <c r="F85" i="123" s="1"/>
  <c r="F83" i="123"/>
  <c r="F105" i="123" s="1"/>
  <c r="X57" i="123"/>
  <c r="W176" i="123"/>
  <c r="DA228" i="515"/>
  <c r="DE316" i="515"/>
  <c r="DA263" i="515"/>
  <c r="DE319" i="515"/>
  <c r="DE315" i="515"/>
  <c r="DE317" i="515"/>
  <c r="DE318" i="515"/>
  <c r="BV434" i="515"/>
  <c r="BZ434" i="515"/>
  <c r="BV437" i="515"/>
  <c r="BV438" i="515"/>
  <c r="L433" i="515"/>
  <c r="L441" i="515" s="1"/>
  <c r="BV439" i="515"/>
  <c r="BV441" i="515"/>
  <c r="N503" i="515"/>
  <c r="N506" i="515" s="1"/>
  <c r="N498" i="515" s="1"/>
  <c r="N492" i="515" s="1"/>
  <c r="T51" i="123"/>
  <c r="BS208" i="515"/>
  <c r="L180" i="515"/>
  <c r="L172" i="515"/>
  <c r="L272" i="515"/>
  <c r="L280" i="515" s="1"/>
  <c r="U24" i="123"/>
  <c r="T26" i="123"/>
  <c r="T32" i="123" s="1"/>
  <c r="U99" i="123" s="1"/>
  <c r="U170" i="123"/>
  <c r="M424" i="515"/>
  <c r="T25" i="3"/>
  <c r="L54" i="123"/>
  <c r="K205" i="123"/>
  <c r="K173" i="123"/>
  <c r="K179" i="123" s="1"/>
  <c r="K203" i="123"/>
  <c r="K199" i="123"/>
  <c r="D140" i="515"/>
  <c r="CE217" i="515"/>
  <c r="CE247" i="515"/>
  <c r="F223" i="515"/>
  <c r="F243" i="515"/>
  <c r="BE232" i="515"/>
  <c r="CG22" i="515"/>
  <c r="CG582" i="515"/>
  <c r="BZ253" i="515"/>
  <c r="J283" i="515"/>
  <c r="J287" i="515"/>
  <c r="Q439" i="515"/>
  <c r="Q441" i="515"/>
  <c r="Q437" i="515"/>
  <c r="Q438" i="515"/>
  <c r="H201" i="123"/>
  <c r="H204" i="123"/>
  <c r="I196" i="123"/>
  <c r="F88" i="123"/>
  <c r="F58" i="123"/>
  <c r="F69" i="123" s="1"/>
  <c r="F71" i="123" s="1"/>
  <c r="N77" i="123"/>
  <c r="N78" i="123"/>
  <c r="N79" i="123" s="1"/>
  <c r="O120" i="123"/>
  <c r="O79" i="123"/>
  <c r="L170" i="123"/>
  <c r="H84" i="123"/>
  <c r="H85" i="123" s="1"/>
  <c r="H83" i="123"/>
  <c r="H105" i="123" s="1"/>
  <c r="J156" i="123"/>
  <c r="Y48" i="123"/>
  <c r="Z48" i="123" s="1"/>
  <c r="AA48" i="123" s="1"/>
  <c r="AB48" i="123" s="1"/>
  <c r="AC48" i="123" s="1"/>
  <c r="AD48" i="123" s="1"/>
  <c r="AE48" i="123" s="1"/>
  <c r="AF48" i="123" s="1"/>
  <c r="AG48" i="123" s="1"/>
  <c r="D243" i="515"/>
  <c r="E212" i="515"/>
  <c r="D269" i="515"/>
  <c r="D270" i="515" s="1"/>
  <c r="D278" i="515" s="1"/>
  <c r="Q412" i="515"/>
  <c r="R25" i="3"/>
  <c r="R55" i="3" s="1"/>
  <c r="BT14" i="515"/>
  <c r="BT106" i="515" s="1"/>
  <c r="K126" i="515"/>
  <c r="K267" i="515"/>
  <c r="K275" i="515" s="1"/>
  <c r="K283" i="515" s="1"/>
  <c r="K134" i="515"/>
  <c r="K142" i="515"/>
  <c r="K140" i="515" s="1"/>
  <c r="K144" i="515"/>
  <c r="K161" i="515"/>
  <c r="L212" i="515" s="1"/>
  <c r="BC166" i="515"/>
  <c r="CE208" i="515"/>
  <c r="H229" i="515"/>
  <c r="CP279" i="515"/>
  <c r="S55" i="3"/>
  <c r="P57" i="3"/>
  <c r="P59" i="3"/>
  <c r="P62" i="3" s="1"/>
  <c r="S99" i="123"/>
  <c r="BT17" i="515"/>
  <c r="M187" i="515"/>
  <c r="M223" i="515"/>
  <c r="M246" i="515"/>
  <c r="Q87" i="123"/>
  <c r="O170" i="123"/>
  <c r="BX98" i="515"/>
  <c r="BX14" i="515"/>
  <c r="BX106" i="515" s="1"/>
  <c r="BX538" i="515"/>
  <c r="BX539" i="515" s="1"/>
  <c r="BO269" i="515"/>
  <c r="BO166" i="515"/>
  <c r="BO248" i="515" s="1"/>
  <c r="BO243" i="515"/>
  <c r="BO533" i="515"/>
  <c r="BI232" i="515"/>
  <c r="BI187" i="515"/>
  <c r="CS582" i="515"/>
  <c r="G201" i="123"/>
  <c r="J8" i="515"/>
  <c r="CN242" i="515"/>
  <c r="CN258" i="515"/>
  <c r="CG232" i="515"/>
  <c r="CB442" i="515"/>
  <c r="P304" i="515"/>
  <c r="R77" i="123"/>
  <c r="R81" i="123"/>
  <c r="M484" i="515"/>
  <c r="N483" i="515" s="1"/>
  <c r="R78" i="123"/>
  <c r="P170" i="123"/>
  <c r="AA49" i="123"/>
  <c r="E79" i="123"/>
  <c r="H212" i="515"/>
  <c r="H533" i="515"/>
  <c r="I212" i="515"/>
  <c r="H160" i="515"/>
  <c r="H269" i="515"/>
  <c r="B277" i="515"/>
  <c r="B270" i="515"/>
  <c r="B278" i="515" s="1"/>
  <c r="BZ270" i="515"/>
  <c r="BZ278" i="515" s="1"/>
  <c r="BX288" i="515"/>
  <c r="BX421" i="515"/>
  <c r="M399" i="515"/>
  <c r="M400" i="515" s="1"/>
  <c r="M397" i="515"/>
  <c r="Q39" i="3"/>
  <c r="P68" i="3"/>
  <c r="L446" i="515" s="1"/>
  <c r="U193" i="123"/>
  <c r="V214" i="123"/>
  <c r="V193" i="123" s="1"/>
  <c r="CB98" i="515"/>
  <c r="BG8" i="515"/>
  <c r="BG16" i="515" s="1"/>
  <c r="BG208" i="515"/>
  <c r="BG166" i="515"/>
  <c r="D8" i="515"/>
  <c r="CD258" i="515"/>
  <c r="CT287" i="515"/>
  <c r="CT279" i="515"/>
  <c r="CS421" i="515"/>
  <c r="S156" i="123"/>
  <c r="CF14" i="515"/>
  <c r="CF106" i="515" s="1"/>
  <c r="CF538" i="515"/>
  <c r="CF539" i="515" s="1"/>
  <c r="N172" i="515"/>
  <c r="N223" i="515"/>
  <c r="N180" i="515"/>
  <c r="N187" i="515"/>
  <c r="N22" i="515" s="1"/>
  <c r="N424" i="515"/>
  <c r="BM232" i="515"/>
  <c r="R268" i="515"/>
  <c r="R276" i="515" s="1"/>
  <c r="S284" i="515" s="1"/>
  <c r="M520" i="515"/>
  <c r="J217" i="515"/>
  <c r="O183" i="123"/>
  <c r="O187" i="123" s="1"/>
  <c r="CE421" i="515"/>
  <c r="M506" i="515"/>
  <c r="M498" i="515" s="1"/>
  <c r="AN239" i="515"/>
  <c r="CS440" i="515"/>
  <c r="CF440" i="515"/>
  <c r="BM11" i="515"/>
  <c r="Z37" i="123"/>
  <c r="P77" i="123"/>
  <c r="P78" i="123"/>
  <c r="P120" i="123" s="1"/>
  <c r="P81" i="123"/>
  <c r="K484" i="515"/>
  <c r="L483" i="515" s="1"/>
  <c r="G79" i="123"/>
  <c r="G120" i="123"/>
  <c r="K196" i="123"/>
  <c r="J201" i="123"/>
  <c r="J204" i="123"/>
  <c r="E83" i="123"/>
  <c r="E105" i="123" s="1"/>
  <c r="E84" i="123"/>
  <c r="E85" i="123" s="1"/>
  <c r="BZ14" i="515"/>
  <c r="BZ106" i="515" s="1"/>
  <c r="C8" i="515"/>
  <c r="C166" i="515"/>
  <c r="C11" i="515" s="1"/>
  <c r="BZ211" i="515"/>
  <c r="G172" i="515"/>
  <c r="G223" i="515"/>
  <c r="G243" i="515"/>
  <c r="BP243" i="515"/>
  <c r="CD277" i="515"/>
  <c r="CD285" i="515" s="1"/>
  <c r="CT277" i="515"/>
  <c r="BL288" i="515"/>
  <c r="J356" i="515"/>
  <c r="J363" i="515" s="1"/>
  <c r="K371" i="515" s="1"/>
  <c r="J360" i="515"/>
  <c r="Q397" i="515"/>
  <c r="O57" i="3"/>
  <c r="O59" i="3"/>
  <c r="O62" i="3" s="1"/>
  <c r="W170" i="123"/>
  <c r="CS212" i="515"/>
  <c r="CS243" i="515"/>
  <c r="CS533" i="515"/>
  <c r="CS168" i="515"/>
  <c r="CS269" i="515"/>
  <c r="P97" i="515"/>
  <c r="P267" i="515"/>
  <c r="P275" i="515" s="1"/>
  <c r="P269" i="515"/>
  <c r="P277" i="515" s="1"/>
  <c r="P268" i="515"/>
  <c r="P276" i="515" s="1"/>
  <c r="CX287" i="515"/>
  <c r="CX279" i="515"/>
  <c r="BU421" i="515"/>
  <c r="BU422" i="515" s="1"/>
  <c r="N55" i="3"/>
  <c r="N57" i="3" s="1"/>
  <c r="N48" i="3"/>
  <c r="H79" i="123"/>
  <c r="Z15" i="123"/>
  <c r="G160" i="515"/>
  <c r="G533" i="515"/>
  <c r="U183" i="123"/>
  <c r="P247" i="515"/>
  <c r="P217" i="515"/>
  <c r="Q217" i="515"/>
  <c r="BB187" i="515"/>
  <c r="BB238" i="515"/>
  <c r="BF238" i="515"/>
  <c r="CC22" i="515"/>
  <c r="CC582" i="515"/>
  <c r="CC239" i="515"/>
  <c r="BY366" i="515"/>
  <c r="BY373" i="515"/>
  <c r="F283" i="515"/>
  <c r="P271" i="515"/>
  <c r="P279" i="515" s="1"/>
  <c r="CD166" i="515"/>
  <c r="CD248" i="515" s="1"/>
  <c r="CD244" i="515"/>
  <c r="CD358" i="515"/>
  <c r="CD365" i="515" s="1"/>
  <c r="CD373" i="515" s="1"/>
  <c r="K358" i="515"/>
  <c r="K365" i="515" s="1"/>
  <c r="K357" i="515"/>
  <c r="K364" i="515" s="1"/>
  <c r="R271" i="515"/>
  <c r="R279" i="515" s="1"/>
  <c r="CL442" i="515"/>
  <c r="CP440" i="515"/>
  <c r="I400" i="515"/>
  <c r="G83" i="123"/>
  <c r="G105" i="123" s="1"/>
  <c r="G84" i="123"/>
  <c r="G85" i="123" s="1"/>
  <c r="BQ22" i="515"/>
  <c r="AR100" i="515"/>
  <c r="F99" i="123"/>
  <c r="CY418" i="515"/>
  <c r="CY421" i="515" s="1"/>
  <c r="F156" i="123"/>
  <c r="P79" i="123"/>
  <c r="J79" i="123"/>
  <c r="CW415" i="515"/>
  <c r="DA415" i="515" s="1"/>
  <c r="CV416" i="515"/>
  <c r="CM242" i="515"/>
  <c r="CM258" i="515"/>
  <c r="BU239" i="515"/>
  <c r="AA15" i="123"/>
  <c r="Z21" i="3" s="1"/>
  <c r="L462" i="515"/>
  <c r="L447" i="515"/>
  <c r="L452" i="515" s="1"/>
  <c r="BO277" i="515"/>
  <c r="BO285" i="515" s="1"/>
  <c r="BO270" i="515"/>
  <c r="BO278" i="515" s="1"/>
  <c r="BO286" i="515" s="1"/>
  <c r="M22" i="515"/>
  <c r="CE11" i="515"/>
  <c r="CE534" i="515" s="1"/>
  <c r="CE535" i="515" s="1"/>
  <c r="V24" i="123"/>
  <c r="W24" i="123" s="1"/>
  <c r="W26" i="123" s="1"/>
  <c r="W32" i="123" s="1"/>
  <c r="U26" i="123"/>
  <c r="U32" i="123" s="1"/>
  <c r="U184" i="123"/>
  <c r="AB49" i="123"/>
  <c r="R120" i="123"/>
  <c r="H397" i="515"/>
  <c r="J11" i="515"/>
  <c r="J525" i="515" s="1"/>
  <c r="BI22" i="515"/>
  <c r="K8" i="515"/>
  <c r="D277" i="515"/>
  <c r="N59" i="3"/>
  <c r="N62" i="3" s="1"/>
  <c r="P84" i="123"/>
  <c r="AA37" i="123"/>
  <c r="AB37" i="123" s="1"/>
  <c r="AC37" i="123" s="1"/>
  <c r="AD37" i="123" s="1"/>
  <c r="AE37" i="123" s="1"/>
  <c r="AF37" i="123" s="1"/>
  <c r="AG37" i="123" s="1"/>
  <c r="L385" i="515"/>
  <c r="M386" i="515" s="1"/>
  <c r="BU386" i="515"/>
  <c r="BY386" i="515"/>
  <c r="H277" i="515"/>
  <c r="R79" i="123"/>
  <c r="Y21" i="3"/>
  <c r="C248" i="515"/>
  <c r="W214" i="123"/>
  <c r="X214" i="123" s="1"/>
  <c r="X193" i="123" s="1"/>
  <c r="R84" i="123"/>
  <c r="R85" i="123" s="1"/>
  <c r="R83" i="123"/>
  <c r="R105" i="123" s="1"/>
  <c r="H386" i="515"/>
  <c r="I386" i="515"/>
  <c r="H400" i="515"/>
  <c r="BC11" i="515"/>
  <c r="BC14" i="515" s="1"/>
  <c r="BC106" i="515" s="1"/>
  <c r="BC16" i="515"/>
  <c r="K269" i="515"/>
  <c r="Q418" i="515"/>
  <c r="L196" i="123"/>
  <c r="K201" i="123"/>
  <c r="L205" i="123"/>
  <c r="L438" i="515"/>
  <c r="U176" i="515"/>
  <c r="BS14" i="515"/>
  <c r="BS106" i="515" s="1"/>
  <c r="CW418" i="515"/>
  <c r="CW419" i="515" s="1"/>
  <c r="BC20" i="515"/>
  <c r="V26" i="123"/>
  <c r="V32" i="123" s="1"/>
  <c r="W99" i="123" s="1"/>
  <c r="R59" i="3"/>
  <c r="R62" i="3" s="1"/>
  <c r="AC49" i="123"/>
  <c r="AB15" i="123"/>
  <c r="W193" i="123"/>
  <c r="AD49" i="123"/>
  <c r="X24" i="123"/>
  <c r="Y24" i="123" s="1"/>
  <c r="Z24" i="123" s="1"/>
  <c r="AA24" i="123" s="1"/>
  <c r="AB24" i="123" s="1"/>
  <c r="AC24" i="123" s="1"/>
  <c r="AD24" i="123" s="1"/>
  <c r="AE24" i="123" s="1"/>
  <c r="AF24" i="123" s="1"/>
  <c r="AG24" i="123" s="1"/>
  <c r="AE49" i="123"/>
  <c r="AF49" i="123" s="1"/>
  <c r="L386" i="515" l="1"/>
  <c r="BI270" i="515"/>
  <c r="BI278" i="515" s="1"/>
  <c r="BM304" i="515"/>
  <c r="BR287" i="515"/>
  <c r="BP295" i="515"/>
  <c r="L411" i="515"/>
  <c r="CD270" i="515"/>
  <c r="CD278" i="515" s="1"/>
  <c r="CD286" i="515" s="1"/>
  <c r="BM295" i="515"/>
  <c r="BK295" i="515"/>
  <c r="CB310" i="515"/>
  <c r="CB315" i="515" s="1"/>
  <c r="CB321" i="515" s="1"/>
  <c r="CF322" i="515" s="1"/>
  <c r="CF316" i="515" s="1"/>
  <c r="CF317" i="515" s="1"/>
  <c r="CF323" i="515" s="1"/>
  <c r="BX295" i="515"/>
  <c r="CB309" i="515" s="1"/>
  <c r="BR252" i="515"/>
  <c r="BV253" i="515" s="1"/>
  <c r="AU285" i="515"/>
  <c r="BP310" i="515"/>
  <c r="BP333" i="515" s="1"/>
  <c r="CU437" i="515"/>
  <c r="CU439" i="515"/>
  <c r="CU441" i="515"/>
  <c r="CU442" i="515" s="1"/>
  <c r="CU434" i="515"/>
  <c r="DC309" i="515"/>
  <c r="X212" i="123"/>
  <c r="CX450" i="515"/>
  <c r="R454" i="515"/>
  <c r="CZ453" i="515"/>
  <c r="CQ97" i="515"/>
  <c r="L187" i="515"/>
  <c r="L22" i="515" s="1"/>
  <c r="BV297" i="515"/>
  <c r="AU166" i="515"/>
  <c r="AU248" i="515" s="1"/>
  <c r="AF140" i="515"/>
  <c r="BG99" i="515"/>
  <c r="U187" i="123"/>
  <c r="BS386" i="515"/>
  <c r="BR379" i="515"/>
  <c r="CE271" i="515"/>
  <c r="CE279" i="515" s="1"/>
  <c r="CK97" i="515"/>
  <c r="DE415" i="515"/>
  <c r="T415" i="515"/>
  <c r="CX229" i="515"/>
  <c r="S177" i="515"/>
  <c r="T220" i="123"/>
  <c r="T192" i="123" s="1"/>
  <c r="T187" i="123"/>
  <c r="DA97" i="515"/>
  <c r="DE97" i="515"/>
  <c r="K156" i="123"/>
  <c r="I43" i="3"/>
  <c r="L8" i="515"/>
  <c r="AF8" i="515"/>
  <c r="AF11" i="515" s="1"/>
  <c r="AF166" i="515"/>
  <c r="AJ140" i="515"/>
  <c r="AJ8" i="515" s="1"/>
  <c r="AJ11" i="515" s="1"/>
  <c r="AJ98" i="515" s="1"/>
  <c r="AV166" i="515"/>
  <c r="AV11" i="515"/>
  <c r="E140" i="515"/>
  <c r="AO201" i="515"/>
  <c r="B8" i="515"/>
  <c r="AU8" i="515"/>
  <c r="AU11" i="515" s="1"/>
  <c r="AU534" i="515" s="1"/>
  <c r="AU535" i="515" s="1"/>
  <c r="AF534" i="515"/>
  <c r="AF535" i="515" s="1"/>
  <c r="AK201" i="515"/>
  <c r="AN201" i="515"/>
  <c r="BA201" i="515"/>
  <c r="AK140" i="515"/>
  <c r="AO140" i="515"/>
  <c r="AO8" i="515" s="1"/>
  <c r="CE14" i="515"/>
  <c r="CE106" i="515" s="1"/>
  <c r="V176" i="515"/>
  <c r="N239" i="515"/>
  <c r="BG11" i="515"/>
  <c r="Q410" i="515"/>
  <c r="AX208" i="515"/>
  <c r="K499" i="515"/>
  <c r="F499" i="515"/>
  <c r="CX309" i="515"/>
  <c r="CL312" i="515"/>
  <c r="BQ287" i="515"/>
  <c r="N35" i="515"/>
  <c r="N114" i="515" s="1"/>
  <c r="DD415" i="515"/>
  <c r="CB23" i="515"/>
  <c r="CB109" i="515" s="1"/>
  <c r="BX19" i="515"/>
  <c r="BX107" i="515"/>
  <c r="C35" i="515"/>
  <c r="DD413" i="515"/>
  <c r="DD425" i="515"/>
  <c r="BC108" i="515"/>
  <c r="M35" i="515"/>
  <c r="BT107" i="515"/>
  <c r="J531" i="515"/>
  <c r="BC17" i="515"/>
  <c r="L424" i="515"/>
  <c r="L409" i="515"/>
  <c r="L410" i="515" s="1"/>
  <c r="CW416" i="515"/>
  <c r="L437" i="515"/>
  <c r="K212" i="515"/>
  <c r="K166" i="515"/>
  <c r="K11" i="515" s="1"/>
  <c r="P132" i="123" s="1"/>
  <c r="P133" i="123" s="1"/>
  <c r="BO11" i="515"/>
  <c r="BO14" i="515" s="1"/>
  <c r="BO106" i="515" s="1"/>
  <c r="CV418" i="515"/>
  <c r="CV421" i="515" s="1"/>
  <c r="BJ277" i="515"/>
  <c r="AV534" i="515"/>
  <c r="AV535" i="515" s="1"/>
  <c r="AX8" i="515"/>
  <c r="AX11" i="515" s="1"/>
  <c r="AX20" i="515" s="1"/>
  <c r="CD582" i="515"/>
  <c r="CN357" i="515"/>
  <c r="CN364" i="515" s="1"/>
  <c r="BV582" i="515"/>
  <c r="BQ208" i="515"/>
  <c r="CL440" i="515"/>
  <c r="CA100" i="515"/>
  <c r="BY439" i="515"/>
  <c r="D473" i="515"/>
  <c r="CL398" i="515"/>
  <c r="CL399" i="515" s="1"/>
  <c r="BV398" i="515"/>
  <c r="BV399" i="515" s="1"/>
  <c r="DD410" i="515"/>
  <c r="DD268" i="515"/>
  <c r="DD276" i="515" s="1"/>
  <c r="DD272" i="515"/>
  <c r="DD271" i="515"/>
  <c r="DD267" i="515"/>
  <c r="DD275" i="515" s="1"/>
  <c r="DD269" i="515"/>
  <c r="CY416" i="515"/>
  <c r="DC415" i="515"/>
  <c r="DI27" i="515"/>
  <c r="DD452" i="515"/>
  <c r="CN219" i="515"/>
  <c r="BW434" i="515"/>
  <c r="CH425" i="515"/>
  <c r="DG409" i="515"/>
  <c r="DC410" i="515"/>
  <c r="CJ398" i="515"/>
  <c r="CJ399" i="515" s="1"/>
  <c r="CJ397" i="515"/>
  <c r="CG348" i="515"/>
  <c r="CG350" i="515" s="1"/>
  <c r="DB312" i="515"/>
  <c r="C309" i="515"/>
  <c r="CW173" i="515"/>
  <c r="DA259" i="515"/>
  <c r="DA173" i="515" s="1"/>
  <c r="DE223" i="515" s="1"/>
  <c r="AX187" i="515"/>
  <c r="DH217" i="515"/>
  <c r="CZ439" i="515"/>
  <c r="CZ440" i="515" s="1"/>
  <c r="CY245" i="515"/>
  <c r="DC214" i="515"/>
  <c r="CG239" i="515"/>
  <c r="DH409" i="515"/>
  <c r="DH129" i="515" s="1"/>
  <c r="J480" i="515"/>
  <c r="Y293" i="123"/>
  <c r="Z293" i="123" s="1"/>
  <c r="Y250" i="123"/>
  <c r="Z250" i="123" s="1"/>
  <c r="AA250" i="123" s="1"/>
  <c r="AB250" i="123" s="1"/>
  <c r="AC250" i="123" s="1"/>
  <c r="AD250" i="123" s="1"/>
  <c r="AE250" i="123" s="1"/>
  <c r="AF250" i="123" s="1"/>
  <c r="AG250" i="123" s="1"/>
  <c r="X250" i="123"/>
  <c r="X246" i="123"/>
  <c r="Y246" i="123" s="1"/>
  <c r="Z246" i="123" s="1"/>
  <c r="AA246" i="123" s="1"/>
  <c r="AB246" i="123" s="1"/>
  <c r="AC246" i="123" s="1"/>
  <c r="AD246" i="123" s="1"/>
  <c r="AE246" i="123" s="1"/>
  <c r="AF246" i="123" s="1"/>
  <c r="AG246" i="123" s="1"/>
  <c r="Y242" i="123"/>
  <c r="Z242" i="123" s="1"/>
  <c r="AA242" i="123" s="1"/>
  <c r="AB242" i="123" s="1"/>
  <c r="AC242" i="123" s="1"/>
  <c r="AD242" i="123" s="1"/>
  <c r="AE242" i="123" s="1"/>
  <c r="AF242" i="123" s="1"/>
  <c r="AG242" i="123" s="1"/>
  <c r="X242" i="123"/>
  <c r="Y238" i="123"/>
  <c r="Z238" i="123" s="1"/>
  <c r="AA238" i="123" s="1"/>
  <c r="AB238" i="123" s="1"/>
  <c r="AC238" i="123" s="1"/>
  <c r="AD238" i="123" s="1"/>
  <c r="AE238" i="123" s="1"/>
  <c r="AF238" i="123" s="1"/>
  <c r="AG238" i="123" s="1"/>
  <c r="X238" i="123"/>
  <c r="I88" i="123"/>
  <c r="X251" i="123"/>
  <c r="Y251" i="123" s="1"/>
  <c r="Z251" i="123" s="1"/>
  <c r="AA251" i="123" s="1"/>
  <c r="AB251" i="123" s="1"/>
  <c r="AC251" i="123" s="1"/>
  <c r="AD251" i="123" s="1"/>
  <c r="AE251" i="123" s="1"/>
  <c r="AF251" i="123" s="1"/>
  <c r="AG251" i="123" s="1"/>
  <c r="X247" i="123"/>
  <c r="Y247" i="123" s="1"/>
  <c r="Z247" i="123" s="1"/>
  <c r="AA247" i="123" s="1"/>
  <c r="AB247" i="123" s="1"/>
  <c r="AC247" i="123" s="1"/>
  <c r="AD247" i="123" s="1"/>
  <c r="AE247" i="123" s="1"/>
  <c r="AF247" i="123" s="1"/>
  <c r="AG247" i="123" s="1"/>
  <c r="X243" i="123"/>
  <c r="Y243" i="123" s="1"/>
  <c r="Z243" i="123" s="1"/>
  <c r="AA243" i="123" s="1"/>
  <c r="AB243" i="123" s="1"/>
  <c r="AC243" i="123" s="1"/>
  <c r="AD243" i="123" s="1"/>
  <c r="AE243" i="123" s="1"/>
  <c r="AF243" i="123" s="1"/>
  <c r="AG243" i="123" s="1"/>
  <c r="X239" i="123"/>
  <c r="Y239" i="123" s="1"/>
  <c r="Z239" i="123" s="1"/>
  <c r="AA239" i="123" s="1"/>
  <c r="AB239" i="123" s="1"/>
  <c r="AC239" i="123" s="1"/>
  <c r="AD239" i="123" s="1"/>
  <c r="AE239" i="123" s="1"/>
  <c r="AF239" i="123" s="1"/>
  <c r="AG239" i="123" s="1"/>
  <c r="P153" i="123"/>
  <c r="DH319" i="515"/>
  <c r="DH317" i="515"/>
  <c r="DH315" i="515"/>
  <c r="DH296" i="515"/>
  <c r="DH295" i="515" s="1"/>
  <c r="DH318" i="515"/>
  <c r="DH316" i="515"/>
  <c r="DG217" i="515"/>
  <c r="N201" i="123"/>
  <c r="D486" i="515"/>
  <c r="Q480" i="515"/>
  <c r="X99" i="123"/>
  <c r="Y57" i="123"/>
  <c r="Z57" i="123" s="1"/>
  <c r="AA57" i="123" s="1"/>
  <c r="AB57" i="123" s="1"/>
  <c r="AC57" i="123" s="1"/>
  <c r="AD57" i="123" s="1"/>
  <c r="AE57" i="123" s="1"/>
  <c r="AF57" i="123" s="1"/>
  <c r="AG57" i="123" s="1"/>
  <c r="X176" i="123"/>
  <c r="X88" i="123"/>
  <c r="X87" i="123"/>
  <c r="DD217" i="515"/>
  <c r="I201" i="123"/>
  <c r="H486" i="515"/>
  <c r="DG318" i="515"/>
  <c r="DG319" i="515"/>
  <c r="DG316" i="515"/>
  <c r="DG317" i="515"/>
  <c r="DG296" i="515"/>
  <c r="DG252" i="515" s="1"/>
  <c r="DG315" i="515"/>
  <c r="DH384" i="515"/>
  <c r="DG385" i="515"/>
  <c r="V27" i="515"/>
  <c r="W27" i="515" s="1"/>
  <c r="X27" i="515" s="1"/>
  <c r="Y27" i="515" s="1"/>
  <c r="Z27" i="515" s="1"/>
  <c r="AA27" i="515" s="1"/>
  <c r="AB27" i="515" s="1"/>
  <c r="I87" i="123"/>
  <c r="I26" i="123"/>
  <c r="I32" i="123" s="1"/>
  <c r="Y43" i="123"/>
  <c r="Z43" i="123" s="1"/>
  <c r="AA43" i="123" s="1"/>
  <c r="AB43" i="123" s="1"/>
  <c r="AC43" i="123" s="1"/>
  <c r="X45" i="123"/>
  <c r="T88" i="123"/>
  <c r="R58" i="123"/>
  <c r="T87" i="123"/>
  <c r="I484" i="515"/>
  <c r="J483" i="515" s="1"/>
  <c r="M78" i="123"/>
  <c r="M81" i="123"/>
  <c r="M77" i="123"/>
  <c r="DG448" i="515"/>
  <c r="DF447" i="515"/>
  <c r="DF452" i="515" s="1"/>
  <c r="DE452" i="515"/>
  <c r="DC452" i="515"/>
  <c r="DF217" i="515"/>
  <c r="F127" i="123"/>
  <c r="F104" i="123"/>
  <c r="F160" i="123"/>
  <c r="C20" i="515"/>
  <c r="O160" i="123"/>
  <c r="BG14" i="515"/>
  <c r="BG106" i="515" s="1"/>
  <c r="J357" i="515"/>
  <c r="J364" i="515" s="1"/>
  <c r="DA416" i="515"/>
  <c r="DA418" i="515"/>
  <c r="G242" i="515"/>
  <c r="D212" i="515"/>
  <c r="D533" i="515"/>
  <c r="D160" i="515"/>
  <c r="D242" i="515" s="1"/>
  <c r="F172" i="515"/>
  <c r="F222" i="515" s="1"/>
  <c r="F272" i="515"/>
  <c r="F280" i="515" s="1"/>
  <c r="F288" i="515" s="1"/>
  <c r="F180" i="515"/>
  <c r="F187" i="515" s="1"/>
  <c r="F22" i="515" s="1"/>
  <c r="N186" i="123"/>
  <c r="I229" i="515"/>
  <c r="AX16" i="515"/>
  <c r="CD242" i="515"/>
  <c r="CD222" i="515"/>
  <c r="BU192" i="515"/>
  <c r="CC440" i="515"/>
  <c r="BY239" i="515"/>
  <c r="CF239" i="515"/>
  <c r="L271" i="515"/>
  <c r="L279" i="515" s="1"/>
  <c r="CB440" i="515"/>
  <c r="E269" i="515"/>
  <c r="E277" i="515" s="1"/>
  <c r="F285" i="515" s="1"/>
  <c r="CU453" i="515"/>
  <c r="S416" i="515"/>
  <c r="S418" i="515"/>
  <c r="H499" i="515"/>
  <c r="CX358" i="515"/>
  <c r="CX357" i="515"/>
  <c r="CX364" i="515" s="1"/>
  <c r="BW239" i="515"/>
  <c r="BU252" i="515"/>
  <c r="BN243" i="515"/>
  <c r="BN269" i="515"/>
  <c r="BN277" i="515" s="1"/>
  <c r="CH457" i="515"/>
  <c r="CX425" i="515"/>
  <c r="S300" i="515"/>
  <c r="T312" i="515" s="1"/>
  <c r="S299" i="515"/>
  <c r="S310" i="515"/>
  <c r="DB247" i="515"/>
  <c r="CX217" i="515"/>
  <c r="CY442" i="515"/>
  <c r="CY440" i="515"/>
  <c r="S150" i="515"/>
  <c r="S347" i="515" s="1"/>
  <c r="S128" i="515"/>
  <c r="G37" i="515"/>
  <c r="CW413" i="515"/>
  <c r="DA413" i="515"/>
  <c r="W186" i="123"/>
  <c r="S229" i="515"/>
  <c r="CX398" i="515"/>
  <c r="CX399" i="515" s="1"/>
  <c r="S396" i="515"/>
  <c r="BT350" i="515"/>
  <c r="CW297" i="515"/>
  <c r="DA311" i="515"/>
  <c r="S295" i="515"/>
  <c r="S309" i="515" s="1"/>
  <c r="AO232" i="515"/>
  <c r="S228" i="515"/>
  <c r="S225" i="515"/>
  <c r="CZ442" i="515"/>
  <c r="H147" i="123"/>
  <c r="H156" i="123"/>
  <c r="S220" i="123"/>
  <c r="S192" i="123" s="1"/>
  <c r="P184" i="123"/>
  <c r="E153" i="123"/>
  <c r="S45" i="3"/>
  <c r="R48" i="3"/>
  <c r="S57" i="3"/>
  <c r="P157" i="123"/>
  <c r="R57" i="3"/>
  <c r="W187" i="123"/>
  <c r="P187" i="123"/>
  <c r="S73" i="3"/>
  <c r="E48" i="3"/>
  <c r="E49" i="3" s="1"/>
  <c r="F47" i="3" s="1"/>
  <c r="CN97" i="515"/>
  <c r="DA271" i="515"/>
  <c r="DA279" i="515" s="1"/>
  <c r="DA267" i="515"/>
  <c r="DA269" i="515"/>
  <c r="DA277" i="515" s="1"/>
  <c r="DA268" i="515"/>
  <c r="CP97" i="515"/>
  <c r="BT421" i="515"/>
  <c r="BX419" i="515"/>
  <c r="AL232" i="515"/>
  <c r="AP232" i="515"/>
  <c r="P75" i="3"/>
  <c r="L35" i="515"/>
  <c r="L114" i="515" s="1"/>
  <c r="Q89" i="123" s="1"/>
  <c r="BR421" i="515"/>
  <c r="BR422" i="515" s="1"/>
  <c r="BR419" i="515"/>
  <c r="U75" i="3"/>
  <c r="N225" i="515"/>
  <c r="N228" i="515"/>
  <c r="H495" i="515"/>
  <c r="CP397" i="515"/>
  <c r="BN97" i="515"/>
  <c r="P220" i="123"/>
  <c r="BY287" i="515"/>
  <c r="K180" i="515"/>
  <c r="CW223" i="515"/>
  <c r="BW246" i="515"/>
  <c r="AX166" i="515"/>
  <c r="AX248" i="515" s="1"/>
  <c r="CF16" i="515"/>
  <c r="CF99" i="515" s="1"/>
  <c r="AO166" i="515"/>
  <c r="AY201" i="515"/>
  <c r="CS267" i="515"/>
  <c r="CS275" i="515" s="1"/>
  <c r="AK97" i="515"/>
  <c r="BZ17" i="515"/>
  <c r="CB17" i="515"/>
  <c r="J284" i="515"/>
  <c r="BX413" i="515"/>
  <c r="E480" i="515"/>
  <c r="CT412" i="515"/>
  <c r="CT418" i="515" s="1"/>
  <c r="CT421" i="515" s="1"/>
  <c r="CH412" i="515"/>
  <c r="CL413" i="515" s="1"/>
  <c r="CD412" i="515"/>
  <c r="BZ412" i="515"/>
  <c r="BZ418" i="515" s="1"/>
  <c r="BZ421" i="515" s="1"/>
  <c r="BB288" i="515"/>
  <c r="CU283" i="515"/>
  <c r="CY271" i="515"/>
  <c r="CY279" i="515" s="1"/>
  <c r="BL97" i="515"/>
  <c r="K187" i="123"/>
  <c r="L224" i="515"/>
  <c r="CG371" i="515"/>
  <c r="CF353" i="515"/>
  <c r="CA348" i="515"/>
  <c r="BW348" i="515"/>
  <c r="BW350" i="515" s="1"/>
  <c r="L304" i="515"/>
  <c r="CF217" i="515"/>
  <c r="BX247" i="515"/>
  <c r="AQ149" i="515"/>
  <c r="AQ268" i="515" s="1"/>
  <c r="AQ276" i="515" s="1"/>
  <c r="G19" i="515"/>
  <c r="R399" i="515"/>
  <c r="R400" i="515" s="1"/>
  <c r="R397" i="515"/>
  <c r="CG287" i="515"/>
  <c r="CC287" i="515"/>
  <c r="AL238" i="515"/>
  <c r="AP238" i="515"/>
  <c r="DA156" i="515"/>
  <c r="BG98" i="515"/>
  <c r="CB19" i="515"/>
  <c r="CL279" i="515"/>
  <c r="BV277" i="515"/>
  <c r="BZ285" i="515" s="1"/>
  <c r="BV270" i="515"/>
  <c r="BV278" i="515" s="1"/>
  <c r="BZ286" i="515" s="1"/>
  <c r="AL187" i="515"/>
  <c r="R416" i="515"/>
  <c r="AM238" i="515"/>
  <c r="AQ238" i="515"/>
  <c r="CD367" i="515"/>
  <c r="CD368" i="515" s="1"/>
  <c r="CD359" i="515"/>
  <c r="BZ367" i="515"/>
  <c r="BZ366" i="515" s="1"/>
  <c r="BZ359" i="515"/>
  <c r="CB365" i="515"/>
  <c r="CB359" i="515"/>
  <c r="CZ267" i="515"/>
  <c r="CZ275" i="515" s="1"/>
  <c r="CZ268" i="515"/>
  <c r="CZ276" i="515" s="1"/>
  <c r="CZ269" i="515"/>
  <c r="CZ277" i="515" s="1"/>
  <c r="CZ271" i="515"/>
  <c r="CZ279" i="515" s="1"/>
  <c r="CV268" i="515"/>
  <c r="CV276" i="515" s="1"/>
  <c r="CV271" i="515"/>
  <c r="CV279" i="515" s="1"/>
  <c r="CV267" i="515"/>
  <c r="CV275" i="515" s="1"/>
  <c r="CN267" i="515"/>
  <c r="CN275" i="515" s="1"/>
  <c r="CN271" i="515"/>
  <c r="CN279" i="515" s="1"/>
  <c r="CN268" i="515"/>
  <c r="CN276" i="515" s="1"/>
  <c r="CH267" i="515"/>
  <c r="CH275" i="515" s="1"/>
  <c r="CH268" i="515"/>
  <c r="CH276" i="515" s="1"/>
  <c r="CH271" i="515"/>
  <c r="CH279" i="515" s="1"/>
  <c r="CH287" i="515" s="1"/>
  <c r="CH269" i="515"/>
  <c r="CH277" i="515" s="1"/>
  <c r="L97" i="515"/>
  <c r="K97" i="515"/>
  <c r="G271" i="515"/>
  <c r="G279" i="515" s="1"/>
  <c r="G97" i="515"/>
  <c r="H97" i="515"/>
  <c r="G272" i="515"/>
  <c r="G280" i="515" s="1"/>
  <c r="G269" i="515"/>
  <c r="D97" i="515"/>
  <c r="C268" i="515"/>
  <c r="C276" i="515" s="1"/>
  <c r="D284" i="515" s="1"/>
  <c r="CC288" i="515"/>
  <c r="CG288" i="515"/>
  <c r="CL418" i="515"/>
  <c r="CL421" i="515" s="1"/>
  <c r="F98" i="123"/>
  <c r="C23" i="515"/>
  <c r="C16" i="515"/>
  <c r="C17" i="515" s="1"/>
  <c r="C14" i="515"/>
  <c r="C106" i="515" s="1"/>
  <c r="CP287" i="515"/>
  <c r="K160" i="515"/>
  <c r="K533" i="515"/>
  <c r="N144" i="515"/>
  <c r="N161" i="515"/>
  <c r="N134" i="515"/>
  <c r="BZ258" i="515"/>
  <c r="BZ242" i="515"/>
  <c r="CD211" i="515"/>
  <c r="BP166" i="515"/>
  <c r="BP248" i="515" s="1"/>
  <c r="BP533" i="515"/>
  <c r="L223" i="515"/>
  <c r="F284" i="515"/>
  <c r="E284" i="515"/>
  <c r="CN421" i="515"/>
  <c r="J485" i="515"/>
  <c r="J486" i="515" s="1"/>
  <c r="O202" i="123"/>
  <c r="CB14" i="515"/>
  <c r="CB106" i="515" s="1"/>
  <c r="CB538" i="515"/>
  <c r="CB539" i="515" s="1"/>
  <c r="CF98" i="515"/>
  <c r="BO208" i="515"/>
  <c r="BK208" i="515"/>
  <c r="BK8" i="515"/>
  <c r="BK11" i="515" s="1"/>
  <c r="BO98" i="515" s="1"/>
  <c r="H172" i="515"/>
  <c r="H242" i="515" s="1"/>
  <c r="H272" i="515"/>
  <c r="H280" i="515" s="1"/>
  <c r="H288" i="515" s="1"/>
  <c r="H180" i="515"/>
  <c r="H187" i="515" s="1"/>
  <c r="H22" i="515" s="1"/>
  <c r="E279" i="515"/>
  <c r="E287" i="515" s="1"/>
  <c r="E270" i="515"/>
  <c r="E278" i="515" s="1"/>
  <c r="E286" i="515" s="1"/>
  <c r="BZ287" i="515"/>
  <c r="BV287" i="515"/>
  <c r="Q247" i="515"/>
  <c r="Q229" i="515"/>
  <c r="BY208" i="515"/>
  <c r="BU8" i="515"/>
  <c r="BU208" i="515"/>
  <c r="BV259" i="515"/>
  <c r="BZ222" i="515"/>
  <c r="CW97" i="515"/>
  <c r="CS97" i="515"/>
  <c r="C110" i="515"/>
  <c r="F132" i="123"/>
  <c r="F133" i="123" s="1"/>
  <c r="BD288" i="515"/>
  <c r="BH288" i="515"/>
  <c r="AI239" i="515"/>
  <c r="AI22" i="515"/>
  <c r="AI28" i="515" s="1"/>
  <c r="F37" i="515"/>
  <c r="CD348" i="515"/>
  <c r="CD350" i="515" s="1"/>
  <c r="CD353" i="515"/>
  <c r="N202" i="123"/>
  <c r="N193" i="123"/>
  <c r="M228" i="515"/>
  <c r="O512" i="515"/>
  <c r="O513" i="515" s="1"/>
  <c r="N513" i="515"/>
  <c r="CS453" i="515"/>
  <c r="CV453" i="515"/>
  <c r="CN348" i="515"/>
  <c r="CC348" i="515"/>
  <c r="CC350" i="515" s="1"/>
  <c r="CL319" i="515"/>
  <c r="CN325" i="515"/>
  <c r="CN319" i="515" s="1"/>
  <c r="BA8" i="515"/>
  <c r="BA166" i="515"/>
  <c r="CX412" i="515"/>
  <c r="DB413" i="515" s="1"/>
  <c r="CD418" i="515"/>
  <c r="CD413" i="515"/>
  <c r="CW397" i="515"/>
  <c r="CW398" i="515"/>
  <c r="CW399" i="515" s="1"/>
  <c r="CS397" i="515"/>
  <c r="CS398" i="515"/>
  <c r="CS399" i="515" s="1"/>
  <c r="CO397" i="515"/>
  <c r="CO398" i="515"/>
  <c r="CO399" i="515" s="1"/>
  <c r="CG397" i="515"/>
  <c r="CG398" i="515"/>
  <c r="CG399" i="515" s="1"/>
  <c r="O396" i="515"/>
  <c r="BL277" i="515"/>
  <c r="BP285" i="515" s="1"/>
  <c r="BL270" i="515"/>
  <c r="BL278" i="515" s="1"/>
  <c r="AW187" i="515"/>
  <c r="AW22" i="515" s="1"/>
  <c r="AW238" i="515"/>
  <c r="AS187" i="515"/>
  <c r="AS22" i="515" s="1"/>
  <c r="AS238" i="515"/>
  <c r="AI238" i="515"/>
  <c r="S186" i="123"/>
  <c r="N229" i="515"/>
  <c r="M229" i="515"/>
  <c r="Q246" i="515"/>
  <c r="R228" i="515"/>
  <c r="C222" i="515"/>
  <c r="C242" i="515"/>
  <c r="D222" i="515"/>
  <c r="CQ217" i="515"/>
  <c r="CQ247" i="515"/>
  <c r="BV247" i="515"/>
  <c r="BV217" i="515"/>
  <c r="CY246" i="515"/>
  <c r="CU246" i="515"/>
  <c r="CU216" i="515"/>
  <c r="CQ246" i="515"/>
  <c r="CQ216" i="515"/>
  <c r="CI246" i="515"/>
  <c r="CI216" i="515"/>
  <c r="CA246" i="515"/>
  <c r="CA216" i="515"/>
  <c r="CX245" i="515"/>
  <c r="CX537" i="515"/>
  <c r="CX214" i="515"/>
  <c r="CT214" i="515"/>
  <c r="CT245" i="515"/>
  <c r="CT537" i="515"/>
  <c r="CP245" i="515"/>
  <c r="CP537" i="515"/>
  <c r="CH537" i="515"/>
  <c r="CH245" i="515"/>
  <c r="CH214" i="515"/>
  <c r="CD214" i="515"/>
  <c r="CD245" i="515"/>
  <c r="CD537" i="515"/>
  <c r="BZ215" i="515"/>
  <c r="BZ537" i="515"/>
  <c r="BZ538" i="515" s="1"/>
  <c r="BZ539" i="515" s="1"/>
  <c r="BZ214" i="515"/>
  <c r="BV215" i="515"/>
  <c r="BV537" i="515"/>
  <c r="CX533" i="515"/>
  <c r="CX166" i="515"/>
  <c r="CR212" i="515"/>
  <c r="CR533" i="515"/>
  <c r="CR269" i="515"/>
  <c r="CR277" i="515" s="1"/>
  <c r="CR281" i="515" s="1"/>
  <c r="CR168" i="515"/>
  <c r="CC212" i="515"/>
  <c r="CC160" i="515"/>
  <c r="CC242" i="515" s="1"/>
  <c r="CC269" i="515"/>
  <c r="BY533" i="515"/>
  <c r="BY243" i="515"/>
  <c r="BY269" i="515"/>
  <c r="BW11" i="515"/>
  <c r="BW16" i="515"/>
  <c r="CU154" i="515"/>
  <c r="CU9" i="515" s="1"/>
  <c r="CU347" i="515"/>
  <c r="CU157" i="515"/>
  <c r="CJ154" i="515"/>
  <c r="CJ9" i="515" s="1"/>
  <c r="CJ347" i="515"/>
  <c r="CJ157" i="515"/>
  <c r="BB207" i="515"/>
  <c r="BB140" i="515"/>
  <c r="BB208" i="515" s="1"/>
  <c r="AS140" i="515"/>
  <c r="AS8" i="515" s="1"/>
  <c r="AS207" i="515"/>
  <c r="AO248" i="515"/>
  <c r="AZ201" i="515"/>
  <c r="AZ140" i="515"/>
  <c r="AZ208" i="515" s="1"/>
  <c r="CU162" i="515"/>
  <c r="CU160" i="515" s="1"/>
  <c r="L267" i="515"/>
  <c r="L275" i="515" s="1"/>
  <c r="L283" i="515" s="1"/>
  <c r="H267" i="515"/>
  <c r="H275" i="515" s="1"/>
  <c r="DC97" i="515"/>
  <c r="M225" i="515"/>
  <c r="O225" i="515"/>
  <c r="O424" i="515"/>
  <c r="O425" i="515" s="1"/>
  <c r="U296" i="515"/>
  <c r="BK288" i="515"/>
  <c r="CV441" i="515"/>
  <c r="CV442" i="515" s="1"/>
  <c r="CV438" i="515"/>
  <c r="K433" i="515"/>
  <c r="L434" i="515" s="1"/>
  <c r="CT441" i="515"/>
  <c r="CT434" i="515"/>
  <c r="CX434" i="515"/>
  <c r="DB435" i="515" s="1"/>
  <c r="CT438" i="515"/>
  <c r="CR438" i="515"/>
  <c r="CR437" i="515"/>
  <c r="CS434" i="515"/>
  <c r="CO439" i="515"/>
  <c r="CO434" i="515"/>
  <c r="P433" i="515"/>
  <c r="CO441" i="515"/>
  <c r="CO438" i="515"/>
  <c r="CX415" i="515"/>
  <c r="DB415" i="515" s="1"/>
  <c r="CT416" i="515"/>
  <c r="BV415" i="515"/>
  <c r="L416" i="515"/>
  <c r="CB331" i="515"/>
  <c r="CB312" i="515"/>
  <c r="DB96" i="515"/>
  <c r="DF97" i="515" s="1"/>
  <c r="DB263" i="515"/>
  <c r="R310" i="515"/>
  <c r="Q310" i="515"/>
  <c r="Q263" i="515"/>
  <c r="Q269" i="515" s="1"/>
  <c r="Q277" i="515" s="1"/>
  <c r="N263" i="515"/>
  <c r="N310" i="515"/>
  <c r="N304" i="515" s="1"/>
  <c r="M263" i="515"/>
  <c r="M310" i="515"/>
  <c r="M304" i="515" s="1"/>
  <c r="E309" i="515"/>
  <c r="F309" i="515"/>
  <c r="U291" i="515"/>
  <c r="BZ208" i="515"/>
  <c r="N224" i="515"/>
  <c r="BF232" i="515"/>
  <c r="CB353" i="515"/>
  <c r="N344" i="515"/>
  <c r="P225" i="515"/>
  <c r="CY453" i="515"/>
  <c r="AO208" i="515"/>
  <c r="I247" i="515"/>
  <c r="S499" i="515"/>
  <c r="E499" i="515"/>
  <c r="CB253" i="515"/>
  <c r="AV288" i="515"/>
  <c r="I283" i="515"/>
  <c r="M224" i="515"/>
  <c r="BQ333" i="515"/>
  <c r="BE208" i="515"/>
  <c r="AK285" i="515"/>
  <c r="CV457" i="515"/>
  <c r="CR457" i="515"/>
  <c r="CN457" i="515"/>
  <c r="CJ457" i="515"/>
  <c r="CJ412" i="515"/>
  <c r="CJ418" i="515" s="1"/>
  <c r="CJ421" i="515" s="1"/>
  <c r="CA350" i="515"/>
  <c r="P228" i="515"/>
  <c r="O228" i="515"/>
  <c r="Q225" i="515"/>
  <c r="BL140" i="515"/>
  <c r="BL8" i="515" s="1"/>
  <c r="BL11" i="515" s="1"/>
  <c r="K153" i="123"/>
  <c r="V87" i="123"/>
  <c r="S153" i="123"/>
  <c r="G156" i="123"/>
  <c r="T147" i="123"/>
  <c r="J147" i="123"/>
  <c r="F147" i="123"/>
  <c r="R255" i="123"/>
  <c r="L78" i="123"/>
  <c r="L79" i="123" s="1"/>
  <c r="R177" i="123"/>
  <c r="N180" i="123"/>
  <c r="K204" i="123"/>
  <c r="D9" i="515"/>
  <c r="D166" i="515"/>
  <c r="BN287" i="515"/>
  <c r="E473" i="515"/>
  <c r="F473" i="515" s="1"/>
  <c r="CP453" i="515"/>
  <c r="CM441" i="515"/>
  <c r="CM438" i="515"/>
  <c r="H422" i="515"/>
  <c r="D422" i="515"/>
  <c r="CR412" i="515"/>
  <c r="CQ439" i="515"/>
  <c r="CQ440" i="515" s="1"/>
  <c r="CM439" i="515"/>
  <c r="AQ140" i="515"/>
  <c r="AU208" i="515" s="1"/>
  <c r="AD140" i="515"/>
  <c r="AD8" i="515" s="1"/>
  <c r="CZ97" i="515"/>
  <c r="B160" i="515"/>
  <c r="B242" i="515" s="1"/>
  <c r="AZ207" i="515"/>
  <c r="BO309" i="515"/>
  <c r="BP309" i="515"/>
  <c r="CJ425" i="515"/>
  <c r="J413" i="515"/>
  <c r="F413" i="515"/>
  <c r="CQ412" i="515"/>
  <c r="CQ418" i="515" s="1"/>
  <c r="CQ421" i="515" s="1"/>
  <c r="CG353" i="515"/>
  <c r="BW353" i="515"/>
  <c r="CU309" i="515"/>
  <c r="CX97" i="515"/>
  <c r="CR97" i="515"/>
  <c r="BG17" i="515"/>
  <c r="BZ99" i="515"/>
  <c r="CY457" i="515"/>
  <c r="CQ457" i="515"/>
  <c r="CU271" i="515"/>
  <c r="AV232" i="515"/>
  <c r="AQ187" i="515"/>
  <c r="AD187" i="515"/>
  <c r="O411" i="515"/>
  <c r="CS277" i="515"/>
  <c r="BV28" i="515"/>
  <c r="BV35" i="515"/>
  <c r="BV100" i="515"/>
  <c r="BQ28" i="515"/>
  <c r="BQ35" i="515"/>
  <c r="AH35" i="515"/>
  <c r="AH28" i="515"/>
  <c r="K272" i="515"/>
  <c r="K280" i="515" s="1"/>
  <c r="L288" i="515" s="1"/>
  <c r="CD8" i="515"/>
  <c r="CD208" i="515"/>
  <c r="CG222" i="515"/>
  <c r="CC259" i="515"/>
  <c r="CC222" i="515"/>
  <c r="D100" i="515"/>
  <c r="D22" i="515"/>
  <c r="D239" i="515"/>
  <c r="CB248" i="515"/>
  <c r="CT246" i="515"/>
  <c r="CT439" i="515"/>
  <c r="CT440" i="515" s="1"/>
  <c r="CX216" i="515"/>
  <c r="CA357" i="515"/>
  <c r="CA364" i="515" s="1"/>
  <c r="CA160" i="515"/>
  <c r="CA219" i="515"/>
  <c r="CA358" i="515"/>
  <c r="CA166" i="515"/>
  <c r="CA248" i="515" s="1"/>
  <c r="CA244" i="515"/>
  <c r="BW357" i="515"/>
  <c r="BW364" i="515" s="1"/>
  <c r="BW372" i="515" s="1"/>
  <c r="BW213" i="515"/>
  <c r="BW358" i="515"/>
  <c r="BW166" i="515"/>
  <c r="BW160" i="515"/>
  <c r="BW258" i="515" s="1"/>
  <c r="CV533" i="515"/>
  <c r="CV168" i="515"/>
  <c r="CV269" i="515"/>
  <c r="CV277" i="515" s="1"/>
  <c r="CV212" i="515"/>
  <c r="CV166" i="515"/>
  <c r="CV160" i="515"/>
  <c r="CV258" i="515" s="1"/>
  <c r="CQ168" i="515"/>
  <c r="CQ533" i="515"/>
  <c r="CU212" i="515"/>
  <c r="CQ212" i="515"/>
  <c r="CQ269" i="515"/>
  <c r="CQ277" i="515" s="1"/>
  <c r="CP212" i="515"/>
  <c r="CL269" i="515"/>
  <c r="CL277" i="515" s="1"/>
  <c r="CP281" i="515" s="1"/>
  <c r="CL212" i="515"/>
  <c r="CL533" i="515"/>
  <c r="CF533" i="515"/>
  <c r="CF534" i="515" s="1"/>
  <c r="CF535" i="515" s="1"/>
  <c r="CF243" i="515"/>
  <c r="CJ212" i="515"/>
  <c r="CF160" i="515"/>
  <c r="CF219" i="515"/>
  <c r="CF166" i="515"/>
  <c r="CF258" i="515"/>
  <c r="CF212" i="515"/>
  <c r="CB533" i="515"/>
  <c r="CB534" i="515" s="1"/>
  <c r="CB535" i="515" s="1"/>
  <c r="CB219" i="515"/>
  <c r="CB212" i="515"/>
  <c r="CB160" i="515"/>
  <c r="CB258" i="515" s="1"/>
  <c r="CB243" i="515"/>
  <c r="BX533" i="515"/>
  <c r="BX534" i="515" s="1"/>
  <c r="BX535" i="515" s="1"/>
  <c r="BX166" i="515"/>
  <c r="BX248" i="515" s="1"/>
  <c r="BX243" i="515"/>
  <c r="BX160" i="515"/>
  <c r="BX258" i="515" s="1"/>
  <c r="P533" i="515"/>
  <c r="Q212" i="515"/>
  <c r="CK156" i="515"/>
  <c r="CK257" i="515"/>
  <c r="CK161" i="515"/>
  <c r="CK150" i="515"/>
  <c r="CK357" i="515" s="1"/>
  <c r="CK364" i="515" s="1"/>
  <c r="O149" i="515"/>
  <c r="L268" i="515"/>
  <c r="L276" i="515" s="1"/>
  <c r="L154" i="515"/>
  <c r="L148" i="515"/>
  <c r="CW421" i="515"/>
  <c r="CW422" i="515" s="1"/>
  <c r="CT285" i="515"/>
  <c r="D466" i="515"/>
  <c r="E450" i="515"/>
  <c r="E454" i="515" s="1"/>
  <c r="E466" i="515" s="1"/>
  <c r="K372" i="515"/>
  <c r="BI28" i="515"/>
  <c r="BI35" i="515"/>
  <c r="N425" i="515"/>
  <c r="BU28" i="515"/>
  <c r="BU35" i="515"/>
  <c r="BU37" i="515" s="1"/>
  <c r="BU38" i="515" s="1"/>
  <c r="L269" i="515"/>
  <c r="L277" i="515" s="1"/>
  <c r="L533" i="515"/>
  <c r="BM187" i="515"/>
  <c r="BM239" i="515" s="1"/>
  <c r="BQ232" i="515"/>
  <c r="CS28" i="515"/>
  <c r="CS35" i="515"/>
  <c r="CS37" i="515" s="1"/>
  <c r="CC28" i="515"/>
  <c r="CC35" i="515"/>
  <c r="BX422" i="515"/>
  <c r="CG28" i="515"/>
  <c r="CG35" i="515"/>
  <c r="CG37" i="515" s="1"/>
  <c r="CG38" i="515" s="1"/>
  <c r="AL201" i="515"/>
  <c r="AH201" i="515"/>
  <c r="AH140" i="515"/>
  <c r="S183" i="123"/>
  <c r="O217" i="515"/>
  <c r="W183" i="123"/>
  <c r="W184" i="123" s="1"/>
  <c r="M165" i="515"/>
  <c r="M142" i="515"/>
  <c r="H165" i="515"/>
  <c r="H142" i="515"/>
  <c r="CZ140" i="515"/>
  <c r="CZ8" i="515" s="1"/>
  <c r="CZ145" i="515"/>
  <c r="CZ356" i="515"/>
  <c r="CZ363" i="515" s="1"/>
  <c r="DD371" i="515" s="1"/>
  <c r="CU145" i="515"/>
  <c r="CU346" i="515"/>
  <c r="CU348" i="515" s="1"/>
  <c r="CU140" i="515"/>
  <c r="CU8" i="515" s="1"/>
  <c r="CU356" i="515"/>
  <c r="CU363" i="515" s="1"/>
  <c r="CU371" i="515" s="1"/>
  <c r="CU357" i="515"/>
  <c r="CU364" i="515" s="1"/>
  <c r="CP346" i="515"/>
  <c r="CP348" i="515" s="1"/>
  <c r="CP356" i="515"/>
  <c r="CP363" i="515" s="1"/>
  <c r="CP140" i="515"/>
  <c r="CP8" i="515" s="1"/>
  <c r="CP145" i="515"/>
  <c r="CP162" i="515"/>
  <c r="CP357" i="515" s="1"/>
  <c r="CP364" i="515" s="1"/>
  <c r="CL346" i="515"/>
  <c r="CL348" i="515" s="1"/>
  <c r="CL162" i="515"/>
  <c r="CL356" i="515"/>
  <c r="CL363" i="515" s="1"/>
  <c r="CL140" i="515"/>
  <c r="CL8" i="515" s="1"/>
  <c r="P128" i="515"/>
  <c r="CE356" i="515"/>
  <c r="CE363" i="515" s="1"/>
  <c r="CE371" i="515" s="1"/>
  <c r="CE346" i="515"/>
  <c r="CE197" i="515"/>
  <c r="N128" i="515"/>
  <c r="N356" i="515" s="1"/>
  <c r="N363" i="515" s="1"/>
  <c r="CE162" i="515"/>
  <c r="CI213" i="515" s="1"/>
  <c r="AW28" i="515"/>
  <c r="Q271" i="515"/>
  <c r="Q279" i="515" s="1"/>
  <c r="BY22" i="515"/>
  <c r="BY582" i="515"/>
  <c r="AR28" i="515"/>
  <c r="AR35" i="515"/>
  <c r="CI413" i="515"/>
  <c r="CI418" i="515"/>
  <c r="BL232" i="515"/>
  <c r="BL187" i="515"/>
  <c r="G461" i="515"/>
  <c r="F466" i="515"/>
  <c r="CU412" i="515"/>
  <c r="CY413" i="515" s="1"/>
  <c r="CY410" i="515"/>
  <c r="R411" i="515"/>
  <c r="R424" i="515"/>
  <c r="O386" i="515"/>
  <c r="N411" i="515"/>
  <c r="N409" i="515"/>
  <c r="CC359" i="515"/>
  <c r="CC365" i="515"/>
  <c r="CB329" i="515"/>
  <c r="CB297" i="515"/>
  <c r="DD252" i="515"/>
  <c r="DD253" i="515" s="1"/>
  <c r="BO304" i="515"/>
  <c r="BO310" i="515"/>
  <c r="BO333" i="515" s="1"/>
  <c r="K309" i="515"/>
  <c r="L309" i="515"/>
  <c r="G309" i="515"/>
  <c r="H309" i="515"/>
  <c r="CS272" i="515"/>
  <c r="CS271" i="515"/>
  <c r="CS279" i="515" s="1"/>
  <c r="CS268" i="515"/>
  <c r="CS276" i="515" s="1"/>
  <c r="CW284" i="515" s="1"/>
  <c r="CO267" i="515"/>
  <c r="CO275" i="515" s="1"/>
  <c r="CO269" i="515"/>
  <c r="CO277" i="515" s="1"/>
  <c r="CO271" i="515"/>
  <c r="CO279" i="515" s="1"/>
  <c r="CO268" i="515"/>
  <c r="CO276" i="515" s="1"/>
  <c r="P287" i="515"/>
  <c r="BF35" i="515"/>
  <c r="BF41" i="515" s="1"/>
  <c r="BF28" i="515"/>
  <c r="CB35" i="515"/>
  <c r="CB28" i="515"/>
  <c r="E288" i="515"/>
  <c r="BE8" i="515"/>
  <c r="CC11" i="515"/>
  <c r="CC16" i="515"/>
  <c r="BV418" i="515"/>
  <c r="CU358" i="515"/>
  <c r="CU365" i="515" s="1"/>
  <c r="CU169" i="515"/>
  <c r="CU166" i="515"/>
  <c r="AF23" i="515"/>
  <c r="AF109" i="515" s="1"/>
  <c r="AF35" i="515"/>
  <c r="AF41" i="515" s="1"/>
  <c r="AF28" i="515"/>
  <c r="E166" i="515"/>
  <c r="E8" i="515"/>
  <c r="BP28" i="515"/>
  <c r="BP35" i="515"/>
  <c r="Y65" i="123"/>
  <c r="Z65" i="123" s="1"/>
  <c r="AA65" i="123" s="1"/>
  <c r="AB65" i="123" s="1"/>
  <c r="AC65" i="123" s="1"/>
  <c r="AD65" i="123" s="1"/>
  <c r="AE65" i="123" s="1"/>
  <c r="AF65" i="123" s="1"/>
  <c r="AG65" i="123" s="1"/>
  <c r="CD28" i="515"/>
  <c r="CD35" i="515"/>
  <c r="CD37" i="515" s="1"/>
  <c r="BW35" i="515"/>
  <c r="BW28" i="515"/>
  <c r="CC415" i="515"/>
  <c r="CC418" i="515" s="1"/>
  <c r="CF416" i="515"/>
  <c r="CC397" i="515"/>
  <c r="CC398" i="515"/>
  <c r="CC399" i="515" s="1"/>
  <c r="BY398" i="515"/>
  <c r="BY399" i="515" s="1"/>
  <c r="BY397" i="515"/>
  <c r="CP309" i="515"/>
  <c r="CT318" i="515"/>
  <c r="DB229" i="515"/>
  <c r="DC247" i="515"/>
  <c r="CV217" i="515"/>
  <c r="CV247" i="515"/>
  <c r="CK247" i="515"/>
  <c r="CK217" i="515"/>
  <c r="CJ214" i="515"/>
  <c r="CJ537" i="515"/>
  <c r="CF358" i="515"/>
  <c r="CF357" i="515"/>
  <c r="CF364" i="515" s="1"/>
  <c r="CV157" i="515"/>
  <c r="CV347" i="515"/>
  <c r="CV154" i="515"/>
  <c r="CV9" i="515" s="1"/>
  <c r="CQ154" i="515"/>
  <c r="CQ9" i="515" s="1"/>
  <c r="CQ11" i="515" s="1"/>
  <c r="CQ347" i="515"/>
  <c r="CQ162" i="515"/>
  <c r="CQ219" i="515" s="1"/>
  <c r="CL154" i="515"/>
  <c r="CL9" i="515" s="1"/>
  <c r="CL16" i="515" s="1"/>
  <c r="CL157" i="515"/>
  <c r="BU149" i="515"/>
  <c r="BU347" i="515"/>
  <c r="CW156" i="515"/>
  <c r="CW150" i="515"/>
  <c r="AK207" i="515"/>
  <c r="AO207" i="515"/>
  <c r="BX35" i="515"/>
  <c r="BX28" i="515"/>
  <c r="CB99" i="515"/>
  <c r="BT232" i="515"/>
  <c r="CZ434" i="515"/>
  <c r="DD435" i="515" s="1"/>
  <c r="CV437" i="515"/>
  <c r="CI439" i="515"/>
  <c r="CI437" i="515"/>
  <c r="CI438" i="515"/>
  <c r="BW439" i="515"/>
  <c r="BW440" i="515" s="1"/>
  <c r="BW437" i="515"/>
  <c r="BW438" i="515"/>
  <c r="CV312" i="515"/>
  <c r="CR312" i="515"/>
  <c r="BW232" i="515"/>
  <c r="BS232" i="515"/>
  <c r="B187" i="515"/>
  <c r="CM245" i="515"/>
  <c r="CM214" i="515"/>
  <c r="CM537" i="515"/>
  <c r="CQ214" i="515"/>
  <c r="CZ162" i="515"/>
  <c r="CZ154" i="515"/>
  <c r="CZ9" i="515" s="1"/>
  <c r="CZ11" i="515" s="1"/>
  <c r="CZ157" i="515"/>
  <c r="CZ347" i="515"/>
  <c r="CK128" i="515"/>
  <c r="CK256" i="515"/>
  <c r="O127" i="515"/>
  <c r="AZ288" i="515"/>
  <c r="P412" i="515"/>
  <c r="P418" i="515" s="1"/>
  <c r="Q419" i="515" s="1"/>
  <c r="CC232" i="515"/>
  <c r="AO28" i="515"/>
  <c r="AO35" i="515"/>
  <c r="BN35" i="515"/>
  <c r="BN37" i="515" s="1"/>
  <c r="BN28" i="515"/>
  <c r="CB350" i="515"/>
  <c r="BR35" i="515"/>
  <c r="BR28" i="515"/>
  <c r="K346" i="515"/>
  <c r="K348" i="515" s="1"/>
  <c r="K145" i="515"/>
  <c r="BB269" i="515"/>
  <c r="BB277" i="515" s="1"/>
  <c r="AY35" i="515"/>
  <c r="AY28" i="515"/>
  <c r="CW453" i="515"/>
  <c r="CR410" i="515"/>
  <c r="BY359" i="515"/>
  <c r="CW309" i="515"/>
  <c r="BS287" i="515"/>
  <c r="AP35" i="515"/>
  <c r="AP28" i="515"/>
  <c r="BH187" i="515"/>
  <c r="BH22" i="515" s="1"/>
  <c r="D217" i="515"/>
  <c r="BY11" i="515"/>
  <c r="DD295" i="515"/>
  <c r="DD309" i="515" s="1"/>
  <c r="CV253" i="515"/>
  <c r="AV187" i="515"/>
  <c r="AV239" i="515" s="1"/>
  <c r="AG187" i="515"/>
  <c r="AG22" i="515" s="1"/>
  <c r="R217" i="515"/>
  <c r="I31" i="515"/>
  <c r="L192" i="123" s="1"/>
  <c r="I269" i="515"/>
  <c r="I277" i="515" s="1"/>
  <c r="I285" i="515" s="1"/>
  <c r="AN35" i="515"/>
  <c r="AN38" i="515" s="1"/>
  <c r="AN28" i="515"/>
  <c r="BQ309" i="515"/>
  <c r="CD457" i="515"/>
  <c r="C422" i="515"/>
  <c r="BY372" i="515"/>
  <c r="BV325" i="515"/>
  <c r="BM287" i="515"/>
  <c r="CA35" i="515"/>
  <c r="CA28" i="515"/>
  <c r="CN214" i="515"/>
  <c r="BZ373" i="515"/>
  <c r="BQ16" i="515"/>
  <c r="BQ99" i="515" s="1"/>
  <c r="BQ11" i="515"/>
  <c r="BQ98" i="515" s="1"/>
  <c r="BM17" i="515"/>
  <c r="O184" i="123"/>
  <c r="CX285" i="515"/>
  <c r="CE375" i="515"/>
  <c r="CA375" i="515"/>
  <c r="AR288" i="515"/>
  <c r="AN288" i="515"/>
  <c r="G180" i="515"/>
  <c r="G187" i="515" s="1"/>
  <c r="G22" i="515" s="1"/>
  <c r="L245" i="515"/>
  <c r="G454" i="515"/>
  <c r="G466" i="515" s="1"/>
  <c r="CO453" i="515"/>
  <c r="CT425" i="515"/>
  <c r="CA371" i="515"/>
  <c r="CH348" i="515"/>
  <c r="M348" i="515"/>
  <c r="AH288" i="515"/>
  <c r="F271" i="515"/>
  <c r="F279" i="515" s="1"/>
  <c r="F287" i="515" s="1"/>
  <c r="CR253" i="515"/>
  <c r="CO214" i="515"/>
  <c r="CT97" i="515"/>
  <c r="CU219" i="515"/>
  <c r="P454" i="515"/>
  <c r="Q450" i="515" s="1"/>
  <c r="CW425" i="515"/>
  <c r="BZ371" i="515"/>
  <c r="CP154" i="515"/>
  <c r="CP9" i="515" s="1"/>
  <c r="CC208" i="515"/>
  <c r="BP140" i="515"/>
  <c r="R164" i="515"/>
  <c r="N164" i="515"/>
  <c r="D499" i="515"/>
  <c r="CT453" i="515"/>
  <c r="AE140" i="515"/>
  <c r="C140" i="515"/>
  <c r="BS98" i="515"/>
  <c r="K223" i="515"/>
  <c r="L513" i="515"/>
  <c r="CT457" i="515"/>
  <c r="CP457" i="515"/>
  <c r="CL457" i="515"/>
  <c r="CC372" i="515"/>
  <c r="CF371" i="515"/>
  <c r="BY371" i="515"/>
  <c r="D309" i="515"/>
  <c r="BA288" i="515"/>
  <c r="AO288" i="515"/>
  <c r="CD439" i="515"/>
  <c r="BV166" i="515"/>
  <c r="BV248" i="515" s="1"/>
  <c r="L164" i="515"/>
  <c r="O409" i="515"/>
  <c r="CZ346" i="515"/>
  <c r="CZ348" i="515" s="1"/>
  <c r="V156" i="123"/>
  <c r="Y44" i="123"/>
  <c r="J157" i="123"/>
  <c r="O153" i="123"/>
  <c r="E57" i="3"/>
  <c r="O156" i="123"/>
  <c r="L93" i="515"/>
  <c r="G153" i="123"/>
  <c r="N495" i="515"/>
  <c r="N447" i="515"/>
  <c r="N452" i="515" s="1"/>
  <c r="P156" i="123"/>
  <c r="Q169" i="123"/>
  <c r="Q167" i="123"/>
  <c r="AG49" i="123"/>
  <c r="L77" i="123"/>
  <c r="G71" i="123"/>
  <c r="C480" i="515"/>
  <c r="E32" i="515"/>
  <c r="W56" i="123"/>
  <c r="H26" i="123"/>
  <c r="H32" i="123" s="1"/>
  <c r="I99" i="123" s="1"/>
  <c r="R157" i="123"/>
  <c r="R156" i="123"/>
  <c r="R153" i="123"/>
  <c r="U157" i="123"/>
  <c r="U156" i="123"/>
  <c r="U153" i="123"/>
  <c r="V55" i="3"/>
  <c r="V26" i="3"/>
  <c r="T55" i="3"/>
  <c r="S59" i="3"/>
  <c r="S62" i="3" s="1"/>
  <c r="P480" i="515"/>
  <c r="T157" i="123"/>
  <c r="Q12" i="3"/>
  <c r="Q213" i="123"/>
  <c r="Q220" i="123" s="1"/>
  <c r="Q192" i="123" s="1"/>
  <c r="I486" i="515"/>
  <c r="E485" i="515"/>
  <c r="T156" i="123"/>
  <c r="R220" i="123"/>
  <c r="R192" i="123" s="1"/>
  <c r="U213" i="123"/>
  <c r="U220" i="123" s="1"/>
  <c r="U192" i="123" s="1"/>
  <c r="N115" i="515"/>
  <c r="N121" i="515" s="1"/>
  <c r="N117" i="515"/>
  <c r="N118" i="515" s="1"/>
  <c r="S89" i="123"/>
  <c r="N120" i="515"/>
  <c r="AT20" i="515"/>
  <c r="AT14" i="515"/>
  <c r="AT106" i="515" s="1"/>
  <c r="AT534" i="515"/>
  <c r="AT535" i="515" s="1"/>
  <c r="R200" i="123"/>
  <c r="R257" i="123"/>
  <c r="R258" i="123" s="1"/>
  <c r="AC15" i="123"/>
  <c r="AD15" i="123" s="1"/>
  <c r="AE15" i="123" s="1"/>
  <c r="CZ416" i="515"/>
  <c r="J367" i="515"/>
  <c r="J368" i="515" s="1"/>
  <c r="J359" i="515"/>
  <c r="CE17" i="515"/>
  <c r="L203" i="123"/>
  <c r="L173" i="123"/>
  <c r="L179" i="123" s="1"/>
  <c r="L199" i="123"/>
  <c r="CF222" i="515"/>
  <c r="CR166" i="515"/>
  <c r="CR219" i="515"/>
  <c r="CR358" i="515"/>
  <c r="CR365" i="515" s="1"/>
  <c r="CR373" i="515" s="1"/>
  <c r="CV213" i="515"/>
  <c r="CR357" i="515"/>
  <c r="CR364" i="515" s="1"/>
  <c r="CR169" i="515"/>
  <c r="CR160" i="515"/>
  <c r="K360" i="515"/>
  <c r="K352" i="515"/>
  <c r="K244" i="515"/>
  <c r="K172" i="515"/>
  <c r="AN533" i="515"/>
  <c r="AN243" i="515"/>
  <c r="AN149" i="515"/>
  <c r="AN268" i="515" s="1"/>
  <c r="AN276" i="515" s="1"/>
  <c r="AA21" i="3"/>
  <c r="P104" i="123"/>
  <c r="CZ418" i="515"/>
  <c r="W220" i="123"/>
  <c r="W192" i="123" s="1"/>
  <c r="H270" i="515"/>
  <c r="H278" i="515" s="1"/>
  <c r="O132" i="123"/>
  <c r="O133" i="123" s="1"/>
  <c r="J528" i="515"/>
  <c r="O127" i="123"/>
  <c r="AU16" i="515"/>
  <c r="Q43" i="3"/>
  <c r="Q68" i="3"/>
  <c r="J223" i="515"/>
  <c r="M100" i="515"/>
  <c r="M239" i="515"/>
  <c r="N100" i="515"/>
  <c r="CM365" i="515"/>
  <c r="CT284" i="515"/>
  <c r="CX284" i="515"/>
  <c r="I223" i="515"/>
  <c r="H243" i="515"/>
  <c r="H223" i="515"/>
  <c r="M172" i="515"/>
  <c r="M180" i="515"/>
  <c r="BA22" i="515"/>
  <c r="CR213" i="515"/>
  <c r="BS421" i="515"/>
  <c r="O150" i="515"/>
  <c r="CI357" i="515"/>
  <c r="CI364" i="515" s="1"/>
  <c r="CI160" i="515"/>
  <c r="CI358" i="515"/>
  <c r="R247" i="515"/>
  <c r="CB418" i="515"/>
  <c r="CB413" i="515"/>
  <c r="L120" i="515"/>
  <c r="CG45" i="515"/>
  <c r="CG72" i="515" s="1"/>
  <c r="CC37" i="515"/>
  <c r="CC45" i="515" s="1"/>
  <c r="BO534" i="515"/>
  <c r="BO535" i="515" s="1"/>
  <c r="BU41" i="515"/>
  <c r="AU20" i="515"/>
  <c r="AU14" i="515"/>
  <c r="AU106" i="515" s="1"/>
  <c r="G100" i="515"/>
  <c r="N243" i="515"/>
  <c r="N533" i="515"/>
  <c r="J397" i="515"/>
  <c r="J386" i="515"/>
  <c r="Q442" i="515"/>
  <c r="Q440" i="515"/>
  <c r="AX17" i="515"/>
  <c r="AX107" i="515" s="1"/>
  <c r="BO17" i="515"/>
  <c r="BX23" i="515"/>
  <c r="BX109" i="515" s="1"/>
  <c r="M120" i="123"/>
  <c r="M79" i="123"/>
  <c r="J272" i="515"/>
  <c r="J280" i="515" s="1"/>
  <c r="J187" i="515"/>
  <c r="J172" i="515"/>
  <c r="J243" i="515"/>
  <c r="AT16" i="515"/>
  <c r="BV19" i="515"/>
  <c r="AJ239" i="515"/>
  <c r="AF110" i="515"/>
  <c r="CJ358" i="515"/>
  <c r="CJ213" i="515"/>
  <c r="CJ166" i="515"/>
  <c r="CJ219" i="515"/>
  <c r="CJ357" i="515"/>
  <c r="CJ364" i="515" s="1"/>
  <c r="CJ160" i="515"/>
  <c r="O83" i="123"/>
  <c r="O105" i="123" s="1"/>
  <c r="O92" i="123"/>
  <c r="O84" i="123"/>
  <c r="O85" i="123" s="1"/>
  <c r="S225" i="123"/>
  <c r="S254" i="123" s="1"/>
  <c r="R254" i="123"/>
  <c r="R201" i="123" s="1"/>
  <c r="AS239" i="515"/>
  <c r="Q154" i="515"/>
  <c r="Q9" i="515" s="1"/>
  <c r="Q148" i="515"/>
  <c r="Q347" i="515"/>
  <c r="M58" i="123"/>
  <c r="M69" i="123" s="1"/>
  <c r="O87" i="123"/>
  <c r="BE288" i="515"/>
  <c r="BI288" i="515"/>
  <c r="G35" i="515"/>
  <c r="L270" i="515"/>
  <c r="L278" i="515" s="1"/>
  <c r="K386" i="515"/>
  <c r="CB100" i="515"/>
  <c r="BS16" i="515"/>
  <c r="BB22" i="515"/>
  <c r="BF239" i="515"/>
  <c r="CB222" i="515"/>
  <c r="BN41" i="515"/>
  <c r="AJ22" i="515"/>
  <c r="BH269" i="515"/>
  <c r="J180" i="515"/>
  <c r="BW248" i="515"/>
  <c r="CG100" i="515"/>
  <c r="DA226" i="515"/>
  <c r="I280" i="515"/>
  <c r="I288" i="515" s="1"/>
  <c r="I270" i="515"/>
  <c r="I278" i="515" s="1"/>
  <c r="N245" i="515"/>
  <c r="CN213" i="515"/>
  <c r="I81" i="123"/>
  <c r="G483" i="515"/>
  <c r="G486" i="515" s="1"/>
  <c r="Q78" i="123"/>
  <c r="Q81" i="123"/>
  <c r="Q92" i="123" s="1"/>
  <c r="L484" i="515"/>
  <c r="M483" i="515" s="1"/>
  <c r="F533" i="515"/>
  <c r="F160" i="515"/>
  <c r="F242" i="515" s="1"/>
  <c r="G212" i="515"/>
  <c r="CA279" i="515"/>
  <c r="CA270" i="515"/>
  <c r="CA278" i="515" s="1"/>
  <c r="M26" i="123"/>
  <c r="M32" i="123" s="1"/>
  <c r="O98" i="123" s="1"/>
  <c r="M113" i="123"/>
  <c r="CF17" i="515"/>
  <c r="BW413" i="515"/>
  <c r="CR285" i="515"/>
  <c r="R167" i="123"/>
  <c r="R169" i="123"/>
  <c r="BT192" i="515"/>
  <c r="BT239" i="515"/>
  <c r="BT22" i="515"/>
  <c r="CN450" i="515"/>
  <c r="CN453" i="515" s="1"/>
  <c r="CM453" i="515"/>
  <c r="F470" i="515"/>
  <c r="F469" i="515"/>
  <c r="G471" i="515"/>
  <c r="CX447" i="515"/>
  <c r="CX452" i="515" s="1"/>
  <c r="CX453" i="515" s="1"/>
  <c r="DA447" i="515"/>
  <c r="DA452" i="515" s="1"/>
  <c r="CH437" i="515"/>
  <c r="CH441" i="515"/>
  <c r="CH434" i="515"/>
  <c r="CH438" i="515"/>
  <c r="O433" i="515"/>
  <c r="CL434" i="515"/>
  <c r="CE439" i="515"/>
  <c r="CE437" i="515"/>
  <c r="CE441" i="515"/>
  <c r="CE438" i="515"/>
  <c r="N433" i="515"/>
  <c r="CA439" i="515"/>
  <c r="CA434" i="515"/>
  <c r="M433" i="515"/>
  <c r="CA438" i="515"/>
  <c r="CA437" i="515"/>
  <c r="CA441" i="515"/>
  <c r="BX434" i="515"/>
  <c r="BX437" i="515"/>
  <c r="BX438" i="515"/>
  <c r="BX441" i="515"/>
  <c r="CD425" i="515"/>
  <c r="BP418" i="515"/>
  <c r="BT413" i="515"/>
  <c r="CO418" i="515"/>
  <c r="CG413" i="515"/>
  <c r="CG418" i="515"/>
  <c r="BU413" i="515"/>
  <c r="BR413" i="515"/>
  <c r="BV413" i="515"/>
  <c r="BO418" i="515"/>
  <c r="BO421" i="515" s="1"/>
  <c r="BS413" i="515"/>
  <c r="CP410" i="515"/>
  <c r="CP412" i="515"/>
  <c r="CM410" i="515"/>
  <c r="CM412" i="515"/>
  <c r="BY348" i="515"/>
  <c r="BY350" i="515" s="1"/>
  <c r="BY353" i="515"/>
  <c r="BU348" i="515"/>
  <c r="BU350" i="515" s="1"/>
  <c r="BU353" i="515"/>
  <c r="R344" i="515"/>
  <c r="O344" i="515"/>
  <c r="N360" i="515"/>
  <c r="N367" i="515" s="1"/>
  <c r="CW312" i="515"/>
  <c r="R300" i="515"/>
  <c r="Q300" i="515"/>
  <c r="P300" i="515"/>
  <c r="CS311" i="515"/>
  <c r="CS297" i="515"/>
  <c r="CW311" i="515"/>
  <c r="Q299" i="515"/>
  <c r="CP297" i="515"/>
  <c r="CP311" i="515"/>
  <c r="CI297" i="515"/>
  <c r="CM311" i="515"/>
  <c r="O299" i="515"/>
  <c r="BX297" i="515"/>
  <c r="CB311" i="515"/>
  <c r="BT310" i="515"/>
  <c r="BT333" i="515" s="1"/>
  <c r="BT304" i="515"/>
  <c r="BT295" i="515"/>
  <c r="BX310" i="515"/>
  <c r="BX317" i="515" s="1"/>
  <c r="BX323" i="515" s="1"/>
  <c r="F115" i="123"/>
  <c r="CC258" i="515"/>
  <c r="CC211" i="515"/>
  <c r="AT208" i="515"/>
  <c r="AT166" i="515"/>
  <c r="H93" i="515"/>
  <c r="H457" i="515"/>
  <c r="CD450" i="515"/>
  <c r="CD454" i="515" s="1"/>
  <c r="CE450" i="515" s="1"/>
  <c r="CE454" i="515" s="1"/>
  <c r="CF450" i="515" s="1"/>
  <c r="CF454" i="515" s="1"/>
  <c r="CG450" i="515" s="1"/>
  <c r="CG454" i="515" s="1"/>
  <c r="CC456" i="515"/>
  <c r="Q447" i="515"/>
  <c r="Q452" i="515" s="1"/>
  <c r="Q454" i="515" s="1"/>
  <c r="R450" i="515" s="1"/>
  <c r="Q462" i="515"/>
  <c r="CJ438" i="515"/>
  <c r="CJ437" i="515"/>
  <c r="CN434" i="515"/>
  <c r="BY442" i="515"/>
  <c r="BY440" i="515"/>
  <c r="CU425" i="515"/>
  <c r="CY425" i="515"/>
  <c r="BX425" i="515"/>
  <c r="CB425" i="515"/>
  <c r="J422" i="515"/>
  <c r="K422" i="515"/>
  <c r="G422" i="515"/>
  <c r="F422" i="515"/>
  <c r="H413" i="515"/>
  <c r="I413" i="515"/>
  <c r="CK410" i="515"/>
  <c r="CK412" i="515"/>
  <c r="P344" i="515"/>
  <c r="Q344" i="515"/>
  <c r="L356" i="515"/>
  <c r="L363" i="515" s="1"/>
  <c r="L371" i="515" s="1"/>
  <c r="M344" i="515"/>
  <c r="L344" i="515"/>
  <c r="CN297" i="515"/>
  <c r="CR311" i="515"/>
  <c r="CN311" i="515"/>
  <c r="P299" i="515"/>
  <c r="P311" i="515" s="1"/>
  <c r="BZ311" i="515"/>
  <c r="BZ297" i="515"/>
  <c r="BZ329" i="515"/>
  <c r="DC252" i="515"/>
  <c r="DC253" i="515" s="1"/>
  <c r="DC263" i="515"/>
  <c r="BW252" i="515"/>
  <c r="CA310" i="515"/>
  <c r="BW297" i="515"/>
  <c r="BW295" i="515"/>
  <c r="O58" i="123"/>
  <c r="O69" i="123" s="1"/>
  <c r="O48" i="3"/>
  <c r="BA248" i="515"/>
  <c r="AY207" i="515"/>
  <c r="AY140" i="515"/>
  <c r="CD288" i="515"/>
  <c r="CM219" i="515"/>
  <c r="CM166" i="515"/>
  <c r="CG442" i="515"/>
  <c r="CG440" i="515"/>
  <c r="BL16" i="515"/>
  <c r="CV285" i="515"/>
  <c r="AY239" i="515"/>
  <c r="AU22" i="515"/>
  <c r="CQ442" i="515"/>
  <c r="H88" i="123"/>
  <c r="H87" i="123"/>
  <c r="Q214" i="515"/>
  <c r="Q245" i="515"/>
  <c r="Q511" i="515"/>
  <c r="Q513" i="515" s="1"/>
  <c r="S510" i="515"/>
  <c r="R513" i="515"/>
  <c r="L503" i="515"/>
  <c r="L506" i="515" s="1"/>
  <c r="L498" i="515" s="1"/>
  <c r="M499" i="515" s="1"/>
  <c r="CU397" i="515"/>
  <c r="CU398" i="515"/>
  <c r="CU399" i="515" s="1"/>
  <c r="CK397" i="515"/>
  <c r="P396" i="515"/>
  <c r="CD397" i="515"/>
  <c r="N396" i="515"/>
  <c r="BU396" i="515"/>
  <c r="BR397" i="515"/>
  <c r="Q424" i="515"/>
  <c r="R386" i="515"/>
  <c r="Q386" i="515"/>
  <c r="N386" i="515"/>
  <c r="M409" i="515"/>
  <c r="CB375" i="515"/>
  <c r="BX375" i="515"/>
  <c r="AQ288" i="515"/>
  <c r="AU288" i="515"/>
  <c r="J533" i="515"/>
  <c r="J534" i="515" s="1"/>
  <c r="J212" i="515"/>
  <c r="J269" i="515"/>
  <c r="F166" i="515"/>
  <c r="F9" i="515"/>
  <c r="BS149" i="515"/>
  <c r="BS154" i="515" s="1"/>
  <c r="BS347" i="515"/>
  <c r="BS348" i="515" s="1"/>
  <c r="BS350" i="515" s="1"/>
  <c r="BD207" i="515"/>
  <c r="BD140" i="515"/>
  <c r="AR140" i="515"/>
  <c r="AV207" i="515"/>
  <c r="BJ206" i="515"/>
  <c r="BJ139" i="515"/>
  <c r="BN201" i="515"/>
  <c r="BN140" i="515"/>
  <c r="BI97" i="515"/>
  <c r="BE97" i="515"/>
  <c r="K192" i="123"/>
  <c r="K202" i="123" s="1"/>
  <c r="H479" i="515"/>
  <c r="D479" i="515"/>
  <c r="D480" i="515" s="1"/>
  <c r="D32" i="515"/>
  <c r="CV358" i="515"/>
  <c r="CV365" i="515" s="1"/>
  <c r="CV219" i="515"/>
  <c r="CV169" i="515"/>
  <c r="CS287" i="515"/>
  <c r="L352" i="515"/>
  <c r="L360" i="515"/>
  <c r="L367" i="515" s="1"/>
  <c r="K77" i="123"/>
  <c r="K78" i="123"/>
  <c r="G473" i="515"/>
  <c r="F472" i="515"/>
  <c r="I166" i="515"/>
  <c r="I140" i="515"/>
  <c r="BW259" i="515"/>
  <c r="CA222" i="515"/>
  <c r="H287" i="515"/>
  <c r="CW484" i="515"/>
  <c r="AZ8" i="515"/>
  <c r="I180" i="515"/>
  <c r="I187" i="515" s="1"/>
  <c r="I172" i="515"/>
  <c r="I242" i="515" s="1"/>
  <c r="I243" i="515"/>
  <c r="AE22" i="515"/>
  <c r="L519" i="515"/>
  <c r="K522" i="515"/>
  <c r="I492" i="515"/>
  <c r="I499" i="515"/>
  <c r="J499" i="515"/>
  <c r="BQ397" i="515"/>
  <c r="BQ398" i="515"/>
  <c r="BQ399" i="515" s="1"/>
  <c r="CD375" i="515"/>
  <c r="BU367" i="515"/>
  <c r="BU359" i="515"/>
  <c r="B9" i="515"/>
  <c r="B166" i="515"/>
  <c r="BT154" i="515"/>
  <c r="BT268" i="515"/>
  <c r="BT276" i="515" s="1"/>
  <c r="BT148" i="515"/>
  <c r="BT257" i="515" s="1"/>
  <c r="BT161" i="515"/>
  <c r="BF207" i="515"/>
  <c r="BF140" i="515"/>
  <c r="AW140" i="515"/>
  <c r="AW207" i="515"/>
  <c r="BA207" i="515"/>
  <c r="AS166" i="515"/>
  <c r="AS248" i="515" s="1"/>
  <c r="AP8" i="515"/>
  <c r="AP166" i="515"/>
  <c r="AP248" i="515" s="1"/>
  <c r="BL206" i="515"/>
  <c r="BH206" i="515"/>
  <c r="BH139" i="515"/>
  <c r="AI201" i="515"/>
  <c r="AI140" i="515"/>
  <c r="G134" i="515"/>
  <c r="G142" i="515"/>
  <c r="BC97" i="515"/>
  <c r="BG97" i="515"/>
  <c r="V75" i="3"/>
  <c r="J27" i="515"/>
  <c r="H135" i="123"/>
  <c r="H136" i="123" s="1"/>
  <c r="H138" i="123"/>
  <c r="H139" i="123" s="1"/>
  <c r="H129" i="123"/>
  <c r="H128" i="123"/>
  <c r="AF248" i="515"/>
  <c r="O304" i="515"/>
  <c r="R229" i="515"/>
  <c r="CS442" i="515"/>
  <c r="CA323" i="515"/>
  <c r="CD322" i="515"/>
  <c r="CD316" i="515" s="1"/>
  <c r="CD315" i="515" s="1"/>
  <c r="CD321" i="515" s="1"/>
  <c r="CH322" i="515" s="1"/>
  <c r="CH316" i="515" s="1"/>
  <c r="BU309" i="515"/>
  <c r="CJ410" i="515"/>
  <c r="CF410" i="515"/>
  <c r="CF412" i="515"/>
  <c r="BY410" i="515"/>
  <c r="BY412" i="515"/>
  <c r="I309" i="515"/>
  <c r="J309" i="515"/>
  <c r="CR267" i="515"/>
  <c r="CR275" i="515" s="1"/>
  <c r="CR268" i="515"/>
  <c r="CR276" i="515" s="1"/>
  <c r="CR271" i="515"/>
  <c r="CJ267" i="515"/>
  <c r="CJ275" i="515" s="1"/>
  <c r="CJ268" i="515"/>
  <c r="CJ276" i="515" s="1"/>
  <c r="CJ271" i="515"/>
  <c r="CJ269" i="515"/>
  <c r="CF267" i="515"/>
  <c r="CF275" i="515" s="1"/>
  <c r="CF271" i="515"/>
  <c r="CF279" i="515" s="1"/>
  <c r="CF287" i="515" s="1"/>
  <c r="CF269" i="515"/>
  <c r="CF272" i="515"/>
  <c r="CF280" i="515" s="1"/>
  <c r="CF288" i="515" s="1"/>
  <c r="CB267" i="515"/>
  <c r="CB275" i="515" s="1"/>
  <c r="CB268" i="515"/>
  <c r="CB276" i="515" s="1"/>
  <c r="CB269" i="515"/>
  <c r="BX268" i="515"/>
  <c r="BX276" i="515" s="1"/>
  <c r="BX269" i="515"/>
  <c r="BN267" i="515"/>
  <c r="BN275" i="515" s="1"/>
  <c r="BN272" i="515"/>
  <c r="BS22" i="515"/>
  <c r="BS239" i="515"/>
  <c r="BS582" i="515"/>
  <c r="AT238" i="515"/>
  <c r="BZ226" i="515"/>
  <c r="BZ228" i="515"/>
  <c r="BV246" i="515"/>
  <c r="CC424" i="515"/>
  <c r="CC225" i="515"/>
  <c r="CC244" i="515"/>
  <c r="CG224" i="515"/>
  <c r="BZ224" i="515"/>
  <c r="BV352" i="515"/>
  <c r="BV360" i="515"/>
  <c r="BZ227" i="515"/>
  <c r="BS360" i="515"/>
  <c r="BW224" i="515"/>
  <c r="BS244" i="515"/>
  <c r="BW227" i="515"/>
  <c r="CE187" i="515"/>
  <c r="CE223" i="515"/>
  <c r="CE172" i="515"/>
  <c r="BZ243" i="515"/>
  <c r="CD223" i="515"/>
  <c r="CZ217" i="515"/>
  <c r="CS217" i="515"/>
  <c r="CW217" i="515"/>
  <c r="CO217" i="515"/>
  <c r="CO247" i="515"/>
  <c r="E217" i="515"/>
  <c r="J183" i="123"/>
  <c r="J187" i="123" s="1"/>
  <c r="CZ216" i="515"/>
  <c r="CZ246" i="515"/>
  <c r="CP216" i="515"/>
  <c r="CP246" i="515"/>
  <c r="CL216" i="515"/>
  <c r="CL246" i="515"/>
  <c r="CL166" i="515"/>
  <c r="CH246" i="515"/>
  <c r="CH439" i="515"/>
  <c r="CH440" i="515" s="1"/>
  <c r="CH216" i="515"/>
  <c r="BZ216" i="515"/>
  <c r="BZ246" i="515"/>
  <c r="BZ166" i="515"/>
  <c r="CI215" i="515"/>
  <c r="CI537" i="515"/>
  <c r="CI245" i="515"/>
  <c r="CI214" i="515"/>
  <c r="CE215" i="515"/>
  <c r="CE537" i="515"/>
  <c r="CE538" i="515" s="1"/>
  <c r="CE539" i="515" s="1"/>
  <c r="CA245" i="515"/>
  <c r="CA537" i="515"/>
  <c r="CA214" i="515"/>
  <c r="CZ533" i="515"/>
  <c r="CZ534" i="515" s="1"/>
  <c r="CZ535" i="515" s="1"/>
  <c r="CZ212" i="515"/>
  <c r="AY243" i="515"/>
  <c r="AS149" i="515"/>
  <c r="AS268" i="515" s="1"/>
  <c r="AS276" i="515" s="1"/>
  <c r="AS269" i="515"/>
  <c r="AS277" i="515" s="1"/>
  <c r="AS533" i="515"/>
  <c r="CA8" i="515"/>
  <c r="CA208" i="515"/>
  <c r="O412" i="515"/>
  <c r="CV140" i="515"/>
  <c r="CV8" i="515" s="1"/>
  <c r="CV145" i="515"/>
  <c r="CV346" i="515"/>
  <c r="CV348" i="515" s="1"/>
  <c r="CV356" i="515"/>
  <c r="CV363" i="515" s="1"/>
  <c r="CQ346" i="515"/>
  <c r="CQ145" i="515"/>
  <c r="CM140" i="515"/>
  <c r="CM8" i="515" s="1"/>
  <c r="CM16" i="515" s="1"/>
  <c r="CM356" i="515"/>
  <c r="CM363" i="515" s="1"/>
  <c r="CM371" i="515" s="1"/>
  <c r="CH140" i="515"/>
  <c r="CH8" i="515" s="1"/>
  <c r="CH356" i="515"/>
  <c r="CH363" i="515" s="1"/>
  <c r="CH162" i="515"/>
  <c r="BR140" i="515"/>
  <c r="BR194" i="515"/>
  <c r="BR134" i="515"/>
  <c r="BR97" i="515"/>
  <c r="K178" i="123"/>
  <c r="L180" i="123"/>
  <c r="K180" i="123"/>
  <c r="F179" i="123"/>
  <c r="F184" i="123"/>
  <c r="CU440" i="515"/>
  <c r="CF442" i="515"/>
  <c r="CC353" i="515"/>
  <c r="V220" i="123"/>
  <c r="V192" i="123" s="1"/>
  <c r="F193" i="123"/>
  <c r="E193" i="123"/>
  <c r="CD410" i="515"/>
  <c r="CH410" i="515"/>
  <c r="CA410" i="515"/>
  <c r="CA412" i="515"/>
  <c r="BX353" i="515"/>
  <c r="BX350" i="515"/>
  <c r="BS353" i="515"/>
  <c r="BJ295" i="515"/>
  <c r="BN309" i="515" s="1"/>
  <c r="BJ304" i="515"/>
  <c r="CP318" i="515"/>
  <c r="CL309" i="515"/>
  <c r="BP271" i="515"/>
  <c r="BP268" i="515"/>
  <c r="BP276" i="515" s="1"/>
  <c r="K268" i="515"/>
  <c r="K276" i="515" s="1"/>
  <c r="L284" i="515" s="1"/>
  <c r="K271" i="515"/>
  <c r="K279" i="515" s="1"/>
  <c r="G267" i="515"/>
  <c r="G275" i="515" s="1"/>
  <c r="G268" i="515"/>
  <c r="G276" i="515" s="1"/>
  <c r="G284" i="515" s="1"/>
  <c r="C267" i="515"/>
  <c r="C275" i="515" s="1"/>
  <c r="C283" i="515" s="1"/>
  <c r="C269" i="515"/>
  <c r="C277" i="515" s="1"/>
  <c r="C271" i="515"/>
  <c r="C279" i="515" s="1"/>
  <c r="C272" i="515"/>
  <c r="C280" i="515" s="1"/>
  <c r="CF22" i="515"/>
  <c r="CF582" i="515"/>
  <c r="AR238" i="515"/>
  <c r="BO231" i="515"/>
  <c r="BK231" i="515"/>
  <c r="BK180" i="515"/>
  <c r="BS229" i="515"/>
  <c r="BO229" i="515"/>
  <c r="CK425" i="515"/>
  <c r="CD225" i="515"/>
  <c r="BZ225" i="515"/>
  <c r="BV424" i="515"/>
  <c r="BV226" i="515"/>
  <c r="BM243" i="515"/>
  <c r="BM272" i="515"/>
  <c r="BM280" i="515" s="1"/>
  <c r="BM288" i="515" s="1"/>
  <c r="BM223" i="515"/>
  <c r="BJ223" i="515"/>
  <c r="BF272" i="515"/>
  <c r="BF280" i="515" s="1"/>
  <c r="CF259" i="515"/>
  <c r="CJ222" i="515"/>
  <c r="DC217" i="515"/>
  <c r="CM217" i="515"/>
  <c r="CM247" i="515"/>
  <c r="CX246" i="515"/>
  <c r="CX439" i="515"/>
  <c r="CV216" i="515"/>
  <c r="CR246" i="515"/>
  <c r="CR439" i="515"/>
  <c r="CR216" i="515"/>
  <c r="CN216" i="515"/>
  <c r="CN246" i="515"/>
  <c r="CN439" i="515"/>
  <c r="CJ439" i="515"/>
  <c r="CJ246" i="515"/>
  <c r="CJ216" i="515"/>
  <c r="CF216" i="515"/>
  <c r="CF246" i="515"/>
  <c r="BX246" i="515"/>
  <c r="BX439" i="515"/>
  <c r="BX440" i="515" s="1"/>
  <c r="CG214" i="515"/>
  <c r="CK214" i="515"/>
  <c r="CG537" i="515"/>
  <c r="CG215" i="515"/>
  <c r="CC214" i="515"/>
  <c r="CC537" i="515"/>
  <c r="CC538" i="515" s="1"/>
  <c r="CC539" i="515" s="1"/>
  <c r="CC215" i="515"/>
  <c r="BY215" i="515"/>
  <c r="BY245" i="515"/>
  <c r="BY537" i="515"/>
  <c r="BY166" i="515"/>
  <c r="CG213" i="515"/>
  <c r="CG244" i="515"/>
  <c r="CG358" i="515"/>
  <c r="BX357" i="515"/>
  <c r="BX364" i="515" s="1"/>
  <c r="BX372" i="515" s="1"/>
  <c r="BX213" i="515"/>
  <c r="BX358" i="515"/>
  <c r="M163" i="515"/>
  <c r="CY346" i="515"/>
  <c r="CY348" i="515" s="1"/>
  <c r="CY356" i="515"/>
  <c r="CY363" i="515" s="1"/>
  <c r="CY162" i="515"/>
  <c r="DC213" i="515" s="1"/>
  <c r="CY145" i="515"/>
  <c r="CY140" i="515"/>
  <c r="CY8" i="515" s="1"/>
  <c r="CY11" i="515" s="1"/>
  <c r="CT162" i="515"/>
  <c r="CT356" i="515"/>
  <c r="CT363" i="515" s="1"/>
  <c r="CT140" i="515"/>
  <c r="CT8" i="515" s="1"/>
  <c r="CT11" i="515" s="1"/>
  <c r="CT346" i="515"/>
  <c r="CT348" i="515" s="1"/>
  <c r="CO346" i="515"/>
  <c r="CO356" i="515"/>
  <c r="CO363" i="515" s="1"/>
  <c r="CJ346" i="515"/>
  <c r="CJ348" i="515" s="1"/>
  <c r="CJ356" i="515"/>
  <c r="CJ363" i="515" s="1"/>
  <c r="M162" i="515"/>
  <c r="M356" i="515"/>
  <c r="M363" i="515" s="1"/>
  <c r="CS144" i="515"/>
  <c r="CS128" i="515"/>
  <c r="CG140" i="515"/>
  <c r="CG194" i="515"/>
  <c r="BY97" i="515"/>
  <c r="BY296" i="515"/>
  <c r="BR295" i="515"/>
  <c r="BV310" i="515"/>
  <c r="BV317" i="515" s="1"/>
  <c r="BV323" i="515" s="1"/>
  <c r="Q144" i="123"/>
  <c r="P147" i="123"/>
  <c r="M144" i="123"/>
  <c r="K159" i="123"/>
  <c r="D75" i="123"/>
  <c r="D46" i="123"/>
  <c r="I204" i="123"/>
  <c r="O32" i="123"/>
  <c r="P99" i="123" s="1"/>
  <c r="BZ457" i="515"/>
  <c r="CB457" i="515"/>
  <c r="I446" i="515"/>
  <c r="H462" i="515"/>
  <c r="CY434" i="515"/>
  <c r="DC435" i="515" s="1"/>
  <c r="CU438" i="515"/>
  <c r="CE425" i="515"/>
  <c r="BR386" i="515"/>
  <c r="CG300" i="515"/>
  <c r="CK302" i="515"/>
  <c r="BX271" i="515"/>
  <c r="BX279" i="515" s="1"/>
  <c r="CT283" i="515"/>
  <c r="CY253" i="515"/>
  <c r="BE186" i="515"/>
  <c r="BE236" i="515"/>
  <c r="AW232" i="515"/>
  <c r="CS247" i="515"/>
  <c r="BC180" i="515"/>
  <c r="BC272" i="515"/>
  <c r="BC280" i="515" s="1"/>
  <c r="BC223" i="515"/>
  <c r="CJ217" i="515"/>
  <c r="CJ247" i="515"/>
  <c r="CC166" i="515"/>
  <c r="CC219" i="515"/>
  <c r="CZ537" i="515"/>
  <c r="CZ538" i="515" s="1"/>
  <c r="CZ539" i="515" s="1"/>
  <c r="CD533" i="515"/>
  <c r="BZ212" i="515"/>
  <c r="BZ533" i="515"/>
  <c r="BZ534" i="515" s="1"/>
  <c r="BZ535" i="515" s="1"/>
  <c r="BK149" i="515"/>
  <c r="BK268" i="515" s="1"/>
  <c r="BK276" i="515" s="1"/>
  <c r="BK533" i="515"/>
  <c r="AO269" i="515"/>
  <c r="AO277" i="515" s="1"/>
  <c r="AO285" i="515" s="1"/>
  <c r="AO149" i="515"/>
  <c r="AO268" i="515" s="1"/>
  <c r="AO276" i="515" s="1"/>
  <c r="CN154" i="515"/>
  <c r="CN9" i="515" s="1"/>
  <c r="CN157" i="515"/>
  <c r="AM139" i="515"/>
  <c r="AM205" i="515"/>
  <c r="BM97" i="515"/>
  <c r="BQ97" i="515"/>
  <c r="AO97" i="515"/>
  <c r="AL97" i="515"/>
  <c r="F483" i="515"/>
  <c r="F486" i="515" s="1"/>
  <c r="E484" i="515"/>
  <c r="BM238" i="515"/>
  <c r="N69" i="123"/>
  <c r="K69" i="123"/>
  <c r="CX160" i="515"/>
  <c r="CF457" i="515"/>
  <c r="O447" i="515"/>
  <c r="O452" i="515" s="1"/>
  <c r="O462" i="515"/>
  <c r="CD437" i="515"/>
  <c r="CD438" i="515"/>
  <c r="CD434" i="515"/>
  <c r="CT410" i="515"/>
  <c r="CQ410" i="515"/>
  <c r="CZ312" i="515"/>
  <c r="CD311" i="515"/>
  <c r="CM271" i="515"/>
  <c r="CU253" i="515"/>
  <c r="BG231" i="515"/>
  <c r="BG180" i="515"/>
  <c r="K177" i="515"/>
  <c r="BU247" i="515"/>
  <c r="L186" i="123"/>
  <c r="F247" i="515"/>
  <c r="F229" i="515"/>
  <c r="BW272" i="515"/>
  <c r="BW223" i="515"/>
  <c r="AT223" i="515"/>
  <c r="AX223" i="515"/>
  <c r="AT272" i="515"/>
  <c r="AT280" i="515" s="1"/>
  <c r="AT180" i="515"/>
  <c r="AT187" i="515" s="1"/>
  <c r="CB217" i="515"/>
  <c r="BX217" i="515"/>
  <c r="BM149" i="515"/>
  <c r="BM268" i="515" s="1"/>
  <c r="BM276" i="515" s="1"/>
  <c r="BM269" i="515"/>
  <c r="BM533" i="515"/>
  <c r="BM534" i="515" s="1"/>
  <c r="BM535" i="515" s="1"/>
  <c r="BR347" i="515"/>
  <c r="BR348" i="515" s="1"/>
  <c r="BR149" i="515"/>
  <c r="L162" i="515"/>
  <c r="L347" i="515"/>
  <c r="L348" i="515" s="1"/>
  <c r="CO150" i="515"/>
  <c r="CO257" i="515"/>
  <c r="AJ207" i="515"/>
  <c r="BQ161" i="515"/>
  <c r="BQ243" i="515" s="1"/>
  <c r="BQ154" i="515"/>
  <c r="F78" i="123"/>
  <c r="C484" i="515"/>
  <c r="C486" i="515" s="1"/>
  <c r="J168" i="123"/>
  <c r="J169" i="123" s="1"/>
  <c r="J30" i="123"/>
  <c r="J113" i="123" s="1"/>
  <c r="BZ439" i="515"/>
  <c r="BZ437" i="515"/>
  <c r="BZ438" i="515"/>
  <c r="CU410" i="515"/>
  <c r="CC410" i="515"/>
  <c r="R409" i="515"/>
  <c r="S410" i="515" s="1"/>
  <c r="CM309" i="515"/>
  <c r="BO22" i="515"/>
  <c r="BO582" i="515"/>
  <c r="AK187" i="515"/>
  <c r="Q228" i="515"/>
  <c r="CF223" i="515"/>
  <c r="BU223" i="515"/>
  <c r="BQ272" i="515"/>
  <c r="BQ280" i="515" s="1"/>
  <c r="CW247" i="515"/>
  <c r="CW216" i="515"/>
  <c r="CW246" i="515"/>
  <c r="CT216" i="515"/>
  <c r="CU245" i="515"/>
  <c r="CU537" i="515"/>
  <c r="CM212" i="515"/>
  <c r="CM269" i="515"/>
  <c r="CH212" i="515"/>
  <c r="CH533" i="515"/>
  <c r="AR149" i="515"/>
  <c r="AR268" i="515" s="1"/>
  <c r="AR276" i="515" s="1"/>
  <c r="AR243" i="515"/>
  <c r="AR533" i="515"/>
  <c r="AD243" i="515"/>
  <c r="AD533" i="515"/>
  <c r="BK201" i="515"/>
  <c r="CR346" i="515"/>
  <c r="CR348" i="515" s="1"/>
  <c r="CR356" i="515"/>
  <c r="CR363" i="515" s="1"/>
  <c r="CR371" i="515" s="1"/>
  <c r="CJ97" i="515"/>
  <c r="BS97" i="515"/>
  <c r="BS296" i="515"/>
  <c r="AP97" i="515"/>
  <c r="S75" i="3"/>
  <c r="M169" i="123"/>
  <c r="O177" i="123"/>
  <c r="O54" i="123"/>
  <c r="O199" i="123" s="1"/>
  <c r="N173" i="123"/>
  <c r="N179" i="123" s="1"/>
  <c r="N203" i="123"/>
  <c r="N204" i="123" s="1"/>
  <c r="D26" i="123"/>
  <c r="D32" i="123" s="1"/>
  <c r="E99" i="123" s="1"/>
  <c r="L12" i="3"/>
  <c r="M152" i="123"/>
  <c r="CS425" i="515"/>
  <c r="CE410" i="515"/>
  <c r="CN312" i="515"/>
  <c r="CL311" i="515"/>
  <c r="CT309" i="515"/>
  <c r="CK309" i="515"/>
  <c r="AW288" i="515"/>
  <c r="BW287" i="515"/>
  <c r="BS267" i="515"/>
  <c r="BS275" i="515" s="1"/>
  <c r="E187" i="515"/>
  <c r="BD186" i="515"/>
  <c r="BH238" i="515" s="1"/>
  <c r="BB232" i="515"/>
  <c r="BR229" i="515"/>
  <c r="BN229" i="515"/>
  <c r="BR244" i="515"/>
  <c r="BR352" i="515"/>
  <c r="BV223" i="515"/>
  <c r="BV243" i="515"/>
  <c r="BE223" i="515"/>
  <c r="CU217" i="515"/>
  <c r="CN217" i="515"/>
  <c r="CN247" i="515"/>
  <c r="CB213" i="515"/>
  <c r="CB357" i="515"/>
  <c r="CB364" i="515" s="1"/>
  <c r="CU168" i="515"/>
  <c r="CU533" i="515"/>
  <c r="CE243" i="515"/>
  <c r="BL149" i="515"/>
  <c r="BL268" i="515" s="1"/>
  <c r="BL276" i="515" s="1"/>
  <c r="BL166" i="515"/>
  <c r="BL248" i="515" s="1"/>
  <c r="CX157" i="515"/>
  <c r="CX154" i="515"/>
  <c r="CX9" i="515" s="1"/>
  <c r="CX11" i="515" s="1"/>
  <c r="CL11" i="515"/>
  <c r="BI139" i="515"/>
  <c r="BM206" i="515"/>
  <c r="BB201" i="515"/>
  <c r="CE97" i="515"/>
  <c r="BO97" i="515"/>
  <c r="AZ97" i="515"/>
  <c r="AW97" i="515"/>
  <c r="AT97" i="515"/>
  <c r="G93" i="515"/>
  <c r="V298" i="123"/>
  <c r="I170" i="123"/>
  <c r="E170" i="123"/>
  <c r="Q157" i="123"/>
  <c r="I67" i="123"/>
  <c r="I69" i="123" s="1"/>
  <c r="I71" i="123" s="1"/>
  <c r="CW410" i="515"/>
  <c r="CO410" i="515"/>
  <c r="CG410" i="515"/>
  <c r="CM312" i="515"/>
  <c r="CA331" i="515"/>
  <c r="CZ311" i="515"/>
  <c r="CR309" i="515"/>
  <c r="CO309" i="515"/>
  <c r="CX253" i="515"/>
  <c r="CS253" i="515"/>
  <c r="AU232" i="515"/>
  <c r="BY246" i="515"/>
  <c r="CL214" i="515"/>
  <c r="BV244" i="515"/>
  <c r="AT207" i="515"/>
  <c r="AU207" i="515"/>
  <c r="BO201" i="515"/>
  <c r="AJ201" i="515"/>
  <c r="BF97" i="515"/>
  <c r="AU97" i="515"/>
  <c r="AJ97" i="515"/>
  <c r="J180" i="123"/>
  <c r="G157" i="123"/>
  <c r="Q114" i="123"/>
  <c r="Q115" i="123" s="1"/>
  <c r="I115" i="123"/>
  <c r="E46" i="123"/>
  <c r="E58" i="123" s="1"/>
  <c r="E69" i="123" s="1"/>
  <c r="E71" i="123" s="1"/>
  <c r="K483" i="515"/>
  <c r="K486" i="515" s="1"/>
  <c r="V114" i="123"/>
  <c r="V115" i="123" s="1"/>
  <c r="P58" i="123"/>
  <c r="P69" i="123" s="1"/>
  <c r="P71" i="123" s="1"/>
  <c r="J39" i="515"/>
  <c r="B39" i="515"/>
  <c r="AA39" i="123"/>
  <c r="E87" i="123"/>
  <c r="E88" i="123"/>
  <c r="M71" i="123"/>
  <c r="U36" i="123"/>
  <c r="U114" i="123" s="1"/>
  <c r="U115" i="123" s="1"/>
  <c r="S115" i="123"/>
  <c r="AF15" i="123"/>
  <c r="AD21" i="3"/>
  <c r="CD41" i="515"/>
  <c r="CD38" i="515"/>
  <c r="K373" i="515"/>
  <c r="AU17" i="515"/>
  <c r="AU107" i="515" s="1"/>
  <c r="H222" i="515"/>
  <c r="G222" i="515"/>
  <c r="P83" i="123"/>
  <c r="P105" i="123" s="1"/>
  <c r="P85" i="123"/>
  <c r="P92" i="123"/>
  <c r="BM14" i="515"/>
  <c r="BM106" i="515" s="1"/>
  <c r="N499" i="515"/>
  <c r="M492" i="515"/>
  <c r="U51" i="123"/>
  <c r="V51" i="123" s="1"/>
  <c r="W51" i="123" s="1"/>
  <c r="X51" i="123" s="1"/>
  <c r="Y51" i="123" s="1"/>
  <c r="Z51" i="123" s="1"/>
  <c r="AA51" i="123" s="1"/>
  <c r="AB51" i="123" s="1"/>
  <c r="AC51" i="123" s="1"/>
  <c r="AD51" i="123" s="1"/>
  <c r="AE51" i="123" s="1"/>
  <c r="AF51" i="123" s="1"/>
  <c r="AG51" i="123" s="1"/>
  <c r="BV442" i="515"/>
  <c r="BV440" i="515"/>
  <c r="AV285" i="515"/>
  <c r="AR285" i="515"/>
  <c r="CD372" i="515"/>
  <c r="BJ248" i="515"/>
  <c r="BN239" i="515"/>
  <c r="BJ239" i="515"/>
  <c r="BJ22" i="515"/>
  <c r="AD43" i="123"/>
  <c r="V99" i="123"/>
  <c r="BQ19" i="515"/>
  <c r="BU100" i="515"/>
  <c r="K222" i="515"/>
  <c r="J242" i="515"/>
  <c r="J222" i="515"/>
  <c r="AC21" i="3"/>
  <c r="K531" i="515"/>
  <c r="G114" i="515"/>
  <c r="CS41" i="515"/>
  <c r="CS38" i="515"/>
  <c r="CS45" i="515"/>
  <c r="M101" i="515"/>
  <c r="M114" i="515"/>
  <c r="W176" i="515"/>
  <c r="E285" i="515"/>
  <c r="R92" i="123"/>
  <c r="CV372" i="515"/>
  <c r="S226" i="123"/>
  <c r="T225" i="123" s="1"/>
  <c r="N101" i="515"/>
  <c r="K277" i="515"/>
  <c r="K270" i="515"/>
  <c r="K278" i="515" s="1"/>
  <c r="BH533" i="515"/>
  <c r="L117" i="515"/>
  <c r="L118" i="515" s="1"/>
  <c r="L115" i="515"/>
  <c r="BQ582" i="515"/>
  <c r="K243" i="515"/>
  <c r="CK372" i="515"/>
  <c r="CN422" i="515"/>
  <c r="AZ22" i="515"/>
  <c r="BP288" i="515"/>
  <c r="BT288" i="515"/>
  <c r="I284" i="515"/>
  <c r="CZ284" i="515"/>
  <c r="CZ283" i="515"/>
  <c r="CU285" i="515"/>
  <c r="CP425" i="515"/>
  <c r="CL425" i="515"/>
  <c r="CF413" i="515"/>
  <c r="CC323" i="515"/>
  <c r="CG324" i="515" s="1"/>
  <c r="CG318" i="515" s="1"/>
  <c r="CG315" i="515" s="1"/>
  <c r="CG321" i="515" s="1"/>
  <c r="CK322" i="515" s="1"/>
  <c r="CK316" i="515" s="1"/>
  <c r="CD398" i="515"/>
  <c r="CD399" i="515" s="1"/>
  <c r="AP288" i="515"/>
  <c r="R480" i="515"/>
  <c r="CI434" i="515"/>
  <c r="CI425" i="515"/>
  <c r="AM288" i="515"/>
  <c r="BK287" i="515"/>
  <c r="BT252" i="515"/>
  <c r="BX253" i="515" s="1"/>
  <c r="CE269" i="515"/>
  <c r="CY267" i="515"/>
  <c r="CY275" i="515" s="1"/>
  <c r="CY283" i="515" s="1"/>
  <c r="CC246" i="515"/>
  <c r="CB244" i="515"/>
  <c r="AX238" i="515"/>
  <c r="BI236" i="515"/>
  <c r="AR236" i="515"/>
  <c r="AY232" i="515"/>
  <c r="AK232" i="515"/>
  <c r="CY229" i="515"/>
  <c r="BZ223" i="515"/>
  <c r="CE212" i="515"/>
  <c r="AQ207" i="515"/>
  <c r="BD237" i="515"/>
  <c r="AM180" i="515"/>
  <c r="CE214" i="515"/>
  <c r="CH157" i="515"/>
  <c r="CH154" i="515"/>
  <c r="CH9" i="515" s="1"/>
  <c r="CI140" i="515"/>
  <c r="CI8" i="515" s="1"/>
  <c r="AX207" i="515"/>
  <c r="P164" i="515"/>
  <c r="O163" i="515"/>
  <c r="CR145" i="515"/>
  <c r="CR140" i="515"/>
  <c r="CR8" i="515" s="1"/>
  <c r="CR11" i="515" s="1"/>
  <c r="CC97" i="515"/>
  <c r="BJ97" i="515"/>
  <c r="AR97" i="515"/>
  <c r="CZ297" i="515"/>
  <c r="CE272" i="515"/>
  <c r="CE280" i="515" s="1"/>
  <c r="CE288" i="515" s="1"/>
  <c r="CE268" i="515"/>
  <c r="CE276" i="515" s="1"/>
  <c r="CA267" i="515"/>
  <c r="CA275" i="515" s="1"/>
  <c r="CG267" i="515"/>
  <c r="CG275" i="515" s="1"/>
  <c r="CP214" i="515"/>
  <c r="BZ187" i="515"/>
  <c r="CI212" i="515"/>
  <c r="AW149" i="515"/>
  <c r="AW268" i="515" s="1"/>
  <c r="AW276" i="515" s="1"/>
  <c r="AN205" i="515"/>
  <c r="AN139" i="515"/>
  <c r="BI201" i="515"/>
  <c r="BE201" i="515"/>
  <c r="R163" i="515"/>
  <c r="BX97" i="515"/>
  <c r="BT97" i="515"/>
  <c r="AL139" i="515"/>
  <c r="AL206" i="515"/>
  <c r="CG161" i="515"/>
  <c r="CG126" i="515"/>
  <c r="CG256" i="515" s="1"/>
  <c r="CG134" i="515"/>
  <c r="M144" i="515"/>
  <c r="M161" i="515"/>
  <c r="M134" i="515"/>
  <c r="BZ97" i="515"/>
  <c r="BV97" i="515"/>
  <c r="BA97" i="515"/>
  <c r="CY268" i="515"/>
  <c r="CY276" i="515" s="1"/>
  <c r="CY247" i="515"/>
  <c r="CL245" i="515"/>
  <c r="BK243" i="515"/>
  <c r="BF223" i="515"/>
  <c r="BK166" i="515"/>
  <c r="BV11" i="515"/>
  <c r="BV534" i="515" s="1"/>
  <c r="BV535" i="515" s="1"/>
  <c r="AU201" i="515"/>
  <c r="AQ201" i="515"/>
  <c r="BH97" i="515"/>
  <c r="DE416" i="515" l="1"/>
  <c r="DE418" i="515"/>
  <c r="T416" i="515"/>
  <c r="T418" i="515"/>
  <c r="T295" i="515"/>
  <c r="T309" i="515" s="1"/>
  <c r="CP371" i="515"/>
  <c r="S311" i="515"/>
  <c r="T311" i="515"/>
  <c r="T229" i="515"/>
  <c r="X186" i="123"/>
  <c r="AY149" i="515"/>
  <c r="AY268" i="515" s="1"/>
  <c r="AY276" i="515" s="1"/>
  <c r="AY269" i="515"/>
  <c r="AY277" i="515" s="1"/>
  <c r="AY285" i="515" s="1"/>
  <c r="BH149" i="515"/>
  <c r="BH268" i="515" s="1"/>
  <c r="BH276" i="515" s="1"/>
  <c r="AY533" i="515"/>
  <c r="BF243" i="515"/>
  <c r="P127" i="123"/>
  <c r="P98" i="123"/>
  <c r="K98" i="515"/>
  <c r="P160" i="123"/>
  <c r="K525" i="515"/>
  <c r="E248" i="515"/>
  <c r="K528" i="515"/>
  <c r="K218" i="515"/>
  <c r="K534" i="515"/>
  <c r="K535" i="515" s="1"/>
  <c r="AJ208" i="515"/>
  <c r="AJ166" i="515"/>
  <c r="AJ248" i="515" s="1"/>
  <c r="BB8" i="515"/>
  <c r="BK16" i="515"/>
  <c r="BO99" i="515" s="1"/>
  <c r="BK534" i="515"/>
  <c r="BK535" i="515" s="1"/>
  <c r="BB166" i="515"/>
  <c r="BB248" i="515" s="1"/>
  <c r="AV17" i="515"/>
  <c r="AV107" i="515" s="1"/>
  <c r="AV14" i="515"/>
  <c r="AV106" i="515" s="1"/>
  <c r="AV20" i="515"/>
  <c r="AV108" i="515" s="1"/>
  <c r="AO11" i="515"/>
  <c r="AO23" i="515"/>
  <c r="AO109" i="515" s="1"/>
  <c r="AK8" i="515"/>
  <c r="AK11" i="515" s="1"/>
  <c r="AK208" i="515"/>
  <c r="AK166" i="515"/>
  <c r="DD284" i="515"/>
  <c r="G287" i="515"/>
  <c r="CV283" i="515"/>
  <c r="DA174" i="515"/>
  <c r="C108" i="515"/>
  <c r="AX108" i="515"/>
  <c r="BC107" i="515"/>
  <c r="DD416" i="515"/>
  <c r="DD418" i="515"/>
  <c r="BT28" i="515"/>
  <c r="CF107" i="515"/>
  <c r="BO107" i="515"/>
  <c r="AU108" i="515"/>
  <c r="AT108" i="515"/>
  <c r="BG107" i="515"/>
  <c r="AW35" i="515"/>
  <c r="AW45" i="515" s="1"/>
  <c r="AW47" i="515" s="1"/>
  <c r="C107" i="515"/>
  <c r="CB20" i="515"/>
  <c r="CB107" i="515"/>
  <c r="C284" i="515"/>
  <c r="BH243" i="515"/>
  <c r="CD45" i="515"/>
  <c r="K284" i="515"/>
  <c r="DB97" i="515"/>
  <c r="M371" i="515"/>
  <c r="CV284" i="515"/>
  <c r="AS208" i="515"/>
  <c r="BZ368" i="515"/>
  <c r="AZ166" i="515"/>
  <c r="AZ248" i="515" s="1"/>
  <c r="D35" i="515"/>
  <c r="AF45" i="515"/>
  <c r="AR101" i="515"/>
  <c r="AF38" i="515"/>
  <c r="AN41" i="515"/>
  <c r="AX14" i="515"/>
  <c r="AX106" i="515" s="1"/>
  <c r="H450" i="515"/>
  <c r="CP285" i="515"/>
  <c r="K242" i="515"/>
  <c r="K353" i="515"/>
  <c r="CR372" i="515"/>
  <c r="CE107" i="515"/>
  <c r="BQ239" i="515"/>
  <c r="AX98" i="515"/>
  <c r="BA239" i="515"/>
  <c r="CA218" i="515"/>
  <c r="BM107" i="515"/>
  <c r="BZ413" i="515"/>
  <c r="CZ285" i="515"/>
  <c r="CD366" i="515"/>
  <c r="CD374" i="515" s="1"/>
  <c r="G288" i="515"/>
  <c r="DH276" i="515"/>
  <c r="DH268" i="515" s="1"/>
  <c r="BZ107" i="515"/>
  <c r="DA272" i="515"/>
  <c r="DA280" i="515" s="1"/>
  <c r="BN285" i="515"/>
  <c r="F35" i="515"/>
  <c r="F114" i="515" s="1"/>
  <c r="I89" i="123" s="1"/>
  <c r="L412" i="515"/>
  <c r="DD283" i="515"/>
  <c r="L425" i="515"/>
  <c r="M425" i="515"/>
  <c r="C37" i="515"/>
  <c r="C114" i="515"/>
  <c r="BX20" i="515"/>
  <c r="DD279" i="515"/>
  <c r="DD287" i="515"/>
  <c r="DD280" i="515"/>
  <c r="DD277" i="515"/>
  <c r="DD285" i="515" s="1"/>
  <c r="DD270" i="515"/>
  <c r="DI296" i="515"/>
  <c r="DI263" i="515" s="1"/>
  <c r="CY371" i="515"/>
  <c r="DC371" i="515"/>
  <c r="DB416" i="515"/>
  <c r="DB418" i="515"/>
  <c r="X187" i="123"/>
  <c r="CZ357" i="515"/>
  <c r="CZ364" i="515" s="1"/>
  <c r="CO440" i="515"/>
  <c r="CX435" i="515"/>
  <c r="AX22" i="515"/>
  <c r="BB239" i="515"/>
  <c r="CW272" i="515"/>
  <c r="CW280" i="515" s="1"/>
  <c r="CW174" i="515"/>
  <c r="DC416" i="515"/>
  <c r="DC418" i="515"/>
  <c r="DH252" i="515"/>
  <c r="DH253" i="515" s="1"/>
  <c r="DH263" i="515"/>
  <c r="DH96" i="515"/>
  <c r="DH97" i="515" s="1"/>
  <c r="DC271" i="515"/>
  <c r="DC268" i="515"/>
  <c r="DC276" i="515" s="1"/>
  <c r="DC267" i="515"/>
  <c r="DC275" i="515" s="1"/>
  <c r="DC283" i="515" s="1"/>
  <c r="DC272" i="515"/>
  <c r="DC269" i="515"/>
  <c r="G101" i="515"/>
  <c r="E486" i="515"/>
  <c r="DG96" i="515"/>
  <c r="DG97" i="515" s="1"/>
  <c r="DG263" i="515"/>
  <c r="DG295" i="515"/>
  <c r="DG309" i="515" s="1"/>
  <c r="DG384" i="515"/>
  <c r="DG129" i="515"/>
  <c r="DG253" i="515"/>
  <c r="DH309" i="515"/>
  <c r="V291" i="515"/>
  <c r="W291" i="515" s="1"/>
  <c r="X291" i="515" s="1"/>
  <c r="Y291" i="515" s="1"/>
  <c r="Z291" i="515" s="1"/>
  <c r="AA291" i="515" s="1"/>
  <c r="AB291" i="515" s="1"/>
  <c r="DI291" i="515"/>
  <c r="DI305" i="515" s="1"/>
  <c r="DC229" i="515"/>
  <c r="M83" i="123"/>
  <c r="M105" i="123" s="1"/>
  <c r="M84" i="123"/>
  <c r="M85" i="123" s="1"/>
  <c r="R69" i="123"/>
  <c r="R71" i="123" s="1"/>
  <c r="R34" i="123"/>
  <c r="DH448" i="515"/>
  <c r="DG447" i="515"/>
  <c r="DG452" i="515" s="1"/>
  <c r="DB271" i="515"/>
  <c r="DB268" i="515"/>
  <c r="DB276" i="515" s="1"/>
  <c r="DB284" i="515" s="1"/>
  <c r="DF309" i="515"/>
  <c r="DE305" i="515"/>
  <c r="DG229" i="515"/>
  <c r="BG232" i="515"/>
  <c r="CN413" i="515"/>
  <c r="CX416" i="515"/>
  <c r="Q97" i="515"/>
  <c r="CZ435" i="515"/>
  <c r="CX365" i="515"/>
  <c r="S421" i="515"/>
  <c r="S425" i="515"/>
  <c r="S397" i="515"/>
  <c r="U397" i="515" s="1"/>
  <c r="DF397" i="515" s="1"/>
  <c r="DG397" i="515" s="1"/>
  <c r="DH397" i="515" s="1"/>
  <c r="S399" i="515"/>
  <c r="CY435" i="515"/>
  <c r="S356" i="515"/>
  <c r="S363" i="515" s="1"/>
  <c r="S346" i="515"/>
  <c r="S348" i="515" s="1"/>
  <c r="S312" i="515"/>
  <c r="DA421" i="515"/>
  <c r="DA419" i="515"/>
  <c r="Q453" i="515"/>
  <c r="Q463" i="515" s="1"/>
  <c r="Q456" i="515"/>
  <c r="Q457" i="515" s="1"/>
  <c r="E51" i="3"/>
  <c r="S450" i="515"/>
  <c r="S453" i="515" s="1"/>
  <c r="R456" i="515"/>
  <c r="R453" i="515"/>
  <c r="T57" i="3"/>
  <c r="T45" i="3"/>
  <c r="S48" i="3"/>
  <c r="I479" i="515"/>
  <c r="T73" i="3"/>
  <c r="DA276" i="515"/>
  <c r="DA284" i="515" s="1"/>
  <c r="DA275" i="515"/>
  <c r="DA288" i="515"/>
  <c r="DA270" i="515"/>
  <c r="DA278" i="515" s="1"/>
  <c r="DA287" i="515"/>
  <c r="CK157" i="515"/>
  <c r="BM248" i="515"/>
  <c r="AH208" i="515"/>
  <c r="CG101" i="515"/>
  <c r="H100" i="515"/>
  <c r="CH413" i="515"/>
  <c r="CH418" i="515"/>
  <c r="CH419" i="515" s="1"/>
  <c r="Q312" i="515"/>
  <c r="G239" i="515"/>
  <c r="BU45" i="515"/>
  <c r="CK162" i="515"/>
  <c r="AD166" i="515"/>
  <c r="AD248" i="515" s="1"/>
  <c r="BB243" i="515"/>
  <c r="BM22" i="515"/>
  <c r="CI371" i="515"/>
  <c r="AI35" i="515"/>
  <c r="CU11" i="515"/>
  <c r="CU534" i="515" s="1"/>
  <c r="CU535" i="515" s="1"/>
  <c r="CK347" i="515"/>
  <c r="BF45" i="515"/>
  <c r="CG41" i="515"/>
  <c r="DB156" i="515"/>
  <c r="P437" i="515"/>
  <c r="P438" i="515"/>
  <c r="P441" i="515"/>
  <c r="Q434" i="515"/>
  <c r="DA309" i="515"/>
  <c r="BW534" i="515"/>
  <c r="BW535" i="515" s="1"/>
  <c r="BW538" i="515"/>
  <c r="BW539" i="515" s="1"/>
  <c r="BW23" i="515"/>
  <c r="BW109" i="515" s="1"/>
  <c r="BW14" i="515"/>
  <c r="BW106" i="515" s="1"/>
  <c r="CX418" i="515"/>
  <c r="CX413" i="515"/>
  <c r="U26" i="515"/>
  <c r="AL239" i="515"/>
  <c r="AP239" i="515"/>
  <c r="AL22" i="515"/>
  <c r="BQ23" i="515"/>
  <c r="BQ109" i="515" s="1"/>
  <c r="CW287" i="515"/>
  <c r="CQ413" i="515"/>
  <c r="F270" i="515"/>
  <c r="F278" i="515" s="1"/>
  <c r="F286" i="515" s="1"/>
  <c r="AW239" i="515"/>
  <c r="CC110" i="515"/>
  <c r="CB242" i="515"/>
  <c r="BW442" i="515"/>
  <c r="CM442" i="515"/>
  <c r="Q267" i="515"/>
  <c r="Q275" i="515" s="1"/>
  <c r="Q283" i="515" s="1"/>
  <c r="R97" i="515"/>
  <c r="Q268" i="515"/>
  <c r="Q276" i="515" s="1"/>
  <c r="CO442" i="515"/>
  <c r="CV440" i="515"/>
  <c r="CJ16" i="515"/>
  <c r="CJ11" i="515"/>
  <c r="BW19" i="515"/>
  <c r="BW17" i="515"/>
  <c r="CD419" i="515"/>
  <c r="CD421" i="515"/>
  <c r="BA11" i="515"/>
  <c r="BA16" i="515"/>
  <c r="BK14" i="515"/>
  <c r="BK106" i="515" s="1"/>
  <c r="BK98" i="515"/>
  <c r="CN419" i="515"/>
  <c r="CB368" i="515"/>
  <c r="CB366" i="515"/>
  <c r="H284" i="515"/>
  <c r="CQ348" i="515"/>
  <c r="Q287" i="515"/>
  <c r="R287" i="515"/>
  <c r="BW98" i="515"/>
  <c r="Q413" i="515"/>
  <c r="CZ287" i="515"/>
  <c r="BV416" i="515"/>
  <c r="BW415" i="515"/>
  <c r="BZ416" i="515"/>
  <c r="CU258" i="515"/>
  <c r="CU242" i="515"/>
  <c r="Q285" i="515"/>
  <c r="CC270" i="515"/>
  <c r="CC278" i="515" s="1"/>
  <c r="CC277" i="515"/>
  <c r="O397" i="515"/>
  <c r="O399" i="515"/>
  <c r="O400" i="515" s="1"/>
  <c r="AX269" i="515"/>
  <c r="AX277" i="515" s="1"/>
  <c r="AX285" i="515" s="1"/>
  <c r="AX149" i="515"/>
  <c r="AX268" i="515" s="1"/>
  <c r="AX276" i="515" s="1"/>
  <c r="AX533" i="515"/>
  <c r="AX534" i="515" s="1"/>
  <c r="AX535" i="515" s="1"/>
  <c r="AX243" i="515"/>
  <c r="G270" i="515"/>
  <c r="G278" i="515" s="1"/>
  <c r="H286" i="515" s="1"/>
  <c r="G277" i="515"/>
  <c r="P425" i="515"/>
  <c r="M271" i="515"/>
  <c r="M279" i="515" s="1"/>
  <c r="M287" i="515" s="1"/>
  <c r="M267" i="515"/>
  <c r="M275" i="515" s="1"/>
  <c r="M283" i="515" s="1"/>
  <c r="M268" i="515"/>
  <c r="M276" i="515" s="1"/>
  <c r="M284" i="515" s="1"/>
  <c r="M272" i="515"/>
  <c r="M280" i="515" s="1"/>
  <c r="M288" i="515" s="1"/>
  <c r="M97" i="515"/>
  <c r="BY538" i="515"/>
  <c r="BY539" i="515" s="1"/>
  <c r="CB211" i="515"/>
  <c r="N271" i="515"/>
  <c r="N279" i="515" s="1"/>
  <c r="N268" i="515"/>
  <c r="N276" i="515" s="1"/>
  <c r="N97" i="515"/>
  <c r="O97" i="515"/>
  <c r="N267" i="515"/>
  <c r="N275" i="515" s="1"/>
  <c r="N272" i="515"/>
  <c r="N280" i="515" s="1"/>
  <c r="N288" i="515" s="1"/>
  <c r="AS11" i="515"/>
  <c r="AS16" i="515"/>
  <c r="BY270" i="515"/>
  <c r="BY278" i="515" s="1"/>
  <c r="BY277" i="515"/>
  <c r="BU11" i="515"/>
  <c r="BU16" i="515"/>
  <c r="N269" i="515"/>
  <c r="Y21" i="123"/>
  <c r="CL287" i="515"/>
  <c r="CK154" i="515"/>
  <c r="CK9" i="515" s="1"/>
  <c r="CU279" i="515"/>
  <c r="CU287" i="515"/>
  <c r="CY287" i="515"/>
  <c r="CQ166" i="515"/>
  <c r="CU218" i="515" s="1"/>
  <c r="AD22" i="515"/>
  <c r="AH239" i="515"/>
  <c r="CV413" i="515"/>
  <c r="CR418" i="515"/>
  <c r="CR413" i="515"/>
  <c r="CA440" i="515"/>
  <c r="AQ22" i="515"/>
  <c r="AU239" i="515"/>
  <c r="AQ8" i="515"/>
  <c r="AQ166" i="515"/>
  <c r="AQ248" i="515" s="1"/>
  <c r="D98" i="515"/>
  <c r="D248" i="515"/>
  <c r="D11" i="515"/>
  <c r="D110" i="515" s="1"/>
  <c r="D218" i="515"/>
  <c r="CE440" i="515"/>
  <c r="CM440" i="515"/>
  <c r="BO35" i="515"/>
  <c r="BO28" i="515"/>
  <c r="CF19" i="515"/>
  <c r="CF35" i="515"/>
  <c r="CF28" i="515"/>
  <c r="BR37" i="515"/>
  <c r="BR38" i="515" s="1"/>
  <c r="BR101" i="515"/>
  <c r="CC19" i="515"/>
  <c r="CC17" i="515"/>
  <c r="P346" i="515"/>
  <c r="P142" i="515"/>
  <c r="P126" i="515"/>
  <c r="P145" i="515"/>
  <c r="G41" i="515"/>
  <c r="G45" i="515" s="1"/>
  <c r="G90" i="515" s="1"/>
  <c r="G91" i="515" s="1"/>
  <c r="I9" i="3" s="1"/>
  <c r="I25" i="3" s="1"/>
  <c r="D283" i="515"/>
  <c r="CV11" i="515"/>
  <c r="BS35" i="515"/>
  <c r="BS28" i="515"/>
  <c r="AS28" i="515"/>
  <c r="AS35" i="515"/>
  <c r="BN45" i="515"/>
  <c r="BN47" i="515" s="1"/>
  <c r="BB35" i="515"/>
  <c r="BB28" i="515"/>
  <c r="AW38" i="515"/>
  <c r="BQ17" i="515"/>
  <c r="BH35" i="515"/>
  <c r="BH28" i="515"/>
  <c r="BB533" i="515"/>
  <c r="BB149" i="515"/>
  <c r="BB268" i="515" s="1"/>
  <c r="BB276" i="515" s="1"/>
  <c r="CU97" i="515"/>
  <c r="CY97" i="515"/>
  <c r="CK346" i="515"/>
  <c r="CK348" i="515" s="1"/>
  <c r="CK356" i="515"/>
  <c r="CK363" i="515" s="1"/>
  <c r="CK371" i="515" s="1"/>
  <c r="O128" i="515"/>
  <c r="CK140" i="515"/>
  <c r="CK8" i="515" s="1"/>
  <c r="CZ358" i="515"/>
  <c r="CZ169" i="515"/>
  <c r="CZ166" i="515"/>
  <c r="CZ219" i="515"/>
  <c r="CZ160" i="515"/>
  <c r="CZ213" i="515"/>
  <c r="CI269" i="515"/>
  <c r="CI277" i="515" s="1"/>
  <c r="CI267" i="515"/>
  <c r="CI275" i="515" s="1"/>
  <c r="CI268" i="515"/>
  <c r="CI276" i="515" s="1"/>
  <c r="CI271" i="515"/>
  <c r="CI279" i="515" s="1"/>
  <c r="CI287" i="515" s="1"/>
  <c r="CW347" i="515"/>
  <c r="CW157" i="515"/>
  <c r="CW154" i="515"/>
  <c r="CW9" i="515" s="1"/>
  <c r="R150" i="515"/>
  <c r="CW357" i="515"/>
  <c r="CW364" i="515" s="1"/>
  <c r="DA372" i="515" s="1"/>
  <c r="CQ538" i="515"/>
  <c r="CQ539" i="515" s="1"/>
  <c r="CQ14" i="515"/>
  <c r="CQ106" i="515" s="1"/>
  <c r="CQ16" i="515"/>
  <c r="CQ17" i="515" s="1"/>
  <c r="BV419" i="515"/>
  <c r="BZ419" i="515"/>
  <c r="CB37" i="515"/>
  <c r="CB38" i="515" s="1"/>
  <c r="CB110" i="515"/>
  <c r="BL22" i="515"/>
  <c r="BL239" i="515"/>
  <c r="BP239" i="515"/>
  <c r="AR45" i="515"/>
  <c r="AR47" i="515" s="1"/>
  <c r="AR41" i="515"/>
  <c r="AR38" i="515"/>
  <c r="CI219" i="515"/>
  <c r="CE358" i="515"/>
  <c r="CE244" i="515"/>
  <c r="CE219" i="515"/>
  <c r="CE357" i="515"/>
  <c r="CE364" i="515" s="1"/>
  <c r="CE372" i="515" s="1"/>
  <c r="CE166" i="515"/>
  <c r="CE160" i="515"/>
  <c r="CL358" i="515"/>
  <c r="CL365" i="515" s="1"/>
  <c r="CL357" i="515"/>
  <c r="CL364" i="515" s="1"/>
  <c r="CP372" i="515" s="1"/>
  <c r="R183" i="123"/>
  <c r="R187" i="123" s="1"/>
  <c r="M217" i="515"/>
  <c r="M247" i="515"/>
  <c r="N217" i="515"/>
  <c r="S184" i="123"/>
  <c r="S187" i="123"/>
  <c r="CK533" i="515"/>
  <c r="CO212" i="515"/>
  <c r="CF218" i="515"/>
  <c r="CF248" i="515"/>
  <c r="CQ534" i="515"/>
  <c r="CQ535" i="515" s="1"/>
  <c r="BW359" i="515"/>
  <c r="BW365" i="515"/>
  <c r="CA372" i="515"/>
  <c r="CB218" i="515"/>
  <c r="CT442" i="515"/>
  <c r="AG28" i="515"/>
  <c r="AG35" i="515"/>
  <c r="AG23" i="515"/>
  <c r="AG109" i="515" s="1"/>
  <c r="AU35" i="515"/>
  <c r="AU28" i="515"/>
  <c r="BW110" i="515"/>
  <c r="BW37" i="515"/>
  <c r="BW45" i="515" s="1"/>
  <c r="BY28" i="515"/>
  <c r="BY35" i="515"/>
  <c r="BY100" i="515"/>
  <c r="CC100" i="515"/>
  <c r="N162" i="515"/>
  <c r="N357" i="515" s="1"/>
  <c r="N364" i="515" s="1"/>
  <c r="N126" i="515"/>
  <c r="N142" i="515"/>
  <c r="AH8" i="515"/>
  <c r="AH166" i="515"/>
  <c r="AH248" i="515" s="1"/>
  <c r="CS285" i="515"/>
  <c r="CS281" i="515"/>
  <c r="G38" i="515"/>
  <c r="BJ35" i="515"/>
  <c r="BJ28" i="515"/>
  <c r="AE35" i="515"/>
  <c r="AE28" i="515"/>
  <c r="P356" i="515"/>
  <c r="P363" i="515" s="1"/>
  <c r="N145" i="515"/>
  <c r="AN45" i="515"/>
  <c r="AN47" i="515" s="1"/>
  <c r="AR103" i="515" s="1"/>
  <c r="BM28" i="515"/>
  <c r="BM35" i="515"/>
  <c r="AV22" i="515"/>
  <c r="AZ239" i="515"/>
  <c r="BY23" i="515"/>
  <c r="BY109" i="515" s="1"/>
  <c r="BY534" i="515"/>
  <c r="BY535" i="515" s="1"/>
  <c r="BY14" i="515"/>
  <c r="BY106" i="515" s="1"/>
  <c r="BY98" i="515"/>
  <c r="AO110" i="515"/>
  <c r="AO38" i="515"/>
  <c r="AO41" i="515"/>
  <c r="AO45" i="515"/>
  <c r="O134" i="515"/>
  <c r="O126" i="515"/>
  <c r="O161" i="515"/>
  <c r="O144" i="515"/>
  <c r="O267" i="515"/>
  <c r="O275" i="515" s="1"/>
  <c r="O142" i="515"/>
  <c r="CQ357" i="515"/>
  <c r="CQ364" i="515" s="1"/>
  <c r="CQ372" i="515" s="1"/>
  <c r="CU213" i="515"/>
  <c r="CQ169" i="515"/>
  <c r="CQ358" i="515"/>
  <c r="CQ365" i="515" s="1"/>
  <c r="CU373" i="515" s="1"/>
  <c r="CQ213" i="515"/>
  <c r="CC14" i="515"/>
  <c r="CC106" i="515" s="1"/>
  <c r="CC98" i="515"/>
  <c r="CC23" i="515"/>
  <c r="CC109" i="515" s="1"/>
  <c r="CC534" i="515"/>
  <c r="CC535" i="515" s="1"/>
  <c r="CC366" i="515"/>
  <c r="CC374" i="515" s="1"/>
  <c r="CC368" i="515"/>
  <c r="CC373" i="515"/>
  <c r="N412" i="515"/>
  <c r="N418" i="515" s="1"/>
  <c r="N421" i="515" s="1"/>
  <c r="CI421" i="515"/>
  <c r="CI422" i="515" s="1"/>
  <c r="CI419" i="515"/>
  <c r="M183" i="123"/>
  <c r="M187" i="123" s="1"/>
  <c r="H217" i="515"/>
  <c r="H247" i="515"/>
  <c r="I217" i="515"/>
  <c r="CC101" i="515"/>
  <c r="L9" i="515"/>
  <c r="L166" i="515"/>
  <c r="O268" i="515"/>
  <c r="O276" i="515" s="1"/>
  <c r="CQ160" i="515"/>
  <c r="CD16" i="515"/>
  <c r="CD11" i="515"/>
  <c r="AH45" i="515"/>
  <c r="AH41" i="515"/>
  <c r="AH38" i="515"/>
  <c r="CS270" i="515"/>
  <c r="CS278" i="515" s="1"/>
  <c r="B22" i="515"/>
  <c r="B35" i="515" s="1"/>
  <c r="C100" i="515"/>
  <c r="C239" i="515"/>
  <c r="CI97" i="515"/>
  <c r="CM97" i="515"/>
  <c r="CF365" i="515"/>
  <c r="CF359" i="515"/>
  <c r="CC416" i="515"/>
  <c r="CG416" i="515"/>
  <c r="AG248" i="515"/>
  <c r="H8" i="515"/>
  <c r="H166" i="515"/>
  <c r="I218" i="515" s="1"/>
  <c r="H140" i="515"/>
  <c r="CK16" i="515"/>
  <c r="CA365" i="515"/>
  <c r="CA359" i="515"/>
  <c r="AZ35" i="515"/>
  <c r="AZ28" i="515"/>
  <c r="AJ28" i="515"/>
  <c r="AJ35" i="515"/>
  <c r="AW41" i="515"/>
  <c r="BA28" i="515"/>
  <c r="BA35" i="515"/>
  <c r="N346" i="515"/>
  <c r="N348" i="515" s="1"/>
  <c r="CP11" i="515"/>
  <c r="CP538" i="515" s="1"/>
  <c r="CP539" i="515" s="1"/>
  <c r="AY41" i="515"/>
  <c r="AY45" i="515"/>
  <c r="CZ16" i="515"/>
  <c r="CZ14" i="515"/>
  <c r="BU148" i="515"/>
  <c r="BU257" i="515" s="1"/>
  <c r="BU154" i="515"/>
  <c r="BU268" i="515"/>
  <c r="BU276" i="515" s="1"/>
  <c r="BU161" i="515"/>
  <c r="BU212" i="515" s="1"/>
  <c r="E11" i="515"/>
  <c r="E98" i="515"/>
  <c r="E218" i="515"/>
  <c r="BE11" i="515"/>
  <c r="BE16" i="515"/>
  <c r="CS280" i="515"/>
  <c r="CW288" i="515"/>
  <c r="CU418" i="515"/>
  <c r="CU413" i="515"/>
  <c r="AV248" i="515"/>
  <c r="CE348" i="515"/>
  <c r="CE350" i="515" s="1"/>
  <c r="CE353" i="515"/>
  <c r="CP213" i="515"/>
  <c r="CP166" i="515"/>
  <c r="CP160" i="515"/>
  <c r="CP358" i="515"/>
  <c r="CP365" i="515" s="1"/>
  <c r="CP373" i="515" s="1"/>
  <c r="CP219" i="515"/>
  <c r="CP169" i="515"/>
  <c r="M166" i="515"/>
  <c r="M140" i="515"/>
  <c r="M8" i="515"/>
  <c r="CF211" i="515"/>
  <c r="CF242" i="515"/>
  <c r="CL160" i="515"/>
  <c r="CV242" i="515"/>
  <c r="CA242" i="515"/>
  <c r="CA211" i="515"/>
  <c r="CA258" i="515"/>
  <c r="F239" i="515"/>
  <c r="M216" i="515"/>
  <c r="L246" i="515"/>
  <c r="L439" i="515"/>
  <c r="BG187" i="515"/>
  <c r="AE8" i="515"/>
  <c r="AE11" i="515" s="1"/>
  <c r="AE166" i="515"/>
  <c r="AE248" i="515" s="1"/>
  <c r="N216" i="515"/>
  <c r="N246" i="515"/>
  <c r="O216" i="515"/>
  <c r="AP45" i="515"/>
  <c r="AP47" i="515" s="1"/>
  <c r="AP41" i="515"/>
  <c r="AP38" i="515"/>
  <c r="G286" i="515"/>
  <c r="CD442" i="515"/>
  <c r="CD440" i="515"/>
  <c r="R246" i="515"/>
  <c r="R216" i="515"/>
  <c r="BR350" i="515"/>
  <c r="L222" i="515"/>
  <c r="P410" i="515"/>
  <c r="O410" i="515"/>
  <c r="BP8" i="515"/>
  <c r="BP208" i="515"/>
  <c r="BT208" i="515"/>
  <c r="H239" i="515"/>
  <c r="BQ14" i="515"/>
  <c r="BQ106" i="515" s="1"/>
  <c r="BU98" i="515"/>
  <c r="Y144" i="123"/>
  <c r="Z44" i="123"/>
  <c r="Y45" i="123"/>
  <c r="X56" i="123"/>
  <c r="X175" i="123" s="1"/>
  <c r="W175" i="123"/>
  <c r="W114" i="123"/>
  <c r="W115" i="123" s="1"/>
  <c r="H71" i="123"/>
  <c r="AB21" i="3"/>
  <c r="Q184" i="123"/>
  <c r="Q170" i="123"/>
  <c r="Q25" i="3"/>
  <c r="Q55" i="3" s="1"/>
  <c r="T59" i="3"/>
  <c r="T62" i="3" s="1"/>
  <c r="V59" i="3"/>
  <c r="V62" i="3" s="1"/>
  <c r="V57" i="3"/>
  <c r="CT371" i="515"/>
  <c r="CX371" i="515"/>
  <c r="CY160" i="515"/>
  <c r="DC211" i="515" s="1"/>
  <c r="CY213" i="515"/>
  <c r="CY357" i="515"/>
  <c r="CY364" i="515" s="1"/>
  <c r="CY169" i="515"/>
  <c r="CY358" i="515"/>
  <c r="CY219" i="515"/>
  <c r="CY166" i="515"/>
  <c r="CY218" i="515" s="1"/>
  <c r="BX359" i="515"/>
  <c r="BX365" i="515"/>
  <c r="CN440" i="515"/>
  <c r="CN442" i="515"/>
  <c r="CR442" i="515"/>
  <c r="CR440" i="515"/>
  <c r="BV421" i="515"/>
  <c r="BV425" i="515"/>
  <c r="BZ425" i="515"/>
  <c r="AT22" i="515"/>
  <c r="AX239" i="515"/>
  <c r="AT239" i="515"/>
  <c r="P225" i="123"/>
  <c r="P254" i="123" s="1"/>
  <c r="O201" i="123"/>
  <c r="M156" i="123"/>
  <c r="M147" i="123"/>
  <c r="BR309" i="515"/>
  <c r="BV309" i="515"/>
  <c r="CG8" i="515"/>
  <c r="CG208" i="515"/>
  <c r="M213" i="515"/>
  <c r="M357" i="515"/>
  <c r="M364" i="515" s="1"/>
  <c r="M358" i="515"/>
  <c r="M244" i="515"/>
  <c r="CX16" i="515"/>
  <c r="CX14" i="515"/>
  <c r="CX98" i="515"/>
  <c r="CX534" i="515"/>
  <c r="CX535" i="515" s="1"/>
  <c r="CX538" i="515"/>
  <c r="CX539" i="515" s="1"/>
  <c r="BR353" i="515"/>
  <c r="CA37" i="515"/>
  <c r="CA41" i="515" s="1"/>
  <c r="CK267" i="515"/>
  <c r="CK275" i="515" s="1"/>
  <c r="CK268" i="515"/>
  <c r="CK276" i="515" s="1"/>
  <c r="CK271" i="515"/>
  <c r="CK269" i="515"/>
  <c r="CK277" i="515" s="1"/>
  <c r="CO285" i="515" s="1"/>
  <c r="BS252" i="515"/>
  <c r="BW253" i="515" s="1"/>
  <c r="BS310" i="515"/>
  <c r="BS333" i="515" s="1"/>
  <c r="BS304" i="515"/>
  <c r="BS295" i="515"/>
  <c r="BS309" i="515" s="1"/>
  <c r="BW310" i="515"/>
  <c r="BW315" i="515" s="1"/>
  <c r="BW321" i="515" s="1"/>
  <c r="BO23" i="515"/>
  <c r="BO109" i="515" s="1"/>
  <c r="BO19" i="515"/>
  <c r="BZ440" i="515"/>
  <c r="BZ442" i="515"/>
  <c r="F120" i="123"/>
  <c r="F79" i="123"/>
  <c r="BR268" i="515"/>
  <c r="BR276" i="515" s="1"/>
  <c r="BR161" i="515"/>
  <c r="BR154" i="515"/>
  <c r="BR148" i="515"/>
  <c r="BR257" i="515" s="1"/>
  <c r="AT288" i="515"/>
  <c r="AX288" i="515"/>
  <c r="CA101" i="515"/>
  <c r="CN16" i="515"/>
  <c r="CN11" i="515"/>
  <c r="CC218" i="515"/>
  <c r="CC248" i="515"/>
  <c r="H447" i="515"/>
  <c r="H452" i="515" s="1"/>
  <c r="H454" i="515" s="1"/>
  <c r="H464" i="515"/>
  <c r="I461" i="515" s="1"/>
  <c r="BX277" i="515"/>
  <c r="BX270" i="515"/>
  <c r="BX278" i="515" s="1"/>
  <c r="CJ413" i="515"/>
  <c r="CF418" i="515"/>
  <c r="BL19" i="515"/>
  <c r="BL17" i="515"/>
  <c r="N213" i="515"/>
  <c r="I78" i="123"/>
  <c r="I77" i="123"/>
  <c r="J99" i="123"/>
  <c r="W298" i="123"/>
  <c r="CW485" i="515"/>
  <c r="CV485" i="515" s="1"/>
  <c r="V300" i="123"/>
  <c r="M179" i="123"/>
  <c r="N170" i="123"/>
  <c r="M170" i="123"/>
  <c r="CM277" i="515"/>
  <c r="BU288" i="515"/>
  <c r="BQ288" i="515"/>
  <c r="J115" i="123"/>
  <c r="P150" i="515"/>
  <c r="CO162" i="515"/>
  <c r="CO154" i="515"/>
  <c r="CO9" i="515" s="1"/>
  <c r="CO347" i="515"/>
  <c r="CO348" i="515" s="1"/>
  <c r="CO157" i="515"/>
  <c r="CO357" i="515"/>
  <c r="CO364" i="515" s="1"/>
  <c r="CO372" i="515" s="1"/>
  <c r="BG22" i="515"/>
  <c r="BG248" i="515"/>
  <c r="C287" i="515"/>
  <c r="D287" i="515"/>
  <c r="G283" i="515"/>
  <c r="H283" i="515"/>
  <c r="BP279" i="515"/>
  <c r="BP270" i="515"/>
  <c r="BP278" i="515" s="1"/>
  <c r="BP286" i="515" s="1"/>
  <c r="CA418" i="515"/>
  <c r="CA413" i="515"/>
  <c r="CE413" i="515"/>
  <c r="CV16" i="515"/>
  <c r="CV538" i="515"/>
  <c r="CV539" i="515" s="1"/>
  <c r="CZ98" i="515"/>
  <c r="CV14" i="515"/>
  <c r="CV106" i="515" s="1"/>
  <c r="CV534" i="515"/>
  <c r="CV535" i="515" s="1"/>
  <c r="CE239" i="515"/>
  <c r="CE582" i="515"/>
  <c r="CE22" i="515"/>
  <c r="CE248" i="515"/>
  <c r="BV353" i="515"/>
  <c r="BV350" i="515"/>
  <c r="CP418" i="515"/>
  <c r="CT413" i="515"/>
  <c r="CP413" i="515"/>
  <c r="CH285" i="515"/>
  <c r="CL285" i="515"/>
  <c r="BP37" i="515"/>
  <c r="BP41" i="515" s="1"/>
  <c r="CJ218" i="515"/>
  <c r="CN218" i="515"/>
  <c r="AT17" i="515"/>
  <c r="AT107" i="515" s="1"/>
  <c r="AX99" i="515"/>
  <c r="BC288" i="515"/>
  <c r="BG288" i="515"/>
  <c r="BX287" i="515"/>
  <c r="CB287" i="515"/>
  <c r="I462" i="515"/>
  <c r="I447" i="515" s="1"/>
  <c r="I452" i="515" s="1"/>
  <c r="J446" i="515"/>
  <c r="D58" i="123"/>
  <c r="D69" i="123" s="1"/>
  <c r="D71" i="123" s="1"/>
  <c r="D88" i="123"/>
  <c r="D87" i="123"/>
  <c r="BY295" i="515"/>
  <c r="BY252" i="515"/>
  <c r="BY310" i="515"/>
  <c r="BY315" i="515" s="1"/>
  <c r="BY321" i="515" s="1"/>
  <c r="BY297" i="515"/>
  <c r="CS346" i="515"/>
  <c r="Q128" i="515"/>
  <c r="CS162" i="515"/>
  <c r="CS357" i="515" s="1"/>
  <c r="CS364" i="515" s="1"/>
  <c r="CS356" i="515"/>
  <c r="CS363" i="515" s="1"/>
  <c r="CS371" i="515" s="1"/>
  <c r="CS140" i="515"/>
  <c r="CS8" i="515" s="1"/>
  <c r="CS11" i="515" s="1"/>
  <c r="CS145" i="515"/>
  <c r="CJ371" i="515"/>
  <c r="CN371" i="515"/>
  <c r="CT213" i="515"/>
  <c r="CT358" i="515"/>
  <c r="CT365" i="515" s="1"/>
  <c r="CT166" i="515"/>
  <c r="CT219" i="515"/>
  <c r="CX213" i="515"/>
  <c r="CX219" i="515"/>
  <c r="CT160" i="515"/>
  <c r="CX211" i="515" s="1"/>
  <c r="CT169" i="515"/>
  <c r="C270" i="515"/>
  <c r="C278" i="515" s="1"/>
  <c r="K287" i="515"/>
  <c r="L287" i="515"/>
  <c r="BV208" i="515"/>
  <c r="BR8" i="515"/>
  <c r="BR208" i="515"/>
  <c r="CV371" i="515"/>
  <c r="CZ371" i="515"/>
  <c r="O418" i="515"/>
  <c r="P419" i="515" s="1"/>
  <c r="O413" i="515"/>
  <c r="P413" i="515"/>
  <c r="AS285" i="515"/>
  <c r="AW285" i="515"/>
  <c r="BZ218" i="515"/>
  <c r="CD218" i="515"/>
  <c r="BS367" i="515"/>
  <c r="BS359" i="515"/>
  <c r="CC425" i="515"/>
  <c r="CC421" i="515"/>
  <c r="BW100" i="515"/>
  <c r="BS23" i="515"/>
  <c r="BS109" i="515" s="1"/>
  <c r="BS100" i="515"/>
  <c r="CJ277" i="515"/>
  <c r="CR279" i="515"/>
  <c r="CV287" i="515"/>
  <c r="CR287" i="515"/>
  <c r="CA317" i="515"/>
  <c r="CA316" i="515" s="1"/>
  <c r="CA322" i="515" s="1"/>
  <c r="CE324" i="515"/>
  <c r="CE318" i="515" s="1"/>
  <c r="CE315" i="515" s="1"/>
  <c r="CE321" i="515" s="1"/>
  <c r="CI322" i="515" s="1"/>
  <c r="CV484" i="515"/>
  <c r="K120" i="123"/>
  <c r="K79" i="123"/>
  <c r="T450" i="515"/>
  <c r="M115" i="123"/>
  <c r="O104" i="123"/>
  <c r="CG47" i="515"/>
  <c r="CG102" i="515"/>
  <c r="BF47" i="515"/>
  <c r="BI140" i="515"/>
  <c r="BI207" i="515"/>
  <c r="BM207" i="515"/>
  <c r="BD238" i="515"/>
  <c r="BD187" i="515"/>
  <c r="CH97" i="515"/>
  <c r="CL97" i="515"/>
  <c r="M153" i="123"/>
  <c r="M157" i="123"/>
  <c r="AO239" i="515"/>
  <c r="AK239" i="515"/>
  <c r="AK248" i="515"/>
  <c r="AK22" i="515"/>
  <c r="R412" i="515"/>
  <c r="S413" i="515" s="1"/>
  <c r="R410" i="515"/>
  <c r="J184" i="123"/>
  <c r="J179" i="123"/>
  <c r="K170" i="123"/>
  <c r="J170" i="123"/>
  <c r="BQ533" i="515"/>
  <c r="BQ534" i="515" s="1"/>
  <c r="BQ535" i="515" s="1"/>
  <c r="BQ269" i="515"/>
  <c r="BQ166" i="515"/>
  <c r="BW280" i="515"/>
  <c r="BW270" i="515"/>
  <c r="BW278" i="515" s="1"/>
  <c r="CA286" i="515" s="1"/>
  <c r="AM207" i="515"/>
  <c r="AM140" i="515"/>
  <c r="BC232" i="515"/>
  <c r="BC187" i="515"/>
  <c r="BI238" i="515"/>
  <c r="BE238" i="515"/>
  <c r="BE187" i="515"/>
  <c r="CK300" i="515"/>
  <c r="O302" i="515"/>
  <c r="D81" i="123"/>
  <c r="B483" i="515"/>
  <c r="B486" i="515" s="1"/>
  <c r="D78" i="123"/>
  <c r="D120" i="123" s="1"/>
  <c r="D77" i="123"/>
  <c r="Q156" i="123"/>
  <c r="Q147" i="123"/>
  <c r="CT534" i="515"/>
  <c r="CT535" i="515" s="1"/>
  <c r="CT14" i="515"/>
  <c r="CT106" i="515" s="1"/>
  <c r="CT16" i="515"/>
  <c r="CT538" i="515"/>
  <c r="CT539" i="515" s="1"/>
  <c r="CT98" i="515"/>
  <c r="CY538" i="515"/>
  <c r="CY539" i="515" s="1"/>
  <c r="CY98" i="515"/>
  <c r="CY534" i="515"/>
  <c r="CY535" i="515" s="1"/>
  <c r="CY16" i="515"/>
  <c r="CY14" i="515"/>
  <c r="CF23" i="515"/>
  <c r="CF109" i="515" s="1"/>
  <c r="CF100" i="515"/>
  <c r="BY248" i="515"/>
  <c r="CH358" i="515"/>
  <c r="CH166" i="515"/>
  <c r="CH218" i="515" s="1"/>
  <c r="CH357" i="515"/>
  <c r="CH364" i="515" s="1"/>
  <c r="CL219" i="515"/>
  <c r="CH219" i="515"/>
  <c r="CH213" i="515"/>
  <c r="CH160" i="515"/>
  <c r="CL213" i="515"/>
  <c r="CQ99" i="515"/>
  <c r="CI222" i="515"/>
  <c r="CE259" i="515"/>
  <c r="CE222" i="515"/>
  <c r="CE242" i="515"/>
  <c r="BN280" i="515"/>
  <c r="BN270" i="515"/>
  <c r="BN278" i="515" s="1"/>
  <c r="BN286" i="515" s="1"/>
  <c r="CB270" i="515"/>
  <c r="CB278" i="515" s="1"/>
  <c r="CB277" i="515"/>
  <c r="CF277" i="515"/>
  <c r="CF270" i="515"/>
  <c r="CF278" i="515" s="1"/>
  <c r="CJ279" i="515"/>
  <c r="CJ287" i="515" s="1"/>
  <c r="CN287" i="515"/>
  <c r="BY418" i="515"/>
  <c r="BY413" i="515"/>
  <c r="CC413" i="515"/>
  <c r="G166" i="515"/>
  <c r="G140" i="515"/>
  <c r="G8" i="515"/>
  <c r="BH140" i="515"/>
  <c r="BH207" i="515"/>
  <c r="BL207" i="515"/>
  <c r="AP23" i="515"/>
  <c r="AP109" i="515" s="1"/>
  <c r="AP16" i="515"/>
  <c r="AT99" i="515" s="1"/>
  <c r="AP11" i="515"/>
  <c r="BT243" i="515"/>
  <c r="BX212" i="515"/>
  <c r="BX219" i="515"/>
  <c r="BT166" i="515"/>
  <c r="BT160" i="515"/>
  <c r="BT258" i="515" s="1"/>
  <c r="BT269" i="515"/>
  <c r="BT212" i="515"/>
  <c r="BT533" i="515"/>
  <c r="BT534" i="515" s="1"/>
  <c r="BT535" i="515" s="1"/>
  <c r="B248" i="515"/>
  <c r="B11" i="515"/>
  <c r="C98" i="515"/>
  <c r="C218" i="515"/>
  <c r="I22" i="515"/>
  <c r="I248" i="515"/>
  <c r="I100" i="515"/>
  <c r="I239" i="515"/>
  <c r="CQ371" i="515"/>
  <c r="D101" i="515"/>
  <c r="D37" i="515"/>
  <c r="D38" i="515" s="1"/>
  <c r="D114" i="515"/>
  <c r="N410" i="515"/>
  <c r="M410" i="515"/>
  <c r="M412" i="515"/>
  <c r="R425" i="515"/>
  <c r="Q425" i="515"/>
  <c r="F468" i="515"/>
  <c r="BT23" i="515"/>
  <c r="BT109" i="515" s="1"/>
  <c r="BT100" i="515"/>
  <c r="BT19" i="515"/>
  <c r="BX100" i="515"/>
  <c r="CM11" i="515"/>
  <c r="Q421" i="515"/>
  <c r="M485" i="515"/>
  <c r="M486" i="515" s="1"/>
  <c r="M30" i="515"/>
  <c r="M31" i="515" s="1"/>
  <c r="M479" i="515" s="1"/>
  <c r="M480" i="515" s="1"/>
  <c r="R202" i="123"/>
  <c r="CP98" i="515"/>
  <c r="CL14" i="515"/>
  <c r="CL106" i="515" s="1"/>
  <c r="CL17" i="515"/>
  <c r="CL534" i="515"/>
  <c r="CL535" i="515" s="1"/>
  <c r="CL538" i="515"/>
  <c r="CL539" i="515" s="1"/>
  <c r="CB372" i="515"/>
  <c r="CF372" i="515"/>
  <c r="E22" i="515"/>
  <c r="E239" i="515"/>
  <c r="E100" i="515"/>
  <c r="F100" i="515"/>
  <c r="O173" i="123"/>
  <c r="P54" i="123"/>
  <c r="O205" i="123"/>
  <c r="O203" i="123"/>
  <c r="O204" i="123" s="1"/>
  <c r="DA386" i="515"/>
  <c r="L357" i="515"/>
  <c r="L364" i="515" s="1"/>
  <c r="L372" i="515" s="1"/>
  <c r="L358" i="515"/>
  <c r="L213" i="515"/>
  <c r="L244" i="515"/>
  <c r="L160" i="515"/>
  <c r="L242" i="515" s="1"/>
  <c r="BM277" i="515"/>
  <c r="BM285" i="515" s="1"/>
  <c r="BM270" i="515"/>
  <c r="BM278" i="515" s="1"/>
  <c r="BM286" i="515" s="1"/>
  <c r="AT232" i="515"/>
  <c r="AX232" i="515"/>
  <c r="K247" i="515"/>
  <c r="L229" i="515"/>
  <c r="K229" i="515"/>
  <c r="K187" i="515"/>
  <c r="Q186" i="123"/>
  <c r="Q187" i="123" s="1"/>
  <c r="CM279" i="515"/>
  <c r="CM287" i="515"/>
  <c r="CQ287" i="515"/>
  <c r="CX258" i="515"/>
  <c r="CX242" i="515"/>
  <c r="CT357" i="515"/>
  <c r="CT364" i="515" s="1"/>
  <c r="M214" i="515"/>
  <c r="M245" i="515"/>
  <c r="N214" i="515"/>
  <c r="CG359" i="515"/>
  <c r="CG365" i="515"/>
  <c r="CX442" i="515"/>
  <c r="CX440" i="515"/>
  <c r="BF288" i="515"/>
  <c r="BJ288" i="515"/>
  <c r="CG425" i="515"/>
  <c r="BO232" i="515"/>
  <c r="BK187" i="515"/>
  <c r="BK232" i="515"/>
  <c r="C288" i="515"/>
  <c r="D288" i="515"/>
  <c r="BR201" i="515"/>
  <c r="BV201" i="515"/>
  <c r="CL371" i="515"/>
  <c r="CH371" i="515"/>
  <c r="CA11" i="515"/>
  <c r="CA110" i="515" s="1"/>
  <c r="CA16" i="515"/>
  <c r="CP218" i="515"/>
  <c r="BV367" i="515"/>
  <c r="BV359" i="515"/>
  <c r="CK418" i="515"/>
  <c r="CO419" i="515" s="1"/>
  <c r="CK413" i="515"/>
  <c r="CO413" i="515"/>
  <c r="BP421" i="515"/>
  <c r="BT422" i="515" s="1"/>
  <c r="BT419" i="515"/>
  <c r="BB23" i="515"/>
  <c r="BB109" i="515" s="1"/>
  <c r="BF100" i="515"/>
  <c r="BB100" i="515"/>
  <c r="J100" i="515"/>
  <c r="J22" i="515"/>
  <c r="J248" i="515"/>
  <c r="J239" i="515"/>
  <c r="CB101" i="515"/>
  <c r="BX37" i="515"/>
  <c r="BX110" i="515"/>
  <c r="K367" i="515"/>
  <c r="L375" i="515" s="1"/>
  <c r="K359" i="515"/>
  <c r="CV218" i="515"/>
  <c r="CR218" i="515"/>
  <c r="AW166" i="515"/>
  <c r="AW248" i="515" s="1"/>
  <c r="BA208" i="515"/>
  <c r="AW208" i="515"/>
  <c r="AW8" i="515"/>
  <c r="M519" i="515"/>
  <c r="L522" i="515"/>
  <c r="H473" i="515"/>
  <c r="G472" i="515"/>
  <c r="BN8" i="515"/>
  <c r="F11" i="515"/>
  <c r="F98" i="515"/>
  <c r="F218" i="515"/>
  <c r="J535" i="515"/>
  <c r="I535" i="515" s="1"/>
  <c r="P399" i="515"/>
  <c r="P400" i="515" s="1"/>
  <c r="P397" i="515"/>
  <c r="S513" i="515"/>
  <c r="CQ218" i="515"/>
  <c r="CM218" i="515"/>
  <c r="AY208" i="515"/>
  <c r="AY166" i="515"/>
  <c r="AY248" i="515" s="1"/>
  <c r="BC208" i="515"/>
  <c r="AY8" i="515"/>
  <c r="CC57" i="515"/>
  <c r="CC457" i="515"/>
  <c r="AE149" i="515"/>
  <c r="AE268" i="515" s="1"/>
  <c r="AE276" i="515" s="1"/>
  <c r="AE533" i="515"/>
  <c r="AE534" i="515" s="1"/>
  <c r="AE535" i="515" s="1"/>
  <c r="AE243" i="515"/>
  <c r="AE269" i="515"/>
  <c r="AE277" i="515" s="1"/>
  <c r="AI285" i="515" s="1"/>
  <c r="R311" i="515"/>
  <c r="Q311" i="515"/>
  <c r="CO421" i="515"/>
  <c r="CS419" i="515"/>
  <c r="N437" i="515"/>
  <c r="N438" i="515"/>
  <c r="N441" i="515"/>
  <c r="N439" i="515"/>
  <c r="N434" i="515"/>
  <c r="Q83" i="123"/>
  <c r="Q105" i="123" s="1"/>
  <c r="Q84" i="123"/>
  <c r="Q85" i="123" s="1"/>
  <c r="AW100" i="515"/>
  <c r="AS23" i="515"/>
  <c r="AS109" i="515" s="1"/>
  <c r="AS100" i="515"/>
  <c r="J400" i="515"/>
  <c r="BH277" i="515"/>
  <c r="BH270" i="515"/>
  <c r="BH278" i="515" s="1"/>
  <c r="BL286" i="515" s="1"/>
  <c r="BS19" i="515"/>
  <c r="BW99" i="515"/>
  <c r="BS99" i="515"/>
  <c r="BS17" i="515"/>
  <c r="AI41" i="515"/>
  <c r="AI38" i="515"/>
  <c r="AI45" i="515"/>
  <c r="AI101" i="515"/>
  <c r="CJ242" i="515"/>
  <c r="CJ258" i="515"/>
  <c r="CJ211" i="515"/>
  <c r="CN211" i="515"/>
  <c r="BV41" i="515"/>
  <c r="BV38" i="515"/>
  <c r="BV101" i="515"/>
  <c r="BV45" i="515"/>
  <c r="BV111" i="515" s="1"/>
  <c r="K288" i="515"/>
  <c r="J288" i="515"/>
  <c r="H35" i="515"/>
  <c r="CC38" i="515"/>
  <c r="CC41" i="515"/>
  <c r="CI365" i="515"/>
  <c r="CM373" i="515" s="1"/>
  <c r="BS422" i="515"/>
  <c r="BA23" i="515"/>
  <c r="BA109" i="515" s="1"/>
  <c r="BA100" i="515"/>
  <c r="M222" i="515"/>
  <c r="N222" i="515"/>
  <c r="I222" i="515"/>
  <c r="AD23" i="515"/>
  <c r="AD109" i="515" s="1"/>
  <c r="AD11" i="515"/>
  <c r="N371" i="515"/>
  <c r="BM23" i="515"/>
  <c r="BM109" i="515" s="1"/>
  <c r="BM19" i="515"/>
  <c r="BM101" i="515"/>
  <c r="F248" i="515"/>
  <c r="AI166" i="515"/>
  <c r="AI248" i="515" s="1"/>
  <c r="AI8" i="515"/>
  <c r="AI208" i="515"/>
  <c r="BF208" i="515"/>
  <c r="BF166" i="515"/>
  <c r="BF248" i="515" s="1"/>
  <c r="BF8" i="515"/>
  <c r="AZ16" i="515"/>
  <c r="AZ11" i="515"/>
  <c r="I11" i="515"/>
  <c r="J98" i="515"/>
  <c r="I98" i="515"/>
  <c r="J218" i="515"/>
  <c r="M375" i="515"/>
  <c r="L202" i="123"/>
  <c r="L193" i="123"/>
  <c r="AR8" i="515"/>
  <c r="AR166" i="515"/>
  <c r="AR248" i="515" s="1"/>
  <c r="AV208" i="515"/>
  <c r="J277" i="515"/>
  <c r="J285" i="515" s="1"/>
  <c r="J270" i="515"/>
  <c r="J278" i="515" s="1"/>
  <c r="J286" i="515" s="1"/>
  <c r="L396" i="515"/>
  <c r="BU397" i="515"/>
  <c r="BU398" i="515"/>
  <c r="BU399" i="515" s="1"/>
  <c r="L499" i="515"/>
  <c r="L492" i="515"/>
  <c r="L495" i="515" s="1"/>
  <c r="AU100" i="515"/>
  <c r="AY100" i="515"/>
  <c r="AU23" i="515"/>
  <c r="AU109" i="515" s="1"/>
  <c r="O71" i="123"/>
  <c r="CA253" i="515"/>
  <c r="CH450" i="515"/>
  <c r="CH454" i="515" s="1"/>
  <c r="CI450" i="515" s="1"/>
  <c r="CI454" i="515" s="1"/>
  <c r="CJ450" i="515" s="1"/>
  <c r="CJ454" i="515" s="1"/>
  <c r="CK450" i="515" s="1"/>
  <c r="CK454" i="515" s="1"/>
  <c r="CL450" i="515" s="1"/>
  <c r="CL453" i="515" s="1"/>
  <c r="CG456" i="515"/>
  <c r="AH149" i="515"/>
  <c r="AH268" i="515" s="1"/>
  <c r="AH276" i="515" s="1"/>
  <c r="AH533" i="515"/>
  <c r="AH243" i="515"/>
  <c r="AH269" i="515"/>
  <c r="AH277" i="515" s="1"/>
  <c r="AH285" i="515" s="1"/>
  <c r="AP533" i="515"/>
  <c r="AP534" i="515" s="1"/>
  <c r="AP535" i="515" s="1"/>
  <c r="AP149" i="515"/>
  <c r="AP268" i="515" s="1"/>
  <c r="AP276" i="515" s="1"/>
  <c r="AP243" i="515"/>
  <c r="AP269" i="515"/>
  <c r="AP277" i="515" s="1"/>
  <c r="N375" i="515"/>
  <c r="CM418" i="515"/>
  <c r="CM413" i="515"/>
  <c r="M434" i="515"/>
  <c r="M438" i="515"/>
  <c r="M439" i="515"/>
  <c r="M437" i="515"/>
  <c r="CH442" i="515"/>
  <c r="G469" i="515"/>
  <c r="G470" i="515"/>
  <c r="G468" i="515" s="1"/>
  <c r="H471" i="515"/>
  <c r="Q79" i="123"/>
  <c r="Q120" i="123"/>
  <c r="CJ372" i="515"/>
  <c r="CN372" i="515"/>
  <c r="CJ365" i="515"/>
  <c r="BU72" i="515"/>
  <c r="BU47" i="515"/>
  <c r="BU111" i="515"/>
  <c r="CB419" i="515"/>
  <c r="CB421" i="515"/>
  <c r="CB422" i="515" s="1"/>
  <c r="CI258" i="515"/>
  <c r="CM211" i="515"/>
  <c r="CI211" i="515"/>
  <c r="CI242" i="515"/>
  <c r="O148" i="515"/>
  <c r="O347" i="515"/>
  <c r="O162" i="515"/>
  <c r="O154" i="515"/>
  <c r="BS419" i="515"/>
  <c r="CQ373" i="515"/>
  <c r="M446" i="515"/>
  <c r="M495" i="515" s="1"/>
  <c r="I286" i="515"/>
  <c r="Y214" i="123"/>
  <c r="CR258" i="515"/>
  <c r="CV211" i="515"/>
  <c r="CR242" i="515"/>
  <c r="CR211" i="515"/>
  <c r="J350" i="515"/>
  <c r="J366" i="515"/>
  <c r="P421" i="515"/>
  <c r="BY375" i="515"/>
  <c r="BU366" i="515"/>
  <c r="BY374" i="515" s="1"/>
  <c r="BU368" i="515"/>
  <c r="I495" i="515"/>
  <c r="AE23" i="515"/>
  <c r="AE109" i="515" s="1"/>
  <c r="L353" i="515"/>
  <c r="CV373" i="515"/>
  <c r="BJ207" i="515"/>
  <c r="BJ140" i="515"/>
  <c r="BN208" i="515" s="1"/>
  <c r="BD8" i="515"/>
  <c r="BD208" i="515"/>
  <c r="BD166" i="515"/>
  <c r="BS268" i="515"/>
  <c r="BS276" i="515" s="1"/>
  <c r="BS148" i="515"/>
  <c r="BS257" i="515" s="1"/>
  <c r="BS161" i="515"/>
  <c r="N399" i="515"/>
  <c r="N400" i="515" s="1"/>
  <c r="N397" i="515"/>
  <c r="BL534" i="515"/>
  <c r="BL535" i="515" s="1"/>
  <c r="BL14" i="515"/>
  <c r="BL106" i="515" s="1"/>
  <c r="CA309" i="515"/>
  <c r="AT248" i="515"/>
  <c r="BT309" i="515"/>
  <c r="BX309" i="515"/>
  <c r="R312" i="515"/>
  <c r="CG419" i="515"/>
  <c r="CG421" i="515"/>
  <c r="BX442" i="515"/>
  <c r="CA442" i="515"/>
  <c r="CE442" i="515"/>
  <c r="O438" i="515"/>
  <c r="P434" i="515"/>
  <c r="O434" i="515"/>
  <c r="O437" i="515"/>
  <c r="O439" i="515"/>
  <c r="O441" i="515"/>
  <c r="S170" i="123"/>
  <c r="R170" i="123"/>
  <c r="BB11" i="515"/>
  <c r="BB16" i="515"/>
  <c r="BF149" i="515"/>
  <c r="BF268" i="515" s="1"/>
  <c r="BF276" i="515" s="1"/>
  <c r="BF533" i="515"/>
  <c r="BF269" i="515"/>
  <c r="AJ269" i="515"/>
  <c r="AJ277" i="515" s="1"/>
  <c r="AJ149" i="515"/>
  <c r="AJ268" i="515" s="1"/>
  <c r="AJ276" i="515" s="1"/>
  <c r="AJ533" i="515"/>
  <c r="AJ534" i="515" s="1"/>
  <c r="AJ535" i="515" s="1"/>
  <c r="AJ243" i="515"/>
  <c r="AL243" i="515"/>
  <c r="AL533" i="515"/>
  <c r="AL149" i="515"/>
  <c r="AL268" i="515" s="1"/>
  <c r="AL276" i="515" s="1"/>
  <c r="AL269" i="515"/>
  <c r="AL277" i="515" s="1"/>
  <c r="CE287" i="515"/>
  <c r="CA287" i="515"/>
  <c r="I83" i="123"/>
  <c r="I105" i="123" s="1"/>
  <c r="I84" i="123"/>
  <c r="I85" i="123" s="1"/>
  <c r="U263" i="515"/>
  <c r="U295" i="515"/>
  <c r="V296" i="515"/>
  <c r="AF111" i="515"/>
  <c r="AF55" i="515"/>
  <c r="AJ23" i="515"/>
  <c r="AJ109" i="515" s="1"/>
  <c r="AJ100" i="515"/>
  <c r="AN100" i="515"/>
  <c r="BK17" i="515"/>
  <c r="BK99" i="515"/>
  <c r="BL23" i="515"/>
  <c r="BL109" i="515" s="1"/>
  <c r="CC47" i="515"/>
  <c r="CC72" i="515"/>
  <c r="CC111" i="515"/>
  <c r="CM372" i="515"/>
  <c r="CI372" i="515"/>
  <c r="CK358" i="515"/>
  <c r="CK365" i="515" s="1"/>
  <c r="CK160" i="515"/>
  <c r="CK166" i="515"/>
  <c r="CK213" i="515"/>
  <c r="M441" i="515"/>
  <c r="CZ421" i="515"/>
  <c r="CZ419" i="515"/>
  <c r="L201" i="123"/>
  <c r="L204" i="123"/>
  <c r="M201" i="123"/>
  <c r="AI100" i="515"/>
  <c r="K39" i="515"/>
  <c r="L39" i="515" s="1"/>
  <c r="AB39" i="123"/>
  <c r="AC39" i="123" s="1"/>
  <c r="AD39" i="123" s="1"/>
  <c r="AE39" i="123" s="1"/>
  <c r="AF39" i="123" s="1"/>
  <c r="AG39" i="123" s="1"/>
  <c r="AN207" i="515"/>
  <c r="AN140" i="515"/>
  <c r="Q76" i="123"/>
  <c r="L121" i="515"/>
  <c r="Q82" i="123"/>
  <c r="BI37" i="515"/>
  <c r="BI41" i="515" s="1"/>
  <c r="L89" i="123"/>
  <c r="G115" i="515"/>
  <c r="G121" i="515" s="1"/>
  <c r="G120" i="515"/>
  <c r="AE43" i="123"/>
  <c r="CY284" i="515"/>
  <c r="AL207" i="515"/>
  <c r="AL140" i="515"/>
  <c r="R214" i="515"/>
  <c r="R245" i="515"/>
  <c r="BZ22" i="515"/>
  <c r="CD239" i="515"/>
  <c r="BZ582" i="515"/>
  <c r="BZ248" i="515"/>
  <c r="BZ239" i="515"/>
  <c r="P214" i="515"/>
  <c r="O245" i="515"/>
  <c r="O214" i="515"/>
  <c r="CI11" i="515"/>
  <c r="CI16" i="515"/>
  <c r="CE277" i="515"/>
  <c r="CE270" i="515"/>
  <c r="CE278" i="515" s="1"/>
  <c r="CE286" i="515" s="1"/>
  <c r="L286" i="515"/>
  <c r="T226" i="123"/>
  <c r="U225" i="123" s="1"/>
  <c r="T254" i="123"/>
  <c r="X176" i="515"/>
  <c r="BQ37" i="515"/>
  <c r="BQ110" i="515"/>
  <c r="BU101" i="515"/>
  <c r="M533" i="515"/>
  <c r="M160" i="515"/>
  <c r="M242" i="515" s="1"/>
  <c r="M212" i="515"/>
  <c r="M269" i="515"/>
  <c r="N212" i="515"/>
  <c r="M243" i="515"/>
  <c r="CG533" i="515"/>
  <c r="CG243" i="515"/>
  <c r="CG166" i="515"/>
  <c r="CG160" i="515"/>
  <c r="CG212" i="515"/>
  <c r="CG219" i="515"/>
  <c r="CG269" i="515"/>
  <c r="CK212" i="515"/>
  <c r="CK219" i="515"/>
  <c r="AP207" i="515"/>
  <c r="P216" i="515"/>
  <c r="Q216" i="515"/>
  <c r="P439" i="515"/>
  <c r="P246" i="515"/>
  <c r="CH16" i="515"/>
  <c r="CH11" i="515"/>
  <c r="AQ232" i="515"/>
  <c r="AM232" i="515"/>
  <c r="AM187" i="515"/>
  <c r="AZ100" i="515"/>
  <c r="AZ23" i="515"/>
  <c r="AZ109" i="515" s="1"/>
  <c r="L285" i="515"/>
  <c r="S255" i="123"/>
  <c r="M115" i="515"/>
  <c r="M117" i="515"/>
  <c r="M118" i="515" s="1"/>
  <c r="R89" i="123"/>
  <c r="M120" i="515"/>
  <c r="CS111" i="515"/>
  <c r="CS47" i="515"/>
  <c r="G496" i="515"/>
  <c r="G47" i="515"/>
  <c r="BQ20" i="515"/>
  <c r="BJ100" i="515"/>
  <c r="BN100" i="515"/>
  <c r="U415" i="515"/>
  <c r="CD47" i="515"/>
  <c r="CD111" i="515"/>
  <c r="CD72" i="515"/>
  <c r="BV538" i="515"/>
  <c r="BV539" i="515" s="1"/>
  <c r="BV14" i="515"/>
  <c r="BV106" i="515" s="1"/>
  <c r="BV17" i="515"/>
  <c r="BV23" i="515"/>
  <c r="BV109" i="515" s="1"/>
  <c r="BV110" i="515"/>
  <c r="BV20" i="515"/>
  <c r="BZ98" i="515"/>
  <c r="CR534" i="515"/>
  <c r="CR535" i="515" s="1"/>
  <c r="CR14" i="515"/>
  <c r="CR538" i="515"/>
  <c r="CR539" i="515" s="1"/>
  <c r="CR16" i="515"/>
  <c r="CV98" i="515"/>
  <c r="AR207" i="515"/>
  <c r="S400" i="515"/>
  <c r="AG15" i="123"/>
  <c r="AF21" i="3" s="1"/>
  <c r="AE21" i="3"/>
  <c r="BB285" i="515" l="1"/>
  <c r="F38" i="515"/>
  <c r="F115" i="515"/>
  <c r="F121" i="515" s="1"/>
  <c r="DE421" i="515"/>
  <c r="DE422" i="515" s="1"/>
  <c r="DE419" i="515"/>
  <c r="CP14" i="515"/>
  <c r="CP106" i="515" s="1"/>
  <c r="F41" i="515"/>
  <c r="F45" i="515" s="1"/>
  <c r="DE227" i="515"/>
  <c r="DE224" i="515"/>
  <c r="T419" i="515"/>
  <c r="T421" i="515"/>
  <c r="T422" i="515" s="1"/>
  <c r="M184" i="123"/>
  <c r="BG243" i="515"/>
  <c r="BG533" i="515"/>
  <c r="BG534" i="515" s="1"/>
  <c r="BG535" i="515" s="1"/>
  <c r="BG269" i="515"/>
  <c r="BG149" i="515"/>
  <c r="BG268" i="515" s="1"/>
  <c r="BG276" i="515" s="1"/>
  <c r="DH149" i="515"/>
  <c r="DH156" i="515" s="1"/>
  <c r="DG415" i="515"/>
  <c r="DF415" i="515"/>
  <c r="DH415" i="515"/>
  <c r="AK98" i="515"/>
  <c r="AK534" i="515"/>
  <c r="AK535" i="515" s="1"/>
  <c r="AO534" i="515"/>
  <c r="AO535" i="515" s="1"/>
  <c r="AO98" i="515"/>
  <c r="DF26" i="515"/>
  <c r="DG26" i="515" s="1"/>
  <c r="DH26" i="515" s="1"/>
  <c r="DA422" i="515"/>
  <c r="DI415" i="515"/>
  <c r="DI416" i="515" s="1"/>
  <c r="CP534" i="515"/>
  <c r="CP535" i="515" s="1"/>
  <c r="DA360" i="515"/>
  <c r="CL107" i="515"/>
  <c r="BT20" i="515"/>
  <c r="BL107" i="515"/>
  <c r="BO20" i="515"/>
  <c r="CC20" i="515"/>
  <c r="BW20" i="515"/>
  <c r="C115" i="515"/>
  <c r="C121" i="515" s="1"/>
  <c r="F89" i="123"/>
  <c r="C120" i="515"/>
  <c r="C109" i="515"/>
  <c r="BV107" i="515"/>
  <c r="BQ108" i="515"/>
  <c r="BK107" i="515"/>
  <c r="BS107" i="515"/>
  <c r="BV108" i="515"/>
  <c r="BM20" i="515"/>
  <c r="BS20" i="515"/>
  <c r="BL20" i="515"/>
  <c r="CQ107" i="515"/>
  <c r="BQ107" i="515"/>
  <c r="CC107" i="515"/>
  <c r="CF20" i="515"/>
  <c r="N284" i="515"/>
  <c r="BW107" i="515"/>
  <c r="CZ372" i="515"/>
  <c r="DD372" i="515"/>
  <c r="BX108" i="515"/>
  <c r="C38" i="515"/>
  <c r="C41" i="515"/>
  <c r="C45" i="515" s="1"/>
  <c r="L413" i="515"/>
  <c r="L418" i="515"/>
  <c r="K89" i="123"/>
  <c r="F120" i="515"/>
  <c r="CB108" i="515"/>
  <c r="DD419" i="515"/>
  <c r="DD421" i="515"/>
  <c r="DD422" i="515" s="1"/>
  <c r="DH279" i="515"/>
  <c r="DH271" i="515" s="1"/>
  <c r="DH264" i="515" s="1"/>
  <c r="DD278" i="515"/>
  <c r="DI96" i="515"/>
  <c r="CY372" i="515"/>
  <c r="DC372" i="515"/>
  <c r="CZ258" i="515"/>
  <c r="V26" i="515"/>
  <c r="W26" i="515" s="1"/>
  <c r="X26" i="515" s="1"/>
  <c r="AX23" i="515"/>
  <c r="AX109" i="515" s="1"/>
  <c r="AX28" i="515"/>
  <c r="AX35" i="515"/>
  <c r="DB419" i="515"/>
  <c r="DB421" i="515"/>
  <c r="DH277" i="515"/>
  <c r="DH275" i="515" s="1"/>
  <c r="DH229" i="515"/>
  <c r="DC419" i="515"/>
  <c r="DC421" i="515"/>
  <c r="T452" i="515"/>
  <c r="CW227" i="515"/>
  <c r="CW360" i="515"/>
  <c r="CW367" i="515" s="1"/>
  <c r="CW375" i="515" s="1"/>
  <c r="CW187" i="515"/>
  <c r="CW352" i="515"/>
  <c r="CW224" i="515"/>
  <c r="DC284" i="515"/>
  <c r="DG276" i="515"/>
  <c r="DC277" i="515"/>
  <c r="DC270" i="515"/>
  <c r="DC287" i="515"/>
  <c r="DC279" i="515"/>
  <c r="DC280" i="515"/>
  <c r="F496" i="515"/>
  <c r="F47" i="515"/>
  <c r="F493" i="515"/>
  <c r="F91" i="515"/>
  <c r="H9" i="3" s="1"/>
  <c r="H25" i="3" s="1"/>
  <c r="Y175" i="123"/>
  <c r="Z175" i="123" s="1"/>
  <c r="AA175" i="123" s="1"/>
  <c r="AB175" i="123" s="1"/>
  <c r="AC175" i="123" s="1"/>
  <c r="AD175" i="123" s="1"/>
  <c r="AE175" i="123" s="1"/>
  <c r="AF175" i="123" s="1"/>
  <c r="AG175" i="123" s="1"/>
  <c r="U97" i="515"/>
  <c r="U309" i="515"/>
  <c r="DI295" i="515"/>
  <c r="DI448" i="515"/>
  <c r="DI447" i="515" s="1"/>
  <c r="DI452" i="515" s="1"/>
  <c r="DH447" i="515"/>
  <c r="DH452" i="515" s="1"/>
  <c r="DI318" i="515"/>
  <c r="DI316" i="515"/>
  <c r="DI315" i="515"/>
  <c r="DI317" i="515"/>
  <c r="DI319" i="515"/>
  <c r="DI314" i="515"/>
  <c r="DB279" i="515"/>
  <c r="DB287" i="515"/>
  <c r="AS17" i="515"/>
  <c r="AS107" i="515" s="1"/>
  <c r="N283" i="515"/>
  <c r="CY365" i="515"/>
  <c r="DG358" i="515"/>
  <c r="CZ365" i="515"/>
  <c r="DH358" i="515"/>
  <c r="R463" i="515"/>
  <c r="U45" i="3"/>
  <c r="T48" i="3"/>
  <c r="R457" i="515"/>
  <c r="R57" i="515"/>
  <c r="R492" i="515"/>
  <c r="R495" i="515" s="1"/>
  <c r="BA243" i="515"/>
  <c r="BA269" i="515"/>
  <c r="BA277" i="515" s="1"/>
  <c r="BA149" i="515"/>
  <c r="BA268" i="515" s="1"/>
  <c r="BA276" i="515" s="1"/>
  <c r="BA533" i="515"/>
  <c r="BA534" i="515" s="1"/>
  <c r="BA535" i="515" s="1"/>
  <c r="U73" i="3"/>
  <c r="CK11" i="515"/>
  <c r="CK534" i="515" s="1"/>
  <c r="CK535" i="515" s="1"/>
  <c r="BQ100" i="515"/>
  <c r="BM100" i="515"/>
  <c r="CU98" i="515"/>
  <c r="CU16" i="515"/>
  <c r="CU14" i="515"/>
  <c r="CU106" i="515" s="1"/>
  <c r="CH421" i="515"/>
  <c r="CL422" i="515" s="1"/>
  <c r="CL419" i="515"/>
  <c r="AR102" i="515"/>
  <c r="CU538" i="515"/>
  <c r="CU539" i="515" s="1"/>
  <c r="DE263" i="515"/>
  <c r="G493" i="515"/>
  <c r="N353" i="515"/>
  <c r="CA45" i="515"/>
  <c r="CA102" i="515" s="1"/>
  <c r="N372" i="515"/>
  <c r="N277" i="515"/>
  <c r="N270" i="515"/>
  <c r="N278" i="515" s="1"/>
  <c r="CC286" i="515"/>
  <c r="CC285" i="515"/>
  <c r="BA20" i="515"/>
  <c r="BA14" i="515"/>
  <c r="BA106" i="515" s="1"/>
  <c r="AL28" i="515"/>
  <c r="AL35" i="515"/>
  <c r="AP100" i="515"/>
  <c r="AL100" i="515"/>
  <c r="R184" i="123"/>
  <c r="BR45" i="515"/>
  <c r="Z21" i="123"/>
  <c r="BU17" i="515"/>
  <c r="BU19" i="515"/>
  <c r="BU99" i="515"/>
  <c r="N287" i="515"/>
  <c r="O287" i="515"/>
  <c r="G285" i="515"/>
  <c r="H285" i="515"/>
  <c r="BW416" i="515"/>
  <c r="CA416" i="515"/>
  <c r="BW418" i="515"/>
  <c r="CD422" i="515"/>
  <c r="CJ534" i="515"/>
  <c r="CJ535" i="515" s="1"/>
  <c r="CJ98" i="515"/>
  <c r="CJ14" i="515"/>
  <c r="CJ106" i="515" s="1"/>
  <c r="Q284" i="515"/>
  <c r="R284" i="515"/>
  <c r="CJ538" i="515"/>
  <c r="CJ539" i="515" s="1"/>
  <c r="CP16" i="515"/>
  <c r="BR41" i="515"/>
  <c r="CO371" i="515"/>
  <c r="X11" i="3"/>
  <c r="BU14" i="515"/>
  <c r="BU106" i="515" s="1"/>
  <c r="BU23" i="515"/>
  <c r="BU109" i="515" s="1"/>
  <c r="BU110" i="515"/>
  <c r="AS14" i="515"/>
  <c r="AS106" i="515" s="1"/>
  <c r="AS98" i="515"/>
  <c r="AS20" i="515"/>
  <c r="AS534" i="515"/>
  <c r="AS535" i="515" s="1"/>
  <c r="BA17" i="515"/>
  <c r="BA107" i="515" s="1"/>
  <c r="CJ17" i="515"/>
  <c r="CJ99" i="515"/>
  <c r="CX421" i="515"/>
  <c r="CX419" i="515"/>
  <c r="T255" i="123"/>
  <c r="D79" i="123"/>
  <c r="AQ23" i="515"/>
  <c r="AQ109" i="515" s="1"/>
  <c r="AQ35" i="515"/>
  <c r="AQ28" i="515"/>
  <c r="CR421" i="515"/>
  <c r="CR419" i="515"/>
  <c r="CV419" i="515"/>
  <c r="N442" i="515"/>
  <c r="K286" i="515"/>
  <c r="K285" i="515"/>
  <c r="O442" i="515"/>
  <c r="G132" i="123"/>
  <c r="G133" i="123" s="1"/>
  <c r="D14" i="515"/>
  <c r="D106" i="515" s="1"/>
  <c r="D16" i="515"/>
  <c r="G160" i="123"/>
  <c r="G98" i="123"/>
  <c r="G127" i="123"/>
  <c r="D23" i="515"/>
  <c r="G104" i="123"/>
  <c r="D20" i="515"/>
  <c r="AQ11" i="515"/>
  <c r="AQ16" i="515"/>
  <c r="AD28" i="515"/>
  <c r="AH100" i="515"/>
  <c r="AD35" i="515"/>
  <c r="BW47" i="515"/>
  <c r="BW111" i="515"/>
  <c r="BW72" i="515"/>
  <c r="AT35" i="515"/>
  <c r="AT28" i="515"/>
  <c r="CL218" i="515"/>
  <c r="CB285" i="515"/>
  <c r="AK28" i="515"/>
  <c r="AK35" i="515"/>
  <c r="S456" i="515"/>
  <c r="S457" i="515" s="1"/>
  <c r="CE35" i="515"/>
  <c r="CE28" i="515"/>
  <c r="CU419" i="515"/>
  <c r="CY419" i="515"/>
  <c r="CU421" i="515"/>
  <c r="BE14" i="515"/>
  <c r="BE106" i="515" s="1"/>
  <c r="BE20" i="515"/>
  <c r="BE534" i="515"/>
  <c r="BE535" i="515" s="1"/>
  <c r="BE98" i="515"/>
  <c r="BU533" i="515"/>
  <c r="BU534" i="515" s="1"/>
  <c r="BU535" i="515" s="1"/>
  <c r="BU160" i="515"/>
  <c r="BU258" i="515" s="1"/>
  <c r="BU166" i="515"/>
  <c r="BU243" i="515"/>
  <c r="BU269" i="515"/>
  <c r="BY212" i="515"/>
  <c r="BY219" i="515"/>
  <c r="CZ106" i="515"/>
  <c r="CF366" i="515"/>
  <c r="CF374" i="515" s="1"/>
  <c r="CF368" i="515"/>
  <c r="CF373" i="515"/>
  <c r="AH55" i="515"/>
  <c r="O284" i="515"/>
  <c r="P284" i="515"/>
  <c r="O140" i="515"/>
  <c r="O8" i="515"/>
  <c r="AV28" i="515"/>
  <c r="AV35" i="515"/>
  <c r="AZ101" i="515" s="1"/>
  <c r="AV23" i="515"/>
  <c r="AV109" i="515" s="1"/>
  <c r="AV100" i="515"/>
  <c r="BY101" i="515"/>
  <c r="BY110" i="515"/>
  <c r="BY37" i="515"/>
  <c r="BY38" i="515" s="1"/>
  <c r="BP100" i="515"/>
  <c r="BL28" i="515"/>
  <c r="BL35" i="515"/>
  <c r="BL100" i="515"/>
  <c r="CB45" i="515"/>
  <c r="O356" i="515"/>
  <c r="O363" i="515" s="1"/>
  <c r="O371" i="515" s="1"/>
  <c r="O346" i="515"/>
  <c r="O348" i="515" s="1"/>
  <c r="O145" i="515"/>
  <c r="BH37" i="515"/>
  <c r="BH38" i="515" s="1"/>
  <c r="CZ17" i="515"/>
  <c r="H248" i="515"/>
  <c r="H11" i="515"/>
  <c r="C101" i="515"/>
  <c r="B114" i="515"/>
  <c r="B109" i="515" s="1"/>
  <c r="B37" i="515"/>
  <c r="CD14" i="515"/>
  <c r="CD106" i="515" s="1"/>
  <c r="CD110" i="515"/>
  <c r="CD534" i="515"/>
  <c r="CD535" i="515" s="1"/>
  <c r="CD23" i="515"/>
  <c r="CD109" i="515" s="1"/>
  <c r="CD98" i="515"/>
  <c r="CD538" i="515"/>
  <c r="CD539" i="515" s="1"/>
  <c r="CQ242" i="515"/>
  <c r="CU211" i="515"/>
  <c r="CQ211" i="515"/>
  <c r="CQ258" i="515"/>
  <c r="P283" i="515"/>
  <c r="O283" i="515"/>
  <c r="N358" i="515"/>
  <c r="N244" i="515"/>
  <c r="N160" i="515"/>
  <c r="N242" i="515" s="1"/>
  <c r="AG38" i="515"/>
  <c r="AG45" i="515"/>
  <c r="AG41" i="515"/>
  <c r="AG110" i="515"/>
  <c r="CE258" i="515"/>
  <c r="CE211" i="515"/>
  <c r="CZ242" i="515"/>
  <c r="CZ211" i="515"/>
  <c r="M248" i="515"/>
  <c r="M218" i="515"/>
  <c r="M11" i="515"/>
  <c r="M534" i="515" s="1"/>
  <c r="M535" i="515" s="1"/>
  <c r="M98" i="515"/>
  <c r="AY47" i="515"/>
  <c r="AY51" i="515"/>
  <c r="AY55" i="515" s="1"/>
  <c r="CA373" i="515"/>
  <c r="CA366" i="515"/>
  <c r="CA368" i="515"/>
  <c r="CD99" i="515"/>
  <c r="CD19" i="515"/>
  <c r="CD17" i="515"/>
  <c r="L248" i="515"/>
  <c r="L11" i="515"/>
  <c r="Q103" i="123" s="1"/>
  <c r="L98" i="515"/>
  <c r="L218" i="515"/>
  <c r="AH11" i="515"/>
  <c r="AH110" i="515" s="1"/>
  <c r="AH23" i="515"/>
  <c r="AH109" i="515" s="1"/>
  <c r="CU372" i="515"/>
  <c r="CE218" i="515"/>
  <c r="CI218" i="515"/>
  <c r="CE365" i="515"/>
  <c r="CE359" i="515"/>
  <c r="CB41" i="515"/>
  <c r="P140" i="515"/>
  <c r="P8" i="515"/>
  <c r="BZ35" i="515"/>
  <c r="BZ28" i="515"/>
  <c r="O19" i="515"/>
  <c r="CF285" i="515"/>
  <c r="BG35" i="515"/>
  <c r="BG28" i="515"/>
  <c r="CL242" i="515"/>
  <c r="CL258" i="515"/>
  <c r="CP211" i="515"/>
  <c r="CP242" i="515"/>
  <c r="CP258" i="515"/>
  <c r="BE99" i="515"/>
  <c r="BE17" i="515"/>
  <c r="H127" i="123"/>
  <c r="E20" i="515"/>
  <c r="E16" i="515"/>
  <c r="H160" i="123"/>
  <c r="E14" i="515"/>
  <c r="E106" i="515" s="1"/>
  <c r="H104" i="123"/>
  <c r="H98" i="123"/>
  <c r="H132" i="123"/>
  <c r="H133" i="123" s="1"/>
  <c r="O269" i="515"/>
  <c r="O277" i="515" s="1"/>
  <c r="O533" i="515"/>
  <c r="P212" i="515"/>
  <c r="O212" i="515"/>
  <c r="AO47" i="515"/>
  <c r="AO111" i="515"/>
  <c r="N140" i="515"/>
  <c r="N8" i="515"/>
  <c r="N166" i="515"/>
  <c r="BW41" i="515"/>
  <c r="BW38" i="515"/>
  <c r="BW368" i="515"/>
  <c r="BW373" i="515"/>
  <c r="BW366" i="515"/>
  <c r="R148" i="515"/>
  <c r="R154" i="515"/>
  <c r="R9" i="515" s="1"/>
  <c r="R347" i="515"/>
  <c r="CZ218" i="515"/>
  <c r="CK538" i="515"/>
  <c r="CK539" i="515" s="1"/>
  <c r="CK14" i="515"/>
  <c r="CK106" i="515" s="1"/>
  <c r="BR72" i="515"/>
  <c r="BR102" i="515"/>
  <c r="BR47" i="515"/>
  <c r="BR103" i="515" s="1"/>
  <c r="BP45" i="515"/>
  <c r="M440" i="515"/>
  <c r="BP16" i="515"/>
  <c r="BP11" i="515"/>
  <c r="AL285" i="515"/>
  <c r="N440" i="515"/>
  <c r="CG103" i="515"/>
  <c r="CP17" i="515"/>
  <c r="CP99" i="515"/>
  <c r="L440" i="515"/>
  <c r="L442" i="515"/>
  <c r="I464" i="515"/>
  <c r="J461" i="515" s="1"/>
  <c r="AA44" i="123"/>
  <c r="Z45" i="123"/>
  <c r="Y56" i="123"/>
  <c r="Q57" i="3"/>
  <c r="Q59" i="3"/>
  <c r="Q62" i="3" s="1"/>
  <c r="Q48" i="3"/>
  <c r="CK242" i="515"/>
  <c r="CK258" i="515"/>
  <c r="BB99" i="515"/>
  <c r="BB17" i="515"/>
  <c r="BW219" i="515"/>
  <c r="BS269" i="515"/>
  <c r="BS243" i="515"/>
  <c r="BS160" i="515"/>
  <c r="BS212" i="515"/>
  <c r="BS533" i="515"/>
  <c r="BS534" i="515" s="1"/>
  <c r="BS535" i="515" s="1"/>
  <c r="BS258" i="515"/>
  <c r="BS166" i="515"/>
  <c r="BW212" i="515"/>
  <c r="O358" i="515"/>
  <c r="O365" i="515" s="1"/>
  <c r="O357" i="515"/>
  <c r="O364" i="515" s="1"/>
  <c r="O372" i="515" s="1"/>
  <c r="O213" i="515"/>
  <c r="O160" i="515"/>
  <c r="BV72" i="515"/>
  <c r="BV47" i="515"/>
  <c r="BV102" i="515"/>
  <c r="AS38" i="515"/>
  <c r="AS110" i="515"/>
  <c r="AS41" i="515"/>
  <c r="AS101" i="515"/>
  <c r="AS45" i="515"/>
  <c r="AW101" i="515"/>
  <c r="AY16" i="515"/>
  <c r="AY23" i="515"/>
  <c r="AY109" i="515" s="1"/>
  <c r="AY11" i="515"/>
  <c r="H472" i="515"/>
  <c r="I473" i="515"/>
  <c r="Y151" i="123"/>
  <c r="M442" i="515"/>
  <c r="CK373" i="515"/>
  <c r="AJ285" i="515"/>
  <c r="AN285" i="515"/>
  <c r="BF270" i="515"/>
  <c r="BF278" i="515" s="1"/>
  <c r="BJ286" i="515" s="1"/>
  <c r="BF277" i="515"/>
  <c r="BB98" i="515"/>
  <c r="BB534" i="515"/>
  <c r="BB535" i="515" s="1"/>
  <c r="BB14" i="515"/>
  <c r="BB106" i="515" s="1"/>
  <c r="BB20" i="515"/>
  <c r="DC533" i="515"/>
  <c r="CG57" i="515"/>
  <c r="CG457" i="515"/>
  <c r="M104" i="123"/>
  <c r="M132" i="123"/>
  <c r="M133" i="123" s="1"/>
  <c r="M127" i="123"/>
  <c r="M160" i="123"/>
  <c r="I534" i="515"/>
  <c r="AD110" i="515"/>
  <c r="AI55" i="515"/>
  <c r="BH285" i="515"/>
  <c r="BL285" i="515"/>
  <c r="F14" i="515"/>
  <c r="F106" i="515" s="1"/>
  <c r="F20" i="515"/>
  <c r="I132" i="123"/>
  <c r="I133" i="123" s="1"/>
  <c r="I127" i="123"/>
  <c r="I98" i="123"/>
  <c r="F16" i="515"/>
  <c r="I104" i="123"/>
  <c r="F111" i="515"/>
  <c r="F109" i="515"/>
  <c r="F110" i="515"/>
  <c r="I160" i="123"/>
  <c r="F23" i="515"/>
  <c r="I97" i="123"/>
  <c r="I100" i="123" s="1"/>
  <c r="N519" i="515"/>
  <c r="M522" i="515"/>
  <c r="K366" i="515"/>
  <c r="K374" i="515" s="1"/>
  <c r="K350" i="515"/>
  <c r="L37" i="515"/>
  <c r="BX38" i="515"/>
  <c r="J35" i="515"/>
  <c r="J23" i="515"/>
  <c r="CA99" i="515"/>
  <c r="CA19" i="515"/>
  <c r="CA17" i="515"/>
  <c r="CE99" i="515"/>
  <c r="BK239" i="515"/>
  <c r="BK22" i="515"/>
  <c r="BO239" i="515"/>
  <c r="CX372" i="515"/>
  <c r="CT372" i="515"/>
  <c r="U385" i="515"/>
  <c r="DI385" i="515" s="1"/>
  <c r="D41" i="515"/>
  <c r="D45" i="515" s="1"/>
  <c r="E132" i="123"/>
  <c r="E133" i="123" s="1"/>
  <c r="E98" i="123"/>
  <c r="B16" i="515"/>
  <c r="E127" i="123"/>
  <c r="E104" i="123"/>
  <c r="B14" i="515"/>
  <c r="B106" i="515" s="1"/>
  <c r="B110" i="515"/>
  <c r="B23" i="515"/>
  <c r="B20" i="515"/>
  <c r="B108" i="515" s="1"/>
  <c r="E160" i="123"/>
  <c r="BT277" i="515"/>
  <c r="BT285" i="515" s="1"/>
  <c r="BT270" i="515"/>
  <c r="BT278" i="515" s="1"/>
  <c r="BT286" i="515" s="1"/>
  <c r="BX218" i="515"/>
  <c r="BT218" i="515"/>
  <c r="BT248" i="515"/>
  <c r="AP20" i="515"/>
  <c r="AP14" i="515"/>
  <c r="AP106" i="515" s="1"/>
  <c r="AT98" i="515"/>
  <c r="AP110" i="515"/>
  <c r="AP111" i="515"/>
  <c r="CL211" i="515"/>
  <c r="CH258" i="515"/>
  <c r="CH242" i="515"/>
  <c r="CH211" i="515"/>
  <c r="CL372" i="515"/>
  <c r="CH372" i="515"/>
  <c r="CY106" i="515"/>
  <c r="D83" i="123"/>
  <c r="D84" i="123"/>
  <c r="D85" i="123" s="1"/>
  <c r="BQ270" i="515"/>
  <c r="BQ278" i="515" s="1"/>
  <c r="BQ277" i="515"/>
  <c r="S492" i="515"/>
  <c r="CT211" i="515"/>
  <c r="CT258" i="515"/>
  <c r="CT242" i="515"/>
  <c r="CT218" i="515"/>
  <c r="CX218" i="515"/>
  <c r="CS372" i="515"/>
  <c r="CW372" i="515"/>
  <c r="U343" i="515"/>
  <c r="V343" i="515" s="1"/>
  <c r="W343" i="515" s="1"/>
  <c r="X343" i="515" s="1"/>
  <c r="Y343" i="515" s="1"/>
  <c r="Z343" i="515" s="1"/>
  <c r="AA343" i="515" s="1"/>
  <c r="AB343" i="515" s="1"/>
  <c r="BG23" i="515"/>
  <c r="BG109" i="515" s="1"/>
  <c r="BG19" i="515"/>
  <c r="CO11" i="515"/>
  <c r="CO16" i="515"/>
  <c r="CM285" i="515"/>
  <c r="CQ285" i="515"/>
  <c r="CQ281" i="515"/>
  <c r="I120" i="123"/>
  <c r="I79" i="123"/>
  <c r="CN17" i="515"/>
  <c r="CN99" i="515"/>
  <c r="BO37" i="515"/>
  <c r="BO45" i="515" s="1"/>
  <c r="BO110" i="515"/>
  <c r="CK279" i="515"/>
  <c r="CK287" i="515" s="1"/>
  <c r="CO287" i="515"/>
  <c r="CX17" i="515"/>
  <c r="CX99" i="515"/>
  <c r="M372" i="515"/>
  <c r="BZ422" i="515"/>
  <c r="BV422" i="515"/>
  <c r="AJ110" i="515"/>
  <c r="AJ101" i="515"/>
  <c r="AJ41" i="515"/>
  <c r="AJ45" i="515"/>
  <c r="AJ38" i="515"/>
  <c r="AN101" i="515"/>
  <c r="CQ419" i="515"/>
  <c r="CM421" i="515"/>
  <c r="CM419" i="515"/>
  <c r="BF16" i="515"/>
  <c r="BF11" i="515"/>
  <c r="BF534" i="515" s="1"/>
  <c r="BF535" i="515" s="1"/>
  <c r="BF23" i="515"/>
  <c r="BF109" i="515" s="1"/>
  <c r="AI11" i="515"/>
  <c r="AI111" i="515" s="1"/>
  <c r="AI23" i="515"/>
  <c r="AI109" i="515" s="1"/>
  <c r="BM110" i="515"/>
  <c r="BM37" i="515"/>
  <c r="BM45" i="515" s="1"/>
  <c r="CS422" i="515"/>
  <c r="BB41" i="515"/>
  <c r="BB110" i="515"/>
  <c r="BB101" i="515"/>
  <c r="BB45" i="515"/>
  <c r="BF101" i="515"/>
  <c r="CG366" i="515"/>
  <c r="CG374" i="515" s="1"/>
  <c r="CG368" i="515"/>
  <c r="CG373" i="515"/>
  <c r="P173" i="123"/>
  <c r="O179" i="123"/>
  <c r="E35" i="515"/>
  <c r="E23" i="515"/>
  <c r="N413" i="515"/>
  <c r="M418" i="515"/>
  <c r="M413" i="515"/>
  <c r="CF286" i="515"/>
  <c r="CB286" i="515"/>
  <c r="CT99" i="515"/>
  <c r="CT17" i="515"/>
  <c r="AM208" i="515"/>
  <c r="AM8" i="515"/>
  <c r="AM11" i="515" s="1"/>
  <c r="AM166" i="515"/>
  <c r="AQ208" i="515"/>
  <c r="BU218" i="515"/>
  <c r="BQ248" i="515"/>
  <c r="R413" i="515"/>
  <c r="R418" i="515"/>
  <c r="S419" i="515" s="1"/>
  <c r="BD22" i="515"/>
  <c r="BD239" i="515"/>
  <c r="BH239" i="515"/>
  <c r="BD248" i="515"/>
  <c r="BI208" i="515"/>
  <c r="BM208" i="515"/>
  <c r="BI166" i="515"/>
  <c r="BI248" i="515" s="1"/>
  <c r="BI8" i="515"/>
  <c r="O419" i="515"/>
  <c r="O421" i="515"/>
  <c r="O422" i="515" s="1"/>
  <c r="BR16" i="515"/>
  <c r="BR11" i="515"/>
  <c r="CS353" i="515"/>
  <c r="CS348" i="515"/>
  <c r="CS350" i="515" s="1"/>
  <c r="BY309" i="515"/>
  <c r="CC309" i="515"/>
  <c r="J462" i="515"/>
  <c r="J447" i="515" s="1"/>
  <c r="J452" i="515" s="1"/>
  <c r="J495" i="515"/>
  <c r="BP111" i="515"/>
  <c r="BP47" i="515"/>
  <c r="CP421" i="515"/>
  <c r="CP419" i="515"/>
  <c r="CT419" i="515"/>
  <c r="CE419" i="515"/>
  <c r="CA421" i="515"/>
  <c r="CF421" i="515"/>
  <c r="CF419" i="515"/>
  <c r="CJ419" i="515"/>
  <c r="CN534" i="515"/>
  <c r="CN535" i="515" s="1"/>
  <c r="CN98" i="515"/>
  <c r="CN538" i="515"/>
  <c r="CN539" i="515" s="1"/>
  <c r="CN14" i="515"/>
  <c r="CN106" i="515" s="1"/>
  <c r="CX106" i="515"/>
  <c r="M365" i="515"/>
  <c r="M359" i="515"/>
  <c r="CG11" i="515"/>
  <c r="CG16" i="515"/>
  <c r="CR98" i="515"/>
  <c r="AZ533" i="515"/>
  <c r="AZ534" i="515" s="1"/>
  <c r="AZ535" i="515" s="1"/>
  <c r="AZ149" i="515"/>
  <c r="AZ268" i="515" s="1"/>
  <c r="AZ276" i="515" s="1"/>
  <c r="AZ243" i="515"/>
  <c r="AZ269" i="515"/>
  <c r="AZ277" i="515" s="1"/>
  <c r="BW309" i="515"/>
  <c r="BD16" i="515"/>
  <c r="BD99" i="515" s="1"/>
  <c r="BD11" i="515"/>
  <c r="CI259" i="515"/>
  <c r="CI173" i="515" s="1"/>
  <c r="AU38" i="515"/>
  <c r="AY101" i="515"/>
  <c r="AU41" i="515"/>
  <c r="AU45" i="515"/>
  <c r="AU110" i="515"/>
  <c r="AU101" i="515"/>
  <c r="L399" i="515"/>
  <c r="L400" i="515" s="1"/>
  <c r="L397" i="515"/>
  <c r="AZ98" i="515"/>
  <c r="AZ20" i="515"/>
  <c r="AZ14" i="515"/>
  <c r="AZ106" i="515" s="1"/>
  <c r="BA101" i="515"/>
  <c r="BA45" i="515"/>
  <c r="BA41" i="515"/>
  <c r="BA110" i="515"/>
  <c r="CI373" i="515"/>
  <c r="CJ259" i="515"/>
  <c r="CJ173" i="515" s="1"/>
  <c r="AW16" i="515"/>
  <c r="AW23" i="515"/>
  <c r="AW109" i="515" s="1"/>
  <c r="AW11" i="515"/>
  <c r="K375" i="515"/>
  <c r="K368" i="515"/>
  <c r="BX41" i="515"/>
  <c r="CA98" i="515"/>
  <c r="CA534" i="515"/>
  <c r="CA535" i="515" s="1"/>
  <c r="CA23" i="515"/>
  <c r="CA109" i="515" s="1"/>
  <c r="CA14" i="515"/>
  <c r="CA106" i="515" s="1"/>
  <c r="CE98" i="515"/>
  <c r="L365" i="515"/>
  <c r="L359" i="515"/>
  <c r="Q422" i="515"/>
  <c r="CM534" i="515"/>
  <c r="CM535" i="515" s="1"/>
  <c r="CM538" i="515"/>
  <c r="CM539" i="515" s="1"/>
  <c r="CQ98" i="515"/>
  <c r="I35" i="515"/>
  <c r="I23" i="515"/>
  <c r="AP17" i="515"/>
  <c r="AP107" i="515" s="1"/>
  <c r="BH8" i="515"/>
  <c r="BH208" i="515"/>
  <c r="BH166" i="515"/>
  <c r="BH248" i="515" s="1"/>
  <c r="BL208" i="515"/>
  <c r="G98" i="515"/>
  <c r="G11" i="515"/>
  <c r="G218" i="515"/>
  <c r="H98" i="515"/>
  <c r="G248" i="515"/>
  <c r="H218" i="515"/>
  <c r="BY421" i="515"/>
  <c r="BY422" i="515" s="1"/>
  <c r="BY419" i="515"/>
  <c r="CC419" i="515"/>
  <c r="BN288" i="515"/>
  <c r="BR288" i="515"/>
  <c r="CM17" i="515"/>
  <c r="CY99" i="515"/>
  <c r="CY17" i="515"/>
  <c r="O300" i="515"/>
  <c r="P312" i="515" s="1"/>
  <c r="CO312" i="515"/>
  <c r="BC22" i="515"/>
  <c r="BC248" i="515"/>
  <c r="BC239" i="515"/>
  <c r="BW288" i="515"/>
  <c r="CA288" i="515"/>
  <c r="D286" i="515"/>
  <c r="C286" i="515"/>
  <c r="CT373" i="515"/>
  <c r="CX373" i="515"/>
  <c r="CS213" i="515"/>
  <c r="CS166" i="515"/>
  <c r="CS160" i="515"/>
  <c r="CS244" i="515"/>
  <c r="CS219" i="515"/>
  <c r="CS169" i="515"/>
  <c r="CS358" i="515"/>
  <c r="DA344" i="515"/>
  <c r="DA252" i="515"/>
  <c r="DA253" i="515" s="1"/>
  <c r="CE100" i="515"/>
  <c r="CE23" i="515"/>
  <c r="CE109" i="515" s="1"/>
  <c r="CE19" i="515"/>
  <c r="CZ99" i="515"/>
  <c r="CV17" i="515"/>
  <c r="BP287" i="515"/>
  <c r="BT287" i="515"/>
  <c r="CO160" i="515"/>
  <c r="CO219" i="515"/>
  <c r="CO166" i="515"/>
  <c r="CO218" i="515" s="1"/>
  <c r="CO213" i="515"/>
  <c r="CO358" i="515"/>
  <c r="CO365" i="515" s="1"/>
  <c r="CO373" i="515" s="1"/>
  <c r="BX286" i="515"/>
  <c r="CA111" i="515"/>
  <c r="BX373" i="515"/>
  <c r="BX368" i="515"/>
  <c r="CB373" i="515"/>
  <c r="BX366" i="515"/>
  <c r="CY242" i="515"/>
  <c r="CY258" i="515"/>
  <c r="CY211" i="515"/>
  <c r="BK248" i="515"/>
  <c r="I450" i="515"/>
  <c r="I454" i="515" s="1"/>
  <c r="H466" i="515"/>
  <c r="W296" i="515"/>
  <c r="V263" i="515"/>
  <c r="V295" i="515"/>
  <c r="V309" i="515" s="1"/>
  <c r="P422" i="515"/>
  <c r="Y193" i="123"/>
  <c r="Z214" i="123"/>
  <c r="BQ101" i="515"/>
  <c r="CZ422" i="515"/>
  <c r="O440" i="515"/>
  <c r="CG422" i="515"/>
  <c r="BJ208" i="515"/>
  <c r="BJ8" i="515"/>
  <c r="AE41" i="515"/>
  <c r="AE38" i="515"/>
  <c r="AE110" i="515"/>
  <c r="AE45" i="515"/>
  <c r="AI102" i="515" s="1"/>
  <c r="M447" i="515"/>
  <c r="M452" i="515" s="1"/>
  <c r="M462" i="515"/>
  <c r="O9" i="515"/>
  <c r="O166" i="515"/>
  <c r="CJ373" i="515"/>
  <c r="CN373" i="515"/>
  <c r="I471" i="515"/>
  <c r="H470" i="515"/>
  <c r="H468" i="515" s="1"/>
  <c r="H469" i="515"/>
  <c r="AP285" i="515"/>
  <c r="AT285" i="515"/>
  <c r="BC269" i="515"/>
  <c r="BC277" i="515" s="1"/>
  <c r="BC243" i="515"/>
  <c r="BC149" i="515"/>
  <c r="BC268" i="515" s="1"/>
  <c r="BC276" i="515" s="1"/>
  <c r="BC533" i="515"/>
  <c r="BC534" i="515" s="1"/>
  <c r="BC535" i="515" s="1"/>
  <c r="AR16" i="515"/>
  <c r="AR11" i="515"/>
  <c r="AR23" i="515"/>
  <c r="AR109" i="515" s="1"/>
  <c r="AZ99" i="515"/>
  <c r="AZ17" i="515"/>
  <c r="AZ107" i="515" s="1"/>
  <c r="H114" i="515"/>
  <c r="H110" i="515"/>
  <c r="H101" i="515"/>
  <c r="BN11" i="515"/>
  <c r="BN16" i="515"/>
  <c r="BX45" i="515"/>
  <c r="CK421" i="515"/>
  <c r="CK422" i="515" s="1"/>
  <c r="CK419" i="515"/>
  <c r="BV368" i="515"/>
  <c r="BV375" i="515"/>
  <c r="BZ375" i="515"/>
  <c r="BV366" i="515"/>
  <c r="K22" i="515"/>
  <c r="L239" i="515"/>
  <c r="K100" i="515"/>
  <c r="L100" i="515"/>
  <c r="K239" i="515"/>
  <c r="K248" i="515"/>
  <c r="P205" i="123"/>
  <c r="Q54" i="123"/>
  <c r="P203" i="123"/>
  <c r="P199" i="123"/>
  <c r="G89" i="123"/>
  <c r="D120" i="515"/>
  <c r="D115" i="515"/>
  <c r="D121" i="515" s="1"/>
  <c r="D109" i="515"/>
  <c r="CH365" i="515"/>
  <c r="CF37" i="515"/>
  <c r="CF38" i="515" s="1"/>
  <c r="CF110" i="515"/>
  <c r="CF101" i="515"/>
  <c r="BE239" i="515"/>
  <c r="BE22" i="515"/>
  <c r="BI239" i="515"/>
  <c r="BE248" i="515"/>
  <c r="AK23" i="515"/>
  <c r="AK109" i="515" s="1"/>
  <c r="AO100" i="515"/>
  <c r="AK100" i="515"/>
  <c r="AD534" i="515"/>
  <c r="AD535" i="515" s="1"/>
  <c r="CI321" i="515"/>
  <c r="CI316" i="515"/>
  <c r="CJ285" i="515"/>
  <c r="CN285" i="515"/>
  <c r="BS110" i="515"/>
  <c r="BW101" i="515"/>
  <c r="BS37" i="515"/>
  <c r="BS38" i="515" s="1"/>
  <c r="BS101" i="515"/>
  <c r="BS366" i="515"/>
  <c r="BW374" i="515" s="1"/>
  <c r="BS368" i="515"/>
  <c r="BW375" i="515"/>
  <c r="CA538" i="515"/>
  <c r="CA539" i="515" s="1"/>
  <c r="C285" i="515"/>
  <c r="D285" i="515"/>
  <c r="CS16" i="515"/>
  <c r="CS538" i="515"/>
  <c r="CS539" i="515" s="1"/>
  <c r="CS110" i="515"/>
  <c r="CS14" i="515"/>
  <c r="CS106" i="515" s="1"/>
  <c r="CS534" i="515"/>
  <c r="CS535" i="515" s="1"/>
  <c r="CS23" i="515"/>
  <c r="CS109" i="515" s="1"/>
  <c r="Q162" i="515"/>
  <c r="Q357" i="515" s="1"/>
  <c r="Q364" i="515" s="1"/>
  <c r="Q145" i="515"/>
  <c r="Q356" i="515"/>
  <c r="Q363" i="515" s="1"/>
  <c r="Q371" i="515" s="1"/>
  <c r="Q126" i="515"/>
  <c r="Q142" i="515"/>
  <c r="Q346" i="515"/>
  <c r="Q348" i="515" s="1"/>
  <c r="CC253" i="515"/>
  <c r="BY253" i="515"/>
  <c r="BG239" i="515"/>
  <c r="P154" i="515"/>
  <c r="P347" i="515"/>
  <c r="P348" i="515" s="1"/>
  <c r="P162" i="515"/>
  <c r="P148" i="515"/>
  <c r="BX285" i="515"/>
  <c r="BV219" i="515"/>
  <c r="BR269" i="515"/>
  <c r="BR243" i="515"/>
  <c r="BR160" i="515"/>
  <c r="BR258" i="515" s="1"/>
  <c r="BR212" i="515"/>
  <c r="BV212" i="515"/>
  <c r="BR533" i="515"/>
  <c r="BR534" i="515" s="1"/>
  <c r="BR535" i="515" s="1"/>
  <c r="BR166" i="515"/>
  <c r="AT100" i="515"/>
  <c r="AX100" i="515"/>
  <c r="AT23" i="515"/>
  <c r="AT109" i="515" s="1"/>
  <c r="Q119" i="123"/>
  <c r="M39" i="515"/>
  <c r="R119" i="123" s="1"/>
  <c r="I55" i="3"/>
  <c r="I48" i="3"/>
  <c r="CV99" i="515"/>
  <c r="CR17" i="515"/>
  <c r="CR99" i="515"/>
  <c r="CH17" i="515"/>
  <c r="CL99" i="515"/>
  <c r="CH99" i="515"/>
  <c r="CG277" i="515"/>
  <c r="CG270" i="515"/>
  <c r="CG278" i="515" s="1"/>
  <c r="CG286" i="515" s="1"/>
  <c r="CG211" i="515"/>
  <c r="CG242" i="515"/>
  <c r="CK211" i="515"/>
  <c r="BQ45" i="515"/>
  <c r="Y176" i="515"/>
  <c r="CI14" i="515"/>
  <c r="CI534" i="515"/>
  <c r="CI535" i="515" s="1"/>
  <c r="CI538" i="515"/>
  <c r="CI539" i="515" s="1"/>
  <c r="CI98" i="515"/>
  <c r="CM98" i="515"/>
  <c r="BZ19" i="515"/>
  <c r="BZ23" i="515"/>
  <c r="BZ109" i="515" s="1"/>
  <c r="BZ100" i="515"/>
  <c r="CD100" i="515"/>
  <c r="T399" i="515"/>
  <c r="T400" i="515" s="1"/>
  <c r="BI45" i="515"/>
  <c r="CR106" i="515"/>
  <c r="BN101" i="515"/>
  <c r="BJ101" i="515"/>
  <c r="BJ37" i="515"/>
  <c r="BJ45" i="515" s="1"/>
  <c r="M121" i="515"/>
  <c r="R82" i="123"/>
  <c r="R76" i="123"/>
  <c r="AZ110" i="515"/>
  <c r="AZ41" i="515"/>
  <c r="AZ45" i="515"/>
  <c r="CG258" i="515"/>
  <c r="CK259" i="515" s="1"/>
  <c r="CG218" i="515"/>
  <c r="CG248" i="515"/>
  <c r="CK218" i="515"/>
  <c r="BQ41" i="515"/>
  <c r="T257" i="123"/>
  <c r="T258" i="123" s="1"/>
  <c r="T200" i="123"/>
  <c r="T201" i="123"/>
  <c r="AP208" i="515"/>
  <c r="AL208" i="515"/>
  <c r="AL8" i="515"/>
  <c r="AL166" i="515"/>
  <c r="AL248" i="515" s="1"/>
  <c r="AF43" i="123"/>
  <c r="J103" i="123"/>
  <c r="J119" i="123"/>
  <c r="CH14" i="515"/>
  <c r="CH106" i="515" s="1"/>
  <c r="CH538" i="515"/>
  <c r="CH539" i="515" s="1"/>
  <c r="CH534" i="515"/>
  <c r="CH535" i="515" s="1"/>
  <c r="CL98" i="515"/>
  <c r="CH98" i="515"/>
  <c r="M277" i="515"/>
  <c r="M270" i="515"/>
  <c r="M278" i="515" s="1"/>
  <c r="AM248" i="515"/>
  <c r="AM239" i="515"/>
  <c r="AM22" i="515"/>
  <c r="AQ239" i="515"/>
  <c r="AN8" i="515"/>
  <c r="AR208" i="515"/>
  <c r="AN166" i="515"/>
  <c r="AN248" i="515" s="1"/>
  <c r="AN208" i="515"/>
  <c r="V415" i="515"/>
  <c r="W415" i="515" s="1"/>
  <c r="X415" i="515" s="1"/>
  <c r="J206" i="123"/>
  <c r="G103" i="515"/>
  <c r="S200" i="123"/>
  <c r="S257" i="123"/>
  <c r="S258" i="123" s="1"/>
  <c r="S201" i="123"/>
  <c r="P440" i="515"/>
  <c r="P442" i="515"/>
  <c r="U254" i="123"/>
  <c r="U226" i="123"/>
  <c r="V225" i="123" s="1"/>
  <c r="CE285" i="515"/>
  <c r="CI285" i="515"/>
  <c r="DD156" i="515"/>
  <c r="F386" i="515"/>
  <c r="F397" i="515"/>
  <c r="G386" i="515"/>
  <c r="CI17" i="515"/>
  <c r="CM99" i="515"/>
  <c r="CI99" i="515"/>
  <c r="V397" i="515"/>
  <c r="U396" i="515"/>
  <c r="S165" i="515"/>
  <c r="F400" i="515"/>
  <c r="CH422" i="515" l="1"/>
  <c r="P371" i="515"/>
  <c r="BG270" i="515"/>
  <c r="BG278" i="515" s="1"/>
  <c r="BK286" i="515" s="1"/>
  <c r="BG277" i="515"/>
  <c r="BK285" i="515" s="1"/>
  <c r="DE268" i="515"/>
  <c r="DE276" i="515" s="1"/>
  <c r="DE284" i="515" s="1"/>
  <c r="DE272" i="515"/>
  <c r="DE267" i="515"/>
  <c r="DE275" i="515" s="1"/>
  <c r="DE283" i="515" s="1"/>
  <c r="DE285" i="515"/>
  <c r="X183" i="123"/>
  <c r="BV103" i="515"/>
  <c r="DI229" i="515"/>
  <c r="DA367" i="515"/>
  <c r="DA375" i="515" s="1"/>
  <c r="DA359" i="515"/>
  <c r="DA366" i="515" s="1"/>
  <c r="DE374" i="515" s="1"/>
  <c r="CH107" i="515"/>
  <c r="CV107" i="515"/>
  <c r="CE20" i="515"/>
  <c r="CY107" i="515"/>
  <c r="CM107" i="515"/>
  <c r="CT107" i="515"/>
  <c r="CN107" i="515"/>
  <c r="BG20" i="515"/>
  <c r="CA107" i="515"/>
  <c r="F108" i="515"/>
  <c r="BB108" i="515"/>
  <c r="BB107" i="515"/>
  <c r="CP107" i="515"/>
  <c r="CD20" i="515"/>
  <c r="CZ107" i="515"/>
  <c r="CJ107" i="515"/>
  <c r="BU107" i="515"/>
  <c r="CI107" i="515"/>
  <c r="BZ20" i="515"/>
  <c r="CR107" i="515"/>
  <c r="K23" i="515"/>
  <c r="AZ108" i="515"/>
  <c r="CX107" i="515"/>
  <c r="AP108" i="515"/>
  <c r="CA20" i="515"/>
  <c r="E108" i="515"/>
  <c r="BE107" i="515"/>
  <c r="CD107" i="515"/>
  <c r="BE108" i="515"/>
  <c r="D108" i="515"/>
  <c r="AS108" i="515"/>
  <c r="P19" i="515"/>
  <c r="BA108" i="515"/>
  <c r="CZ373" i="515"/>
  <c r="DD373" i="515"/>
  <c r="I103" i="123"/>
  <c r="I108" i="123" s="1"/>
  <c r="I106" i="123" s="1"/>
  <c r="I109" i="123" s="1"/>
  <c r="I110" i="123" s="1"/>
  <c r="I119" i="123"/>
  <c r="L419" i="515"/>
  <c r="L421" i="515"/>
  <c r="L422" i="515" s="1"/>
  <c r="C91" i="515"/>
  <c r="F97" i="123"/>
  <c r="F100" i="123" s="1"/>
  <c r="C496" i="515"/>
  <c r="C111" i="515"/>
  <c r="C493" i="515"/>
  <c r="C47" i="515"/>
  <c r="CF108" i="515"/>
  <c r="BL108" i="515"/>
  <c r="BS108" i="515"/>
  <c r="BM108" i="515"/>
  <c r="F103" i="123"/>
  <c r="F108" i="123" s="1"/>
  <c r="F119" i="123"/>
  <c r="BW108" i="515"/>
  <c r="CC108" i="515"/>
  <c r="BO108" i="515"/>
  <c r="BT108" i="515"/>
  <c r="DH269" i="515"/>
  <c r="DH161" i="515" s="1"/>
  <c r="DH127" i="515" s="1"/>
  <c r="DH144" i="515" s="1"/>
  <c r="CK17" i="515"/>
  <c r="CW22" i="515"/>
  <c r="CW582" i="515"/>
  <c r="CW239" i="515"/>
  <c r="U448" i="515"/>
  <c r="T462" i="515"/>
  <c r="DH421" i="515"/>
  <c r="Y415" i="515"/>
  <c r="Z415" i="515" s="1"/>
  <c r="AA415" i="515" s="1"/>
  <c r="AB415" i="515" s="1"/>
  <c r="DH416" i="515"/>
  <c r="DF416" i="515"/>
  <c r="DG416" i="515"/>
  <c r="CY373" i="515"/>
  <c r="DC373" i="515"/>
  <c r="DC422" i="515"/>
  <c r="DG421" i="515"/>
  <c r="DF421" i="515"/>
  <c r="DB422" i="515"/>
  <c r="AX110" i="515"/>
  <c r="AX41" i="515"/>
  <c r="AX45" i="515"/>
  <c r="BB102" i="515" s="1"/>
  <c r="Y26" i="515"/>
  <c r="Z26" i="515" s="1"/>
  <c r="AA26" i="515" s="1"/>
  <c r="AB26" i="515" s="1"/>
  <c r="DD212" i="515"/>
  <c r="DC278" i="515"/>
  <c r="DG279" i="515"/>
  <c r="DG271" i="515" s="1"/>
  <c r="DG268" i="515"/>
  <c r="DG149" i="515" s="1"/>
  <c r="DG156" i="515" s="1"/>
  <c r="DC285" i="515"/>
  <c r="DG277" i="515"/>
  <c r="DG269" i="515" s="1"/>
  <c r="DG161" i="515" s="1"/>
  <c r="DG212" i="515" s="1"/>
  <c r="H55" i="3"/>
  <c r="H48" i="3"/>
  <c r="DH212" i="515"/>
  <c r="DH283" i="515"/>
  <c r="DH267" i="515"/>
  <c r="DH365" i="515"/>
  <c r="DH162" i="515"/>
  <c r="DH160" i="515" s="1"/>
  <c r="DH258" i="515" s="1"/>
  <c r="DG365" i="515"/>
  <c r="DG360" i="515"/>
  <c r="DG162" i="515"/>
  <c r="U399" i="515"/>
  <c r="U400" i="515" s="1"/>
  <c r="DI384" i="515"/>
  <c r="DI386" i="515"/>
  <c r="DI97" i="515"/>
  <c r="DI310" i="515"/>
  <c r="DE309" i="515"/>
  <c r="DI309" i="515"/>
  <c r="S217" i="515"/>
  <c r="CX422" i="515"/>
  <c r="V45" i="3"/>
  <c r="U48" i="3"/>
  <c r="S463" i="515"/>
  <c r="DD144" i="515"/>
  <c r="DD533" i="515"/>
  <c r="BE285" i="515"/>
  <c r="BA285" i="515"/>
  <c r="DA217" i="515"/>
  <c r="CU17" i="515"/>
  <c r="CU99" i="515"/>
  <c r="BW419" i="515"/>
  <c r="BW421" i="515"/>
  <c r="BW422" i="515" s="1"/>
  <c r="AL38" i="515"/>
  <c r="AL101" i="515"/>
  <c r="AL41" i="515"/>
  <c r="AL45" i="515"/>
  <c r="AP101" i="515"/>
  <c r="R103" i="123"/>
  <c r="CA72" i="515"/>
  <c r="AH98" i="515"/>
  <c r="BU20" i="515"/>
  <c r="Q19" i="515"/>
  <c r="CA47" i="515"/>
  <c r="CA103" i="515" s="1"/>
  <c r="CA419" i="515"/>
  <c r="Y11" i="3"/>
  <c r="AA21" i="123"/>
  <c r="AB21" i="123" s="1"/>
  <c r="CM259" i="515"/>
  <c r="CM173" i="515" s="1"/>
  <c r="AD38" i="515"/>
  <c r="AD45" i="515"/>
  <c r="AD41" i="515"/>
  <c r="AH101" i="515"/>
  <c r="AQ17" i="515"/>
  <c r="AQ107" i="515" s="1"/>
  <c r="AU99" i="515"/>
  <c r="D99" i="515"/>
  <c r="D17" i="515"/>
  <c r="CR422" i="515"/>
  <c r="CV422" i="515"/>
  <c r="AQ20" i="515"/>
  <c r="AQ108" i="515" s="1"/>
  <c r="AQ534" i="515"/>
  <c r="AQ535" i="515" s="1"/>
  <c r="AU98" i="515"/>
  <c r="AQ14" i="515"/>
  <c r="AQ106" i="515" s="1"/>
  <c r="AQ38" i="515"/>
  <c r="AQ110" i="515"/>
  <c r="AQ41" i="515"/>
  <c r="AQ45" i="515"/>
  <c r="AU102" i="515" s="1"/>
  <c r="Q127" i="123"/>
  <c r="L534" i="515"/>
  <c r="L535" i="515" s="1"/>
  <c r="L110" i="515"/>
  <c r="L531" i="515"/>
  <c r="Q104" i="123"/>
  <c r="Q108" i="123" s="1"/>
  <c r="L109" i="515"/>
  <c r="Q98" i="123"/>
  <c r="Q132" i="123"/>
  <c r="Q133" i="123" s="1"/>
  <c r="L23" i="515"/>
  <c r="L528" i="515"/>
  <c r="Q160" i="123"/>
  <c r="L525" i="515"/>
  <c r="BH45" i="515"/>
  <c r="BH47" i="515" s="1"/>
  <c r="BY41" i="515"/>
  <c r="BY45" i="515"/>
  <c r="BU270" i="515"/>
  <c r="BU278" i="515" s="1"/>
  <c r="BY286" i="515" s="1"/>
  <c r="BU277" i="515"/>
  <c r="BY285" i="515" s="1"/>
  <c r="AH534" i="515"/>
  <c r="AH535" i="515" s="1"/>
  <c r="AM35" i="515"/>
  <c r="AM28" i="515"/>
  <c r="BE28" i="515"/>
  <c r="BE35" i="515"/>
  <c r="O285" i="515"/>
  <c r="P285" i="515"/>
  <c r="E99" i="515"/>
  <c r="E17" i="515"/>
  <c r="AG111" i="515"/>
  <c r="AG55" i="515"/>
  <c r="N365" i="515"/>
  <c r="N368" i="515" s="1"/>
  <c r="N359" i="515"/>
  <c r="K127" i="123"/>
  <c r="K132" i="123"/>
  <c r="K133" i="123" s="1"/>
  <c r="H23" i="515"/>
  <c r="K104" i="123"/>
  <c r="K160" i="123"/>
  <c r="BL101" i="515"/>
  <c r="BP101" i="515"/>
  <c r="BL110" i="515"/>
  <c r="BL37" i="515"/>
  <c r="BK35" i="515"/>
  <c r="BK28" i="515"/>
  <c r="CE373" i="515"/>
  <c r="CE366" i="515"/>
  <c r="CE374" i="515" s="1"/>
  <c r="CE368" i="515"/>
  <c r="B41" i="515"/>
  <c r="B45" i="515" s="1"/>
  <c r="B38" i="515"/>
  <c r="U411" i="515"/>
  <c r="DF411" i="515" s="1"/>
  <c r="DG411" i="515" s="1"/>
  <c r="DH411" i="515" s="1"/>
  <c r="AH111" i="515"/>
  <c r="CY422" i="515"/>
  <c r="CU422" i="515"/>
  <c r="BC35" i="515"/>
  <c r="BG101" i="515" s="1"/>
  <c r="BC28" i="515"/>
  <c r="BD28" i="515"/>
  <c r="BD35" i="515"/>
  <c r="N248" i="515"/>
  <c r="N218" i="515"/>
  <c r="N98" i="515"/>
  <c r="N11" i="515"/>
  <c r="CA374" i="515"/>
  <c r="M110" i="515"/>
  <c r="M525" i="515"/>
  <c r="R127" i="123"/>
  <c r="M23" i="515"/>
  <c r="R160" i="123"/>
  <c r="R104" i="123"/>
  <c r="M528" i="515"/>
  <c r="R132" i="123"/>
  <c r="R133" i="123" s="1"/>
  <c r="M531" i="515"/>
  <c r="M109" i="515"/>
  <c r="R98" i="123"/>
  <c r="B120" i="515"/>
  <c r="B115" i="515"/>
  <c r="B121" i="515" s="1"/>
  <c r="E89" i="123"/>
  <c r="BH41" i="515"/>
  <c r="CB47" i="515"/>
  <c r="CB111" i="515"/>
  <c r="CB72" i="515"/>
  <c r="AV38" i="515"/>
  <c r="AV45" i="515"/>
  <c r="AZ102" i="515" s="1"/>
  <c r="AV41" i="515"/>
  <c r="AV101" i="515"/>
  <c r="AV110" i="515"/>
  <c r="BU248" i="515"/>
  <c r="BY218" i="515"/>
  <c r="BJ41" i="515"/>
  <c r="BS41" i="515"/>
  <c r="BS45" i="515"/>
  <c r="BS102" i="515" s="1"/>
  <c r="J464" i="515"/>
  <c r="K461" i="515" s="1"/>
  <c r="K464" i="515" s="1"/>
  <c r="L461" i="515" s="1"/>
  <c r="DA216" i="515"/>
  <c r="DA246" i="515"/>
  <c r="BP14" i="515"/>
  <c r="BP106" i="515" s="1"/>
  <c r="BT98" i="515"/>
  <c r="BP534" i="515"/>
  <c r="BP535" i="515" s="1"/>
  <c r="BP23" i="515"/>
  <c r="BP109" i="515" s="1"/>
  <c r="BP110" i="515"/>
  <c r="BP98" i="515"/>
  <c r="BP17" i="515"/>
  <c r="BT99" i="515"/>
  <c r="BP19" i="515"/>
  <c r="BP99" i="515"/>
  <c r="AB44" i="123"/>
  <c r="AA45" i="123"/>
  <c r="Z56" i="123"/>
  <c r="X13" i="3"/>
  <c r="BM111" i="515"/>
  <c r="BM47" i="515"/>
  <c r="P357" i="515"/>
  <c r="P364" i="515" s="1"/>
  <c r="P372" i="515" s="1"/>
  <c r="P358" i="515"/>
  <c r="P365" i="515" s="1"/>
  <c r="P373" i="515" s="1"/>
  <c r="P160" i="515"/>
  <c r="W295" i="515"/>
  <c r="W309" i="515" s="1"/>
  <c r="X296" i="515"/>
  <c r="W263" i="515"/>
  <c r="CG98" i="515"/>
  <c r="CG110" i="515"/>
  <c r="CG23" i="515"/>
  <c r="CG109" i="515" s="1"/>
  <c r="CG14" i="515"/>
  <c r="CG106" i="515" s="1"/>
  <c r="CK98" i="515"/>
  <c r="CG538" i="515"/>
  <c r="CG539" i="515" s="1"/>
  <c r="CG111" i="515"/>
  <c r="CM422" i="515"/>
  <c r="CQ422" i="515"/>
  <c r="J110" i="515"/>
  <c r="J101" i="515"/>
  <c r="J114" i="515"/>
  <c r="L38" i="515"/>
  <c r="L41" i="515"/>
  <c r="L45" i="515" s="1"/>
  <c r="BS270" i="515"/>
  <c r="BS278" i="515" s="1"/>
  <c r="BS277" i="515"/>
  <c r="U255" i="123"/>
  <c r="Q372" i="515"/>
  <c r="CS99" i="515"/>
  <c r="CS17" i="515"/>
  <c r="CS19" i="515"/>
  <c r="BS111" i="515"/>
  <c r="CM321" i="515"/>
  <c r="CM315" i="515" s="1"/>
  <c r="CM317" i="515" s="1"/>
  <c r="CM323" i="515" s="1"/>
  <c r="CN323" i="515" s="1"/>
  <c r="CN317" i="515" s="1"/>
  <c r="CI315" i="515"/>
  <c r="CF45" i="515"/>
  <c r="G119" i="123"/>
  <c r="G103" i="123"/>
  <c r="G108" i="123" s="1"/>
  <c r="G106" i="123" s="1"/>
  <c r="G109" i="123" s="1"/>
  <c r="G110" i="123" s="1"/>
  <c r="BV374" i="515"/>
  <c r="BZ374" i="515"/>
  <c r="BX111" i="515"/>
  <c r="BX47" i="515"/>
  <c r="CB103" i="515" s="1"/>
  <c r="BX72" i="515"/>
  <c r="CB102" i="515"/>
  <c r="H115" i="515"/>
  <c r="M89" i="123"/>
  <c r="H120" i="515"/>
  <c r="H109" i="515"/>
  <c r="AR20" i="515"/>
  <c r="AR14" i="515"/>
  <c r="AR106" i="515" s="1"/>
  <c r="AR110" i="515"/>
  <c r="AV98" i="515"/>
  <c r="AR111" i="515"/>
  <c r="AR534" i="515"/>
  <c r="AR535" i="515" s="1"/>
  <c r="I469" i="515"/>
  <c r="I470" i="515"/>
  <c r="J471" i="515"/>
  <c r="O11" i="515"/>
  <c r="O218" i="515"/>
  <c r="O98" i="515"/>
  <c r="CO258" i="515"/>
  <c r="CO259" i="515" s="1"/>
  <c r="CO173" i="515" s="1"/>
  <c r="CO242" i="515"/>
  <c r="CO211" i="515"/>
  <c r="CS365" i="515"/>
  <c r="CS359" i="515"/>
  <c r="CS366" i="515" s="1"/>
  <c r="CS211" i="515"/>
  <c r="CS242" i="515"/>
  <c r="CN259" i="515"/>
  <c r="BD285" i="515"/>
  <c r="AZ285" i="515"/>
  <c r="M366" i="515"/>
  <c r="M350" i="515"/>
  <c r="CA422" i="515"/>
  <c r="CE422" i="515"/>
  <c r="BI16" i="515"/>
  <c r="BI11" i="515"/>
  <c r="BI111" i="515" s="1"/>
  <c r="BI23" i="515"/>
  <c r="BI109" i="515" s="1"/>
  <c r="R421" i="515"/>
  <c r="S422" i="515" s="1"/>
  <c r="R419" i="515"/>
  <c r="BB47" i="515"/>
  <c r="BB51" i="515"/>
  <c r="BB55" i="515" s="1"/>
  <c r="BB111" i="515"/>
  <c r="BF102" i="515"/>
  <c r="BF14" i="515"/>
  <c r="BF106" i="515" s="1"/>
  <c r="BF110" i="515"/>
  <c r="BF98" i="515"/>
  <c r="BF111" i="515"/>
  <c r="BO111" i="515"/>
  <c r="BO47" i="515"/>
  <c r="S163" i="515"/>
  <c r="CH259" i="515"/>
  <c r="CH173" i="515" s="1"/>
  <c r="BJ285" i="515"/>
  <c r="BF285" i="515"/>
  <c r="I472" i="515"/>
  <c r="J473" i="515"/>
  <c r="AY17" i="515"/>
  <c r="AY107" i="515" s="1"/>
  <c r="BC99" i="515"/>
  <c r="AY99" i="515"/>
  <c r="P213" i="515"/>
  <c r="BW218" i="515"/>
  <c r="BS218" i="515"/>
  <c r="BS248" i="515"/>
  <c r="BN14" i="515"/>
  <c r="BN106" i="515" s="1"/>
  <c r="BN534" i="515"/>
  <c r="BN535" i="515" s="1"/>
  <c r="BN110" i="515"/>
  <c r="BN23" i="515"/>
  <c r="BN109" i="515" s="1"/>
  <c r="BN111" i="515"/>
  <c r="BC285" i="515"/>
  <c r="BA99" i="515"/>
  <c r="AW99" i="515"/>
  <c r="AW17" i="515"/>
  <c r="AW107" i="515" s="1"/>
  <c r="CJ174" i="515"/>
  <c r="CJ272" i="515"/>
  <c r="CJ223" i="515"/>
  <c r="CJ243" i="515"/>
  <c r="AM98" i="515"/>
  <c r="AM534" i="515"/>
  <c r="AM535" i="515" s="1"/>
  <c r="AQ98" i="515"/>
  <c r="CO538" i="515"/>
  <c r="CO539" i="515" s="1"/>
  <c r="CO534" i="515"/>
  <c r="CO535" i="515" s="1"/>
  <c r="CO14" i="515"/>
  <c r="CO106" i="515" s="1"/>
  <c r="CO98" i="515"/>
  <c r="BV218" i="515"/>
  <c r="BR248" i="515"/>
  <c r="BR218" i="515"/>
  <c r="BR270" i="515"/>
  <c r="BR278" i="515" s="1"/>
  <c r="BR277" i="515"/>
  <c r="P166" i="515"/>
  <c r="P9" i="515"/>
  <c r="Q166" i="515"/>
  <c r="Q8" i="515"/>
  <c r="Q140" i="515"/>
  <c r="Q160" i="515"/>
  <c r="Q213" i="515"/>
  <c r="Q358" i="515"/>
  <c r="Q365" i="515" s="1"/>
  <c r="BI100" i="515"/>
  <c r="BE23" i="515"/>
  <c r="BE109" i="515" s="1"/>
  <c r="BE100" i="515"/>
  <c r="CF41" i="515"/>
  <c r="CH373" i="515"/>
  <c r="CL373" i="515"/>
  <c r="P201" i="123"/>
  <c r="P226" i="123"/>
  <c r="P204" i="123"/>
  <c r="Q196" i="123"/>
  <c r="AV99" i="515"/>
  <c r="AR17" i="515"/>
  <c r="AR107" i="515" s="1"/>
  <c r="BJ11" i="515"/>
  <c r="BJ16" i="515"/>
  <c r="BN99" i="515" s="1"/>
  <c r="CG534" i="515"/>
  <c r="CG535" i="515" s="1"/>
  <c r="Z193" i="123"/>
  <c r="AA214" i="123"/>
  <c r="V97" i="515"/>
  <c r="I466" i="515"/>
  <c r="J450" i="515"/>
  <c r="J454" i="515" s="1"/>
  <c r="CE101" i="515"/>
  <c r="CE37" i="515"/>
  <c r="CE41" i="515" s="1"/>
  <c r="CE110" i="515"/>
  <c r="CS218" i="515"/>
  <c r="CS248" i="515"/>
  <c r="BC23" i="515"/>
  <c r="BC109" i="515" s="1"/>
  <c r="BC100" i="515"/>
  <c r="J160" i="123"/>
  <c r="J127" i="123"/>
  <c r="G20" i="515"/>
  <c r="J104" i="123"/>
  <c r="J108" i="123" s="1"/>
  <c r="J106" i="123" s="1"/>
  <c r="G13" i="515"/>
  <c r="G16" i="515" s="1"/>
  <c r="J132" i="123"/>
  <c r="J133" i="123" s="1"/>
  <c r="J98" i="123"/>
  <c r="G23" i="515"/>
  <c r="G110" i="515"/>
  <c r="G109" i="515"/>
  <c r="J97" i="123"/>
  <c r="G111" i="515"/>
  <c r="I110" i="515"/>
  <c r="I114" i="515"/>
  <c r="I101" i="515"/>
  <c r="L350" i="515"/>
  <c r="L366" i="515"/>
  <c r="L374" i="515" s="1"/>
  <c r="AW20" i="515"/>
  <c r="AW534" i="515"/>
  <c r="AW535" i="515" s="1"/>
  <c r="AW98" i="515"/>
  <c r="BA98" i="515"/>
  <c r="AW14" i="515"/>
  <c r="AW106" i="515" s="1"/>
  <c r="AW111" i="515"/>
  <c r="AW110" i="515"/>
  <c r="BA111" i="515"/>
  <c r="BA102" i="515"/>
  <c r="BA51" i="515"/>
  <c r="BA55" i="515" s="1"/>
  <c r="BA47" i="515"/>
  <c r="BA103" i="515" s="1"/>
  <c r="AU47" i="515"/>
  <c r="AU111" i="515"/>
  <c r="AY102" i="515"/>
  <c r="BD17" i="515"/>
  <c r="BD20" i="515"/>
  <c r="BD534" i="515"/>
  <c r="BD535" i="515" s="1"/>
  <c r="BD14" i="515"/>
  <c r="BD106" i="515" s="1"/>
  <c r="BD98" i="515"/>
  <c r="M373" i="515"/>
  <c r="N373" i="515"/>
  <c r="M368" i="515"/>
  <c r="CT422" i="515"/>
  <c r="CP422" i="515"/>
  <c r="BR23" i="515"/>
  <c r="BR109" i="515" s="1"/>
  <c r="BR14" i="515"/>
  <c r="BR106" i="515" s="1"/>
  <c r="BR98" i="515"/>
  <c r="BR110" i="515"/>
  <c r="BR111" i="515"/>
  <c r="BV98" i="515"/>
  <c r="CC422" i="515"/>
  <c r="M419" i="515"/>
  <c r="M421" i="515"/>
  <c r="N419" i="515"/>
  <c r="E114" i="515"/>
  <c r="E110" i="515"/>
  <c r="E37" i="515"/>
  <c r="E38" i="515" s="1"/>
  <c r="E101" i="515"/>
  <c r="F101" i="515"/>
  <c r="BM41" i="515"/>
  <c r="BF19" i="515"/>
  <c r="BF17" i="515"/>
  <c r="BF99" i="515"/>
  <c r="AJ55" i="515"/>
  <c r="AJ111" i="515"/>
  <c r="AJ102" i="515"/>
  <c r="AN102" i="515"/>
  <c r="BO41" i="515"/>
  <c r="BG100" i="515"/>
  <c r="S495" i="515"/>
  <c r="BQ285" i="515"/>
  <c r="D111" i="515"/>
  <c r="G97" i="123"/>
  <c r="G100" i="123" s="1"/>
  <c r="D496" i="515"/>
  <c r="D47" i="515"/>
  <c r="D103" i="515" s="1"/>
  <c r="D91" i="515"/>
  <c r="F9" i="3" s="1"/>
  <c r="F25" i="3" s="1"/>
  <c r="D493" i="515"/>
  <c r="V385" i="515"/>
  <c r="V396" i="515" s="1"/>
  <c r="V399" i="515" s="1"/>
  <c r="V400" i="515" s="1"/>
  <c r="N522" i="515"/>
  <c r="O519" i="515"/>
  <c r="F99" i="515"/>
  <c r="F17" i="515"/>
  <c r="J37" i="515"/>
  <c r="J38" i="515" s="1"/>
  <c r="Q203" i="123"/>
  <c r="Q205" i="123"/>
  <c r="R54" i="123"/>
  <c r="Q199" i="123"/>
  <c r="CF422" i="515"/>
  <c r="CJ422" i="515"/>
  <c r="BD23" i="515"/>
  <c r="BD109" i="515" s="1"/>
  <c r="BH100" i="515"/>
  <c r="BD100" i="515"/>
  <c r="Q173" i="123"/>
  <c r="P179" i="123"/>
  <c r="BG37" i="515"/>
  <c r="H37" i="515" s="1"/>
  <c r="BG110" i="515"/>
  <c r="AT101" i="515"/>
  <c r="AT41" i="515"/>
  <c r="AT45" i="515"/>
  <c r="AX101" i="515"/>
  <c r="AT110" i="515"/>
  <c r="AT38" i="515"/>
  <c r="CS98" i="515"/>
  <c r="AK41" i="515"/>
  <c r="AO101" i="515"/>
  <c r="AK38" i="515"/>
  <c r="AK110" i="515"/>
  <c r="AK101" i="515"/>
  <c r="AK45" i="515"/>
  <c r="BN19" i="515"/>
  <c r="BN17" i="515"/>
  <c r="AE111" i="515"/>
  <c r="AE55" i="515"/>
  <c r="BX374" i="515"/>
  <c r="CB374" i="515"/>
  <c r="BH16" i="515"/>
  <c r="BH11" i="515"/>
  <c r="BH23" i="515"/>
  <c r="BH109" i="515" s="1"/>
  <c r="L368" i="515"/>
  <c r="L373" i="515"/>
  <c r="CI243" i="515"/>
  <c r="CI223" i="515"/>
  <c r="CI272" i="515"/>
  <c r="CI174" i="515"/>
  <c r="CG17" i="515"/>
  <c r="CK99" i="515"/>
  <c r="CG99" i="515"/>
  <c r="CG19" i="515"/>
  <c r="BR19" i="515"/>
  <c r="BR17" i="515"/>
  <c r="BR99" i="515"/>
  <c r="BV99" i="515"/>
  <c r="CO422" i="515"/>
  <c r="AI98" i="515"/>
  <c r="AI534" i="515"/>
  <c r="AI535" i="515" s="1"/>
  <c r="AI110" i="515"/>
  <c r="CO99" i="515"/>
  <c r="CO17" i="515"/>
  <c r="U409" i="515"/>
  <c r="BQ286" i="515"/>
  <c r="C99" i="515"/>
  <c r="B17" i="515"/>
  <c r="B107" i="515" s="1"/>
  <c r="DE386" i="515"/>
  <c r="BK23" i="515"/>
  <c r="BK109" i="515" s="1"/>
  <c r="BK100" i="515"/>
  <c r="BO100" i="515"/>
  <c r="BK19" i="515"/>
  <c r="AY98" i="515"/>
  <c r="AY110" i="515"/>
  <c r="BC98" i="515"/>
  <c r="AY14" i="515"/>
  <c r="AY106" i="515" s="1"/>
  <c r="AY20" i="515"/>
  <c r="AY111" i="515"/>
  <c r="AY534" i="515"/>
  <c r="AY535" i="515" s="1"/>
  <c r="AS102" i="515"/>
  <c r="AS47" i="515"/>
  <c r="AS111" i="515"/>
  <c r="AW102" i="515"/>
  <c r="Q121" i="123"/>
  <c r="Q116" i="123"/>
  <c r="N39" i="515"/>
  <c r="AN11" i="515"/>
  <c r="AN23" i="515"/>
  <c r="AN109" i="515" s="1"/>
  <c r="BU102" i="515"/>
  <c r="BQ47" i="515"/>
  <c r="BQ111" i="515"/>
  <c r="BQ102" i="515"/>
  <c r="W397" i="515"/>
  <c r="S202" i="123"/>
  <c r="N30" i="515"/>
  <c r="N485" i="515"/>
  <c r="AM100" i="515"/>
  <c r="AQ100" i="515"/>
  <c r="AM23" i="515"/>
  <c r="AM109" i="515" s="1"/>
  <c r="AG43" i="123"/>
  <c r="CG285" i="515"/>
  <c r="CK285" i="515"/>
  <c r="I59" i="3"/>
  <c r="I62" i="3" s="1"/>
  <c r="I57" i="3"/>
  <c r="U200" i="123"/>
  <c r="U202" i="123" s="1"/>
  <c r="U201" i="123"/>
  <c r="U257" i="123"/>
  <c r="U258" i="123" s="1"/>
  <c r="DC156" i="515"/>
  <c r="DC144" i="515"/>
  <c r="R121" i="123"/>
  <c r="R116" i="123"/>
  <c r="S247" i="515"/>
  <c r="M286" i="515"/>
  <c r="N286" i="515"/>
  <c r="AL11" i="515"/>
  <c r="AL23" i="515"/>
  <c r="AL109" i="515" s="1"/>
  <c r="CK173" i="515"/>
  <c r="BZ110" i="515"/>
  <c r="BZ37" i="515"/>
  <c r="BZ41" i="515" s="1"/>
  <c r="CD101" i="515"/>
  <c r="BZ101" i="515"/>
  <c r="CM14" i="515"/>
  <c r="CM106" i="515" s="1"/>
  <c r="CI106" i="515"/>
  <c r="Z176" i="515"/>
  <c r="J116" i="123"/>
  <c r="J121" i="123"/>
  <c r="V226" i="123"/>
  <c r="W225" i="123" s="1"/>
  <c r="V254" i="123"/>
  <c r="K571" i="515"/>
  <c r="N285" i="515"/>
  <c r="M285" i="515"/>
  <c r="O485" i="515"/>
  <c r="T202" i="123"/>
  <c r="AZ111" i="515"/>
  <c r="AZ47" i="515"/>
  <c r="AZ51" i="515"/>
  <c r="AZ55" i="515" s="1"/>
  <c r="BJ102" i="515"/>
  <c r="BN102" i="515"/>
  <c r="BJ47" i="515"/>
  <c r="BM102" i="515"/>
  <c r="BI47" i="515"/>
  <c r="BG285" i="515" l="1"/>
  <c r="CQ259" i="515"/>
  <c r="DA368" i="515"/>
  <c r="DE375" i="515"/>
  <c r="DE288" i="515"/>
  <c r="DE280" i="515"/>
  <c r="DH533" i="515"/>
  <c r="V411" i="515"/>
  <c r="W411" i="515" s="1"/>
  <c r="X411" i="515" s="1"/>
  <c r="S214" i="515"/>
  <c r="CO107" i="515"/>
  <c r="CG107" i="515"/>
  <c r="BF107" i="515"/>
  <c r="BD108" i="515"/>
  <c r="AW108" i="515"/>
  <c r="CS20" i="515"/>
  <c r="BP20" i="515"/>
  <c r="BP107" i="515"/>
  <c r="E107" i="515"/>
  <c r="BU108" i="515"/>
  <c r="F106" i="123"/>
  <c r="F109" i="123" s="1"/>
  <c r="F110" i="123" s="1"/>
  <c r="AY108" i="515"/>
  <c r="BK20" i="515"/>
  <c r="BR107" i="515"/>
  <c r="CG20" i="515"/>
  <c r="BN107" i="515"/>
  <c r="F107" i="515"/>
  <c r="BD107" i="515"/>
  <c r="G108" i="515"/>
  <c r="AR108" i="515"/>
  <c r="CS107" i="515"/>
  <c r="D107" i="515"/>
  <c r="CU107" i="515"/>
  <c r="CK107" i="515"/>
  <c r="F121" i="123"/>
  <c r="F116" i="123"/>
  <c r="I121" i="123"/>
  <c r="I116" i="123"/>
  <c r="CA108" i="515"/>
  <c r="BZ108" i="515"/>
  <c r="CD108" i="515"/>
  <c r="BG108" i="515"/>
  <c r="CE108" i="515"/>
  <c r="AX47" i="515"/>
  <c r="AX111" i="515"/>
  <c r="AX51" i="515"/>
  <c r="AX55" i="515" s="1"/>
  <c r="CW100" i="515"/>
  <c r="CW28" i="515"/>
  <c r="CW35" i="515"/>
  <c r="Y411" i="515"/>
  <c r="U462" i="515"/>
  <c r="U447" i="515"/>
  <c r="U452" i="515" s="1"/>
  <c r="V448" i="515"/>
  <c r="DG533" i="515"/>
  <c r="DG160" i="515"/>
  <c r="DG258" i="515" s="1"/>
  <c r="DG275" i="515"/>
  <c r="DG127" i="515"/>
  <c r="DG144" i="515" s="1"/>
  <c r="H59" i="3"/>
  <c r="H62" i="3" s="1"/>
  <c r="H57" i="3"/>
  <c r="DG367" i="515"/>
  <c r="DG174" i="515"/>
  <c r="DB537" i="515"/>
  <c r="W45" i="3"/>
  <c r="V48" i="3"/>
  <c r="R108" i="123"/>
  <c r="R106" i="123" s="1"/>
  <c r="R109" i="123" s="1"/>
  <c r="R110" i="123" s="1"/>
  <c r="K73" i="515"/>
  <c r="AA11" i="3"/>
  <c r="AC21" i="123"/>
  <c r="AL102" i="515"/>
  <c r="AL47" i="515"/>
  <c r="AP103" i="515" s="1"/>
  <c r="AP102" i="515"/>
  <c r="K566" i="515"/>
  <c r="BU286" i="515"/>
  <c r="U151" i="515"/>
  <c r="BU285" i="515"/>
  <c r="Q373" i="515"/>
  <c r="Z11" i="3"/>
  <c r="J41" i="515"/>
  <c r="J45" i="515" s="1"/>
  <c r="J111" i="515" s="1"/>
  <c r="AD55" i="515"/>
  <c r="AH102" i="515"/>
  <c r="AD111" i="515"/>
  <c r="AQ47" i="515"/>
  <c r="AU103" i="515" s="1"/>
  <c r="AQ111" i="515"/>
  <c r="AV47" i="515"/>
  <c r="AV103" i="515" s="1"/>
  <c r="AV102" i="515"/>
  <c r="AV111" i="515"/>
  <c r="BY111" i="515"/>
  <c r="BY47" i="515"/>
  <c r="BY72" i="515"/>
  <c r="BY102" i="515"/>
  <c r="CC102" i="515"/>
  <c r="E119" i="123"/>
  <c r="E103" i="123"/>
  <c r="E108" i="123" s="1"/>
  <c r="E106" i="123" s="1"/>
  <c r="E109" i="123" s="1"/>
  <c r="E110" i="123" s="1"/>
  <c r="BL38" i="515"/>
  <c r="BL45" i="515"/>
  <c r="BL41" i="515"/>
  <c r="N350" i="515"/>
  <c r="N366" i="515"/>
  <c r="N374" i="515" s="1"/>
  <c r="O373" i="515"/>
  <c r="S98" i="123"/>
  <c r="N534" i="515"/>
  <c r="N535" i="515" s="1"/>
  <c r="S127" i="123"/>
  <c r="N23" i="515"/>
  <c r="S104" i="123"/>
  <c r="N109" i="515"/>
  <c r="S132" i="123"/>
  <c r="S133" i="123" s="1"/>
  <c r="S160" i="123"/>
  <c r="N110" i="515"/>
  <c r="E97" i="123"/>
  <c r="E100" i="123" s="1"/>
  <c r="B47" i="515"/>
  <c r="D9" i="3"/>
  <c r="D25" i="3" s="1"/>
  <c r="B111" i="515"/>
  <c r="BG45" i="515"/>
  <c r="BG51" i="515" s="1"/>
  <c r="BS47" i="515"/>
  <c r="BS103" i="515" s="1"/>
  <c r="BS72" i="515"/>
  <c r="BW102" i="515"/>
  <c r="CL259" i="515"/>
  <c r="CL173" i="515" s="1"/>
  <c r="AC44" i="123"/>
  <c r="AB45" i="123"/>
  <c r="AA56" i="123"/>
  <c r="Y13" i="3"/>
  <c r="AK111" i="515"/>
  <c r="AO102" i="515"/>
  <c r="AK55" i="515"/>
  <c r="AK102" i="515"/>
  <c r="R199" i="123"/>
  <c r="S196" i="123" s="1"/>
  <c r="R203" i="123"/>
  <c r="R205" i="123"/>
  <c r="S54" i="123"/>
  <c r="J472" i="515"/>
  <c r="K473" i="515"/>
  <c r="R422" i="515"/>
  <c r="CS373" i="515"/>
  <c r="CS368" i="515"/>
  <c r="G116" i="123"/>
  <c r="G121" i="123"/>
  <c r="J115" i="515"/>
  <c r="J120" i="515"/>
  <c r="O89" i="123"/>
  <c r="J109" i="515"/>
  <c r="BK37" i="515"/>
  <c r="I37" i="515" s="1"/>
  <c r="BK101" i="515"/>
  <c r="BK110" i="515"/>
  <c r="BO101" i="515"/>
  <c r="BH99" i="515"/>
  <c r="BH19" i="515"/>
  <c r="BL99" i="515"/>
  <c r="AT102" i="515"/>
  <c r="AT47" i="515"/>
  <c r="AT111" i="515"/>
  <c r="AX102" i="515"/>
  <c r="H41" i="515"/>
  <c r="H45" i="515" s="1"/>
  <c r="H38" i="515"/>
  <c r="BH101" i="515"/>
  <c r="BD110" i="515"/>
  <c r="BD41" i="515"/>
  <c r="BD45" i="515"/>
  <c r="BD101" i="515"/>
  <c r="M422" i="515"/>
  <c r="N422" i="515"/>
  <c r="CM243" i="515"/>
  <c r="CM223" i="515"/>
  <c r="CM272" i="515"/>
  <c r="CM174" i="515"/>
  <c r="G99" i="515"/>
  <c r="G17" i="515"/>
  <c r="J128" i="123"/>
  <c r="G14" i="515"/>
  <c r="G106" i="515" s="1"/>
  <c r="J138" i="123"/>
  <c r="J139" i="123" s="1"/>
  <c r="J129" i="123"/>
  <c r="J135" i="123"/>
  <c r="J136" i="123" s="1"/>
  <c r="CE38" i="515"/>
  <c r="N37" i="515"/>
  <c r="J466" i="515"/>
  <c r="K450" i="515"/>
  <c r="K454" i="515" s="1"/>
  <c r="AA193" i="123"/>
  <c r="AB214" i="123"/>
  <c r="BI101" i="515"/>
  <c r="BE110" i="515"/>
  <c r="BE45" i="515"/>
  <c r="BE41" i="515"/>
  <c r="BE101" i="515"/>
  <c r="BV285" i="515"/>
  <c r="BR285" i="515"/>
  <c r="CJ244" i="515"/>
  <c r="CJ352" i="515"/>
  <c r="CJ224" i="515"/>
  <c r="CJ227" i="515"/>
  <c r="CJ187" i="515"/>
  <c r="CJ360" i="515"/>
  <c r="T163" i="515"/>
  <c r="CN173" i="515"/>
  <c r="CR259" i="515"/>
  <c r="T127" i="123"/>
  <c r="U127" i="123" s="1"/>
  <c r="V127" i="123" s="1"/>
  <c r="W127" i="123" s="1"/>
  <c r="T104" i="123"/>
  <c r="O534" i="515"/>
  <c r="O535" i="515" s="1"/>
  <c r="T98" i="123"/>
  <c r="T132" i="123"/>
  <c r="T133" i="123" s="1"/>
  <c r="T160" i="123"/>
  <c r="O20" i="515"/>
  <c r="CF47" i="515"/>
  <c r="CF103" i="515" s="1"/>
  <c r="CF102" i="515"/>
  <c r="CF111" i="515"/>
  <c r="CF72" i="515"/>
  <c r="BS286" i="515"/>
  <c r="BW286" i="515"/>
  <c r="CI280" i="515"/>
  <c r="CI288" i="515" s="1"/>
  <c r="CI270" i="515"/>
  <c r="BH17" i="515"/>
  <c r="BH98" i="515"/>
  <c r="BH14" i="515"/>
  <c r="BH106" i="515" s="1"/>
  <c r="BH110" i="515"/>
  <c r="BH534" i="515"/>
  <c r="BH535" i="515" s="1"/>
  <c r="BL98" i="515"/>
  <c r="BH111" i="515"/>
  <c r="CQ173" i="515"/>
  <c r="CU259" i="515"/>
  <c r="BJ14" i="515"/>
  <c r="BJ106" i="515" s="1"/>
  <c r="BJ534" i="515"/>
  <c r="BJ535" i="515" s="1"/>
  <c r="BJ98" i="515"/>
  <c r="BJ23" i="515"/>
  <c r="BJ109" i="515" s="1"/>
  <c r="BJ110" i="515"/>
  <c r="CJ280" i="515"/>
  <c r="CJ288" i="515" s="1"/>
  <c r="CJ270" i="515"/>
  <c r="CJ278" i="515" s="1"/>
  <c r="CJ286" i="515" s="1"/>
  <c r="BI19" i="515"/>
  <c r="BI99" i="515"/>
  <c r="BM99" i="515"/>
  <c r="BI17" i="515"/>
  <c r="BZ45" i="515"/>
  <c r="BZ102" i="515" s="1"/>
  <c r="AS103" i="515"/>
  <c r="AW103" i="515"/>
  <c r="U129" i="515"/>
  <c r="DI129" i="515" s="1"/>
  <c r="DI409" i="515" s="1"/>
  <c r="V409" i="515"/>
  <c r="U412" i="515"/>
  <c r="CI360" i="515"/>
  <c r="CI224" i="515"/>
  <c r="CI187" i="515"/>
  <c r="CI352" i="515"/>
  <c r="CI227" i="515"/>
  <c r="CI244" i="515"/>
  <c r="W385" i="515"/>
  <c r="W396" i="515" s="1"/>
  <c r="W399" i="515" s="1"/>
  <c r="W400" i="515" s="1"/>
  <c r="V151" i="515"/>
  <c r="E41" i="515"/>
  <c r="E45" i="515" s="1"/>
  <c r="J100" i="123"/>
  <c r="CE45" i="515"/>
  <c r="P11" i="515"/>
  <c r="P98" i="515"/>
  <c r="P218" i="515"/>
  <c r="BR286" i="515"/>
  <c r="BV286" i="515"/>
  <c r="BN98" i="515"/>
  <c r="CH223" i="515"/>
  <c r="CH243" i="515"/>
  <c r="CH174" i="515"/>
  <c r="CH272" i="515"/>
  <c r="BB103" i="515"/>
  <c r="BF103" i="515"/>
  <c r="K471" i="515"/>
  <c r="J470" i="515"/>
  <c r="J469" i="515"/>
  <c r="H121" i="515"/>
  <c r="K76" i="123"/>
  <c r="Q97" i="123"/>
  <c r="Q100" i="123" s="1"/>
  <c r="L47" i="515"/>
  <c r="L493" i="515"/>
  <c r="L111" i="515"/>
  <c r="L496" i="515"/>
  <c r="L91" i="515"/>
  <c r="W97" i="515"/>
  <c r="F48" i="3"/>
  <c r="F49" i="3" s="1"/>
  <c r="F55" i="3"/>
  <c r="W43" i="3"/>
  <c r="S92" i="515"/>
  <c r="S93" i="515" s="1"/>
  <c r="W76" i="3"/>
  <c r="BF20" i="515"/>
  <c r="M374" i="515"/>
  <c r="K119" i="123"/>
  <c r="K103" i="123"/>
  <c r="K108" i="123" s="1"/>
  <c r="K106" i="123" s="1"/>
  <c r="BS285" i="515"/>
  <c r="BW285" i="515"/>
  <c r="BJ111" i="515"/>
  <c r="BR20" i="515"/>
  <c r="M19" i="515"/>
  <c r="L19" i="515"/>
  <c r="K19" i="515"/>
  <c r="N19" i="515"/>
  <c r="BN20" i="515"/>
  <c r="J19" i="515"/>
  <c r="BG41" i="515"/>
  <c r="R173" i="123"/>
  <c r="Q179" i="123"/>
  <c r="Q204" i="123"/>
  <c r="R196" i="123"/>
  <c r="O522" i="515"/>
  <c r="P519" i="515"/>
  <c r="H89" i="123"/>
  <c r="E115" i="515"/>
  <c r="E121" i="515" s="1"/>
  <c r="E120" i="515"/>
  <c r="J89" i="123"/>
  <c r="E109" i="515"/>
  <c r="AY103" i="515"/>
  <c r="N89" i="123"/>
  <c r="I120" i="515"/>
  <c r="I109" i="515"/>
  <c r="I115" i="515"/>
  <c r="BC45" i="515"/>
  <c r="BC41" i="515"/>
  <c r="BC110" i="515"/>
  <c r="BC101" i="515"/>
  <c r="BJ17" i="515"/>
  <c r="BJ99" i="515"/>
  <c r="BJ19" i="515"/>
  <c r="P255" i="123"/>
  <c r="P257" i="123" s="1"/>
  <c r="P258" i="123" s="1"/>
  <c r="Q225" i="123"/>
  <c r="Q98" i="515"/>
  <c r="Q11" i="515"/>
  <c r="Q218" i="515"/>
  <c r="BI98" i="515"/>
  <c r="BI14" i="515"/>
  <c r="BI106" i="515" s="1"/>
  <c r="BI534" i="515"/>
  <c r="BI535" i="515" s="1"/>
  <c r="BM98" i="515"/>
  <c r="BI110" i="515"/>
  <c r="I468" i="515"/>
  <c r="M73" i="515"/>
  <c r="M571" i="515"/>
  <c r="M566" i="515"/>
  <c r="P72" i="3"/>
  <c r="X263" i="515"/>
  <c r="Y296" i="515"/>
  <c r="X295" i="515"/>
  <c r="X309" i="515" s="1"/>
  <c r="S119" i="123"/>
  <c r="S103" i="123"/>
  <c r="O39" i="515"/>
  <c r="BM103" i="515"/>
  <c r="CO174" i="515"/>
  <c r="CO223" i="515"/>
  <c r="CS223" i="515"/>
  <c r="CO272" i="515"/>
  <c r="CO243" i="515"/>
  <c r="BN103" i="515"/>
  <c r="BJ103" i="515"/>
  <c r="DA229" i="515"/>
  <c r="DA247" i="515"/>
  <c r="O30" i="515"/>
  <c r="CK243" i="515"/>
  <c r="CK272" i="515"/>
  <c r="O173" i="515"/>
  <c r="CK223" i="515"/>
  <c r="CK174" i="515"/>
  <c r="AL98" i="515"/>
  <c r="AL534" i="515"/>
  <c r="AL535" i="515" s="1"/>
  <c r="AL110" i="515"/>
  <c r="AP98" i="515"/>
  <c r="AL111" i="515"/>
  <c r="Z411" i="515"/>
  <c r="K565" i="515"/>
  <c r="V255" i="123"/>
  <c r="AA176" i="515"/>
  <c r="BZ38" i="515"/>
  <c r="M37" i="515"/>
  <c r="N31" i="515"/>
  <c r="N479" i="515" s="1"/>
  <c r="N480" i="515" s="1"/>
  <c r="X397" i="515"/>
  <c r="BQ103" i="515"/>
  <c r="BU103" i="515"/>
  <c r="AN98" i="515"/>
  <c r="AN110" i="515"/>
  <c r="AR98" i="515"/>
  <c r="AN111" i="515"/>
  <c r="AN534" i="515"/>
  <c r="AN535" i="515" s="1"/>
  <c r="W226" i="123"/>
  <c r="X225" i="123" s="1"/>
  <c r="W254" i="123"/>
  <c r="AM101" i="515"/>
  <c r="AM110" i="515"/>
  <c r="AM41" i="515"/>
  <c r="AM45" i="515"/>
  <c r="AM38" i="515"/>
  <c r="AQ101" i="515"/>
  <c r="T214" i="515" l="1"/>
  <c r="T245" i="515"/>
  <c r="S108" i="123"/>
  <c r="S106" i="123" s="1"/>
  <c r="BJ107" i="515"/>
  <c r="BN108" i="515"/>
  <c r="BF108" i="515"/>
  <c r="BI107" i="515"/>
  <c r="BH107" i="515"/>
  <c r="BH20" i="515"/>
  <c r="BR108" i="515"/>
  <c r="BI20" i="515"/>
  <c r="G107" i="515"/>
  <c r="DI26" i="515"/>
  <c r="CG108" i="515"/>
  <c r="BK108" i="515"/>
  <c r="BP108" i="515"/>
  <c r="CS108" i="515"/>
  <c r="V447" i="515"/>
  <c r="V452" i="515" s="1"/>
  <c r="W448" i="515"/>
  <c r="V462" i="515"/>
  <c r="DF151" i="515"/>
  <c r="DF163" i="515" s="1"/>
  <c r="DF537" i="515" s="1"/>
  <c r="DF412" i="515"/>
  <c r="CW101" i="515"/>
  <c r="CW37" i="515"/>
  <c r="CW38" i="515" s="1"/>
  <c r="R204" i="123"/>
  <c r="X226" i="123"/>
  <c r="X254" i="123"/>
  <c r="X255" i="123"/>
  <c r="X127" i="123"/>
  <c r="Y127" i="123" s="1"/>
  <c r="Z127" i="123" s="1"/>
  <c r="AA127" i="123" s="1"/>
  <c r="AB127" i="123" s="1"/>
  <c r="AC127" i="123" s="1"/>
  <c r="AD127" i="123" s="1"/>
  <c r="AE127" i="123" s="1"/>
  <c r="AF127" i="123" s="1"/>
  <c r="AG127" i="123" s="1"/>
  <c r="DG267" i="515"/>
  <c r="DG283" i="515"/>
  <c r="DG244" i="515"/>
  <c r="DG352" i="515"/>
  <c r="DG368" i="515"/>
  <c r="DI410" i="515"/>
  <c r="DB214" i="515"/>
  <c r="DF214" i="515"/>
  <c r="Y52" i="123"/>
  <c r="Z52" i="123" s="1"/>
  <c r="AA52" i="123" s="1"/>
  <c r="AB52" i="123" s="1"/>
  <c r="AC52" i="123" s="1"/>
  <c r="AD52" i="123" s="1"/>
  <c r="AE52" i="123" s="1"/>
  <c r="AF52" i="123" s="1"/>
  <c r="AG52" i="123" s="1"/>
  <c r="X45" i="3"/>
  <c r="Y45" i="3" s="1"/>
  <c r="Z45" i="3" s="1"/>
  <c r="AA45" i="3" s="1"/>
  <c r="AB45" i="3" s="1"/>
  <c r="AC45" i="3" s="1"/>
  <c r="AD45" i="3" s="1"/>
  <c r="AE45" i="3" s="1"/>
  <c r="AF45" i="3" s="1"/>
  <c r="U163" i="515"/>
  <c r="CP259" i="515"/>
  <c r="BG47" i="515"/>
  <c r="AB11" i="3"/>
  <c r="AD21" i="123"/>
  <c r="BG111" i="515"/>
  <c r="J468" i="515"/>
  <c r="BW103" i="515"/>
  <c r="AZ103" i="515"/>
  <c r="BG102" i="515"/>
  <c r="H19" i="515"/>
  <c r="BK41" i="515"/>
  <c r="O97" i="123"/>
  <c r="J47" i="515"/>
  <c r="J90" i="515"/>
  <c r="J91" i="515" s="1"/>
  <c r="M9" i="3" s="1"/>
  <c r="M25" i="3" s="1"/>
  <c r="J496" i="515"/>
  <c r="J493" i="515"/>
  <c r="D55" i="3"/>
  <c r="D57" i="3" s="1"/>
  <c r="D48" i="3"/>
  <c r="E116" i="123"/>
  <c r="E121" i="123"/>
  <c r="BK45" i="515"/>
  <c r="BO102" i="515" s="1"/>
  <c r="C103" i="515"/>
  <c r="BY103" i="515"/>
  <c r="CC103" i="515"/>
  <c r="BL47" i="515"/>
  <c r="BP102" i="515"/>
  <c r="BL111" i="515"/>
  <c r="BL102" i="515"/>
  <c r="BZ111" i="515"/>
  <c r="AD44" i="123"/>
  <c r="AC45" i="123"/>
  <c r="AB56" i="123"/>
  <c r="Z13" i="3"/>
  <c r="CL272" i="515"/>
  <c r="CL174" i="515"/>
  <c r="CL223" i="515"/>
  <c r="CL243" i="515"/>
  <c r="S173" i="123"/>
  <c r="T173" i="123" s="1"/>
  <c r="U173" i="123" s="1"/>
  <c r="V173" i="123" s="1"/>
  <c r="W173" i="123" s="1"/>
  <c r="R179" i="123"/>
  <c r="J13" i="515"/>
  <c r="J20" i="515"/>
  <c r="N13" i="515"/>
  <c r="N20" i="515"/>
  <c r="E47" i="515"/>
  <c r="E111" i="515"/>
  <c r="E496" i="515"/>
  <c r="H97" i="123"/>
  <c r="H100" i="123" s="1"/>
  <c r="E91" i="515"/>
  <c r="G9" i="3" s="1"/>
  <c r="G25" i="3" s="1"/>
  <c r="E493" i="515"/>
  <c r="CI350" i="515"/>
  <c r="CI353" i="515"/>
  <c r="W409" i="515"/>
  <c r="V129" i="515"/>
  <c r="V163" i="515" s="1"/>
  <c r="V412" i="515"/>
  <c r="L450" i="515"/>
  <c r="L454" i="515" s="1"/>
  <c r="K466" i="515"/>
  <c r="BV450" i="515"/>
  <c r="BV454" i="515" s="1"/>
  <c r="BW450" i="515" s="1"/>
  <c r="BW454" i="515" s="1"/>
  <c r="BX450" i="515" s="1"/>
  <c r="BX454" i="515" s="1"/>
  <c r="BY450" i="515" s="1"/>
  <c r="BY454" i="515" s="1"/>
  <c r="N38" i="515"/>
  <c r="N41" i="515"/>
  <c r="N45" i="515" s="1"/>
  <c r="BH102" i="515"/>
  <c r="BD111" i="515"/>
  <c r="BD47" i="515"/>
  <c r="BD51" i="515"/>
  <c r="BD102" i="515"/>
  <c r="AT103" i="515"/>
  <c r="AX103" i="515"/>
  <c r="BK102" i="515"/>
  <c r="BK47" i="515"/>
  <c r="BK111" i="515"/>
  <c r="O76" i="123"/>
  <c r="J121" i="515"/>
  <c r="O82" i="123"/>
  <c r="S203" i="123"/>
  <c r="T54" i="123"/>
  <c r="BZ47" i="515"/>
  <c r="CD103" i="515" s="1"/>
  <c r="P173" i="515"/>
  <c r="X97" i="515"/>
  <c r="M103" i="123"/>
  <c r="M108" i="123" s="1"/>
  <c r="M106" i="123" s="1"/>
  <c r="M109" i="123" s="1"/>
  <c r="M110" i="123" s="1"/>
  <c r="M119" i="123"/>
  <c r="K13" i="515"/>
  <c r="K20" i="515"/>
  <c r="F57" i="3"/>
  <c r="F59" i="3"/>
  <c r="F62" i="3" s="1"/>
  <c r="Q206" i="123"/>
  <c r="L569" i="515"/>
  <c r="M575" i="515" s="1"/>
  <c r="M562" i="515"/>
  <c r="U98" i="123"/>
  <c r="P534" i="515"/>
  <c r="P535" i="515" s="1"/>
  <c r="U160" i="123"/>
  <c r="U132" i="123"/>
  <c r="U133" i="123" s="1"/>
  <c r="U104" i="123"/>
  <c r="P20" i="515"/>
  <c r="CI248" i="515"/>
  <c r="CI22" i="515"/>
  <c r="CI239" i="515"/>
  <c r="CI582" i="515"/>
  <c r="CR173" i="515"/>
  <c r="CV259" i="515"/>
  <c r="DA214" i="515"/>
  <c r="DA537" i="515"/>
  <c r="CJ367" i="515"/>
  <c r="CJ359" i="515"/>
  <c r="CJ350" i="515"/>
  <c r="CJ353" i="515"/>
  <c r="H111" i="515"/>
  <c r="K97" i="123"/>
  <c r="H47" i="515"/>
  <c r="H496" i="515"/>
  <c r="H493" i="515"/>
  <c r="H90" i="515"/>
  <c r="H91" i="515" s="1"/>
  <c r="J9" i="3" s="1"/>
  <c r="J25" i="3" s="1"/>
  <c r="K472" i="515"/>
  <c r="L473" i="515"/>
  <c r="M473" i="515" s="1"/>
  <c r="N473" i="515" s="1"/>
  <c r="M565" i="515"/>
  <c r="Q255" i="123"/>
  <c r="Q254" i="123"/>
  <c r="I19" i="515"/>
  <c r="BJ20" i="515"/>
  <c r="BC47" i="515"/>
  <c r="BC103" i="515" s="1"/>
  <c r="BC111" i="515"/>
  <c r="BC51" i="515"/>
  <c r="BC55" i="515" s="1"/>
  <c r="BC102" i="515"/>
  <c r="L20" i="515"/>
  <c r="L13" i="515"/>
  <c r="G47" i="3"/>
  <c r="F51" i="3"/>
  <c r="L471" i="515"/>
  <c r="K470" i="515"/>
  <c r="K469" i="515"/>
  <c r="CE111" i="515"/>
  <c r="CE72" i="515"/>
  <c r="CE102" i="515"/>
  <c r="CE47" i="515"/>
  <c r="CE103" i="515" s="1"/>
  <c r="CU173" i="515"/>
  <c r="CY259" i="515"/>
  <c r="DG259" i="515" s="1"/>
  <c r="BG55" i="515"/>
  <c r="CI278" i="515"/>
  <c r="CI286" i="515" s="1"/>
  <c r="CN174" i="515"/>
  <c r="CN272" i="515"/>
  <c r="CN223" i="515"/>
  <c r="CN243" i="515"/>
  <c r="CJ22" i="515"/>
  <c r="CJ239" i="515"/>
  <c r="CJ248" i="515"/>
  <c r="CJ582" i="515"/>
  <c r="AC214" i="123"/>
  <c r="AB193" i="123"/>
  <c r="CM360" i="515"/>
  <c r="CM224" i="515"/>
  <c r="CM187" i="515"/>
  <c r="CM244" i="515"/>
  <c r="CM352" i="515"/>
  <c r="CM227" i="515"/>
  <c r="X510" i="515"/>
  <c r="Y263" i="515"/>
  <c r="Y295" i="515"/>
  <c r="Y309" i="515" s="1"/>
  <c r="Z296" i="515"/>
  <c r="H103" i="123"/>
  <c r="H108" i="123" s="1"/>
  <c r="H106" i="123" s="1"/>
  <c r="H109" i="123" s="1"/>
  <c r="H110" i="123" s="1"/>
  <c r="H119" i="123"/>
  <c r="CH360" i="515"/>
  <c r="CH187" i="515"/>
  <c r="CH227" i="515"/>
  <c r="CH224" i="515"/>
  <c r="CH352" i="515"/>
  <c r="CH244" i="515"/>
  <c r="CD102" i="515"/>
  <c r="BZ72" i="515"/>
  <c r="W255" i="123"/>
  <c r="W200" i="123" s="1"/>
  <c r="W202" i="123" s="1"/>
  <c r="P80" i="3"/>
  <c r="CP173" i="515"/>
  <c r="CT259" i="515"/>
  <c r="V104" i="123"/>
  <c r="V160" i="123"/>
  <c r="Q534" i="515"/>
  <c r="Q535" i="515" s="1"/>
  <c r="V132" i="123"/>
  <c r="V133" i="123" s="1"/>
  <c r="V98" i="123"/>
  <c r="Q20" i="515"/>
  <c r="M76" i="123"/>
  <c r="I121" i="515"/>
  <c r="P522" i="515"/>
  <c r="Q519" i="515"/>
  <c r="M13" i="515"/>
  <c r="M20" i="515"/>
  <c r="K116" i="123"/>
  <c r="K121" i="123"/>
  <c r="CH280" i="515"/>
  <c r="CH288" i="515" s="1"/>
  <c r="CH270" i="515"/>
  <c r="CH278" i="515" s="1"/>
  <c r="CH286" i="515" s="1"/>
  <c r="X385" i="515"/>
  <c r="X396" i="515" s="1"/>
  <c r="X399" i="515" s="1"/>
  <c r="X400" i="515" s="1"/>
  <c r="W151" i="515"/>
  <c r="CI367" i="515"/>
  <c r="CI359" i="515"/>
  <c r="U413" i="515"/>
  <c r="U418" i="515"/>
  <c r="CQ174" i="515"/>
  <c r="CQ272" i="515"/>
  <c r="CQ243" i="515"/>
  <c r="CQ223" i="515"/>
  <c r="O108" i="515"/>
  <c r="BE102" i="515"/>
  <c r="BI102" i="515"/>
  <c r="BE51" i="515"/>
  <c r="BE111" i="515"/>
  <c r="BE47" i="515"/>
  <c r="CM288" i="515"/>
  <c r="CM280" i="515"/>
  <c r="CM270" i="515"/>
  <c r="CM278" i="515" s="1"/>
  <c r="I41" i="515"/>
  <c r="I45" i="515" s="1"/>
  <c r="I38" i="515"/>
  <c r="J73" i="515" s="1"/>
  <c r="O119" i="123"/>
  <c r="O103" i="123"/>
  <c r="O108" i="123" s="1"/>
  <c r="O106" i="123" s="1"/>
  <c r="O109" i="123" s="1"/>
  <c r="O110" i="123" s="1"/>
  <c r="P39" i="515"/>
  <c r="Q39" i="515" s="1"/>
  <c r="R39" i="515" s="1"/>
  <c r="S39" i="515" s="1"/>
  <c r="T39" i="515" s="1"/>
  <c r="U39" i="515" s="1"/>
  <c r="V39" i="515" s="1"/>
  <c r="W39" i="515" s="1"/>
  <c r="X39" i="515" s="1"/>
  <c r="Y39" i="515" s="1"/>
  <c r="Z39" i="515" s="1"/>
  <c r="AA39" i="515" s="1"/>
  <c r="AB39" i="515" s="1"/>
  <c r="S116" i="123"/>
  <c r="S121" i="123"/>
  <c r="N488" i="515"/>
  <c r="P243" i="515"/>
  <c r="P272" i="515"/>
  <c r="P180" i="515"/>
  <c r="P223" i="515"/>
  <c r="M38" i="515"/>
  <c r="M41" i="515"/>
  <c r="M45" i="515" s="1"/>
  <c r="AA411" i="515"/>
  <c r="V201" i="123"/>
  <c r="V257" i="123"/>
  <c r="V258" i="123" s="1"/>
  <c r="V200" i="123"/>
  <c r="V202" i="123" s="1"/>
  <c r="O272" i="515"/>
  <c r="O243" i="515"/>
  <c r="O180" i="515"/>
  <c r="O223" i="515"/>
  <c r="Y397" i="515"/>
  <c r="AB176" i="515"/>
  <c r="AM47" i="515"/>
  <c r="AQ103" i="515" s="1"/>
  <c r="AM102" i="515"/>
  <c r="AM111" i="515"/>
  <c r="AQ102" i="515"/>
  <c r="Y225" i="123"/>
  <c r="CK227" i="515"/>
  <c r="CK224" i="515"/>
  <c r="CK187" i="515"/>
  <c r="CK244" i="515"/>
  <c r="CK360" i="515"/>
  <c r="CK352" i="515"/>
  <c r="O174" i="515"/>
  <c r="CK270" i="515"/>
  <c r="CK278" i="515" s="1"/>
  <c r="CK286" i="515" s="1"/>
  <c r="CK280" i="515"/>
  <c r="CK288" i="515" s="1"/>
  <c r="O31" i="515"/>
  <c r="O479" i="515" s="1"/>
  <c r="CO187" i="515"/>
  <c r="CO224" i="515"/>
  <c r="CO244" i="515"/>
  <c r="CS227" i="515"/>
  <c r="CO352" i="515"/>
  <c r="CS224" i="515"/>
  <c r="CO227" i="515"/>
  <c r="CO360" i="515"/>
  <c r="CO280" i="515"/>
  <c r="CO288" i="515"/>
  <c r="CO270" i="515"/>
  <c r="CS288" i="515"/>
  <c r="CW45" i="515" l="1"/>
  <c r="CW47" i="515" s="1"/>
  <c r="CW103" i="515" s="1"/>
  <c r="P108" i="515"/>
  <c r="Q108" i="515"/>
  <c r="BJ108" i="515"/>
  <c r="H20" i="515"/>
  <c r="CW41" i="515"/>
  <c r="BI108" i="515"/>
  <c r="BH108" i="515"/>
  <c r="CW102" i="515"/>
  <c r="DF418" i="515"/>
  <c r="DF413" i="515"/>
  <c r="DG412" i="515"/>
  <c r="DG151" i="515"/>
  <c r="DG163" i="515" s="1"/>
  <c r="DG537" i="515" s="1"/>
  <c r="W462" i="515"/>
  <c r="X448" i="515"/>
  <c r="W447" i="515"/>
  <c r="W452" i="515" s="1"/>
  <c r="DF396" i="515"/>
  <c r="X173" i="123"/>
  <c r="Y173" i="123" s="1"/>
  <c r="Z173" i="123" s="1"/>
  <c r="AA173" i="123" s="1"/>
  <c r="AB173" i="123" s="1"/>
  <c r="AC173" i="123" s="1"/>
  <c r="AD173" i="123" s="1"/>
  <c r="AE173" i="123" s="1"/>
  <c r="AF173" i="123" s="1"/>
  <c r="AG173" i="123" s="1"/>
  <c r="X257" i="123"/>
  <c r="X258" i="123" s="1"/>
  <c r="X200" i="123"/>
  <c r="X201" i="123"/>
  <c r="W257" i="123"/>
  <c r="W258" i="123" s="1"/>
  <c r="U214" i="515"/>
  <c r="V214" i="515"/>
  <c r="BZ103" i="515"/>
  <c r="H13" i="515"/>
  <c r="H14" i="515" s="1"/>
  <c r="H106" i="515" s="1"/>
  <c r="BG103" i="515"/>
  <c r="AC11" i="3"/>
  <c r="AE21" i="123"/>
  <c r="O172" i="515"/>
  <c r="O224" i="515"/>
  <c r="P174" i="515"/>
  <c r="M48" i="3"/>
  <c r="M55" i="3"/>
  <c r="DC537" i="515"/>
  <c r="K562" i="515"/>
  <c r="M206" i="123"/>
  <c r="N206" i="123"/>
  <c r="J569" i="515"/>
  <c r="CI35" i="515"/>
  <c r="CI28" i="515"/>
  <c r="BL103" i="515"/>
  <c r="BP103" i="515"/>
  <c r="CJ35" i="515"/>
  <c r="CJ28" i="515"/>
  <c r="W201" i="123"/>
  <c r="AE44" i="123"/>
  <c r="AD45" i="123"/>
  <c r="AC56" i="123"/>
  <c r="AA13" i="3"/>
  <c r="U419" i="515"/>
  <c r="M16" i="515"/>
  <c r="M14" i="515"/>
  <c r="M106" i="515" s="1"/>
  <c r="R138" i="123"/>
  <c r="R139" i="123" s="1"/>
  <c r="R129" i="123"/>
  <c r="R135" i="123"/>
  <c r="R136" i="123" s="1"/>
  <c r="R128" i="123"/>
  <c r="K138" i="123"/>
  <c r="K139" i="123" s="1"/>
  <c r="P135" i="123"/>
  <c r="P136" i="123" s="1"/>
  <c r="K16" i="515"/>
  <c r="P129" i="123"/>
  <c r="P138" i="123"/>
  <c r="P139" i="123" s="1"/>
  <c r="K14" i="515"/>
  <c r="K106" i="515" s="1"/>
  <c r="P128" i="123"/>
  <c r="BH103" i="515"/>
  <c r="BD55" i="515"/>
  <c r="BD103" i="515"/>
  <c r="G48" i="3"/>
  <c r="G49" i="3" s="1"/>
  <c r="G55" i="3"/>
  <c r="CL288" i="515"/>
  <c r="CL270" i="515"/>
  <c r="CL280" i="515"/>
  <c r="K567" i="515"/>
  <c r="J74" i="515"/>
  <c r="Y385" i="515"/>
  <c r="Y396" i="515" s="1"/>
  <c r="Y399" i="515" s="1"/>
  <c r="Y400" i="515" s="1"/>
  <c r="X151" i="515"/>
  <c r="CP272" i="515"/>
  <c r="CP174" i="515"/>
  <c r="CP223" i="515"/>
  <c r="Q173" i="515"/>
  <c r="CP243" i="515"/>
  <c r="Y97" i="515"/>
  <c r="CM350" i="515"/>
  <c r="CM353" i="515"/>
  <c r="CM367" i="515"/>
  <c r="CM359" i="515"/>
  <c r="CM366" i="515" s="1"/>
  <c r="CN288" i="515"/>
  <c r="CN280" i="515"/>
  <c r="CN270" i="515"/>
  <c r="CY173" i="515"/>
  <c r="Q201" i="123"/>
  <c r="Q106" i="123" s="1"/>
  <c r="Q109" i="123" s="1"/>
  <c r="Q110" i="123" s="1"/>
  <c r="Q200" i="123"/>
  <c r="Q257" i="123"/>
  <c r="Q258" i="123" s="1"/>
  <c r="U421" i="515"/>
  <c r="CZ259" i="515"/>
  <c r="CZ173" i="515" s="1"/>
  <c r="CV173" i="515"/>
  <c r="M576" i="515"/>
  <c r="M577" i="515"/>
  <c r="T203" i="123"/>
  <c r="U54" i="123"/>
  <c r="N108" i="515"/>
  <c r="M574" i="515"/>
  <c r="CT173" i="515"/>
  <c r="CX259" i="515"/>
  <c r="CH367" i="515"/>
  <c r="CH359" i="515"/>
  <c r="M471" i="515"/>
  <c r="L469" i="515"/>
  <c r="S245" i="515"/>
  <c r="O128" i="123"/>
  <c r="O129" i="123"/>
  <c r="J14" i="515"/>
  <c r="J106" i="515" s="1"/>
  <c r="O135" i="123"/>
  <c r="O136" i="123" s="1"/>
  <c r="O138" i="123"/>
  <c r="O139" i="123" s="1"/>
  <c r="J16" i="515"/>
  <c r="O187" i="515"/>
  <c r="I111" i="515"/>
  <c r="I493" i="515"/>
  <c r="M97" i="123"/>
  <c r="I90" i="515"/>
  <c r="I91" i="515" s="1"/>
  <c r="K9" i="3" s="1"/>
  <c r="I496" i="515"/>
  <c r="I47" i="515"/>
  <c r="BI103" i="515"/>
  <c r="BE55" i="515"/>
  <c r="BE103" i="515"/>
  <c r="CQ270" i="515"/>
  <c r="CQ288" i="515"/>
  <c r="CQ280" i="515"/>
  <c r="CN227" i="515"/>
  <c r="CN360" i="515"/>
  <c r="CN224" i="515"/>
  <c r="CN244" i="515"/>
  <c r="CN352" i="515"/>
  <c r="CN187" i="515"/>
  <c r="CM286" i="515"/>
  <c r="CU272" i="515"/>
  <c r="CU174" i="515"/>
  <c r="CU223" i="515"/>
  <c r="CU243" i="515"/>
  <c r="Q128" i="123"/>
  <c r="Q135" i="123"/>
  <c r="Q136" i="123" s="1"/>
  <c r="Q138" i="123"/>
  <c r="Q139" i="123" s="1"/>
  <c r="L16" i="515"/>
  <c r="Q129" i="123"/>
  <c r="L14" i="515"/>
  <c r="L106" i="515" s="1"/>
  <c r="N472" i="515"/>
  <c r="O473" i="515"/>
  <c r="K206" i="123"/>
  <c r="H103" i="515"/>
  <c r="CJ368" i="515"/>
  <c r="CJ375" i="515"/>
  <c r="CJ366" i="515"/>
  <c r="CJ374" i="515" s="1"/>
  <c r="CR223" i="515"/>
  <c r="CR272" i="515"/>
  <c r="CR174" i="515"/>
  <c r="CR243" i="515"/>
  <c r="CI100" i="515"/>
  <c r="CI19" i="515"/>
  <c r="CI23" i="515"/>
  <c r="CI109" i="515" s="1"/>
  <c r="M121" i="123"/>
  <c r="M116" i="123"/>
  <c r="BK103" i="515"/>
  <c r="BO103" i="515"/>
  <c r="N111" i="515"/>
  <c r="N47" i="515"/>
  <c r="N496" i="515"/>
  <c r="N91" i="515"/>
  <c r="N493" i="515"/>
  <c r="S97" i="123"/>
  <c r="S100" i="123" s="1"/>
  <c r="M450" i="515"/>
  <c r="M454" i="515" s="1"/>
  <c r="N450" i="515" s="1"/>
  <c r="W412" i="515"/>
  <c r="X409" i="515"/>
  <c r="W129" i="515"/>
  <c r="W163" i="515" s="1"/>
  <c r="W214" i="515" s="1"/>
  <c r="N16" i="515"/>
  <c r="S129" i="123"/>
  <c r="N14" i="515"/>
  <c r="N106" i="515" s="1"/>
  <c r="S135" i="123"/>
  <c r="S136" i="123" s="1"/>
  <c r="S138" i="123"/>
  <c r="S139" i="123" s="1"/>
  <c r="S128" i="123"/>
  <c r="O121" i="123"/>
  <c r="O116" i="123"/>
  <c r="CH353" i="515"/>
  <c r="CH350" i="515"/>
  <c r="H121" i="123"/>
  <c r="H116" i="123"/>
  <c r="BY57" i="515"/>
  <c r="BY456" i="515" s="1"/>
  <c r="BZ450" i="515"/>
  <c r="V413" i="515"/>
  <c r="V418" i="515"/>
  <c r="F103" i="515"/>
  <c r="E103" i="515"/>
  <c r="CQ360" i="515"/>
  <c r="CQ224" i="515"/>
  <c r="CQ187" i="515"/>
  <c r="CQ227" i="515"/>
  <c r="CQ244" i="515"/>
  <c r="CQ352" i="515"/>
  <c r="CI368" i="515"/>
  <c r="CI375" i="515"/>
  <c r="CI366" i="515"/>
  <c r="CI374" i="515" s="1"/>
  <c r="M108" i="515"/>
  <c r="R519" i="515"/>
  <c r="Q522" i="515"/>
  <c r="CH248" i="515"/>
  <c r="CH239" i="515"/>
  <c r="CH22" i="515"/>
  <c r="CH582" i="515"/>
  <c r="Z295" i="515"/>
  <c r="Z309" i="515" s="1"/>
  <c r="AA296" i="515"/>
  <c r="Z263" i="515"/>
  <c r="Y510" i="515"/>
  <c r="X513" i="515"/>
  <c r="CM22" i="515"/>
  <c r="CM248" i="515"/>
  <c r="CM239" i="515"/>
  <c r="CM582" i="515"/>
  <c r="AD214" i="123"/>
  <c r="AC193" i="123"/>
  <c r="CJ100" i="515"/>
  <c r="CJ23" i="515"/>
  <c r="CJ109" i="515" s="1"/>
  <c r="CJ19" i="515"/>
  <c r="L108" i="515"/>
  <c r="I20" i="515"/>
  <c r="I13" i="515"/>
  <c r="K468" i="515"/>
  <c r="J55" i="3"/>
  <c r="J48" i="3"/>
  <c r="K108" i="515"/>
  <c r="R72" i="3"/>
  <c r="O571" i="515"/>
  <c r="O566" i="515"/>
  <c r="O73" i="515"/>
  <c r="R56" i="3"/>
  <c r="R60" i="3" s="1"/>
  <c r="R63" i="3" s="1"/>
  <c r="J108" i="515"/>
  <c r="CL352" i="515"/>
  <c r="CL360" i="515"/>
  <c r="CL187" i="515"/>
  <c r="CL244" i="515"/>
  <c r="CL227" i="515"/>
  <c r="CL224" i="515"/>
  <c r="CO286" i="515"/>
  <c r="CS286" i="515"/>
  <c r="CO278" i="515"/>
  <c r="O239" i="515"/>
  <c r="O100" i="515"/>
  <c r="O22" i="515"/>
  <c r="O248" i="515"/>
  <c r="O352" i="515"/>
  <c r="O353" i="515" s="1"/>
  <c r="O244" i="515"/>
  <c r="O360" i="515"/>
  <c r="CK248" i="515"/>
  <c r="CK22" i="515"/>
  <c r="CK239" i="515"/>
  <c r="CK582" i="515"/>
  <c r="Y254" i="123"/>
  <c r="Y226" i="123"/>
  <c r="Z225" i="123" s="1"/>
  <c r="M111" i="515"/>
  <c r="M91" i="515"/>
  <c r="M47" i="515"/>
  <c r="R97" i="123"/>
  <c r="R100" i="123" s="1"/>
  <c r="M568" i="515"/>
  <c r="M579" i="515" s="1"/>
  <c r="M493" i="515"/>
  <c r="M496" i="515"/>
  <c r="P172" i="515"/>
  <c r="CO359" i="515"/>
  <c r="CO366" i="515" s="1"/>
  <c r="CO367" i="515"/>
  <c r="O242" i="515"/>
  <c r="O222" i="515"/>
  <c r="CK350" i="515"/>
  <c r="CK353" i="515"/>
  <c r="Q72" i="3"/>
  <c r="N568" i="515"/>
  <c r="N566" i="515"/>
  <c r="N571" i="515"/>
  <c r="N73" i="515"/>
  <c r="Q56" i="3"/>
  <c r="Q60" i="3" s="1"/>
  <c r="Q63" i="3" s="1"/>
  <c r="P352" i="515"/>
  <c r="P353" i="515" s="1"/>
  <c r="P244" i="515"/>
  <c r="P360" i="515"/>
  <c r="CO353" i="515"/>
  <c r="CO350" i="515"/>
  <c r="CO248" i="515"/>
  <c r="CO239" i="515"/>
  <c r="CS239" i="515"/>
  <c r="CO22" i="515"/>
  <c r="CO582" i="515"/>
  <c r="O480" i="515"/>
  <c r="O488" i="515"/>
  <c r="CK367" i="515"/>
  <c r="CK359" i="515"/>
  <c r="Z397" i="515"/>
  <c r="O270" i="515"/>
  <c r="O278" i="515" s="1"/>
  <c r="O286" i="515" s="1"/>
  <c r="O280" i="515"/>
  <c r="O288" i="515" s="1"/>
  <c r="AB411" i="515"/>
  <c r="P280" i="515"/>
  <c r="P270" i="515"/>
  <c r="P278" i="515" s="1"/>
  <c r="K129" i="123" l="1"/>
  <c r="K128" i="123"/>
  <c r="K135" i="123"/>
  <c r="K136" i="123" s="1"/>
  <c r="H16" i="515"/>
  <c r="DG214" i="515"/>
  <c r="V421" i="515"/>
  <c r="W421" i="515" s="1"/>
  <c r="X421" i="515" s="1"/>
  <c r="Y421" i="515" s="1"/>
  <c r="Z421" i="515" s="1"/>
  <c r="AA421" i="515" s="1"/>
  <c r="AB421" i="515" s="1"/>
  <c r="K578" i="515"/>
  <c r="CI20" i="515"/>
  <c r="DD223" i="515"/>
  <c r="I108" i="515"/>
  <c r="CJ20" i="515"/>
  <c r="H108" i="515"/>
  <c r="DF398" i="515"/>
  <c r="DF399" i="515" s="1"/>
  <c r="DG418" i="515"/>
  <c r="DG413" i="515"/>
  <c r="DG396" i="515"/>
  <c r="DG398" i="515" s="1"/>
  <c r="DG399" i="515" s="1"/>
  <c r="DH396" i="515"/>
  <c r="DH398" i="515" s="1"/>
  <c r="DH399" i="515" s="1"/>
  <c r="X447" i="515"/>
  <c r="X452" i="515" s="1"/>
  <c r="Y448" i="515"/>
  <c r="X462" i="515"/>
  <c r="DH151" i="515"/>
  <c r="DH412" i="515"/>
  <c r="DH418" i="515" s="1"/>
  <c r="DH424" i="515" s="1"/>
  <c r="DH175" i="515" s="1"/>
  <c r="DF419" i="515"/>
  <c r="DF424" i="515"/>
  <c r="P187" i="515"/>
  <c r="P224" i="515"/>
  <c r="AF21" i="123"/>
  <c r="AD11" i="3"/>
  <c r="K574" i="515"/>
  <c r="K576" i="515"/>
  <c r="K577" i="515"/>
  <c r="K575" i="515"/>
  <c r="DD537" i="515"/>
  <c r="DD214" i="515"/>
  <c r="CO28" i="515"/>
  <c r="CO35" i="515"/>
  <c r="CK28" i="515"/>
  <c r="CK35" i="515"/>
  <c r="CM35" i="515"/>
  <c r="CM28" i="515"/>
  <c r="CH28" i="515"/>
  <c r="CH35" i="515"/>
  <c r="AF44" i="123"/>
  <c r="AE45" i="123"/>
  <c r="AD56" i="123"/>
  <c r="AB13" i="3"/>
  <c r="CM100" i="515"/>
  <c r="CM23" i="515"/>
  <c r="CM109" i="515" s="1"/>
  <c r="CM19" i="515"/>
  <c r="CR224" i="515"/>
  <c r="CR227" i="515"/>
  <c r="CR187" i="515"/>
  <c r="CR244" i="515"/>
  <c r="CR352" i="515"/>
  <c r="CR360" i="515"/>
  <c r="CX173" i="515"/>
  <c r="CP360" i="515"/>
  <c r="CP224" i="515"/>
  <c r="CP352" i="515"/>
  <c r="CP244" i="515"/>
  <c r="CP187" i="515"/>
  <c r="Q174" i="515"/>
  <c r="Q224" i="515" s="1"/>
  <c r="CP227" i="515"/>
  <c r="Y255" i="123"/>
  <c r="CL22" i="515"/>
  <c r="CL248" i="515"/>
  <c r="CL239" i="515"/>
  <c r="CL582" i="515"/>
  <c r="CQ248" i="515"/>
  <c r="CQ22" i="515"/>
  <c r="CQ239" i="515"/>
  <c r="CQ582" i="515"/>
  <c r="CR280" i="515"/>
  <c r="CR270" i="515"/>
  <c r="CR288" i="515"/>
  <c r="J103" i="515"/>
  <c r="I103" i="515"/>
  <c r="L206" i="123"/>
  <c r="CT243" i="515"/>
  <c r="CT174" i="515"/>
  <c r="R173" i="515"/>
  <c r="CT272" i="515"/>
  <c r="CT223" i="515"/>
  <c r="DH259" i="515"/>
  <c r="CP288" i="515"/>
  <c r="CP270" i="515"/>
  <c r="CP280" i="515"/>
  <c r="Z385" i="515"/>
  <c r="Z396" i="515" s="1"/>
  <c r="Z399" i="515" s="1"/>
  <c r="Z400" i="515" s="1"/>
  <c r="Y151" i="515"/>
  <c r="CL286" i="515"/>
  <c r="CL278" i="515"/>
  <c r="U424" i="515"/>
  <c r="CH100" i="515"/>
  <c r="CH19" i="515"/>
  <c r="CH23" i="515"/>
  <c r="CH109" i="515" s="1"/>
  <c r="CU280" i="515"/>
  <c r="CU270" i="515"/>
  <c r="CU288" i="515"/>
  <c r="CV174" i="515"/>
  <c r="CV223" i="515"/>
  <c r="CV272" i="515"/>
  <c r="CV243" i="515"/>
  <c r="CN286" i="515"/>
  <c r="CN278" i="515"/>
  <c r="CL367" i="515"/>
  <c r="CL359" i="515"/>
  <c r="CL366" i="515" s="1"/>
  <c r="M138" i="123"/>
  <c r="M139" i="123" s="1"/>
  <c r="I16" i="515"/>
  <c r="J99" i="515" s="1"/>
  <c r="M135" i="123"/>
  <c r="M136" i="123" s="1"/>
  <c r="M128" i="123"/>
  <c r="I14" i="515"/>
  <c r="I106" i="515" s="1"/>
  <c r="M129" i="123"/>
  <c r="Y513" i="515"/>
  <c r="Z510" i="515"/>
  <c r="CQ353" i="515"/>
  <c r="CQ350" i="515"/>
  <c r="V419" i="515"/>
  <c r="N99" i="515"/>
  <c r="N17" i="515"/>
  <c r="X412" i="515"/>
  <c r="Y409" i="515"/>
  <c r="X129" i="515"/>
  <c r="X163" i="515" s="1"/>
  <c r="X214" i="515" s="1"/>
  <c r="N569" i="515"/>
  <c r="O574" i="515" s="1"/>
  <c r="O562" i="515"/>
  <c r="S206" i="123"/>
  <c r="CN239" i="515"/>
  <c r="CN248" i="515"/>
  <c r="CN22" i="515"/>
  <c r="CN582" i="515"/>
  <c r="CN367" i="515"/>
  <c r="CN359" i="515"/>
  <c r="CN366" i="515" s="1"/>
  <c r="CN374" i="515" s="1"/>
  <c r="CQ286" i="515"/>
  <c r="CQ278" i="515"/>
  <c r="J17" i="515"/>
  <c r="N471" i="515"/>
  <c r="M469" i="515"/>
  <c r="U203" i="123"/>
  <c r="V54" i="123"/>
  <c r="CY174" i="515"/>
  <c r="CY243" i="515"/>
  <c r="CY272" i="515"/>
  <c r="DC288" i="515" s="1"/>
  <c r="CY223" i="515"/>
  <c r="Q272" i="515"/>
  <c r="Q243" i="515"/>
  <c r="Q172" i="515"/>
  <c r="Q222" i="515" s="1"/>
  <c r="Q180" i="515"/>
  <c r="Q223" i="515"/>
  <c r="M99" i="515"/>
  <c r="M17" i="515"/>
  <c r="R80" i="3"/>
  <c r="AE214" i="123"/>
  <c r="AD193" i="123"/>
  <c r="AA295" i="515"/>
  <c r="AA309" i="515" s="1"/>
  <c r="AB296" i="515"/>
  <c r="AA263" i="515"/>
  <c r="S519" i="515"/>
  <c r="R522" i="515"/>
  <c r="H47" i="3"/>
  <c r="H49" i="3" s="1"/>
  <c r="G51" i="3"/>
  <c r="CI101" i="515"/>
  <c r="CI37" i="515"/>
  <c r="CI38" i="515" s="1"/>
  <c r="CI110" i="515"/>
  <c r="P473" i="515"/>
  <c r="O472" i="515"/>
  <c r="CM368" i="515"/>
  <c r="CM375" i="515"/>
  <c r="CL350" i="515"/>
  <c r="CL353" i="515"/>
  <c r="O565" i="515"/>
  <c r="J59" i="3"/>
  <c r="J62" i="3" s="1"/>
  <c r="J57" i="3"/>
  <c r="CJ37" i="515"/>
  <c r="CJ38" i="515" s="1"/>
  <c r="CJ110" i="515"/>
  <c r="CJ101" i="515"/>
  <c r="Z97" i="515"/>
  <c r="CQ359" i="515"/>
  <c r="CQ366" i="515" s="1"/>
  <c r="CQ374" i="515" s="1"/>
  <c r="CQ367" i="515"/>
  <c r="W413" i="515"/>
  <c r="W418" i="515"/>
  <c r="L17" i="515"/>
  <c r="BY16" i="515"/>
  <c r="L99" i="515"/>
  <c r="CU187" i="515"/>
  <c r="CU360" i="515"/>
  <c r="CU224" i="515"/>
  <c r="CU352" i="515"/>
  <c r="CU227" i="515"/>
  <c r="CU244" i="515"/>
  <c r="CN350" i="515"/>
  <c r="CN353" i="515"/>
  <c r="K25" i="3"/>
  <c r="L9" i="3"/>
  <c r="L25" i="3" s="1"/>
  <c r="DA245" i="515"/>
  <c r="DA225" i="515"/>
  <c r="CH375" i="515"/>
  <c r="CH368" i="515"/>
  <c r="CH366" i="515"/>
  <c r="CH374" i="515" s="1"/>
  <c r="L30" i="515"/>
  <c r="L485" i="515"/>
  <c r="L486" i="515" s="1"/>
  <c r="Q202" i="123"/>
  <c r="CM374" i="515"/>
  <c r="G59" i="3"/>
  <c r="G62" i="3" s="1"/>
  <c r="G57" i="3"/>
  <c r="K17" i="515"/>
  <c r="K99" i="515"/>
  <c r="H99" i="515"/>
  <c r="H17" i="515"/>
  <c r="P286" i="515"/>
  <c r="P359" i="515"/>
  <c r="P367" i="515"/>
  <c r="P222" i="515"/>
  <c r="P242" i="515"/>
  <c r="P288" i="515"/>
  <c r="CK19" i="515"/>
  <c r="CK23" i="515"/>
  <c r="CK109" i="515" s="1"/>
  <c r="CK100" i="515"/>
  <c r="O35" i="515"/>
  <c r="O23" i="515"/>
  <c r="O13" i="515"/>
  <c r="CS374" i="515"/>
  <c r="CK375" i="515"/>
  <c r="CK368" i="515"/>
  <c r="CK366" i="515"/>
  <c r="CK374" i="515" s="1"/>
  <c r="CO100" i="515"/>
  <c r="CO23" i="515"/>
  <c r="CO109" i="515" s="1"/>
  <c r="CO19" i="515"/>
  <c r="CS100" i="515"/>
  <c r="O567" i="515"/>
  <c r="O578" i="515" s="1"/>
  <c r="N74" i="515"/>
  <c r="Q80" i="3"/>
  <c r="Y257" i="123"/>
  <c r="Y258" i="123" s="1"/>
  <c r="Y201" i="123"/>
  <c r="Y200" i="123"/>
  <c r="AA397" i="515"/>
  <c r="N565" i="515"/>
  <c r="N567" i="515"/>
  <c r="CO368" i="515"/>
  <c r="CS375" i="515"/>
  <c r="CO375" i="515"/>
  <c r="R206" i="123"/>
  <c r="N562" i="515"/>
  <c r="M569" i="515"/>
  <c r="N579" i="515" s="1"/>
  <c r="M103" i="515"/>
  <c r="M74" i="515"/>
  <c r="N103" i="515"/>
  <c r="Z254" i="123"/>
  <c r="Z226" i="123"/>
  <c r="AA225" i="123" s="1"/>
  <c r="O359" i="515"/>
  <c r="O367" i="515"/>
  <c r="V424" i="515" l="1"/>
  <c r="CO20" i="515"/>
  <c r="H107" i="515"/>
  <c r="J107" i="515"/>
  <c r="N107" i="515"/>
  <c r="CH20" i="515"/>
  <c r="CK20" i="515"/>
  <c r="K107" i="515"/>
  <c r="L107" i="515"/>
  <c r="M107" i="515"/>
  <c r="CM20" i="515"/>
  <c r="CJ108" i="515"/>
  <c r="CI108" i="515"/>
  <c r="DF425" i="515"/>
  <c r="DF175" i="515"/>
  <c r="DI396" i="515"/>
  <c r="DH163" i="515"/>
  <c r="DH245" i="515" s="1"/>
  <c r="DI151" i="515"/>
  <c r="DI411" i="515" s="1"/>
  <c r="DI412" i="515" s="1"/>
  <c r="DI418" i="515" s="1"/>
  <c r="Y462" i="515"/>
  <c r="Z448" i="515"/>
  <c r="Y447" i="515"/>
  <c r="Y452" i="515" s="1"/>
  <c r="DH413" i="515"/>
  <c r="DG424" i="515"/>
  <c r="DG419" i="515"/>
  <c r="DH419" i="515"/>
  <c r="S173" i="515"/>
  <c r="AE11" i="3"/>
  <c r="AG21" i="123"/>
  <c r="AF11" i="3" s="1"/>
  <c r="P22" i="515"/>
  <c r="P239" i="515"/>
  <c r="P100" i="515"/>
  <c r="P248" i="515"/>
  <c r="DE537" i="515"/>
  <c r="CJ41" i="515"/>
  <c r="CN35" i="515"/>
  <c r="CN28" i="515"/>
  <c r="CL35" i="515"/>
  <c r="CL28" i="515"/>
  <c r="CQ35" i="515"/>
  <c r="CQ28" i="515"/>
  <c r="CJ45" i="515"/>
  <c r="CJ102" i="515" s="1"/>
  <c r="O576" i="515"/>
  <c r="CI45" i="515"/>
  <c r="CI72" i="515" s="1"/>
  <c r="AG44" i="123"/>
  <c r="AG45" i="123" s="1"/>
  <c r="AF45" i="123"/>
  <c r="AE56" i="123"/>
  <c r="AC13" i="3"/>
  <c r="BY99" i="515"/>
  <c r="BY19" i="515"/>
  <c r="CC99" i="515"/>
  <c r="BY17" i="515"/>
  <c r="CJ47" i="515"/>
  <c r="CJ103" i="515" s="1"/>
  <c r="S522" i="515"/>
  <c r="T519" i="515"/>
  <c r="Q280" i="515"/>
  <c r="Q270" i="515"/>
  <c r="Q278" i="515" s="1"/>
  <c r="CY270" i="515"/>
  <c r="DC286" i="515" s="1"/>
  <c r="CY280" i="515"/>
  <c r="CY288" i="515"/>
  <c r="W54" i="123"/>
  <c r="V203" i="123"/>
  <c r="CN375" i="515"/>
  <c r="CN368" i="515"/>
  <c r="CL368" i="515"/>
  <c r="CL375" i="515"/>
  <c r="CV270" i="515"/>
  <c r="CV280" i="515"/>
  <c r="CV288" i="515"/>
  <c r="U175" i="515"/>
  <c r="U425" i="515"/>
  <c r="CZ223" i="515"/>
  <c r="CZ243" i="515"/>
  <c r="CZ174" i="515"/>
  <c r="CZ272" i="515"/>
  <c r="DD288" i="515" s="1"/>
  <c r="CT288" i="515"/>
  <c r="CT270" i="515"/>
  <c r="CT280" i="515"/>
  <c r="CX223" i="515"/>
  <c r="CX272" i="515"/>
  <c r="CX174" i="515"/>
  <c r="CX243" i="515"/>
  <c r="CR353" i="515"/>
  <c r="CR350" i="515"/>
  <c r="CU367" i="515"/>
  <c r="CU359" i="515"/>
  <c r="CU366" i="515" s="1"/>
  <c r="CU374" i="515" s="1"/>
  <c r="CQ375" i="515"/>
  <c r="CQ368" i="515"/>
  <c r="O575" i="515"/>
  <c r="CI41" i="515"/>
  <c r="AA97" i="515"/>
  <c r="AE193" i="123"/>
  <c r="AF214" i="123"/>
  <c r="V425" i="515"/>
  <c r="V175" i="515"/>
  <c r="AA385" i="515"/>
  <c r="AA396" i="515" s="1"/>
  <c r="AA399" i="515" s="1"/>
  <c r="AA400" i="515" s="1"/>
  <c r="Z151" i="515"/>
  <c r="R223" i="515"/>
  <c r="R180" i="515"/>
  <c r="R272" i="515"/>
  <c r="R280" i="515" s="1"/>
  <c r="CQ19" i="515"/>
  <c r="CQ23" i="515"/>
  <c r="CQ109" i="515" s="1"/>
  <c r="CQ100" i="515"/>
  <c r="CP353" i="515"/>
  <c r="CP350" i="515"/>
  <c r="P56" i="3"/>
  <c r="P60" i="3" s="1"/>
  <c r="P63" i="3" s="1"/>
  <c r="L31" i="515"/>
  <c r="L479" i="515" s="1"/>
  <c r="L480" i="515" s="1"/>
  <c r="L48" i="3"/>
  <c r="L49" i="3" s="1"/>
  <c r="L55" i="3"/>
  <c r="CU239" i="515"/>
  <c r="CU22" i="515"/>
  <c r="CU248" i="515"/>
  <c r="CU582" i="515"/>
  <c r="DB245" i="515"/>
  <c r="DB225" i="515"/>
  <c r="Q473" i="515"/>
  <c r="P472" i="515"/>
  <c r="H51" i="3"/>
  <c r="I47" i="3"/>
  <c r="I49" i="3" s="1"/>
  <c r="AB295" i="515"/>
  <c r="AB309" i="515" s="1"/>
  <c r="AB263" i="515"/>
  <c r="Q242" i="515"/>
  <c r="CY187" i="515"/>
  <c r="CY227" i="515"/>
  <c r="CY244" i="515"/>
  <c r="CY360" i="515"/>
  <c r="CY224" i="515"/>
  <c r="CY352" i="515"/>
  <c r="CN23" i="515"/>
  <c r="CN109" i="515" s="1"/>
  <c r="CN100" i="515"/>
  <c r="CN19" i="515"/>
  <c r="Y129" i="515"/>
  <c r="Y163" i="515" s="1"/>
  <c r="Y214" i="515" s="1"/>
  <c r="Z409" i="515"/>
  <c r="Y412" i="515"/>
  <c r="I17" i="515"/>
  <c r="I99" i="515"/>
  <c r="O577" i="515"/>
  <c r="CV244" i="515"/>
  <c r="CV224" i="515"/>
  <c r="CV187" i="515"/>
  <c r="CV227" i="515"/>
  <c r="CV360" i="515"/>
  <c r="CV352" i="515"/>
  <c r="CU278" i="515"/>
  <c r="CU286" i="515"/>
  <c r="CT187" i="515"/>
  <c r="R174" i="515"/>
  <c r="R172" i="515" s="1"/>
  <c r="CT352" i="515"/>
  <c r="CT360" i="515"/>
  <c r="CT227" i="515"/>
  <c r="CT224" i="515"/>
  <c r="CT244" i="515"/>
  <c r="Q244" i="515"/>
  <c r="Q352" i="515"/>
  <c r="Q353" i="515" s="1"/>
  <c r="Q187" i="515"/>
  <c r="Q360" i="515"/>
  <c r="CR248" i="515"/>
  <c r="CR239" i="515"/>
  <c r="CR22" i="515"/>
  <c r="CR582" i="515"/>
  <c r="CM37" i="515"/>
  <c r="CM38" i="515" s="1"/>
  <c r="CM101" i="515"/>
  <c r="CM110" i="515"/>
  <c r="K48" i="3"/>
  <c r="K55" i="3"/>
  <c r="CU353" i="515"/>
  <c r="CU350" i="515"/>
  <c r="W424" i="515"/>
  <c r="W419" i="515"/>
  <c r="N470" i="515"/>
  <c r="N468" i="515" s="1"/>
  <c r="O471" i="515"/>
  <c r="N469" i="515"/>
  <c r="X413" i="515"/>
  <c r="X418" i="515"/>
  <c r="AA510" i="515"/>
  <c r="Z513" i="515"/>
  <c r="CL374" i="515"/>
  <c r="CH37" i="515"/>
  <c r="CH38" i="515" s="1"/>
  <c r="CH101" i="515"/>
  <c r="CH110" i="515"/>
  <c r="CP286" i="515"/>
  <c r="CP278" i="515"/>
  <c r="CR286" i="515"/>
  <c r="CR278" i="515"/>
  <c r="CL23" i="515"/>
  <c r="CL109" i="515" s="1"/>
  <c r="CL19" i="515"/>
  <c r="CL100" i="515"/>
  <c r="CP22" i="515"/>
  <c r="CP239" i="515"/>
  <c r="CP248" i="515"/>
  <c r="CP582" i="515"/>
  <c r="CP367" i="515"/>
  <c r="CP359" i="515"/>
  <c r="CP366" i="515" s="1"/>
  <c r="CP374" i="515" s="1"/>
  <c r="CR359" i="515"/>
  <c r="CR366" i="515" s="1"/>
  <c r="CR374" i="515" s="1"/>
  <c r="CR367" i="515"/>
  <c r="N574" i="515"/>
  <c r="AB397" i="515"/>
  <c r="O110" i="515"/>
  <c r="O114" i="515"/>
  <c r="O101" i="515"/>
  <c r="O375" i="515"/>
  <c r="O368" i="515"/>
  <c r="O350" i="515"/>
  <c r="O366" i="515"/>
  <c r="O374" i="515" s="1"/>
  <c r="N576" i="515"/>
  <c r="CO374" i="515"/>
  <c r="CK37" i="515"/>
  <c r="CK45" i="515" s="1"/>
  <c r="CK110" i="515"/>
  <c r="CK101" i="515"/>
  <c r="P375" i="515"/>
  <c r="P368" i="515"/>
  <c r="M580" i="515"/>
  <c r="N580" i="515"/>
  <c r="N575" i="515"/>
  <c r="T135" i="123"/>
  <c r="T136" i="123" s="1"/>
  <c r="T138" i="123"/>
  <c r="T139" i="123" s="1"/>
  <c r="O16" i="515"/>
  <c r="T128" i="123"/>
  <c r="U128" i="123" s="1"/>
  <c r="V128" i="123" s="1"/>
  <c r="W128" i="123" s="1"/>
  <c r="T129" i="123"/>
  <c r="U129" i="123" s="1"/>
  <c r="V129" i="123" s="1"/>
  <c r="W129" i="123" s="1"/>
  <c r="O14" i="515"/>
  <c r="O106" i="515" s="1"/>
  <c r="N577" i="515"/>
  <c r="P366" i="515"/>
  <c r="P350" i="515"/>
  <c r="AA226" i="123"/>
  <c r="AB225" i="123" s="1"/>
  <c r="AA254" i="123"/>
  <c r="Z255" i="123"/>
  <c r="N578" i="515"/>
  <c r="CS101" i="515"/>
  <c r="CO110" i="515"/>
  <c r="CO101" i="515"/>
  <c r="CO37" i="515"/>
  <c r="CO45" i="515" s="1"/>
  <c r="CL20" i="515" l="1"/>
  <c r="DD224" i="515"/>
  <c r="DD227" i="515"/>
  <c r="BY107" i="515"/>
  <c r="BY20" i="515"/>
  <c r="I107" i="515"/>
  <c r="CN20" i="515"/>
  <c r="CQ20" i="515"/>
  <c r="CM108" i="515"/>
  <c r="CK108" i="515"/>
  <c r="CH108" i="515"/>
  <c r="CO108" i="515"/>
  <c r="DH425" i="515"/>
  <c r="Z462" i="515"/>
  <c r="Z447" i="515"/>
  <c r="Z452" i="515" s="1"/>
  <c r="AA448" i="515"/>
  <c r="DI413" i="515"/>
  <c r="DI419" i="515"/>
  <c r="DG175" i="515"/>
  <c r="DG245" i="515" s="1"/>
  <c r="DG425" i="515"/>
  <c r="DH537" i="515"/>
  <c r="DI163" i="515"/>
  <c r="DH214" i="515"/>
  <c r="DI397" i="515"/>
  <c r="DI398" i="515"/>
  <c r="DI399" i="515" s="1"/>
  <c r="DF225" i="515"/>
  <c r="DF245" i="515"/>
  <c r="X129" i="123"/>
  <c r="Y129" i="123" s="1"/>
  <c r="Z129" i="123" s="1"/>
  <c r="AA129" i="123" s="1"/>
  <c r="AB129" i="123" s="1"/>
  <c r="AC129" i="123" s="1"/>
  <c r="AD129" i="123" s="1"/>
  <c r="AE129" i="123" s="1"/>
  <c r="AF129" i="123" s="1"/>
  <c r="AG129" i="123" s="1"/>
  <c r="X128" i="123"/>
  <c r="Y128" i="123" s="1"/>
  <c r="Z128" i="123" s="1"/>
  <c r="AA128" i="123" s="1"/>
  <c r="AB128" i="123" s="1"/>
  <c r="AC128" i="123" s="1"/>
  <c r="AD128" i="123" s="1"/>
  <c r="AE128" i="123" s="1"/>
  <c r="AF128" i="123" s="1"/>
  <c r="AG128" i="123" s="1"/>
  <c r="S174" i="515"/>
  <c r="S272" i="515"/>
  <c r="S280" i="515" s="1"/>
  <c r="S223" i="515"/>
  <c r="CI111" i="515"/>
  <c r="CJ72" i="515"/>
  <c r="CJ111" i="515"/>
  <c r="P35" i="515"/>
  <c r="P23" i="515"/>
  <c r="P13" i="515"/>
  <c r="CR35" i="515"/>
  <c r="CR28" i="515"/>
  <c r="CU35" i="515"/>
  <c r="CU28" i="515"/>
  <c r="CP28" i="515"/>
  <c r="CP35" i="515"/>
  <c r="CI47" i="515"/>
  <c r="CI103" i="515" s="1"/>
  <c r="CI102" i="515"/>
  <c r="CO41" i="515"/>
  <c r="CK41" i="515"/>
  <c r="CM45" i="515"/>
  <c r="CM47" i="515" s="1"/>
  <c r="CM103" i="515" s="1"/>
  <c r="AF56" i="123"/>
  <c r="AD13" i="3"/>
  <c r="R222" i="515"/>
  <c r="X424" i="515"/>
  <c r="X419" i="515"/>
  <c r="CU19" i="515"/>
  <c r="CU100" i="515"/>
  <c r="CU23" i="515"/>
  <c r="CU109" i="515" s="1"/>
  <c r="CY278" i="515"/>
  <c r="CY286" i="515"/>
  <c r="CP375" i="515"/>
  <c r="CP368" i="515"/>
  <c r="CP19" i="515"/>
  <c r="CP100" i="515"/>
  <c r="CP23" i="515"/>
  <c r="CP109" i="515" s="1"/>
  <c r="W425" i="515"/>
  <c r="W175" i="515"/>
  <c r="CM41" i="515"/>
  <c r="Q367" i="515"/>
  <c r="Q359" i="515"/>
  <c r="CT359" i="515"/>
  <c r="CT366" i="515" s="1"/>
  <c r="CT374" i="515" s="1"/>
  <c r="CT367" i="515"/>
  <c r="CV353" i="515"/>
  <c r="CV350" i="515"/>
  <c r="CV22" i="515"/>
  <c r="CV239" i="515"/>
  <c r="CV248" i="515"/>
  <c r="CV582" i="515"/>
  <c r="CY359" i="515"/>
  <c r="CY367" i="515"/>
  <c r="DC375" i="515" s="1"/>
  <c r="J47" i="3"/>
  <c r="J49" i="3" s="1"/>
  <c r="J9" i="123"/>
  <c r="L59" i="3"/>
  <c r="L62" i="3" s="1"/>
  <c r="L57" i="3"/>
  <c r="AF193" i="123"/>
  <c r="AG214" i="123"/>
  <c r="AG193" i="123" s="1"/>
  <c r="CX244" i="515"/>
  <c r="CX352" i="515"/>
  <c r="CX224" i="515"/>
  <c r="CX360" i="515"/>
  <c r="CX187" i="515"/>
  <c r="CX227" i="515"/>
  <c r="CT278" i="515"/>
  <c r="CT286" i="515"/>
  <c r="Q286" i="515"/>
  <c r="CY248" i="515"/>
  <c r="CY22" i="515"/>
  <c r="CY239" i="515"/>
  <c r="CY582" i="515"/>
  <c r="R473" i="515"/>
  <c r="Q472" i="515"/>
  <c r="CZ270" i="515"/>
  <c r="DD286" i="515" s="1"/>
  <c r="CZ280" i="515"/>
  <c r="CZ288" i="515"/>
  <c r="AA255" i="123"/>
  <c r="AA201" i="123" s="1"/>
  <c r="CR375" i="515"/>
  <c r="CR368" i="515"/>
  <c r="CL101" i="515"/>
  <c r="CL110" i="515"/>
  <c r="CL37" i="515"/>
  <c r="CL45" i="515" s="1"/>
  <c r="CH41" i="515"/>
  <c r="CR23" i="515"/>
  <c r="CR109" i="515" s="1"/>
  <c r="CR19" i="515"/>
  <c r="CR100" i="515"/>
  <c r="Q22" i="515"/>
  <c r="Q248" i="515"/>
  <c r="Q100" i="515"/>
  <c r="Q239" i="515"/>
  <c r="CT353" i="515"/>
  <c r="CT350" i="515"/>
  <c r="CV359" i="515"/>
  <c r="CV366" i="515" s="1"/>
  <c r="CV374" i="515" s="1"/>
  <c r="CV367" i="515"/>
  <c r="Y413" i="515"/>
  <c r="Y418" i="515"/>
  <c r="CN101" i="515"/>
  <c r="CN37" i="515"/>
  <c r="CN38" i="515" s="1"/>
  <c r="CN110" i="515"/>
  <c r="L51" i="3"/>
  <c r="M47" i="3"/>
  <c r="V245" i="515"/>
  <c r="V225" i="515"/>
  <c r="CU375" i="515"/>
  <c r="CU368" i="515"/>
  <c r="CX280" i="515"/>
  <c r="CX270" i="515"/>
  <c r="CX288" i="515"/>
  <c r="CZ224" i="515"/>
  <c r="CZ360" i="515"/>
  <c r="CZ244" i="515"/>
  <c r="CZ352" i="515"/>
  <c r="CZ227" i="515"/>
  <c r="CZ187" i="515"/>
  <c r="CV278" i="515"/>
  <c r="CV286" i="515"/>
  <c r="Q288" i="515"/>
  <c r="T522" i="515"/>
  <c r="U519" i="515"/>
  <c r="CT239" i="515"/>
  <c r="CT22" i="515"/>
  <c r="CT248" i="515"/>
  <c r="CT582" i="515"/>
  <c r="DC245" i="515"/>
  <c r="DC225" i="515"/>
  <c r="CH45" i="515"/>
  <c r="AB510" i="515"/>
  <c r="AB513" i="515" s="1"/>
  <c r="AA513" i="515"/>
  <c r="O470" i="515"/>
  <c r="O468" i="515" s="1"/>
  <c r="P471" i="515"/>
  <c r="O469" i="515"/>
  <c r="R352" i="515"/>
  <c r="R224" i="515"/>
  <c r="R360" i="515"/>
  <c r="R367" i="515" s="1"/>
  <c r="R187" i="515"/>
  <c r="AA409" i="515"/>
  <c r="Z129" i="515"/>
  <c r="Z163" i="515" s="1"/>
  <c r="Z214" i="515" s="1"/>
  <c r="Z412" i="515"/>
  <c r="CY350" i="515"/>
  <c r="CY353" i="515"/>
  <c r="AB97" i="515"/>
  <c r="CQ110" i="515"/>
  <c r="CQ37" i="515"/>
  <c r="CQ38" i="515" s="1"/>
  <c r="CQ101" i="515"/>
  <c r="R288" i="515"/>
  <c r="AB385" i="515"/>
  <c r="AB151" i="515" s="1"/>
  <c r="AA151" i="515"/>
  <c r="U245" i="515"/>
  <c r="U225" i="515"/>
  <c r="X54" i="123"/>
  <c r="X203" i="123" s="1"/>
  <c r="W203" i="123"/>
  <c r="CK72" i="515"/>
  <c r="CK47" i="515"/>
  <c r="CK103" i="515" s="1"/>
  <c r="CK111" i="515"/>
  <c r="CK102" i="515"/>
  <c r="O17" i="515"/>
  <c r="O99" i="515"/>
  <c r="T89" i="123"/>
  <c r="O115" i="515"/>
  <c r="O121" i="515" s="1"/>
  <c r="O120" i="515"/>
  <c r="O117" i="515"/>
  <c r="O118" i="515" s="1"/>
  <c r="O109" i="515"/>
  <c r="CO111" i="515"/>
  <c r="CO102" i="515"/>
  <c r="CO47" i="515"/>
  <c r="CS102" i="515"/>
  <c r="P374" i="515"/>
  <c r="CK38" i="515"/>
  <c r="O37" i="515"/>
  <c r="CO38" i="515"/>
  <c r="Z200" i="123"/>
  <c r="Z257" i="123"/>
  <c r="Z258" i="123" s="1"/>
  <c r="Z201" i="123"/>
  <c r="AB254" i="123"/>
  <c r="AB226" i="123"/>
  <c r="AC225" i="123" s="1"/>
  <c r="DG225" i="515" l="1"/>
  <c r="S288" i="515"/>
  <c r="O107" i="515"/>
  <c r="CP20" i="515"/>
  <c r="CQ108" i="515"/>
  <c r="CN108" i="515"/>
  <c r="BY108" i="515"/>
  <c r="Q28" i="515"/>
  <c r="CR20" i="515"/>
  <c r="CU20" i="515"/>
  <c r="CL108" i="515"/>
  <c r="DI537" i="515"/>
  <c r="DI214" i="515"/>
  <c r="DH225" i="515"/>
  <c r="DI175" i="515"/>
  <c r="AB448" i="515"/>
  <c r="AA447" i="515"/>
  <c r="AA452" i="515" s="1"/>
  <c r="AA462" i="515"/>
  <c r="DG278" i="515"/>
  <c r="CY366" i="515"/>
  <c r="S360" i="515"/>
  <c r="S367" i="515" s="1"/>
  <c r="S375" i="515" s="1"/>
  <c r="S224" i="515"/>
  <c r="S352" i="515"/>
  <c r="S353" i="515" s="1"/>
  <c r="U135" i="123"/>
  <c r="U136" i="123" s="1"/>
  <c r="U138" i="123"/>
  <c r="U139" i="123" s="1"/>
  <c r="P14" i="515"/>
  <c r="P106" i="515" s="1"/>
  <c r="P16" i="515"/>
  <c r="P101" i="515"/>
  <c r="P110" i="515"/>
  <c r="P114" i="515"/>
  <c r="R375" i="515"/>
  <c r="CM102" i="515"/>
  <c r="CM111" i="515"/>
  <c r="CY35" i="515"/>
  <c r="CY28" i="515"/>
  <c r="CV35" i="515"/>
  <c r="CV28" i="515"/>
  <c r="CT35" i="515"/>
  <c r="CT28" i="515"/>
  <c r="CQ41" i="515"/>
  <c r="CQ45" i="515"/>
  <c r="CQ102" i="515" s="1"/>
  <c r="AB255" i="123"/>
  <c r="AB201" i="123" s="1"/>
  <c r="AG56" i="123"/>
  <c r="AF13" i="3" s="1"/>
  <c r="AE13" i="3"/>
  <c r="CL111" i="515"/>
  <c r="CL47" i="515"/>
  <c r="CL102" i="515"/>
  <c r="Z418" i="515"/>
  <c r="Z413" i="515"/>
  <c r="CZ22" i="515"/>
  <c r="CZ248" i="515"/>
  <c r="CZ239" i="515"/>
  <c r="CZ582" i="515"/>
  <c r="CX350" i="515"/>
  <c r="CX353" i="515"/>
  <c r="G478" i="515"/>
  <c r="J16" i="123"/>
  <c r="J81" i="123"/>
  <c r="I51" i="3"/>
  <c r="CV100" i="515"/>
  <c r="CV23" i="515"/>
  <c r="CV19" i="515"/>
  <c r="CU37" i="515"/>
  <c r="CU38" i="515" s="1"/>
  <c r="CU101" i="515"/>
  <c r="CU110" i="515"/>
  <c r="X175" i="515"/>
  <c r="X425" i="515"/>
  <c r="AA200" i="123"/>
  <c r="P470" i="515"/>
  <c r="P468" i="515" s="1"/>
  <c r="Q471" i="515"/>
  <c r="P469" i="515"/>
  <c r="CH102" i="515"/>
  <c r="CH72" i="515"/>
  <c r="CH47" i="515"/>
  <c r="CH103" i="515" s="1"/>
  <c r="CH111" i="515"/>
  <c r="CT100" i="515"/>
  <c r="CT19" i="515"/>
  <c r="CT23" i="515"/>
  <c r="CT109" i="515" s="1"/>
  <c r="CZ359" i="515"/>
  <c r="CZ367" i="515"/>
  <c r="DD375" i="515" s="1"/>
  <c r="CN45" i="515"/>
  <c r="CY23" i="515"/>
  <c r="CY109" i="515" s="1"/>
  <c r="CY100" i="515"/>
  <c r="CY19" i="515"/>
  <c r="CX239" i="515"/>
  <c r="CX248" i="515"/>
  <c r="CX22" i="515"/>
  <c r="CX582" i="515"/>
  <c r="K47" i="3"/>
  <c r="K49" i="3" s="1"/>
  <c r="L9" i="123" s="1"/>
  <c r="K9" i="123"/>
  <c r="CY375" i="515"/>
  <c r="CY368" i="515"/>
  <c r="Q350" i="515"/>
  <c r="Q366" i="515"/>
  <c r="Q374" i="515" s="1"/>
  <c r="N47" i="3"/>
  <c r="N49" i="3" s="1"/>
  <c r="M49" i="3"/>
  <c r="N9" i="123" s="1"/>
  <c r="W245" i="515"/>
  <c r="W225" i="515"/>
  <c r="AA257" i="123"/>
  <c r="AA258" i="123" s="1"/>
  <c r="AB409" i="515"/>
  <c r="AA412" i="515"/>
  <c r="AA129" i="515"/>
  <c r="AA163" i="515" s="1"/>
  <c r="AA214" i="515" s="1"/>
  <c r="U522" i="515"/>
  <c r="V519" i="515"/>
  <c r="CX286" i="515"/>
  <c r="CX278" i="515"/>
  <c r="Y419" i="515"/>
  <c r="Y424" i="515"/>
  <c r="AB396" i="515"/>
  <c r="AB399" i="515" s="1"/>
  <c r="AB400" i="515" s="1"/>
  <c r="CZ286" i="515"/>
  <c r="CZ278" i="515"/>
  <c r="R472" i="515"/>
  <c r="S473" i="515"/>
  <c r="CX367" i="515"/>
  <c r="CX359" i="515"/>
  <c r="Q368" i="515"/>
  <c r="Q375" i="515"/>
  <c r="CV368" i="515"/>
  <c r="CV375" i="515"/>
  <c r="Q35" i="515"/>
  <c r="Q13" i="515"/>
  <c r="Q23" i="515"/>
  <c r="CR37" i="515"/>
  <c r="CR38" i="515" s="1"/>
  <c r="CR110" i="515"/>
  <c r="CR101" i="515"/>
  <c r="P37" i="515"/>
  <c r="P38" i="515" s="1"/>
  <c r="Y54" i="123"/>
  <c r="R100" i="515"/>
  <c r="R239" i="515"/>
  <c r="R22" i="515"/>
  <c r="CZ350" i="515"/>
  <c r="CZ353" i="515"/>
  <c r="CN41" i="515"/>
  <c r="CL41" i="515"/>
  <c r="CL38" i="515"/>
  <c r="CT375" i="515"/>
  <c r="CT368" i="515"/>
  <c r="CP37" i="515"/>
  <c r="CP45" i="515" s="1"/>
  <c r="CP101" i="515"/>
  <c r="CP110" i="515"/>
  <c r="AB200" i="123"/>
  <c r="AB257" i="123"/>
  <c r="AB258" i="123" s="1"/>
  <c r="O38" i="515"/>
  <c r="O41" i="515"/>
  <c r="O45" i="515" s="1"/>
  <c r="T119" i="123"/>
  <c r="T116" i="123" s="1"/>
  <c r="T103" i="123"/>
  <c r="T108" i="123" s="1"/>
  <c r="T106" i="123" s="1"/>
  <c r="AC226" i="123"/>
  <c r="AD225" i="123" s="1"/>
  <c r="AC254" i="123"/>
  <c r="CO103" i="515"/>
  <c r="CS103" i="515"/>
  <c r="R28" i="515" l="1"/>
  <c r="CT20" i="515"/>
  <c r="CY20" i="515"/>
  <c r="CU108" i="515"/>
  <c r="CR108" i="515"/>
  <c r="CP108" i="515"/>
  <c r="DI225" i="515"/>
  <c r="CY374" i="515"/>
  <c r="DC374" i="515"/>
  <c r="AB447" i="515"/>
  <c r="AB452" i="515" s="1"/>
  <c r="AB462" i="515"/>
  <c r="DI245" i="515"/>
  <c r="DI424" i="515"/>
  <c r="DI421" i="515" s="1"/>
  <c r="DG270" i="515"/>
  <c r="DG280" i="515"/>
  <c r="DG272" i="515" s="1"/>
  <c r="DG173" i="515" s="1"/>
  <c r="CX366" i="515"/>
  <c r="CX374" i="515" s="1"/>
  <c r="CZ366" i="515"/>
  <c r="DH359" i="515"/>
  <c r="P120" i="515"/>
  <c r="U89" i="123"/>
  <c r="P117" i="515"/>
  <c r="P118" i="515" s="1"/>
  <c r="P109" i="515"/>
  <c r="P115" i="515"/>
  <c r="P121" i="515" s="1"/>
  <c r="P17" i="515"/>
  <c r="P99" i="515"/>
  <c r="CX28" i="515"/>
  <c r="CX35" i="515"/>
  <c r="CZ35" i="515"/>
  <c r="CZ28" i="515"/>
  <c r="P41" i="515"/>
  <c r="P45" i="515" s="1"/>
  <c r="CQ47" i="515"/>
  <c r="CQ103" i="515" s="1"/>
  <c r="CQ111" i="515"/>
  <c r="CP41" i="515"/>
  <c r="CR45" i="515"/>
  <c r="CU45" i="515"/>
  <c r="CR41" i="515"/>
  <c r="CP111" i="515"/>
  <c r="CP102" i="515"/>
  <c r="CP47" i="515"/>
  <c r="CP103" i="515" s="1"/>
  <c r="J87" i="123"/>
  <c r="J88" i="123"/>
  <c r="J26" i="123"/>
  <c r="J32" i="123" s="1"/>
  <c r="Z54" i="123"/>
  <c r="Y203" i="123"/>
  <c r="V138" i="123"/>
  <c r="V139" i="123" s="1"/>
  <c r="Q14" i="515"/>
  <c r="Q16" i="515"/>
  <c r="V135" i="123"/>
  <c r="V136" i="123" s="1"/>
  <c r="AA413" i="515"/>
  <c r="AA418" i="515"/>
  <c r="CN47" i="515"/>
  <c r="CN103" i="515" s="1"/>
  <c r="CN102" i="515"/>
  <c r="CN111" i="515"/>
  <c r="CT37" i="515"/>
  <c r="CT45" i="515" s="1"/>
  <c r="CT110" i="515"/>
  <c r="CT101" i="515"/>
  <c r="G480" i="515"/>
  <c r="I193" i="123"/>
  <c r="K51" i="3"/>
  <c r="L16" i="123"/>
  <c r="L81" i="123"/>
  <c r="R471" i="515"/>
  <c r="Q470" i="515"/>
  <c r="Q468" i="515" s="1"/>
  <c r="Q469" i="515"/>
  <c r="CV109" i="515"/>
  <c r="CR111" i="515"/>
  <c r="CR47" i="515"/>
  <c r="CR102" i="515"/>
  <c r="CX368" i="515"/>
  <c r="CX375" i="515"/>
  <c r="S472" i="515"/>
  <c r="T473" i="515"/>
  <c r="Y425" i="515"/>
  <c r="Y175" i="515"/>
  <c r="V522" i="515"/>
  <c r="W519" i="515"/>
  <c r="AB129" i="515"/>
  <c r="AB163" i="515" s="1"/>
  <c r="AB214" i="515" s="1"/>
  <c r="AB412" i="515"/>
  <c r="N81" i="123"/>
  <c r="M51" i="3"/>
  <c r="N16" i="123"/>
  <c r="O268" i="123"/>
  <c r="CX100" i="515"/>
  <c r="CX19" i="515"/>
  <c r="CX23" i="515"/>
  <c r="CZ368" i="515"/>
  <c r="CZ375" i="515"/>
  <c r="X245" i="515"/>
  <c r="X225" i="515"/>
  <c r="CU41" i="515"/>
  <c r="CV20" i="515"/>
  <c r="Z419" i="515"/>
  <c r="Z424" i="515"/>
  <c r="CY110" i="515"/>
  <c r="CY101" i="515"/>
  <c r="CY37" i="515"/>
  <c r="CY38" i="515" s="1"/>
  <c r="Q37" i="515"/>
  <c r="CP38" i="515"/>
  <c r="R35" i="515"/>
  <c r="Q114" i="515"/>
  <c r="Q110" i="515"/>
  <c r="Q41" i="515"/>
  <c r="Q45" i="515" s="1"/>
  <c r="Q101" i="515"/>
  <c r="N51" i="3"/>
  <c r="O47" i="3"/>
  <c r="O49" i="3" s="1"/>
  <c r="K81" i="123"/>
  <c r="H478" i="515"/>
  <c r="J193" i="123" s="1"/>
  <c r="J51" i="3"/>
  <c r="K16" i="123"/>
  <c r="CU111" i="515"/>
  <c r="CU47" i="515"/>
  <c r="CU103" i="515" s="1"/>
  <c r="CU102" i="515"/>
  <c r="CV37" i="515"/>
  <c r="CV110" i="515"/>
  <c r="CV101" i="515"/>
  <c r="J84" i="123"/>
  <c r="J85" i="123" s="1"/>
  <c r="J83" i="123"/>
  <c r="J105" i="123" s="1"/>
  <c r="J109" i="123" s="1"/>
  <c r="J110" i="123" s="1"/>
  <c r="CZ100" i="515"/>
  <c r="CZ19" i="515"/>
  <c r="CZ23" i="515"/>
  <c r="CL103" i="515"/>
  <c r="AC255" i="123"/>
  <c r="P73" i="515"/>
  <c r="P566" i="515"/>
  <c r="P568" i="515"/>
  <c r="P571" i="515"/>
  <c r="P567" i="515"/>
  <c r="S56" i="3"/>
  <c r="S60" i="3" s="1"/>
  <c r="S63" i="3" s="1"/>
  <c r="S72" i="3"/>
  <c r="AD226" i="123"/>
  <c r="AE225" i="123" s="1"/>
  <c r="AD254" i="123"/>
  <c r="P102" i="515"/>
  <c r="P111" i="515"/>
  <c r="U97" i="123"/>
  <c r="U100" i="123" s="1"/>
  <c r="P47" i="515"/>
  <c r="P91" i="515"/>
  <c r="O111" i="515"/>
  <c r="O91" i="515"/>
  <c r="T97" i="123"/>
  <c r="T100" i="123" s="1"/>
  <c r="O47" i="515"/>
  <c r="O568" i="515"/>
  <c r="O579" i="515" s="1"/>
  <c r="Q571" i="515"/>
  <c r="Q73" i="515"/>
  <c r="T56" i="3"/>
  <c r="T60" i="3" s="1"/>
  <c r="T63" i="3" s="1"/>
  <c r="Q566" i="515"/>
  <c r="T72" i="3"/>
  <c r="CV108" i="515" l="1"/>
  <c r="P107" i="515"/>
  <c r="CZ374" i="515"/>
  <c r="DD374" i="515"/>
  <c r="CY108" i="515"/>
  <c r="CT108" i="515"/>
  <c r="DI425" i="515"/>
  <c r="CZ109" i="515"/>
  <c r="DH278" i="515"/>
  <c r="DH280" i="515" s="1"/>
  <c r="DH272" i="515" s="1"/>
  <c r="DH173" i="515" s="1"/>
  <c r="DH366" i="515"/>
  <c r="DH360" i="515"/>
  <c r="DG243" i="515"/>
  <c r="DG172" i="515"/>
  <c r="DG242" i="515" s="1"/>
  <c r="DG288" i="515"/>
  <c r="DG223" i="515"/>
  <c r="CX20" i="515"/>
  <c r="CX109" i="515"/>
  <c r="U103" i="123"/>
  <c r="U108" i="123" s="1"/>
  <c r="U106" i="123" s="1"/>
  <c r="U119" i="123"/>
  <c r="U116" i="123" s="1"/>
  <c r="CY41" i="515"/>
  <c r="AD255" i="123"/>
  <c r="AD257" i="123" s="1"/>
  <c r="AD258" i="123" s="1"/>
  <c r="N83" i="123"/>
  <c r="N84" i="123"/>
  <c r="N85" i="123" s="1"/>
  <c r="U473" i="515"/>
  <c r="CV38" i="515"/>
  <c r="R101" i="515"/>
  <c r="R114" i="515"/>
  <c r="Q38" i="515"/>
  <c r="Q568" i="515" s="1"/>
  <c r="AB418" i="515"/>
  <c r="AB413" i="515"/>
  <c r="Y225" i="515"/>
  <c r="Y245" i="515"/>
  <c r="CR103" i="515"/>
  <c r="M87" i="123"/>
  <c r="M88" i="123"/>
  <c r="L26" i="123"/>
  <c r="L32" i="123" s="1"/>
  <c r="CT47" i="515"/>
  <c r="CT111" i="515"/>
  <c r="CT102" i="515"/>
  <c r="CT38" i="515"/>
  <c r="R37" i="515"/>
  <c r="R41" i="515" s="1"/>
  <c r="R45" i="515" s="1"/>
  <c r="Q17" i="515"/>
  <c r="Q99" i="515"/>
  <c r="J71" i="123"/>
  <c r="K98" i="123"/>
  <c r="K99" i="123"/>
  <c r="CZ37" i="515"/>
  <c r="CZ101" i="515"/>
  <c r="CZ110" i="515"/>
  <c r="K87" i="123"/>
  <c r="K88" i="123"/>
  <c r="K26" i="123"/>
  <c r="K32" i="123" s="1"/>
  <c r="L83" i="123"/>
  <c r="L84" i="123"/>
  <c r="L85" i="123" s="1"/>
  <c r="CZ20" i="515"/>
  <c r="CV45" i="515"/>
  <c r="CV41" i="515"/>
  <c r="H480" i="515"/>
  <c r="K193" i="123"/>
  <c r="I480" i="515"/>
  <c r="Z425" i="515"/>
  <c r="Z175" i="515"/>
  <c r="N26" i="123"/>
  <c r="N32" i="123" s="1"/>
  <c r="P88" i="123"/>
  <c r="P87" i="123"/>
  <c r="CT41" i="515"/>
  <c r="Q106" i="515"/>
  <c r="P47" i="3"/>
  <c r="P49" i="3" s="1"/>
  <c r="O51" i="3"/>
  <c r="V97" i="123"/>
  <c r="V100" i="123" s="1"/>
  <c r="Q111" i="515"/>
  <c r="Q47" i="515"/>
  <c r="Q91" i="515"/>
  <c r="CX37" i="515"/>
  <c r="CX110" i="515"/>
  <c r="CX101" i="515"/>
  <c r="AA419" i="515"/>
  <c r="AA424" i="515"/>
  <c r="Q102" i="515"/>
  <c r="K83" i="123"/>
  <c r="K105" i="123" s="1"/>
  <c r="K109" i="123" s="1"/>
  <c r="K110" i="123" s="1"/>
  <c r="K84" i="123"/>
  <c r="K85" i="123" s="1"/>
  <c r="Q109" i="515"/>
  <c r="V89" i="123"/>
  <c r="Q117" i="515"/>
  <c r="Q118" i="515" s="1"/>
  <c r="Q115" i="515"/>
  <c r="Q121" i="515" s="1"/>
  <c r="Q120" i="515"/>
  <c r="CY45" i="515"/>
  <c r="W522" i="515"/>
  <c r="X519" i="515"/>
  <c r="S471" i="515"/>
  <c r="R470" i="515"/>
  <c r="R468" i="515" s="1"/>
  <c r="R469" i="515"/>
  <c r="DC243" i="515"/>
  <c r="DC223" i="515"/>
  <c r="AA54" i="123"/>
  <c r="Z203" i="123"/>
  <c r="Q562" i="515"/>
  <c r="P569" i="515"/>
  <c r="Q575" i="515" s="1"/>
  <c r="U206" i="123"/>
  <c r="P74" i="515"/>
  <c r="P103" i="515"/>
  <c r="P504" i="515"/>
  <c r="P505" i="515" s="1"/>
  <c r="Q502" i="515" s="1"/>
  <c r="AD201" i="123"/>
  <c r="S80" i="3"/>
  <c r="T80" i="3"/>
  <c r="O504" i="515"/>
  <c r="O569" i="515"/>
  <c r="O580" i="515" s="1"/>
  <c r="O74" i="515"/>
  <c r="P562" i="515"/>
  <c r="T206" i="123"/>
  <c r="O103" i="515"/>
  <c r="AE254" i="123"/>
  <c r="AE226" i="123"/>
  <c r="AF225" i="123" s="1"/>
  <c r="Q567" i="515"/>
  <c r="P578" i="515"/>
  <c r="AC201" i="123"/>
  <c r="AC257" i="123"/>
  <c r="AC258" i="123" s="1"/>
  <c r="AC200" i="123"/>
  <c r="Q565" i="515"/>
  <c r="P565" i="515"/>
  <c r="DH270" i="515" l="1"/>
  <c r="CZ108" i="515"/>
  <c r="Q107" i="515"/>
  <c r="CX108" i="515"/>
  <c r="DH288" i="515"/>
  <c r="CZ45" i="515"/>
  <c r="DD102" i="515" s="1"/>
  <c r="DH367" i="515"/>
  <c r="DH368" i="515" s="1"/>
  <c r="DH174" i="515"/>
  <c r="DH172" i="515" s="1"/>
  <c r="DH242" i="515" s="1"/>
  <c r="DH243" i="515"/>
  <c r="DI422" i="515"/>
  <c r="CX38" i="515"/>
  <c r="CZ41" i="515"/>
  <c r="AD200" i="123"/>
  <c r="CX41" i="515"/>
  <c r="Q577" i="515"/>
  <c r="Q579" i="515"/>
  <c r="Q576" i="515"/>
  <c r="P575" i="515"/>
  <c r="Q578" i="515"/>
  <c r="R496" i="515"/>
  <c r="R493" i="515"/>
  <c r="R91" i="515"/>
  <c r="R47" i="515"/>
  <c r="R102" i="515"/>
  <c r="V119" i="123"/>
  <c r="V116" i="123" s="1"/>
  <c r="V103" i="123"/>
  <c r="V108" i="123" s="1"/>
  <c r="V106" i="123" s="1"/>
  <c r="Q569" i="515"/>
  <c r="Q580" i="515" s="1"/>
  <c r="R562" i="515"/>
  <c r="V206" i="123"/>
  <c r="Q103" i="515"/>
  <c r="Z245" i="515"/>
  <c r="Z225" i="515"/>
  <c r="CZ38" i="515"/>
  <c r="K100" i="123"/>
  <c r="X522" i="515"/>
  <c r="Y519" i="515"/>
  <c r="AA425" i="515"/>
  <c r="AA175" i="515"/>
  <c r="Q47" i="3"/>
  <c r="Q49" i="3" s="1"/>
  <c r="P51" i="3"/>
  <c r="L71" i="123"/>
  <c r="M99" i="123"/>
  <c r="S470" i="515"/>
  <c r="S468" i="515" s="1"/>
  <c r="T471" i="515"/>
  <c r="S469" i="515"/>
  <c r="CV47" i="515"/>
  <c r="CV103" i="515" s="1"/>
  <c r="CV111" i="515"/>
  <c r="CV102" i="515"/>
  <c r="K71" i="123"/>
  <c r="M98" i="123"/>
  <c r="CZ111" i="515"/>
  <c r="CZ102" i="515"/>
  <c r="CZ47" i="515"/>
  <c r="AB419" i="515"/>
  <c r="AB424" i="515"/>
  <c r="R73" i="515"/>
  <c r="R567" i="515" s="1"/>
  <c r="R566" i="515"/>
  <c r="U56" i="3"/>
  <c r="U60" i="3" s="1"/>
  <c r="U63" i="3" s="1"/>
  <c r="R571" i="515"/>
  <c r="U72" i="3"/>
  <c r="CY47" i="515"/>
  <c r="CY103" i="515" s="1"/>
  <c r="CY111" i="515"/>
  <c r="CY102" i="515"/>
  <c r="O99" i="123"/>
  <c r="O100" i="123" s="1"/>
  <c r="N71" i="123"/>
  <c r="Q74" i="515"/>
  <c r="AA203" i="123"/>
  <c r="AB54" i="123"/>
  <c r="CX45" i="515"/>
  <c r="R38" i="515"/>
  <c r="CT103" i="515"/>
  <c r="R115" i="515"/>
  <c r="R121" i="515" s="1"/>
  <c r="W89" i="123"/>
  <c r="R120" i="515"/>
  <c r="R117" i="515"/>
  <c r="R118" i="515" s="1"/>
  <c r="V473" i="515"/>
  <c r="P576" i="515"/>
  <c r="P577" i="515"/>
  <c r="Q503" i="515"/>
  <c r="Q506" i="515" s="1"/>
  <c r="Q498" i="515" s="1"/>
  <c r="U61" i="3" s="1"/>
  <c r="P579" i="515"/>
  <c r="AF226" i="123"/>
  <c r="AG225" i="123" s="1"/>
  <c r="AF254" i="123"/>
  <c r="P580" i="515"/>
  <c r="Q574" i="515"/>
  <c r="P574" i="515"/>
  <c r="AE255" i="123"/>
  <c r="O505" i="515"/>
  <c r="P502" i="515" s="1"/>
  <c r="DH223" i="515" l="1"/>
  <c r="DH352" i="515"/>
  <c r="DH244" i="515"/>
  <c r="R578" i="515"/>
  <c r="CX111" i="515"/>
  <c r="CX47" i="515"/>
  <c r="CX103" i="515" s="1"/>
  <c r="CX102" i="515"/>
  <c r="O506" i="515"/>
  <c r="O498" i="515" s="1"/>
  <c r="O499" i="515" s="1"/>
  <c r="AB175" i="515"/>
  <c r="AB425" i="515"/>
  <c r="CZ103" i="515"/>
  <c r="Q51" i="3"/>
  <c r="R47" i="3"/>
  <c r="R49" i="3" s="1"/>
  <c r="R103" i="515"/>
  <c r="R569" i="515"/>
  <c r="R580" i="515" s="1"/>
  <c r="S562" i="515"/>
  <c r="R74" i="515"/>
  <c r="W206" i="123"/>
  <c r="Y522" i="515"/>
  <c r="Z519" i="515"/>
  <c r="W119" i="123"/>
  <c r="W116" i="123" s="1"/>
  <c r="S566" i="515"/>
  <c r="V56" i="3"/>
  <c r="V60" i="3" s="1"/>
  <c r="V63" i="3" s="1"/>
  <c r="V72" i="3"/>
  <c r="V80" i="3" s="1"/>
  <c r="U80" i="3"/>
  <c r="U471" i="515"/>
  <c r="T469" i="515"/>
  <c r="AA245" i="515"/>
  <c r="AA225" i="515"/>
  <c r="W473" i="515"/>
  <c r="AC54" i="123"/>
  <c r="AB203" i="123"/>
  <c r="R568" i="515"/>
  <c r="R579" i="515" s="1"/>
  <c r="R577" i="515"/>
  <c r="M100" i="123"/>
  <c r="R499" i="515"/>
  <c r="Q492" i="515"/>
  <c r="P503" i="515"/>
  <c r="P506" i="515" s="1"/>
  <c r="P498" i="515" s="1"/>
  <c r="AF255" i="123"/>
  <c r="AG254" i="123"/>
  <c r="AG226" i="123"/>
  <c r="AG255" i="123" s="1"/>
  <c r="AE257" i="123"/>
  <c r="AE258" i="123" s="1"/>
  <c r="AE201" i="123"/>
  <c r="AE200" i="123"/>
  <c r="O492" i="515" l="1"/>
  <c r="S577" i="515"/>
  <c r="S47" i="3"/>
  <c r="S49" i="3" s="1"/>
  <c r="R51" i="3"/>
  <c r="V471" i="515"/>
  <c r="U469" i="515"/>
  <c r="AD54" i="123"/>
  <c r="AC203" i="123"/>
  <c r="Z522" i="515"/>
  <c r="AA519" i="515"/>
  <c r="AB225" i="515"/>
  <c r="AB245" i="515"/>
  <c r="X473" i="515"/>
  <c r="AG201" i="123"/>
  <c r="AG200" i="123"/>
  <c r="AG257" i="123"/>
  <c r="AG258" i="123" s="1"/>
  <c r="P492" i="515"/>
  <c r="P499" i="515"/>
  <c r="Q499" i="515"/>
  <c r="O495" i="515"/>
  <c r="O496" i="515" s="1"/>
  <c r="O493" i="515"/>
  <c r="Q493" i="515"/>
  <c r="Q495" i="515"/>
  <c r="Q496" i="515" s="1"/>
  <c r="AF201" i="123"/>
  <c r="AF257" i="123"/>
  <c r="AF258" i="123" s="1"/>
  <c r="AF200" i="123"/>
  <c r="AA522" i="515" l="1"/>
  <c r="AB519" i="515"/>
  <c r="AB522" i="515" s="1"/>
  <c r="W471" i="515"/>
  <c r="V469" i="515"/>
  <c r="Y473" i="515"/>
  <c r="S51" i="3"/>
  <c r="T47" i="3"/>
  <c r="T49" i="3" s="1"/>
  <c r="AE54" i="123"/>
  <c r="AD203" i="123"/>
  <c r="P495" i="515"/>
  <c r="P496" i="515" s="1"/>
  <c r="P493" i="515"/>
  <c r="Z473" i="515" l="1"/>
  <c r="X471" i="515"/>
  <c r="W469" i="515"/>
  <c r="AF54" i="123"/>
  <c r="AE203" i="123"/>
  <c r="T51" i="3"/>
  <c r="U47" i="3"/>
  <c r="U49" i="3" s="1"/>
  <c r="Y471" i="515" l="1"/>
  <c r="X469" i="515"/>
  <c r="U51" i="3"/>
  <c r="V47" i="3"/>
  <c r="V49" i="3" s="1"/>
  <c r="AA473" i="515"/>
  <c r="AF203" i="123"/>
  <c r="AG54" i="123"/>
  <c r="AG203" i="123" s="1"/>
  <c r="AB473" i="515" l="1"/>
  <c r="V51" i="3"/>
  <c r="W47" i="3"/>
  <c r="Z471" i="515"/>
  <c r="Y469" i="515"/>
  <c r="AA471" i="515" l="1"/>
  <c r="Z469" i="515"/>
  <c r="AB471" i="515" l="1"/>
  <c r="AA469" i="515"/>
  <c r="AB469" i="515" l="1"/>
  <c r="X24" i="3" l="1"/>
  <c r="Y24" i="3"/>
  <c r="Z24" i="3"/>
  <c r="AA24" i="3"/>
  <c r="AB24" i="3"/>
  <c r="AC24" i="3"/>
  <c r="AD24" i="3"/>
  <c r="AE24" i="3"/>
  <c r="AF24" i="3"/>
  <c r="CW127" i="515" l="1"/>
  <c r="CW128" i="515" s="1"/>
  <c r="R128" i="515" s="1"/>
  <c r="R126" i="515" s="1"/>
  <c r="R144" i="515"/>
  <c r="R161" i="515"/>
  <c r="R212" i="515" s="1"/>
  <c r="CW161" i="515"/>
  <c r="CW168" i="515" s="1"/>
  <c r="CW162" i="515"/>
  <c r="CW244" i="515" s="1"/>
  <c r="CW169" i="515"/>
  <c r="CW212" i="515"/>
  <c r="R267" i="515"/>
  <c r="R275" i="515" s="1"/>
  <c r="R346" i="515"/>
  <c r="R348" i="515" s="1"/>
  <c r="R353" i="515"/>
  <c r="CW356" i="515"/>
  <c r="CW363" i="515" s="1"/>
  <c r="DA371" i="515" s="1"/>
  <c r="R269" i="515" l="1"/>
  <c r="CW145" i="515"/>
  <c r="R533" i="515"/>
  <c r="R243" i="515"/>
  <c r="S283" i="515"/>
  <c r="R283" i="515"/>
  <c r="CW213" i="515"/>
  <c r="CW166" i="515"/>
  <c r="CW533" i="515"/>
  <c r="CW358" i="515"/>
  <c r="R356" i="515"/>
  <c r="R363" i="515" s="1"/>
  <c r="CW346" i="515"/>
  <c r="CW269" i="515"/>
  <c r="CW267" i="515"/>
  <c r="CW275" i="515" s="1"/>
  <c r="CW243" i="515"/>
  <c r="CW219" i="515"/>
  <c r="R162" i="515"/>
  <c r="R357" i="515" s="1"/>
  <c r="R364" i="515" s="1"/>
  <c r="R372" i="515" s="1"/>
  <c r="R145" i="515"/>
  <c r="R142" i="515"/>
  <c r="R8" i="515" s="1"/>
  <c r="S371" i="515"/>
  <c r="R371" i="515"/>
  <c r="CW371" i="515"/>
  <c r="CW160" i="515"/>
  <c r="CW211" i="515" s="1"/>
  <c r="CW144" i="515"/>
  <c r="CW140" i="515"/>
  <c r="CW8" i="515" s="1"/>
  <c r="CW11" i="515" s="1"/>
  <c r="R134" i="515"/>
  <c r="R160" i="515" l="1"/>
  <c r="R242" i="515" s="1"/>
  <c r="R277" i="515"/>
  <c r="R285" i="515" s="1"/>
  <c r="R270" i="515"/>
  <c r="R278" i="515" s="1"/>
  <c r="R286" i="515" s="1"/>
  <c r="R140" i="515"/>
  <c r="CW248" i="515"/>
  <c r="CW218" i="515"/>
  <c r="CW242" i="515"/>
  <c r="R166" i="515"/>
  <c r="R213" i="515"/>
  <c r="R244" i="515"/>
  <c r="R358" i="515"/>
  <c r="CW270" i="515"/>
  <c r="CW277" i="515"/>
  <c r="CW365" i="515"/>
  <c r="CW359" i="515"/>
  <c r="CW366" i="515" s="1"/>
  <c r="DA283" i="515"/>
  <c r="CW283" i="515"/>
  <c r="CW353" i="515"/>
  <c r="CW348" i="515"/>
  <c r="CW350" i="515" s="1"/>
  <c r="S154" i="515"/>
  <c r="S9" i="515" s="1"/>
  <c r="S148" i="515"/>
  <c r="CW16" i="515"/>
  <c r="CW23" i="515"/>
  <c r="CW109" i="515" s="1"/>
  <c r="CW14" i="515"/>
  <c r="CW106" i="515" s="1"/>
  <c r="CW98" i="515"/>
  <c r="CW110" i="515"/>
  <c r="CW111" i="515"/>
  <c r="CW538" i="515"/>
  <c r="CW539" i="515" s="1"/>
  <c r="CW534" i="515"/>
  <c r="CW535" i="515" s="1"/>
  <c r="DA374" i="515" l="1"/>
  <c r="CW374" i="515"/>
  <c r="DA285" i="515"/>
  <c r="CW285" i="515"/>
  <c r="R365" i="515"/>
  <c r="R359" i="515"/>
  <c r="R218" i="515"/>
  <c r="R248" i="515"/>
  <c r="R11" i="515"/>
  <c r="R98" i="515"/>
  <c r="CW368" i="515"/>
  <c r="CW373" i="515"/>
  <c r="DA373" i="515"/>
  <c r="DA286" i="515"/>
  <c r="CW278" i="515"/>
  <c r="CW286" i="515"/>
  <c r="S162" i="515"/>
  <c r="S145" i="515"/>
  <c r="DA157" i="515"/>
  <c r="DA347" i="515"/>
  <c r="DA154" i="515"/>
  <c r="DA9" i="515" s="1"/>
  <c r="S180" i="515"/>
  <c r="S571" i="515"/>
  <c r="S134" i="515"/>
  <c r="S126" i="515"/>
  <c r="S144" i="515"/>
  <c r="S142" i="515"/>
  <c r="S161" i="515"/>
  <c r="CW17" i="515"/>
  <c r="CW19" i="515"/>
  <c r="CW99" i="515"/>
  <c r="CW107" i="515" l="1"/>
  <c r="W97" i="123"/>
  <c r="W160" i="123"/>
  <c r="W98" i="123"/>
  <c r="R110" i="515"/>
  <c r="W104" i="123"/>
  <c r="R534" i="515"/>
  <c r="R535" i="515" s="1"/>
  <c r="W103" i="123"/>
  <c r="R23" i="515"/>
  <c r="W132" i="123"/>
  <c r="W133" i="123" s="1"/>
  <c r="R109" i="515"/>
  <c r="R111" i="515"/>
  <c r="R350" i="515"/>
  <c r="R366" i="515"/>
  <c r="R374" i="515" s="1"/>
  <c r="R373" i="515"/>
  <c r="R368" i="515"/>
  <c r="S212" i="515"/>
  <c r="S269" i="515"/>
  <c r="S277" i="515" s="1"/>
  <c r="S358" i="515"/>
  <c r="S213" i="515"/>
  <c r="S357" i="515"/>
  <c r="S364" i="515" s="1"/>
  <c r="S187" i="515"/>
  <c r="S244" i="515"/>
  <c r="R19" i="515"/>
  <c r="CW20" i="515"/>
  <c r="S160" i="515"/>
  <c r="S533" i="515"/>
  <c r="S172" i="515"/>
  <c r="T222" i="515" s="1"/>
  <c r="S8" i="515"/>
  <c r="S140" i="515"/>
  <c r="S166" i="515"/>
  <c r="DA144" i="515"/>
  <c r="S243" i="515"/>
  <c r="DA140" i="515"/>
  <c r="DA8" i="515" s="1"/>
  <c r="DA11" i="515" s="1"/>
  <c r="DA145" i="515"/>
  <c r="DA346" i="515"/>
  <c r="DA348" i="515" s="1"/>
  <c r="DA243" i="515"/>
  <c r="DA223" i="515"/>
  <c r="W108" i="123" l="1"/>
  <c r="W106" i="123" s="1"/>
  <c r="S218" i="515"/>
  <c r="S239" i="515"/>
  <c r="S285" i="515"/>
  <c r="S222" i="515"/>
  <c r="CW108" i="515"/>
  <c r="W100" i="123"/>
  <c r="S365" i="515"/>
  <c r="S359" i="515"/>
  <c r="S372" i="515"/>
  <c r="DA98" i="515"/>
  <c r="DA538" i="515"/>
  <c r="DA539" i="515" s="1"/>
  <c r="DA222" i="515"/>
  <c r="S11" i="515"/>
  <c r="S98" i="515"/>
  <c r="DA219" i="515"/>
  <c r="DA211" i="515"/>
  <c r="DA218" i="515"/>
  <c r="DA168" i="515"/>
  <c r="DA212" i="515"/>
  <c r="DA533" i="515"/>
  <c r="R20" i="515"/>
  <c r="R13" i="515"/>
  <c r="DA187" i="515"/>
  <c r="DA224" i="515"/>
  <c r="DA244" i="515"/>
  <c r="DA227" i="515"/>
  <c r="DA352" i="515"/>
  <c r="DA353" i="515" s="1"/>
  <c r="S242" i="515"/>
  <c r="DA169" i="515"/>
  <c r="DA213" i="515"/>
  <c r="S22" i="515"/>
  <c r="S248" i="515"/>
  <c r="S100" i="515"/>
  <c r="DA22" i="515" l="1"/>
  <c r="S534" i="515"/>
  <c r="S535" i="515" s="1"/>
  <c r="X132" i="123"/>
  <c r="X133" i="123" s="1"/>
  <c r="X160" i="123"/>
  <c r="X104" i="123"/>
  <c r="X98" i="123"/>
  <c r="DA534" i="515"/>
  <c r="DA535" i="515" s="1"/>
  <c r="S350" i="515"/>
  <c r="S366" i="515"/>
  <c r="S373" i="515"/>
  <c r="S368" i="515"/>
  <c r="DA242" i="515"/>
  <c r="R108" i="515"/>
  <c r="S23" i="515"/>
  <c r="S28" i="515"/>
  <c r="DA239" i="515"/>
  <c r="DA248" i="515"/>
  <c r="DA582" i="515"/>
  <c r="W135" i="123"/>
  <c r="W136" i="123" s="1"/>
  <c r="R14" i="515"/>
  <c r="W138" i="123"/>
  <c r="W139" i="123" s="1"/>
  <c r="R16" i="515"/>
  <c r="DI259" i="515"/>
  <c r="DA350" i="515"/>
  <c r="S374" i="515" l="1"/>
  <c r="R106" i="515"/>
  <c r="DA23" i="515"/>
  <c r="DA28" i="515"/>
  <c r="DA33" i="515" s="1"/>
  <c r="DA100" i="515"/>
  <c r="R17" i="515"/>
  <c r="R99" i="515"/>
  <c r="DA109" i="515" l="1"/>
  <c r="S33" i="515"/>
  <c r="R107" i="515"/>
  <c r="S73" i="515"/>
  <c r="S567" i="515" s="1"/>
  <c r="S578" i="515" s="1"/>
  <c r="DB157" i="515" l="1"/>
  <c r="DB347" i="515"/>
  <c r="S574" i="515" l="1"/>
  <c r="S575" i="515"/>
  <c r="DG219" i="515"/>
  <c r="DG213" i="515"/>
  <c r="R575" i="515"/>
  <c r="DC219" i="515"/>
  <c r="DA14" i="515"/>
  <c r="DA106" i="515" s="1"/>
  <c r="DA16" i="515"/>
  <c r="S565" i="515" l="1"/>
  <c r="S576" i="515" s="1"/>
  <c r="DA19" i="515"/>
  <c r="DG211" i="515"/>
  <c r="DH219" i="515"/>
  <c r="DH213" i="515"/>
  <c r="R574" i="515"/>
  <c r="R565" i="515"/>
  <c r="R576" i="515" s="1"/>
  <c r="DD213" i="515"/>
  <c r="DD219" i="515"/>
  <c r="S19" i="515"/>
  <c r="DA17" i="515"/>
  <c r="DA99" i="515"/>
  <c r="DA20" i="515" l="1"/>
  <c r="DA107" i="515"/>
  <c r="DA108" i="515"/>
  <c r="DH211" i="515"/>
  <c r="DG375" i="515"/>
  <c r="S20" i="515"/>
  <c r="S13" i="515"/>
  <c r="DB222" i="515"/>
  <c r="DD211" i="515"/>
  <c r="X138" i="123" l="1"/>
  <c r="X139" i="123" s="1"/>
  <c r="X135" i="123"/>
  <c r="X136" i="123" s="1"/>
  <c r="DH224" i="515"/>
  <c r="DH227" i="515"/>
  <c r="DG227" i="515"/>
  <c r="DG224" i="515"/>
  <c r="DH375" i="515"/>
  <c r="S108" i="515"/>
  <c r="S16" i="515"/>
  <c r="S14" i="515"/>
  <c r="DC352" i="515"/>
  <c r="DC227" i="515"/>
  <c r="DC224" i="515"/>
  <c r="DC244" i="515"/>
  <c r="DG222" i="515" l="1"/>
  <c r="S106" i="515"/>
  <c r="DC222" i="515"/>
  <c r="DC242" i="515"/>
  <c r="S99" i="515"/>
  <c r="S17" i="515"/>
  <c r="S107" i="515" l="1"/>
  <c r="DH222" i="515"/>
  <c r="DB450" i="515" l="1"/>
  <c r="DB453" i="515" s="1"/>
  <c r="DA453" i="515"/>
  <c r="DC450" i="515" l="1"/>
  <c r="DC453" i="515" s="1"/>
  <c r="DD450" i="515" l="1"/>
  <c r="DE450" i="515" l="1"/>
  <c r="T454" i="515" s="1"/>
  <c r="T456" i="515" s="1"/>
  <c r="T457" i="515" s="1"/>
  <c r="T453" i="515" l="1"/>
  <c r="U450" i="515"/>
  <c r="DF450" i="515"/>
  <c r="DF454" i="515" s="1"/>
  <c r="U454" i="515" l="1"/>
  <c r="V450" i="515" s="1"/>
  <c r="U453" i="515"/>
  <c r="T463" i="515"/>
  <c r="T472" i="515"/>
  <c r="T470" i="515"/>
  <c r="DG450" i="515"/>
  <c r="DG454" i="515" s="1"/>
  <c r="DF456" i="515"/>
  <c r="T468" i="515" l="1"/>
  <c r="U456" i="515"/>
  <c r="V454" i="515"/>
  <c r="W450" i="515" s="1"/>
  <c r="U463" i="515"/>
  <c r="V453" i="515"/>
  <c r="U472" i="515"/>
  <c r="U470" i="515"/>
  <c r="DH450" i="515"/>
  <c r="DH454" i="515" s="1"/>
  <c r="DG456" i="515"/>
  <c r="DF458" i="515"/>
  <c r="DF58" i="515" s="1"/>
  <c r="DF57" i="515"/>
  <c r="DA110" i="515"/>
  <c r="S37" i="515"/>
  <c r="DA101" i="515"/>
  <c r="U468" i="515" l="1"/>
  <c r="V456" i="515"/>
  <c r="U57" i="515"/>
  <c r="V463" i="515"/>
  <c r="W453" i="515"/>
  <c r="V472" i="515"/>
  <c r="V470" i="515"/>
  <c r="W454" i="515"/>
  <c r="X450" i="515" s="1"/>
  <c r="DH456" i="515"/>
  <c r="DI450" i="515"/>
  <c r="DI454" i="515" s="1"/>
  <c r="DI456" i="515" s="1"/>
  <c r="DG458" i="515"/>
  <c r="DG58" i="515" s="1"/>
  <c r="DG57" i="515"/>
  <c r="DA38" i="515"/>
  <c r="DA41" i="515"/>
  <c r="DA47" i="515"/>
  <c r="DA103" i="515" s="1"/>
  <c r="V57" i="515" l="1"/>
  <c r="X453" i="515"/>
  <c r="W463" i="515"/>
  <c r="W472" i="515"/>
  <c r="W470" i="515"/>
  <c r="X454" i="515"/>
  <c r="Y450" i="515" s="1"/>
  <c r="W456" i="515"/>
  <c r="V468" i="515"/>
  <c r="DH458" i="515"/>
  <c r="DH58" i="515" s="1"/>
  <c r="DH57" i="515"/>
  <c r="DI57" i="515"/>
  <c r="DI458" i="515"/>
  <c r="DI58" i="515" s="1"/>
  <c r="DA111" i="515"/>
  <c r="DA102" i="515"/>
  <c r="W468" i="515" l="1"/>
  <c r="X463" i="515"/>
  <c r="Y453" i="515"/>
  <c r="X472" i="515"/>
  <c r="X470" i="515"/>
  <c r="W57" i="515"/>
  <c r="Y454" i="515"/>
  <c r="Z450" i="515" s="1"/>
  <c r="X456" i="515"/>
  <c r="X468" i="515" l="1"/>
  <c r="Y456" i="515"/>
  <c r="Y57" i="515" s="1"/>
  <c r="X57" i="515"/>
  <c r="Z454" i="515"/>
  <c r="AA450" i="515" s="1"/>
  <c r="Y463" i="515"/>
  <c r="Z453" i="515"/>
  <c r="Y472" i="515"/>
  <c r="Y470" i="515"/>
  <c r="Z463" i="515" l="1"/>
  <c r="AA453" i="515"/>
  <c r="Z472" i="515"/>
  <c r="Z470" i="515"/>
  <c r="AA454" i="515"/>
  <c r="AB450" i="515" s="1"/>
  <c r="AB454" i="515" s="1"/>
  <c r="AB456" i="515" s="1"/>
  <c r="Y468" i="515"/>
  <c r="Z456" i="515"/>
  <c r="Z468" i="515" l="1"/>
  <c r="Z57" i="515"/>
  <c r="AB57" i="515"/>
  <c r="AA456" i="515"/>
  <c r="AB453" i="515"/>
  <c r="AA463" i="515"/>
  <c r="AA472" i="515"/>
  <c r="AA470" i="515"/>
  <c r="U276" i="515"/>
  <c r="AA468" i="515" l="1"/>
  <c r="AA57" i="515"/>
  <c r="AB463" i="515"/>
  <c r="AB472" i="515"/>
  <c r="AB470" i="515"/>
  <c r="DE156" i="515"/>
  <c r="U268" i="515"/>
  <c r="U149" i="515" s="1"/>
  <c r="V276" i="515"/>
  <c r="AB468" i="515" l="1"/>
  <c r="V268" i="515"/>
  <c r="V149" i="515" s="1"/>
  <c r="W276" i="515"/>
  <c r="T161" i="515"/>
  <c r="T144" i="515"/>
  <c r="T212" i="515" l="1"/>
  <c r="T269" i="515"/>
  <c r="X276" i="515"/>
  <c r="W268" i="515"/>
  <c r="W149" i="515" s="1"/>
  <c r="T533" i="515"/>
  <c r="T277" i="515" l="1"/>
  <c r="X268" i="515"/>
  <c r="X149" i="515" s="1"/>
  <c r="Y276" i="515"/>
  <c r="T285" i="515" l="1"/>
  <c r="U277" i="515"/>
  <c r="Y268" i="515"/>
  <c r="Y149" i="515" s="1"/>
  <c r="Z276" i="515"/>
  <c r="U269" i="515" l="1"/>
  <c r="U275" i="515"/>
  <c r="V277" i="515"/>
  <c r="Z268" i="515"/>
  <c r="Z149" i="515" s="1"/>
  <c r="AA276" i="515"/>
  <c r="V275" i="515" l="1"/>
  <c r="W277" i="515"/>
  <c r="V269" i="515"/>
  <c r="U267" i="515"/>
  <c r="U127" i="515" s="1"/>
  <c r="U283" i="515"/>
  <c r="AB276" i="515"/>
  <c r="AA268" i="515"/>
  <c r="AA149" i="515" s="1"/>
  <c r="U144" i="515" l="1"/>
  <c r="U161" i="515"/>
  <c r="W269" i="515"/>
  <c r="W275" i="515"/>
  <c r="X277" i="515"/>
  <c r="V267" i="515"/>
  <c r="V127" i="515" s="1"/>
  <c r="V283" i="515"/>
  <c r="AB268" i="515"/>
  <c r="AB149" i="515" s="1"/>
  <c r="X275" i="515" l="1"/>
  <c r="X269" i="515"/>
  <c r="Y277" i="515"/>
  <c r="U533" i="515"/>
  <c r="V161" i="515"/>
  <c r="V144" i="515"/>
  <c r="W283" i="515"/>
  <c r="W267" i="515"/>
  <c r="W127" i="515" s="1"/>
  <c r="Z277" i="515" l="1"/>
  <c r="Y269" i="515"/>
  <c r="Y275" i="515"/>
  <c r="W161" i="515"/>
  <c r="W144" i="515"/>
  <c r="X267" i="515"/>
  <c r="X127" i="515" s="1"/>
  <c r="X283" i="515"/>
  <c r="V212" i="515"/>
  <c r="V533" i="515"/>
  <c r="X161" i="515" l="1"/>
  <c r="X144" i="515"/>
  <c r="W533" i="515"/>
  <c r="W212" i="515"/>
  <c r="Y283" i="515"/>
  <c r="Y267" i="515"/>
  <c r="Y127" i="515" s="1"/>
  <c r="AA277" i="515"/>
  <c r="Z275" i="515"/>
  <c r="Z269" i="515"/>
  <c r="AA275" i="515" l="1"/>
  <c r="AA269" i="515"/>
  <c r="AB277" i="515"/>
  <c r="Z267" i="515"/>
  <c r="Z127" i="515" s="1"/>
  <c r="Z283" i="515"/>
  <c r="X533" i="515"/>
  <c r="X212" i="515"/>
  <c r="Y161" i="515"/>
  <c r="Y144" i="515"/>
  <c r="U433" i="515"/>
  <c r="DI433" i="515" s="1"/>
  <c r="AB269" i="515" l="1"/>
  <c r="AB275" i="515"/>
  <c r="Z161" i="515"/>
  <c r="Z144" i="515"/>
  <c r="Y212" i="515"/>
  <c r="Y533" i="515"/>
  <c r="AA283" i="515"/>
  <c r="AA267" i="515"/>
  <c r="AA127" i="515" s="1"/>
  <c r="DI434" i="515"/>
  <c r="DI435" i="515" s="1"/>
  <c r="V433" i="515"/>
  <c r="U441" i="515"/>
  <c r="Z533" i="515" l="1"/>
  <c r="Z212" i="515"/>
  <c r="AA161" i="515"/>
  <c r="AA144" i="515"/>
  <c r="AB283" i="515"/>
  <c r="AB267" i="515"/>
  <c r="AB127" i="515" s="1"/>
  <c r="V441" i="515"/>
  <c r="W433" i="515"/>
  <c r="AB144" i="515" l="1"/>
  <c r="AB161" i="515"/>
  <c r="AA212" i="515"/>
  <c r="AA533" i="515"/>
  <c r="W441" i="515"/>
  <c r="X433" i="515"/>
  <c r="AB212" i="515" l="1"/>
  <c r="AB533" i="515"/>
  <c r="Y433" i="515"/>
  <c r="X441" i="515"/>
  <c r="Z433" i="515" l="1"/>
  <c r="Y441" i="515"/>
  <c r="Z441" i="515" l="1"/>
  <c r="AA433" i="515"/>
  <c r="AA441" i="515" l="1"/>
  <c r="AB433" i="515"/>
  <c r="AB441" i="515" l="1"/>
  <c r="W75" i="3" l="1"/>
  <c r="S35" i="515"/>
  <c r="S110" i="515" l="1"/>
  <c r="S114" i="515"/>
  <c r="X89" i="123" s="1"/>
  <c r="S41" i="515"/>
  <c r="S45" i="515" s="1"/>
  <c r="X97" i="123" s="1"/>
  <c r="X100" i="123" s="1"/>
  <c r="S101" i="515"/>
  <c r="S38" i="515"/>
  <c r="S111" i="515" l="1"/>
  <c r="S102" i="515"/>
  <c r="S493" i="515"/>
  <c r="S496" i="515"/>
  <c r="S91" i="515"/>
  <c r="S568" i="515"/>
  <c r="S579" i="515" s="1"/>
  <c r="S47" i="515"/>
  <c r="X206" i="123" s="1"/>
  <c r="S120" i="515"/>
  <c r="S109" i="515"/>
  <c r="S117" i="515"/>
  <c r="S569" i="515"/>
  <c r="S580" i="515" s="1"/>
  <c r="S103" i="515" l="1"/>
  <c r="X119" i="123"/>
  <c r="X116" i="123" s="1"/>
  <c r="X103" i="123"/>
  <c r="X108" i="123" s="1"/>
  <c r="X106" i="123" s="1"/>
  <c r="S74" i="515"/>
  <c r="X67" i="123"/>
  <c r="X36" i="123" l="1"/>
  <c r="X114" i="123" s="1"/>
  <c r="S271" i="515"/>
  <c r="S270" i="515" s="1"/>
  <c r="S278" i="515" s="1"/>
  <c r="S279" i="515" l="1"/>
  <c r="T287" i="515" s="1"/>
  <c r="X46" i="123"/>
  <c r="S286" i="515"/>
  <c r="S287" i="515" l="1"/>
  <c r="U279" i="515" l="1"/>
  <c r="V279" i="515" l="1"/>
  <c r="U271" i="515"/>
  <c r="U264" i="515" s="1"/>
  <c r="DE271" i="515"/>
  <c r="Y40" i="123"/>
  <c r="DE270" i="515" l="1"/>
  <c r="DE287" i="515"/>
  <c r="DE279" i="515"/>
  <c r="Y36" i="123"/>
  <c r="X23" i="3" s="1"/>
  <c r="Z40" i="123"/>
  <c r="V271" i="515"/>
  <c r="V264" i="515" s="1"/>
  <c r="W279" i="515"/>
  <c r="DE286" i="515" l="1"/>
  <c r="DE278" i="515"/>
  <c r="W271" i="515"/>
  <c r="W264" i="515" s="1"/>
  <c r="X279" i="515"/>
  <c r="Z36" i="123"/>
  <c r="Y23" i="3" s="1"/>
  <c r="AA40" i="123"/>
  <c r="AA36" i="123" l="1"/>
  <c r="Z23" i="3" s="1"/>
  <c r="AB40" i="123"/>
  <c r="Y279" i="515"/>
  <c r="X271" i="515"/>
  <c r="X264" i="515" s="1"/>
  <c r="AB36" i="123" l="1"/>
  <c r="AA23" i="3" s="1"/>
  <c r="AC40" i="123"/>
  <c r="Z279" i="515"/>
  <c r="Y271" i="515"/>
  <c r="Y264" i="515" s="1"/>
  <c r="AC36" i="123" l="1"/>
  <c r="AB23" i="3" s="1"/>
  <c r="AD40" i="123"/>
  <c r="AA279" i="515"/>
  <c r="Z271" i="515"/>
  <c r="Z264" i="515" s="1"/>
  <c r="AD36" i="123" l="1"/>
  <c r="AC23" i="3" s="1"/>
  <c r="AE40" i="123"/>
  <c r="AA271" i="515"/>
  <c r="AA264" i="515" s="1"/>
  <c r="AB279" i="515"/>
  <c r="AB271" i="515" s="1"/>
  <c r="AB264" i="515" s="1"/>
  <c r="AF40" i="123" l="1"/>
  <c r="AE36" i="123"/>
  <c r="AD23" i="3" s="1"/>
  <c r="AG40" i="123" l="1"/>
  <c r="AG36" i="123" s="1"/>
  <c r="AF36" i="123"/>
  <c r="AE23" i="3" s="1"/>
  <c r="AF23" i="3" l="1"/>
  <c r="Z183" i="123" l="1"/>
  <c r="AA187" i="123" s="1"/>
  <c r="Y187" i="123"/>
  <c r="U131" i="515" l="1"/>
  <c r="Z187" i="123"/>
  <c r="AA183" i="123"/>
  <c r="U165" i="515" l="1"/>
  <c r="DI131" i="515"/>
  <c r="DI165" i="515" s="1"/>
  <c r="DI247" i="515" s="1"/>
  <c r="T165" i="515"/>
  <c r="AB187" i="123"/>
  <c r="AB183" i="123"/>
  <c r="V131" i="515"/>
  <c r="T217" i="515" l="1"/>
  <c r="T247" i="515"/>
  <c r="U247" i="515"/>
  <c r="DI217" i="515"/>
  <c r="AC183" i="123"/>
  <c r="AC187" i="123"/>
  <c r="W131" i="515"/>
  <c r="V165" i="515"/>
  <c r="AD187" i="123" l="1"/>
  <c r="AD183" i="123"/>
  <c r="X131" i="515"/>
  <c r="W165" i="515"/>
  <c r="V247" i="515"/>
  <c r="V217" i="515"/>
  <c r="W247" i="515" l="1"/>
  <c r="W217" i="515"/>
  <c r="X165" i="515"/>
  <c r="AE187" i="123"/>
  <c r="AE183" i="123"/>
  <c r="Y131" i="515"/>
  <c r="Y165" i="515" l="1"/>
  <c r="X217" i="515"/>
  <c r="X247" i="515"/>
  <c r="AF183" i="123"/>
  <c r="AF187" i="123"/>
  <c r="Z131" i="515"/>
  <c r="Y217" i="515" l="1"/>
  <c r="Y247" i="515"/>
  <c r="AG183" i="123"/>
  <c r="AG187" i="123"/>
  <c r="AA131" i="515"/>
  <c r="Z165" i="515"/>
  <c r="AB131" i="515" l="1"/>
  <c r="Z247" i="515"/>
  <c r="Z217" i="515"/>
  <c r="AA165" i="515"/>
  <c r="AB165" i="515" l="1"/>
  <c r="AA247" i="515"/>
  <c r="AA217" i="515"/>
  <c r="AB217" i="515" l="1"/>
  <c r="AB247" i="515"/>
  <c r="T154" i="515"/>
  <c r="T9" i="515" s="1"/>
  <c r="DB154" i="515" l="1"/>
  <c r="DB9" i="515" s="1"/>
  <c r="U438" i="515" l="1"/>
  <c r="V438" i="515"/>
  <c r="W438" i="515"/>
  <c r="DF438" i="515" l="1"/>
  <c r="DG438" i="515" s="1"/>
  <c r="DH438" i="515" s="1"/>
  <c r="X438" i="515"/>
  <c r="Y438" i="515"/>
  <c r="Z438" i="515"/>
  <c r="AA438" i="515"/>
  <c r="AB438" i="515"/>
  <c r="DF152" i="515" l="1"/>
  <c r="DH152" i="515" l="1"/>
  <c r="DG152" i="515"/>
  <c r="DI152" i="515" l="1"/>
  <c r="DI438" i="515" s="1"/>
  <c r="DB216" i="515" l="1"/>
  <c r="DB226" i="515" l="1"/>
  <c r="DB228" i="515"/>
  <c r="DB246" i="515"/>
  <c r="DF276" i="515" l="1"/>
  <c r="DF279" i="515"/>
  <c r="DF271" i="515" s="1"/>
  <c r="DF264" i="515" s="1"/>
  <c r="DI264" i="515" l="1"/>
  <c r="DI271" i="515" s="1"/>
  <c r="DI287" i="515" s="1"/>
  <c r="DF268" i="515"/>
  <c r="DF149" i="515" s="1"/>
  <c r="DI279" i="515" l="1"/>
  <c r="DF156" i="515"/>
  <c r="DI149" i="515"/>
  <c r="DI268" i="515" l="1"/>
  <c r="DI276" i="515" s="1"/>
  <c r="DI284" i="515" s="1"/>
  <c r="DI156" i="515"/>
  <c r="DB252" i="515" l="1"/>
  <c r="DB253" i="515" s="1"/>
  <c r="DF343" i="515" l="1"/>
  <c r="DI343" i="515" l="1"/>
  <c r="DF252" i="515"/>
  <c r="DF253" i="515" s="1"/>
  <c r="DE252" i="515"/>
  <c r="DE253" i="515" s="1"/>
  <c r="DE344" i="515"/>
  <c r="DI252" i="515" l="1"/>
  <c r="DI253" i="515" s="1"/>
  <c r="DI344" i="515"/>
  <c r="DB128" i="515" l="1"/>
  <c r="DB144" i="515"/>
  <c r="DB161" i="515"/>
  <c r="DB267" i="515"/>
  <c r="DB275" i="515" s="1"/>
  <c r="DB283" i="515" s="1"/>
  <c r="DB346" i="515"/>
  <c r="DB348" i="515" s="1"/>
  <c r="DB145" i="515" l="1"/>
  <c r="T128" i="515"/>
  <c r="DB356" i="515"/>
  <c r="DB363" i="515" s="1"/>
  <c r="DB371" i="515" s="1"/>
  <c r="DE144" i="515"/>
  <c r="DB269" i="515"/>
  <c r="DB212" i="515"/>
  <c r="DB533" i="515"/>
  <c r="DB162" i="515"/>
  <c r="DB160" i="515" s="1"/>
  <c r="DB258" i="515" s="1"/>
  <c r="DB259" i="515" s="1"/>
  <c r="DF259" i="515" s="1"/>
  <c r="DB140" i="515"/>
  <c r="DB8" i="515" s="1"/>
  <c r="DB11" i="515" s="1"/>
  <c r="DB14" i="515" s="1"/>
  <c r="T346" i="515" l="1"/>
  <c r="T348" i="515" s="1"/>
  <c r="T356" i="515"/>
  <c r="T363" i="515" s="1"/>
  <c r="T145" i="515"/>
  <c r="T162" i="515"/>
  <c r="T357" i="515" s="1"/>
  <c r="T364" i="515" s="1"/>
  <c r="T126" i="515"/>
  <c r="T134" i="515"/>
  <c r="DB173" i="515"/>
  <c r="T173" i="515" s="1"/>
  <c r="DE533" i="515"/>
  <c r="DB106" i="515"/>
  <c r="DB277" i="515"/>
  <c r="DB219" i="515"/>
  <c r="DB213" i="515"/>
  <c r="DB358" i="515"/>
  <c r="DB166" i="515"/>
  <c r="DB357" i="515"/>
  <c r="DB98" i="515"/>
  <c r="DB538" i="515"/>
  <c r="DB539" i="515" s="1"/>
  <c r="DB16" i="515"/>
  <c r="DB242" i="515"/>
  <c r="DB211" i="515"/>
  <c r="DB534" i="515"/>
  <c r="DB535" i="515" s="1"/>
  <c r="T372" i="515" l="1"/>
  <c r="U364" i="515"/>
  <c r="T213" i="515"/>
  <c r="T358" i="515"/>
  <c r="T160" i="515"/>
  <c r="T223" i="515"/>
  <c r="T272" i="515"/>
  <c r="T243" i="515"/>
  <c r="T180" i="515"/>
  <c r="T371" i="515"/>
  <c r="U363" i="515"/>
  <c r="DB174" i="515"/>
  <c r="T174" i="515" s="1"/>
  <c r="DB223" i="515"/>
  <c r="DB272" i="515"/>
  <c r="DB243" i="515"/>
  <c r="DF277" i="515"/>
  <c r="DB285" i="515"/>
  <c r="DB99" i="515"/>
  <c r="DB17" i="515"/>
  <c r="DB364" i="515"/>
  <c r="DB218" i="515"/>
  <c r="DF358" i="515"/>
  <c r="DB365" i="515"/>
  <c r="T224" i="515" l="1"/>
  <c r="T360" i="515"/>
  <c r="T367" i="515" s="1"/>
  <c r="T352" i="515"/>
  <c r="T353" i="515" s="1"/>
  <c r="T244" i="515"/>
  <c r="T187" i="515"/>
  <c r="T359" i="515"/>
  <c r="T365" i="515"/>
  <c r="T373" i="515" s="1"/>
  <c r="T280" i="515"/>
  <c r="T270" i="515"/>
  <c r="T278" i="515" s="1"/>
  <c r="U356" i="515"/>
  <c r="U346" i="515" s="1"/>
  <c r="V363" i="515"/>
  <c r="U365" i="515"/>
  <c r="T242" i="515"/>
  <c r="V364" i="515"/>
  <c r="U357" i="515"/>
  <c r="DB107" i="515"/>
  <c r="DB280" i="515"/>
  <c r="DB288" i="515"/>
  <c r="DB270" i="515"/>
  <c r="DB360" i="515"/>
  <c r="DB352" i="515"/>
  <c r="DB227" i="515"/>
  <c r="DB224" i="515"/>
  <c r="DB187" i="515"/>
  <c r="DB244" i="515"/>
  <c r="DF275" i="515"/>
  <c r="DF269" i="515"/>
  <c r="DF161" i="515" s="1"/>
  <c r="DF365" i="515"/>
  <c r="DF162" i="515"/>
  <c r="DB373" i="515"/>
  <c r="DB372" i="515"/>
  <c r="V356" i="515" l="1"/>
  <c r="V346" i="515" s="1"/>
  <c r="W363" i="515"/>
  <c r="V365" i="515"/>
  <c r="U128" i="515"/>
  <c r="T288" i="515"/>
  <c r="T286" i="515"/>
  <c r="U278" i="515"/>
  <c r="T366" i="515"/>
  <c r="T350" i="515"/>
  <c r="V357" i="515"/>
  <c r="V347" i="515" s="1"/>
  <c r="V150" i="515" s="1"/>
  <c r="W364" i="515"/>
  <c r="U347" i="515"/>
  <c r="U150" i="515" s="1"/>
  <c r="DF357" i="515"/>
  <c r="DG357" i="515" s="1"/>
  <c r="DH357" i="515" s="1"/>
  <c r="U358" i="515"/>
  <c r="U373" i="515"/>
  <c r="T239" i="515"/>
  <c r="T22" i="515"/>
  <c r="T100" i="515"/>
  <c r="T375" i="515"/>
  <c r="T368" i="515"/>
  <c r="DB367" i="515"/>
  <c r="DB359" i="515"/>
  <c r="DF359" i="515" s="1"/>
  <c r="DB22" i="515"/>
  <c r="DB239" i="515"/>
  <c r="DB582" i="515"/>
  <c r="DB248" i="515"/>
  <c r="DB350" i="515"/>
  <c r="DB353" i="515"/>
  <c r="DB278" i="515"/>
  <c r="DF278" i="515" s="1"/>
  <c r="DB286" i="515"/>
  <c r="DF212" i="515"/>
  <c r="DF533" i="515"/>
  <c r="DI161" i="515"/>
  <c r="DF127" i="515"/>
  <c r="DF267" i="515"/>
  <c r="DF283" i="515"/>
  <c r="DF213" i="515"/>
  <c r="DF219" i="515"/>
  <c r="DF160" i="515"/>
  <c r="DC157" i="515"/>
  <c r="DC154" i="515"/>
  <c r="DC9" i="515" s="1"/>
  <c r="DC347" i="515"/>
  <c r="U348" i="515" l="1"/>
  <c r="DH150" i="515"/>
  <c r="DH364" i="515"/>
  <c r="V148" i="515"/>
  <c r="V154" i="515"/>
  <c r="V9" i="515" s="1"/>
  <c r="T28" i="515"/>
  <c r="DF364" i="515"/>
  <c r="DF372" i="515" s="1"/>
  <c r="DF150" i="515"/>
  <c r="U145" i="515"/>
  <c r="U134" i="515"/>
  <c r="U126" i="515"/>
  <c r="U162" i="515"/>
  <c r="U148" i="515"/>
  <c r="U154" i="515"/>
  <c r="U9" i="515" s="1"/>
  <c r="T374" i="515"/>
  <c r="U366" i="515"/>
  <c r="V358" i="515"/>
  <c r="V373" i="515"/>
  <c r="W357" i="515"/>
  <c r="W347" i="515" s="1"/>
  <c r="W150" i="515" s="1"/>
  <c r="X364" i="515"/>
  <c r="U270" i="515"/>
  <c r="V278" i="515"/>
  <c r="U280" i="515"/>
  <c r="X363" i="515"/>
  <c r="W356" i="515"/>
  <c r="W346" i="515" s="1"/>
  <c r="W365" i="515"/>
  <c r="DG364" i="515"/>
  <c r="DG372" i="515" s="1"/>
  <c r="DG150" i="515"/>
  <c r="V128" i="515"/>
  <c r="V348" i="515"/>
  <c r="DB375" i="515"/>
  <c r="DB368" i="515"/>
  <c r="DF270" i="515"/>
  <c r="DF280" i="515"/>
  <c r="DB100" i="515"/>
  <c r="DB35" i="515"/>
  <c r="DB37" i="515" s="1"/>
  <c r="DB28" i="515"/>
  <c r="DB23" i="515"/>
  <c r="DB109" i="515" s="1"/>
  <c r="DB19" i="515"/>
  <c r="DB366" i="515"/>
  <c r="DB374" i="515" s="1"/>
  <c r="DI127" i="515"/>
  <c r="DF144" i="515"/>
  <c r="DI533" i="515"/>
  <c r="DI269" i="515"/>
  <c r="DI277" i="515" s="1"/>
  <c r="DI285" i="515" s="1"/>
  <c r="DI212" i="515"/>
  <c r="DE154" i="515"/>
  <c r="DE9" i="515" s="1"/>
  <c r="DE157" i="515"/>
  <c r="DH372" i="515"/>
  <c r="DD154" i="515"/>
  <c r="DD9" i="515" s="1"/>
  <c r="DD157" i="515"/>
  <c r="DC145" i="515"/>
  <c r="DC346" i="515"/>
  <c r="DF211" i="515"/>
  <c r="DF258" i="515"/>
  <c r="DF272" i="515" l="1"/>
  <c r="DF173" i="515" s="1"/>
  <c r="Y364" i="515"/>
  <c r="X357" i="515"/>
  <c r="X347" i="515" s="1"/>
  <c r="X150" i="515" s="1"/>
  <c r="W358" i="515"/>
  <c r="W373" i="515"/>
  <c r="W278" i="515"/>
  <c r="V270" i="515"/>
  <c r="V280" i="515"/>
  <c r="W148" i="515"/>
  <c r="W154" i="515"/>
  <c r="W9" i="515" s="1"/>
  <c r="V366" i="515"/>
  <c r="U359" i="515"/>
  <c r="U350" i="515" s="1"/>
  <c r="U352" i="515" s="1"/>
  <c r="U367" i="515"/>
  <c r="U288" i="515"/>
  <c r="U272" i="515"/>
  <c r="U173" i="515" s="1"/>
  <c r="V145" i="515"/>
  <c r="V134" i="515"/>
  <c r="V126" i="515"/>
  <c r="W128" i="515"/>
  <c r="W162" i="515" s="1"/>
  <c r="W348" i="515"/>
  <c r="U213" i="515"/>
  <c r="U160" i="515"/>
  <c r="DI162" i="515"/>
  <c r="DF347" i="515"/>
  <c r="DF148" i="515"/>
  <c r="DF257" i="515" s="1"/>
  <c r="DF154" i="515"/>
  <c r="DF9" i="515" s="1"/>
  <c r="DF157" i="515"/>
  <c r="DF128" i="515"/>
  <c r="V162" i="515"/>
  <c r="DG148" i="515"/>
  <c r="DG257" i="515" s="1"/>
  <c r="DG347" i="515"/>
  <c r="DG157" i="515"/>
  <c r="DG128" i="515"/>
  <c r="DG154" i="515"/>
  <c r="DG9" i="515" s="1"/>
  <c r="X356" i="515"/>
  <c r="X346" i="515" s="1"/>
  <c r="Y363" i="515"/>
  <c r="X365" i="515"/>
  <c r="DI150" i="515"/>
  <c r="DH157" i="515"/>
  <c r="DH347" i="515"/>
  <c r="DH128" i="515"/>
  <c r="DH148" i="515"/>
  <c r="DH257" i="515" s="1"/>
  <c r="DH154" i="515"/>
  <c r="DH9" i="515" s="1"/>
  <c r="DB20" i="515"/>
  <c r="DF288" i="515"/>
  <c r="DF366" i="515"/>
  <c r="DF360" i="515"/>
  <c r="DF174" i="515" s="1"/>
  <c r="DI267" i="515"/>
  <c r="DI275" i="515" s="1"/>
  <c r="DI283" i="515" s="1"/>
  <c r="DI144" i="515"/>
  <c r="DE145" i="515"/>
  <c r="DD145" i="515"/>
  <c r="DC348" i="515"/>
  <c r="DC350" i="515" s="1"/>
  <c r="DC353" i="515"/>
  <c r="W213" i="515" l="1"/>
  <c r="W160" i="515"/>
  <c r="X128" i="515"/>
  <c r="X162" i="515" s="1"/>
  <c r="X348" i="515"/>
  <c r="DI160" i="515"/>
  <c r="DI213" i="515"/>
  <c r="DI358" i="515"/>
  <c r="DI365" i="515" s="1"/>
  <c r="DI373" i="515" s="1"/>
  <c r="DI219" i="515"/>
  <c r="U353" i="515"/>
  <c r="U174" i="515"/>
  <c r="DI357" i="515"/>
  <c r="DI364" i="515" s="1"/>
  <c r="DI372" i="515" s="1"/>
  <c r="DI157" i="515"/>
  <c r="DI148" i="515"/>
  <c r="DI257" i="515" s="1"/>
  <c r="DI347" i="515"/>
  <c r="DI154" i="515"/>
  <c r="DI9" i="515"/>
  <c r="W145" i="515"/>
  <c r="W134" i="515"/>
  <c r="W126" i="515"/>
  <c r="U223" i="515"/>
  <c r="U243" i="515"/>
  <c r="U172" i="515"/>
  <c r="U180" i="515"/>
  <c r="W366" i="515"/>
  <c r="V359" i="515"/>
  <c r="V350" i="515" s="1"/>
  <c r="V352" i="515" s="1"/>
  <c r="V367" i="515"/>
  <c r="V272" i="515"/>
  <c r="V173" i="515" s="1"/>
  <c r="V288" i="515"/>
  <c r="DH346" i="515"/>
  <c r="DH126" i="515"/>
  <c r="DH256" i="515" s="1"/>
  <c r="DH356" i="515"/>
  <c r="DH363" i="515" s="1"/>
  <c r="DH371" i="515" s="1"/>
  <c r="DH145" i="515"/>
  <c r="X358" i="515"/>
  <c r="X373" i="515"/>
  <c r="DG356" i="515"/>
  <c r="DG363" i="515" s="1"/>
  <c r="DG371" i="515" s="1"/>
  <c r="DG145" i="515"/>
  <c r="DG346" i="515"/>
  <c r="DG126" i="515"/>
  <c r="DG256" i="515" s="1"/>
  <c r="V213" i="515"/>
  <c r="V160" i="515"/>
  <c r="X148" i="515"/>
  <c r="X154" i="515"/>
  <c r="X9" i="515" s="1"/>
  <c r="Y356" i="515"/>
  <c r="Y346" i="515" s="1"/>
  <c r="Z363" i="515"/>
  <c r="Y365" i="515"/>
  <c r="DF346" i="515"/>
  <c r="DF348" i="515" s="1"/>
  <c r="DI128" i="515"/>
  <c r="DF145" i="515"/>
  <c r="DF126" i="515"/>
  <c r="DF256" i="515" s="1"/>
  <c r="DF356" i="515"/>
  <c r="DF363" i="515" s="1"/>
  <c r="DF371" i="515" s="1"/>
  <c r="U360" i="515"/>
  <c r="U375" i="515"/>
  <c r="U368" i="515"/>
  <c r="X278" i="515"/>
  <c r="W270" i="515"/>
  <c r="W280" i="515"/>
  <c r="Y357" i="515"/>
  <c r="Y347" i="515" s="1"/>
  <c r="Y150" i="515" s="1"/>
  <c r="Z364" i="515"/>
  <c r="DB108" i="515"/>
  <c r="DF367" i="515"/>
  <c r="DF223" i="515"/>
  <c r="DI173" i="515"/>
  <c r="DF172" i="515"/>
  <c r="DF243" i="515"/>
  <c r="W272" i="515" l="1"/>
  <c r="W173" i="515" s="1"/>
  <c r="W288" i="515"/>
  <c r="Z356" i="515"/>
  <c r="Z346" i="515" s="1"/>
  <c r="AA363" i="515"/>
  <c r="Z365" i="515"/>
  <c r="X213" i="515"/>
  <c r="X160" i="515"/>
  <c r="V180" i="515"/>
  <c r="V223" i="515"/>
  <c r="V243" i="515"/>
  <c r="W359" i="515"/>
  <c r="W350" i="515" s="1"/>
  <c r="W352" i="515" s="1"/>
  <c r="X366" i="515"/>
  <c r="W367" i="515"/>
  <c r="DI126" i="515"/>
  <c r="DI256" i="515" s="1"/>
  <c r="DI145" i="515"/>
  <c r="DI346" i="515"/>
  <c r="DI348" i="515" s="1"/>
  <c r="DI356" i="515"/>
  <c r="DI363" i="515" s="1"/>
  <c r="DI371" i="515" s="1"/>
  <c r="Y128" i="515"/>
  <c r="Y162" i="515" s="1"/>
  <c r="Y348" i="515"/>
  <c r="V375" i="515"/>
  <c r="V360" i="515"/>
  <c r="V368" i="515"/>
  <c r="U242" i="515"/>
  <c r="U222" i="515"/>
  <c r="X145" i="515"/>
  <c r="X126" i="515"/>
  <c r="X134" i="515"/>
  <c r="Y148" i="515"/>
  <c r="Y154" i="515"/>
  <c r="Y9" i="515" s="1"/>
  <c r="Y373" i="515"/>
  <c r="Y358" i="515"/>
  <c r="Z357" i="515"/>
  <c r="Z347" i="515" s="1"/>
  <c r="Z150" i="515" s="1"/>
  <c r="AA364" i="515"/>
  <c r="X270" i="515"/>
  <c r="Y278" i="515"/>
  <c r="X280" i="515"/>
  <c r="DG348" i="515"/>
  <c r="DG350" i="515" s="1"/>
  <c r="DG353" i="515"/>
  <c r="DH348" i="515"/>
  <c r="DH350" i="515" s="1"/>
  <c r="DH353" i="515"/>
  <c r="V174" i="515"/>
  <c r="V172" i="515" s="1"/>
  <c r="V353" i="515"/>
  <c r="U224" i="515"/>
  <c r="U244" i="515"/>
  <c r="U187" i="515"/>
  <c r="DI258" i="515"/>
  <c r="DI211" i="515"/>
  <c r="DI272" i="515"/>
  <c r="DI223" i="515"/>
  <c r="DI243" i="515"/>
  <c r="DF368" i="515"/>
  <c r="DF375" i="515"/>
  <c r="DF242" i="515"/>
  <c r="DI174" i="515"/>
  <c r="DF244" i="515"/>
  <c r="DF227" i="515"/>
  <c r="DF224" i="515"/>
  <c r="DF352" i="515"/>
  <c r="V222" i="515" l="1"/>
  <c r="V242" i="515"/>
  <c r="X288" i="515"/>
  <c r="X272" i="515"/>
  <c r="X173" i="515" s="1"/>
  <c r="Z148" i="515"/>
  <c r="Z154" i="515"/>
  <c r="Z9" i="515" s="1"/>
  <c r="W174" i="515"/>
  <c r="W172" i="515" s="1"/>
  <c r="W353" i="515"/>
  <c r="AA356" i="515"/>
  <c r="AA346" i="515" s="1"/>
  <c r="AB363" i="515"/>
  <c r="AA365" i="515"/>
  <c r="Z278" i="515"/>
  <c r="Y270" i="515"/>
  <c r="Y280" i="515"/>
  <c r="Y145" i="515"/>
  <c r="Y134" i="515"/>
  <c r="Y126" i="515"/>
  <c r="Z128" i="515"/>
  <c r="Z348" i="515"/>
  <c r="U239" i="515"/>
  <c r="U100" i="515"/>
  <c r="U22" i="515"/>
  <c r="Y213" i="515"/>
  <c r="Y160" i="515"/>
  <c r="W375" i="515"/>
  <c r="W368" i="515"/>
  <c r="W360" i="515"/>
  <c r="V244" i="515"/>
  <c r="V224" i="515"/>
  <c r="V187" i="515"/>
  <c r="AB364" i="515"/>
  <c r="AB357" i="515" s="1"/>
  <c r="AB347" i="515" s="1"/>
  <c r="AB150" i="515" s="1"/>
  <c r="AA357" i="515"/>
  <c r="AA347" i="515" s="1"/>
  <c r="AA150" i="515" s="1"/>
  <c r="X367" i="515"/>
  <c r="Y366" i="515"/>
  <c r="X359" i="515"/>
  <c r="X350" i="515" s="1"/>
  <c r="X352" i="515" s="1"/>
  <c r="Z373" i="515"/>
  <c r="Z358" i="515"/>
  <c r="W180" i="515"/>
  <c r="W243" i="515"/>
  <c r="W223" i="515"/>
  <c r="DF353" i="515"/>
  <c r="DF350" i="515"/>
  <c r="DI227" i="515"/>
  <c r="DI352" i="515"/>
  <c r="DI224" i="515"/>
  <c r="DI244" i="515"/>
  <c r="DI360" i="515"/>
  <c r="DI172" i="515"/>
  <c r="DI288" i="515"/>
  <c r="DI270" i="515"/>
  <c r="DI280" i="515"/>
  <c r="X16" i="123"/>
  <c r="Z88" i="123" s="1"/>
  <c r="S478" i="515"/>
  <c r="X375" i="515" l="1"/>
  <c r="X368" i="515"/>
  <c r="X360" i="515"/>
  <c r="AA358" i="515"/>
  <c r="AA373" i="515"/>
  <c r="W224" i="515"/>
  <c r="W244" i="515"/>
  <c r="W187" i="515"/>
  <c r="X243" i="515"/>
  <c r="X223" i="515"/>
  <c r="X180" i="515"/>
  <c r="W242" i="515"/>
  <c r="W222" i="515"/>
  <c r="AA148" i="515"/>
  <c r="AA154" i="515"/>
  <c r="AA9" i="515" s="1"/>
  <c r="Z145" i="515"/>
  <c r="Z134" i="515"/>
  <c r="Z126" i="515"/>
  <c r="Y272" i="515"/>
  <c r="Y173" i="515" s="1"/>
  <c r="Y288" i="515"/>
  <c r="AB356" i="515"/>
  <c r="AB346" i="515" s="1"/>
  <c r="AB365" i="515"/>
  <c r="X213" i="123"/>
  <c r="X220" i="123" s="1"/>
  <c r="X192" i="123" s="1"/>
  <c r="X202" i="123" s="1"/>
  <c r="S480" i="515"/>
  <c r="X174" i="515"/>
  <c r="X353" i="515"/>
  <c r="AB148" i="515"/>
  <c r="AB154" i="515"/>
  <c r="AB9" i="515" s="1"/>
  <c r="AA128" i="515"/>
  <c r="AA162" i="515" s="1"/>
  <c r="AA348" i="515"/>
  <c r="Z366" i="515"/>
  <c r="Y359" i="515"/>
  <c r="Y350" i="515" s="1"/>
  <c r="Y352" i="515" s="1"/>
  <c r="Y367" i="515"/>
  <c r="V22" i="515"/>
  <c r="V239" i="515"/>
  <c r="V100" i="515"/>
  <c r="U28" i="515"/>
  <c r="AA278" i="515"/>
  <c r="Z270" i="515"/>
  <c r="Z280" i="515"/>
  <c r="Z162" i="515"/>
  <c r="DI367" i="515"/>
  <c r="DI359" i="515"/>
  <c r="DI366" i="515" s="1"/>
  <c r="DI374" i="515" s="1"/>
  <c r="DI286" i="515"/>
  <c r="DI278" i="515"/>
  <c r="DI222" i="515"/>
  <c r="DI242" i="515"/>
  <c r="DI353" i="515"/>
  <c r="DI350" i="515"/>
  <c r="Z87" i="123"/>
  <c r="X26" i="123"/>
  <c r="Y212" i="123"/>
  <c r="X30" i="123"/>
  <c r="AA213" i="515" l="1"/>
  <c r="AA160" i="515"/>
  <c r="Z213" i="515"/>
  <c r="Z160" i="515"/>
  <c r="Y353" i="515"/>
  <c r="Y174" i="515"/>
  <c r="Y172" i="515" s="1"/>
  <c r="X244" i="515"/>
  <c r="X224" i="515"/>
  <c r="X187" i="515"/>
  <c r="AB128" i="515"/>
  <c r="AB348" i="515"/>
  <c r="Z288" i="515"/>
  <c r="Z272" i="515"/>
  <c r="Z173" i="515" s="1"/>
  <c r="Z359" i="515"/>
  <c r="Z350" i="515" s="1"/>
  <c r="Z352" i="515" s="1"/>
  <c r="AA366" i="515"/>
  <c r="Z367" i="515"/>
  <c r="X172" i="515"/>
  <c r="V28" i="515"/>
  <c r="Y243" i="515"/>
  <c r="Y223" i="515"/>
  <c r="Y180" i="515"/>
  <c r="AB278" i="515"/>
  <c r="AA280" i="515"/>
  <c r="AA270" i="515"/>
  <c r="Y360" i="515"/>
  <c r="Y368" i="515"/>
  <c r="Y375" i="515"/>
  <c r="AA145" i="515"/>
  <c r="AA126" i="515"/>
  <c r="AA134" i="515"/>
  <c r="AB358" i="515"/>
  <c r="AB373" i="515"/>
  <c r="W22" i="515"/>
  <c r="W100" i="515"/>
  <c r="W239" i="515"/>
  <c r="DI368" i="515"/>
  <c r="DI375" i="515"/>
  <c r="X32" i="123"/>
  <c r="Y99" i="123" s="1"/>
  <c r="X166" i="123"/>
  <c r="X113" i="123"/>
  <c r="X115" i="123" s="1"/>
  <c r="Y222" i="515" l="1"/>
  <c r="Y289" i="515" s="1"/>
  <c r="Y242" i="515"/>
  <c r="X222" i="515"/>
  <c r="X289" i="515" s="1"/>
  <c r="X242" i="515"/>
  <c r="Z360" i="515"/>
  <c r="Z368" i="515"/>
  <c r="Z375" i="515"/>
  <c r="W28" i="515"/>
  <c r="AA272" i="515"/>
  <c r="AA173" i="515" s="1"/>
  <c r="AA288" i="515"/>
  <c r="AA359" i="515"/>
  <c r="AA350" i="515" s="1"/>
  <c r="AA352" i="515" s="1"/>
  <c r="AB366" i="515"/>
  <c r="AA367" i="515"/>
  <c r="AB145" i="515"/>
  <c r="AB134" i="515"/>
  <c r="AB126" i="515"/>
  <c r="AB162" i="515"/>
  <c r="Y224" i="515"/>
  <c r="Y244" i="515"/>
  <c r="Y187" i="515"/>
  <c r="AB270" i="515"/>
  <c r="AB280" i="515"/>
  <c r="Z353" i="515"/>
  <c r="Z174" i="515"/>
  <c r="Z223" i="515"/>
  <c r="Z243" i="515"/>
  <c r="Z180" i="515"/>
  <c r="X239" i="515"/>
  <c r="X22" i="515"/>
  <c r="X28" i="515" s="1"/>
  <c r="X100" i="515"/>
  <c r="X167" i="123"/>
  <c r="Y167" i="123" s="1"/>
  <c r="Z167" i="123" s="1"/>
  <c r="AA167" i="123" s="1"/>
  <c r="AB167" i="123" s="1"/>
  <c r="AC167" i="123" s="1"/>
  <c r="AD167" i="123" s="1"/>
  <c r="AE167" i="123" s="1"/>
  <c r="AF167" i="123" s="1"/>
  <c r="AG167" i="123" s="1"/>
  <c r="X169" i="123"/>
  <c r="Z224" i="515" l="1"/>
  <c r="Z244" i="515"/>
  <c r="Z187" i="515"/>
  <c r="Y239" i="515"/>
  <c r="Y22" i="515"/>
  <c r="Y28" i="515" s="1"/>
  <c r="Y100" i="515"/>
  <c r="AB359" i="515"/>
  <c r="AB350" i="515" s="1"/>
  <c r="AB352" i="515" s="1"/>
  <c r="AB367" i="515"/>
  <c r="AA174" i="515"/>
  <c r="AA172" i="515" s="1"/>
  <c r="AA353" i="515"/>
  <c r="Z172" i="515"/>
  <c r="AB272" i="515"/>
  <c r="AB173" i="515" s="1"/>
  <c r="AB288" i="515"/>
  <c r="AA243" i="515"/>
  <c r="AA180" i="515"/>
  <c r="AA223" i="515"/>
  <c r="AB213" i="515"/>
  <c r="AB160" i="515"/>
  <c r="AA360" i="515"/>
  <c r="AA375" i="515"/>
  <c r="AA368" i="515"/>
  <c r="Y166" i="123"/>
  <c r="Y28" i="123"/>
  <c r="Y169" i="123"/>
  <c r="Z166" i="123"/>
  <c r="X170" i="123"/>
  <c r="X184" i="123"/>
  <c r="AB223" i="515" l="1"/>
  <c r="AB243" i="515"/>
  <c r="AB180" i="515"/>
  <c r="AB353" i="515"/>
  <c r="AB174" i="515"/>
  <c r="AB172" i="515" s="1"/>
  <c r="AA222" i="515"/>
  <c r="AA242" i="515"/>
  <c r="Z222" i="515"/>
  <c r="Z242" i="515"/>
  <c r="Z100" i="515"/>
  <c r="Z239" i="515"/>
  <c r="Z22" i="515"/>
  <c r="Z28" i="515" s="1"/>
  <c r="AA244" i="515"/>
  <c r="AA224" i="515"/>
  <c r="AA187" i="515"/>
  <c r="AB360" i="515"/>
  <c r="AB375" i="515"/>
  <c r="AB368" i="515"/>
  <c r="Y184" i="123"/>
  <c r="Y170" i="123"/>
  <c r="Z28" i="123"/>
  <c r="Z169" i="123"/>
  <c r="AA166" i="123"/>
  <c r="X32" i="3"/>
  <c r="Y30" i="123"/>
  <c r="AA100" i="515" l="1"/>
  <c r="AA22" i="515"/>
  <c r="AA28" i="515" s="1"/>
  <c r="AA239" i="515"/>
  <c r="AB242" i="515"/>
  <c r="AB222" i="515"/>
  <c r="AB224" i="515"/>
  <c r="AB244" i="515"/>
  <c r="AB187" i="515"/>
  <c r="Z170" i="123"/>
  <c r="Z184" i="123"/>
  <c r="Z30" i="123"/>
  <c r="Y32" i="3"/>
  <c r="AB166" i="123"/>
  <c r="AA28" i="123"/>
  <c r="AA169" i="123"/>
  <c r="AB100" i="515" l="1"/>
  <c r="AB22" i="515"/>
  <c r="AB28" i="515" s="1"/>
  <c r="AB239" i="515"/>
  <c r="AA184" i="123"/>
  <c r="AA170" i="123"/>
  <c r="Z32" i="3"/>
  <c r="AA30" i="123"/>
  <c r="AB28" i="123"/>
  <c r="AC166" i="123"/>
  <c r="AB169" i="123"/>
  <c r="AB170" i="123" l="1"/>
  <c r="AB184" i="123"/>
  <c r="AB30" i="123"/>
  <c r="AC169" i="123"/>
  <c r="AC28" i="123"/>
  <c r="AC30" i="123" s="1"/>
  <c r="AD166" i="123"/>
  <c r="AA32" i="3"/>
  <c r="AB32" i="3" l="1"/>
  <c r="AD28" i="123"/>
  <c r="AE166" i="123"/>
  <c r="AD169" i="123"/>
  <c r="AC170" i="123"/>
  <c r="AC184" i="123"/>
  <c r="AE169" i="123" l="1"/>
  <c r="AE28" i="123"/>
  <c r="AF166" i="123"/>
  <c r="AD184" i="123"/>
  <c r="AD170" i="123"/>
  <c r="AC32" i="3"/>
  <c r="AD30" i="123"/>
  <c r="AD32" i="3"/>
  <c r="AE30" i="123" l="1"/>
  <c r="AF28" i="123"/>
  <c r="AF30" i="123" s="1"/>
  <c r="AG166" i="123"/>
  <c r="AF169" i="123"/>
  <c r="AE170" i="123"/>
  <c r="AE184" i="123"/>
  <c r="X152" i="123"/>
  <c r="X156" i="123" s="1"/>
  <c r="Y156" i="123" s="1"/>
  <c r="W12" i="3"/>
  <c r="W25" i="3" s="1"/>
  <c r="W26" i="3" s="1"/>
  <c r="S115" i="515" l="1"/>
  <c r="S118" i="515"/>
  <c r="W72" i="3"/>
  <c r="AG28" i="123"/>
  <c r="AG30" i="123" s="1"/>
  <c r="AG169" i="123"/>
  <c r="AF32" i="3"/>
  <c r="AE32" i="3"/>
  <c r="AF170" i="123"/>
  <c r="AF184" i="123"/>
  <c r="Y152" i="123"/>
  <c r="X10" i="3" s="1"/>
  <c r="X12" i="3" s="1"/>
  <c r="Z156" i="123"/>
  <c r="AA156" i="123" s="1"/>
  <c r="AB156" i="123" s="1"/>
  <c r="AC156" i="123" s="1"/>
  <c r="AD156" i="123" s="1"/>
  <c r="AE156" i="123" s="1"/>
  <c r="AF156" i="123" s="1"/>
  <c r="AG156" i="123" s="1"/>
  <c r="S121" i="515" l="1"/>
  <c r="AG170" i="123"/>
  <c r="AG184" i="123"/>
  <c r="Y154" i="123"/>
  <c r="Y19" i="123" s="1"/>
  <c r="Z151" i="123" l="1"/>
  <c r="X145" i="123" l="1"/>
  <c r="Y145" i="123" s="1"/>
  <c r="X28" i="3" s="1"/>
  <c r="X157" i="123"/>
  <c r="W33" i="3"/>
  <c r="W48" i="3" s="1"/>
  <c r="W49" i="3" s="1"/>
  <c r="W55" i="3"/>
  <c r="W56" i="3" s="1"/>
  <c r="W60" i="3" s="1"/>
  <c r="W63" i="3" s="1"/>
  <c r="W57" i="3"/>
  <c r="W74" i="3"/>
  <c r="W80" i="3"/>
  <c r="W59" i="3" l="1"/>
  <c r="W62" i="3" s="1"/>
  <c r="X147" i="123"/>
  <c r="X33" i="3"/>
  <c r="X74" i="3"/>
  <c r="W51" i="3"/>
  <c r="X47" i="3"/>
  <c r="Z145" i="123"/>
  <c r="Y148" i="123"/>
  <c r="Y157" i="123"/>
  <c r="Y18" i="123" l="1"/>
  <c r="Y20" i="123" s="1"/>
  <c r="Y159" i="123"/>
  <c r="Z144" i="123"/>
  <c r="AA145" i="123"/>
  <c r="Y28" i="3"/>
  <c r="AB145" i="123" l="1"/>
  <c r="Z28" i="3"/>
  <c r="Z152" i="123"/>
  <c r="Z148" i="123"/>
  <c r="Y33" i="3"/>
  <c r="Y74" i="3"/>
  <c r="Z18" i="123" l="1"/>
  <c r="AA144" i="123"/>
  <c r="AC145" i="123"/>
  <c r="AA28" i="3"/>
  <c r="Z157" i="123"/>
  <c r="Z154" i="123"/>
  <c r="Y10" i="3"/>
  <c r="Z33" i="3"/>
  <c r="Z74" i="3"/>
  <c r="AA33" i="3" l="1"/>
  <c r="AA74" i="3"/>
  <c r="Y12" i="3"/>
  <c r="AD145" i="123"/>
  <c r="AB28" i="3"/>
  <c r="Z19" i="123"/>
  <c r="Z20" i="123" s="1"/>
  <c r="AA151" i="123"/>
  <c r="Z159" i="123"/>
  <c r="AA148" i="123"/>
  <c r="AA152" i="123"/>
  <c r="AA18" i="123" l="1"/>
  <c r="AB144" i="123"/>
  <c r="AB33" i="3"/>
  <c r="AB74" i="3"/>
  <c r="AE145" i="123"/>
  <c r="AC28" i="3"/>
  <c r="AA157" i="123"/>
  <c r="Z10" i="3"/>
  <c r="AA154" i="123"/>
  <c r="AA159" i="123" s="1"/>
  <c r="AC33" i="3" l="1"/>
  <c r="AC74" i="3"/>
  <c r="AA19" i="123"/>
  <c r="AA20" i="123" s="1"/>
  <c r="AB151" i="123"/>
  <c r="AF145" i="123"/>
  <c r="AD28" i="3"/>
  <c r="AB152" i="123"/>
  <c r="AB148" i="123"/>
  <c r="Z12" i="3"/>
  <c r="AB154" i="123" l="1"/>
  <c r="AB159" i="123" s="1"/>
  <c r="AD33" i="3"/>
  <c r="AD74" i="3"/>
  <c r="AG145" i="123"/>
  <c r="AF28" i="3" s="1"/>
  <c r="AE28" i="3"/>
  <c r="AB18" i="123"/>
  <c r="AC144" i="123"/>
  <c r="AB157" i="123"/>
  <c r="AA10" i="3"/>
  <c r="AB19" i="123" l="1"/>
  <c r="AC151" i="123"/>
  <c r="AC152" i="123"/>
  <c r="AC148" i="123"/>
  <c r="AE33" i="3"/>
  <c r="AE74" i="3"/>
  <c r="AA12" i="3"/>
  <c r="AB20" i="123"/>
  <c r="AF33" i="3"/>
  <c r="AF74" i="3"/>
  <c r="AC157" i="123" l="1"/>
  <c r="AB10" i="3"/>
  <c r="AC154" i="123"/>
  <c r="AC18" i="123"/>
  <c r="AD144" i="123"/>
  <c r="AB12" i="3" l="1"/>
  <c r="AC19" i="123"/>
  <c r="AC20" i="123" s="1"/>
  <c r="AD151" i="123"/>
  <c r="AD152" i="123"/>
  <c r="AD148" i="123"/>
  <c r="AC159" i="123"/>
  <c r="AD18" i="123" l="1"/>
  <c r="AE144" i="123"/>
  <c r="AD157" i="123"/>
  <c r="AC10" i="3"/>
  <c r="AD154" i="123"/>
  <c r="AD159" i="123" s="1"/>
  <c r="AD19" i="123" l="1"/>
  <c r="AE151" i="123"/>
  <c r="AE148" i="123"/>
  <c r="AE152" i="123"/>
  <c r="AC12" i="3"/>
  <c r="AD20" i="123"/>
  <c r="AE154" i="123" l="1"/>
  <c r="AE19" i="123"/>
  <c r="AF151" i="123"/>
  <c r="AE18" i="123"/>
  <c r="AE20" i="123" s="1"/>
  <c r="AF144" i="123"/>
  <c r="AE159" i="123"/>
  <c r="AE157" i="123"/>
  <c r="AD10" i="3"/>
  <c r="AD12" i="3" s="1"/>
  <c r="AF152" i="123" l="1"/>
  <c r="AF148" i="123"/>
  <c r="AF157" i="123" l="1"/>
  <c r="AE10" i="3"/>
  <c r="AE12" i="3" s="1"/>
  <c r="AF154" i="123"/>
  <c r="AF18" i="123"/>
  <c r="AG144" i="123"/>
  <c r="AF19" i="123" l="1"/>
  <c r="AF20" i="123" s="1"/>
  <c r="AG151" i="123"/>
  <c r="AF159" i="123"/>
  <c r="AG152" i="123"/>
  <c r="AG148" i="123"/>
  <c r="AG154" i="123" l="1"/>
  <c r="AG19" i="123" s="1"/>
  <c r="AG18" i="123"/>
  <c r="AG20" i="123" s="1"/>
  <c r="AG159" i="123"/>
  <c r="AG157" i="123"/>
  <c r="AF10" i="3"/>
  <c r="AF12" i="3" s="1"/>
  <c r="DC140" i="515" l="1"/>
  <c r="DC8" i="515" s="1"/>
  <c r="DC11" i="515" s="1"/>
  <c r="DC534" i="515" l="1"/>
  <c r="DC535" i="515" s="1"/>
  <c r="DC14" i="515"/>
  <c r="DC16" i="515"/>
  <c r="DC98" i="515"/>
  <c r="DC538" i="515"/>
  <c r="DC539" i="515" s="1"/>
  <c r="DC106" i="515" l="1"/>
  <c r="DC17" i="515"/>
  <c r="DC99" i="515"/>
  <c r="DC107" i="515" l="1"/>
  <c r="DC216" i="515"/>
  <c r="DC218" i="515"/>
  <c r="DC22" i="515" l="1"/>
  <c r="DC226" i="515"/>
  <c r="DC228" i="515"/>
  <c r="DC246" i="515"/>
  <c r="DC239" i="515" l="1"/>
  <c r="DC582" i="515"/>
  <c r="DC248" i="515"/>
  <c r="DC28" i="515"/>
  <c r="DC23" i="515"/>
  <c r="DC109" i="515" s="1"/>
  <c r="DC100" i="515"/>
  <c r="DC19" i="515"/>
  <c r="DC20" i="515" l="1"/>
  <c r="DC456" i="515"/>
  <c r="DC108" i="515" l="1"/>
  <c r="DC35" i="515"/>
  <c r="DC37" i="515" s="1"/>
  <c r="DC38" i="515" l="1"/>
  <c r="DC110" i="515"/>
  <c r="DC101" i="515"/>
  <c r="DC41" i="515" l="1"/>
  <c r="DC45" i="515"/>
  <c r="DC102" i="515" s="1"/>
  <c r="DC111" i="515" l="1"/>
  <c r="DC47" i="515"/>
  <c r="DC103" i="515" s="1"/>
  <c r="DB38" i="515" l="1"/>
  <c r="DB41" i="515"/>
  <c r="DB45" i="515"/>
  <c r="DB101" i="515"/>
  <c r="DB110" i="515"/>
  <c r="DB111" i="515" l="1"/>
  <c r="T45" i="515"/>
  <c r="T102" i="515" s="1"/>
  <c r="DB47" i="515"/>
  <c r="DB102" i="515"/>
  <c r="CZ457" i="515"/>
  <c r="DA457" i="515"/>
  <c r="DB457" i="515"/>
  <c r="DC457" i="515"/>
  <c r="DB103" i="515" l="1"/>
  <c r="DD140" i="515" l="1"/>
  <c r="DD8" i="515" s="1"/>
  <c r="DD11" i="515" s="1"/>
  <c r="DD534" i="515" l="1"/>
  <c r="DD535" i="515" s="1"/>
  <c r="DD111" i="515"/>
  <c r="DD98" i="515"/>
  <c r="DD14" i="515"/>
  <c r="DD538" i="515"/>
  <c r="DD539" i="515" s="1"/>
  <c r="DD16" i="515"/>
  <c r="DD99" i="515" s="1"/>
  <c r="DD106" i="515" l="1"/>
  <c r="DD17" i="515"/>
  <c r="DD107" i="515" l="1"/>
  <c r="DD216" i="515" l="1"/>
  <c r="DD218" i="515"/>
  <c r="DD187" i="515" l="1"/>
  <c r="DE187" i="515" l="1"/>
  <c r="DD582" i="515"/>
  <c r="DD22" i="515"/>
  <c r="DD100" i="515" s="1"/>
  <c r="DD239" i="515"/>
  <c r="DD248" i="515"/>
  <c r="DE22" i="515" l="1"/>
  <c r="DE100" i="515" s="1"/>
  <c r="DE239" i="515"/>
  <c r="DE582" i="515"/>
  <c r="DD28" i="515"/>
  <c r="DD19" i="515"/>
  <c r="DD23" i="515"/>
  <c r="DD109" i="515" s="1"/>
  <c r="DE28" i="515" l="1"/>
  <c r="DD20" i="515"/>
  <c r="DD108" i="515" l="1"/>
  <c r="U457" i="515" l="1"/>
  <c r="T73" i="515"/>
  <c r="V457" i="515" l="1"/>
  <c r="U458" i="515"/>
  <c r="U58" i="515" s="1"/>
  <c r="V458" i="515" l="1"/>
  <c r="V58" i="515" s="1"/>
  <c r="W457" i="515"/>
  <c r="X457" i="515" l="1"/>
  <c r="W458" i="515"/>
  <c r="W58" i="515" s="1"/>
  <c r="X458" i="515" l="1"/>
  <c r="X58" i="515" s="1"/>
  <c r="Y457" i="515"/>
  <c r="Z457" i="515" l="1"/>
  <c r="Y458" i="515"/>
  <c r="Y58" i="515" s="1"/>
  <c r="Z458" i="515" l="1"/>
  <c r="Z58" i="515" s="1"/>
  <c r="AA457" i="515"/>
  <c r="AB457" i="515" l="1"/>
  <c r="AB458" i="515" s="1"/>
  <c r="AB58" i="515" s="1"/>
  <c r="AA458" i="515"/>
  <c r="AA58" i="515" s="1"/>
  <c r="DD35" i="515"/>
  <c r="DD37" i="515" s="1"/>
  <c r="DD38" i="515" l="1"/>
  <c r="DD101" i="515"/>
  <c r="DD110" i="515"/>
  <c r="DD41" i="515" l="1"/>
  <c r="DD47" i="515"/>
  <c r="DD103" i="515" s="1"/>
  <c r="S205" i="123" l="1"/>
  <c r="S199" i="123"/>
  <c r="T196" i="123" s="1"/>
  <c r="S53" i="123"/>
  <c r="S58" i="123" s="1"/>
  <c r="S34" i="123" s="1"/>
  <c r="S204" i="123" l="1"/>
  <c r="S69" i="123"/>
  <c r="S71" i="123" s="1"/>
  <c r="S75" i="123" l="1"/>
  <c r="S78" i="123"/>
  <c r="S120" i="123" s="1"/>
  <c r="T121" i="123" s="1"/>
  <c r="S174" i="123"/>
  <c r="S180" i="123" s="1"/>
  <c r="S79" i="123" l="1"/>
  <c r="S77" i="123"/>
  <c r="S76" i="123"/>
  <c r="S81" i="123"/>
  <c r="N484" i="515"/>
  <c r="S177" i="123"/>
  <c r="S179" i="123"/>
  <c r="T174" i="123"/>
  <c r="T177" i="123" l="1"/>
  <c r="T180" i="123"/>
  <c r="T55" i="123" s="1"/>
  <c r="T179" i="123"/>
  <c r="U174" i="123"/>
  <c r="S84" i="123"/>
  <c r="S85" i="123" s="1"/>
  <c r="S82" i="123"/>
  <c r="S92" i="123"/>
  <c r="S83" i="123"/>
  <c r="S105" i="123" s="1"/>
  <c r="S109" i="123" s="1"/>
  <c r="S110" i="123" s="1"/>
  <c r="N486" i="515"/>
  <c r="O483" i="515"/>
  <c r="U177" i="123" l="1"/>
  <c r="V174" i="123"/>
  <c r="U179" i="123"/>
  <c r="U180" i="123"/>
  <c r="T205" i="123"/>
  <c r="T53" i="123"/>
  <c r="T58" i="123" s="1"/>
  <c r="T199" i="123"/>
  <c r="T75" i="123"/>
  <c r="U55" i="123"/>
  <c r="U205" i="123" l="1"/>
  <c r="U199" i="123"/>
  <c r="U53" i="123"/>
  <c r="U58" i="123" s="1"/>
  <c r="U75" i="123"/>
  <c r="T34" i="123"/>
  <c r="T69" i="123"/>
  <c r="T71" i="123" s="1"/>
  <c r="T77" i="123"/>
  <c r="T76" i="123"/>
  <c r="T81" i="123"/>
  <c r="O484" i="515"/>
  <c r="T78" i="123"/>
  <c r="T79" i="123" s="1"/>
  <c r="V177" i="123"/>
  <c r="V179" i="123"/>
  <c r="W174" i="123"/>
  <c r="V180" i="123"/>
  <c r="V55" i="123" s="1"/>
  <c r="T204" i="123"/>
  <c r="U196" i="123"/>
  <c r="V205" i="123" l="1"/>
  <c r="V199" i="123"/>
  <c r="V53" i="123"/>
  <c r="V58" i="123" s="1"/>
  <c r="V69" i="123" s="1"/>
  <c r="V71" i="123" s="1"/>
  <c r="V75" i="123"/>
  <c r="W177" i="123"/>
  <c r="W180" i="123"/>
  <c r="W55" i="123" s="1"/>
  <c r="W179" i="123"/>
  <c r="X174" i="123"/>
  <c r="P483" i="515"/>
  <c r="O486" i="515"/>
  <c r="T84" i="123"/>
  <c r="T85" i="123" s="1"/>
  <c r="T92" i="123"/>
  <c r="T82" i="123"/>
  <c r="T83" i="123"/>
  <c r="T105" i="123" s="1"/>
  <c r="T109" i="123" s="1"/>
  <c r="T110" i="123" s="1"/>
  <c r="U34" i="123"/>
  <c r="U69" i="123"/>
  <c r="U71" i="123" s="1"/>
  <c r="T120" i="123"/>
  <c r="U121" i="123" s="1"/>
  <c r="U77" i="123"/>
  <c r="U76" i="123"/>
  <c r="U81" i="123"/>
  <c r="P484" i="515"/>
  <c r="Q483" i="515" s="1"/>
  <c r="U78" i="123"/>
  <c r="U79" i="123" s="1"/>
  <c r="V196" i="123"/>
  <c r="U204" i="123"/>
  <c r="P486" i="515" l="1"/>
  <c r="W205" i="123"/>
  <c r="W199" i="123"/>
  <c r="W53" i="123"/>
  <c r="W58" i="123" s="1"/>
  <c r="W69" i="123" s="1"/>
  <c r="W71" i="123" s="1"/>
  <c r="W75" i="123"/>
  <c r="Y174" i="123"/>
  <c r="X179" i="123"/>
  <c r="X180" i="123"/>
  <c r="X55" i="123" s="1"/>
  <c r="X177" i="123"/>
  <c r="U92" i="123"/>
  <c r="U82" i="123"/>
  <c r="U84" i="123"/>
  <c r="U85" i="123" s="1"/>
  <c r="U83" i="123"/>
  <c r="U105" i="123" s="1"/>
  <c r="U109" i="123" s="1"/>
  <c r="U110" i="123" s="1"/>
  <c r="V76" i="123"/>
  <c r="V77" i="123"/>
  <c r="Q484" i="515"/>
  <c r="R483" i="515" s="1"/>
  <c r="V81" i="123"/>
  <c r="V78" i="123"/>
  <c r="V79" i="123" s="1"/>
  <c r="U120" i="123"/>
  <c r="V121" i="123" s="1"/>
  <c r="W196" i="123"/>
  <c r="V204" i="123"/>
  <c r="X199" i="123" l="1"/>
  <c r="X53" i="123"/>
  <c r="X58" i="123" s="1"/>
  <c r="X69" i="123" s="1"/>
  <c r="X71" i="123" s="1"/>
  <c r="X205" i="123"/>
  <c r="X75" i="123"/>
  <c r="CU479" i="515"/>
  <c r="W77" i="123"/>
  <c r="W76" i="123"/>
  <c r="W81" i="123"/>
  <c r="R484" i="515"/>
  <c r="W78" i="123"/>
  <c r="Y179" i="123"/>
  <c r="Y180" i="123"/>
  <c r="Y55" i="123" s="1"/>
  <c r="Z174" i="123"/>
  <c r="Y177" i="123"/>
  <c r="V120" i="123"/>
  <c r="W121" i="123" s="1"/>
  <c r="Q486" i="515"/>
  <c r="W204" i="123"/>
  <c r="X196" i="123"/>
  <c r="V84" i="123"/>
  <c r="V85" i="123"/>
  <c r="V82" i="123"/>
  <c r="V92" i="123"/>
  <c r="V83" i="123"/>
  <c r="V105" i="123" s="1"/>
  <c r="V109" i="123" s="1"/>
  <c r="V110" i="123" s="1"/>
  <c r="Y53" i="123" l="1"/>
  <c r="Y205" i="123"/>
  <c r="X42" i="3"/>
  <c r="Y199" i="123"/>
  <c r="Y75" i="123"/>
  <c r="AA174" i="123"/>
  <c r="Z180" i="123"/>
  <c r="Z55" i="123" s="1"/>
  <c r="Z177" i="123"/>
  <c r="Z179" i="123"/>
  <c r="S483" i="515"/>
  <c r="CU483" i="515"/>
  <c r="CU486" i="515" s="1"/>
  <c r="CU487" i="515" s="1"/>
  <c r="CV487" i="515" s="1"/>
  <c r="X77" i="123"/>
  <c r="X76" i="123"/>
  <c r="X78" i="123"/>
  <c r="S484" i="515"/>
  <c r="T483" i="515" s="1"/>
  <c r="X81" i="123"/>
  <c r="W84" i="123"/>
  <c r="W85" i="123" s="1"/>
  <c r="W82" i="123"/>
  <c r="W92" i="123"/>
  <c r="W83" i="123"/>
  <c r="W105" i="123" s="1"/>
  <c r="W109" i="123" s="1"/>
  <c r="W110" i="123" s="1"/>
  <c r="W120" i="123"/>
  <c r="X121" i="123" s="1"/>
  <c r="W79" i="123"/>
  <c r="R486" i="515"/>
  <c r="CV483" i="515" s="1"/>
  <c r="X204" i="123"/>
  <c r="Y196" i="123"/>
  <c r="S488" i="515" l="1"/>
  <c r="S486" i="515"/>
  <c r="X120" i="123"/>
  <c r="Z196" i="123"/>
  <c r="Y204" i="123"/>
  <c r="AA180" i="123"/>
  <c r="AA55" i="123" s="1"/>
  <c r="AB174" i="123"/>
  <c r="AA179" i="123"/>
  <c r="AA177" i="123"/>
  <c r="X82" i="123"/>
  <c r="X84" i="123"/>
  <c r="X85" i="123" s="1"/>
  <c r="X92" i="123"/>
  <c r="X83" i="123"/>
  <c r="X105" i="123" s="1"/>
  <c r="X109" i="123" s="1"/>
  <c r="X110" i="123" s="1"/>
  <c r="X79" i="123"/>
  <c r="Z53" i="123"/>
  <c r="Z205" i="123"/>
  <c r="Y42" i="3"/>
  <c r="Z199" i="123"/>
  <c r="Z75" i="123"/>
  <c r="CW483" i="515"/>
  <c r="CW486" i="515" s="1"/>
  <c r="CV486" i="515" s="1"/>
  <c r="T484" i="515"/>
  <c r="U483" i="515" s="1"/>
  <c r="T485" i="515" l="1"/>
  <c r="AA205" i="123"/>
  <c r="AA53" i="123"/>
  <c r="Z42" i="3"/>
  <c r="AA199" i="123"/>
  <c r="AA75" i="123"/>
  <c r="U484" i="515"/>
  <c r="V483" i="515" s="1"/>
  <c r="T30" i="515"/>
  <c r="AA196" i="123"/>
  <c r="Z204" i="123"/>
  <c r="AB177" i="123"/>
  <c r="AB180" i="123"/>
  <c r="AB55" i="123" s="1"/>
  <c r="AB179" i="123"/>
  <c r="AC174" i="123"/>
  <c r="U485" i="515" l="1"/>
  <c r="AB205" i="123"/>
  <c r="AB53" i="123"/>
  <c r="AA42" i="3"/>
  <c r="AB199" i="123"/>
  <c r="AB75" i="123"/>
  <c r="AB196" i="123"/>
  <c r="AA204" i="123"/>
  <c r="AC179" i="123"/>
  <c r="AC177" i="123"/>
  <c r="AC180" i="123"/>
  <c r="AC55" i="123" s="1"/>
  <c r="AD174" i="123"/>
  <c r="U30" i="515"/>
  <c r="V484" i="515"/>
  <c r="W483" i="515" s="1"/>
  <c r="AC53" i="123" l="1"/>
  <c r="AB42" i="3"/>
  <c r="AC205" i="123"/>
  <c r="AC199" i="123"/>
  <c r="AC75" i="123"/>
  <c r="AC196" i="123"/>
  <c r="AB204" i="123"/>
  <c r="V485" i="515"/>
  <c r="AD179" i="123"/>
  <c r="AD180" i="123"/>
  <c r="AD55" i="123" s="1"/>
  <c r="AD177" i="123"/>
  <c r="AE174" i="123"/>
  <c r="W484" i="515"/>
  <c r="X483" i="515" s="1"/>
  <c r="AD53" i="123" l="1"/>
  <c r="AC42" i="3"/>
  <c r="AD205" i="123"/>
  <c r="AD199" i="123"/>
  <c r="AD75" i="123"/>
  <c r="AC204" i="123"/>
  <c r="AD196" i="123"/>
  <c r="W485" i="515"/>
  <c r="V30" i="515"/>
  <c r="X484" i="515"/>
  <c r="Y483" i="515" s="1"/>
  <c r="AE180" i="123"/>
  <c r="AE55" i="123" s="1"/>
  <c r="AE179" i="123"/>
  <c r="AE177" i="123"/>
  <c r="AF174" i="123"/>
  <c r="X485" i="515" l="1"/>
  <c r="X30" i="515" s="1"/>
  <c r="AE205" i="123"/>
  <c r="AD42" i="3"/>
  <c r="AE53" i="123"/>
  <c r="AE199" i="123"/>
  <c r="AE75" i="123"/>
  <c r="Y484" i="515"/>
  <c r="Z483" i="515" s="1"/>
  <c r="AF180" i="123"/>
  <c r="AF55" i="123" s="1"/>
  <c r="AF177" i="123"/>
  <c r="AG174" i="123"/>
  <c r="AF179" i="123"/>
  <c r="AE196" i="123"/>
  <c r="AD204" i="123"/>
  <c r="W30" i="515"/>
  <c r="Y485" i="515" l="1"/>
  <c r="Y30" i="515" s="1"/>
  <c r="AG179" i="123"/>
  <c r="AG180" i="123"/>
  <c r="AG177" i="123"/>
  <c r="AE42" i="3"/>
  <c r="AF53" i="123"/>
  <c r="AF205" i="123"/>
  <c r="AF199" i="123"/>
  <c r="AG55" i="123"/>
  <c r="AF75" i="123"/>
  <c r="AE204" i="123"/>
  <c r="AF196" i="123"/>
  <c r="Z484" i="515"/>
  <c r="AA483" i="515" s="1"/>
  <c r="AA484" i="515" l="1"/>
  <c r="AB483" i="515" s="1"/>
  <c r="AG53" i="123"/>
  <c r="AF42" i="3"/>
  <c r="AG205" i="123"/>
  <c r="AG75" i="123"/>
  <c r="AG199" i="123"/>
  <c r="AG204" i="123" s="1"/>
  <c r="AG196" i="123"/>
  <c r="AF204" i="123"/>
  <c r="Z485" i="515"/>
  <c r="AA485" i="515" l="1"/>
  <c r="AA30" i="515" s="1"/>
  <c r="Z30" i="515"/>
  <c r="AB484" i="515"/>
  <c r="AB485" i="515" s="1"/>
  <c r="AB30" i="515" l="1"/>
  <c r="DE140" i="515" l="1"/>
  <c r="DE8" i="515" s="1"/>
  <c r="DE11" i="515" s="1"/>
  <c r="DE23" i="515" l="1"/>
  <c r="DE109" i="515" s="1"/>
  <c r="DE98" i="515"/>
  <c r="DE111" i="515"/>
  <c r="DE534" i="515"/>
  <c r="DE535" i="515" s="1"/>
  <c r="DE538" i="515"/>
  <c r="DE539" i="515" s="1"/>
  <c r="DE166" i="515"/>
  <c r="DE218" i="515" l="1"/>
  <c r="DE248" i="515"/>
  <c r="DE14" i="515"/>
  <c r="DE106" i="515" s="1"/>
  <c r="DE16" i="515"/>
  <c r="DE99" i="515" l="1"/>
  <c r="DE19" i="515"/>
  <c r="DE17" i="515"/>
  <c r="DE107" i="515" s="1"/>
  <c r="DE20" i="515" l="1"/>
  <c r="DE108" i="515" s="1"/>
  <c r="T19" i="515"/>
  <c r="DE35" i="515" l="1"/>
  <c r="DE110" i="515" l="1"/>
  <c r="DE37" i="515"/>
  <c r="DE101" i="515"/>
  <c r="DE38" i="515" l="1"/>
  <c r="T37" i="515"/>
  <c r="DE47" i="515"/>
  <c r="DE103" i="515" s="1"/>
  <c r="DE41" i="515"/>
  <c r="X75" i="3" l="1"/>
  <c r="T35" i="515"/>
  <c r="T101" i="515" l="1"/>
  <c r="T38" i="515"/>
  <c r="U73" i="515" s="1"/>
  <c r="T114" i="515"/>
  <c r="T41" i="515"/>
  <c r="T103" i="515" l="1"/>
  <c r="T91" i="515"/>
  <c r="Y89" i="123"/>
  <c r="T117" i="515"/>
  <c r="T118" i="515" s="1"/>
  <c r="T115" i="515"/>
  <c r="T120" i="515"/>
  <c r="X9" i="3" l="1"/>
  <c r="Y206" i="123"/>
  <c r="T74" i="515"/>
  <c r="T504" i="515"/>
  <c r="Y76" i="123"/>
  <c r="T121" i="515"/>
  <c r="Y119" i="123"/>
  <c r="Y116" i="123" l="1"/>
  <c r="Y121" i="123"/>
  <c r="T505" i="515"/>
  <c r="U502" i="515" s="1"/>
  <c r="T506" i="515" l="1"/>
  <c r="T498" i="515" s="1"/>
  <c r="X61" i="3" s="1"/>
  <c r="U503" i="515"/>
  <c r="T492" i="515" l="1"/>
  <c r="X36" i="3" s="1"/>
  <c r="T499" i="515"/>
  <c r="T495" i="515" l="1"/>
  <c r="T496" i="515" s="1"/>
  <c r="T493" i="515"/>
  <c r="X43" i="3"/>
  <c r="X76" i="3"/>
  <c r="T92" i="515"/>
  <c r="T93" i="515" s="1"/>
  <c r="Y63" i="123"/>
  <c r="Y67" i="123" l="1"/>
  <c r="Y77" i="123" l="1"/>
  <c r="Y78" i="123"/>
  <c r="Y120" i="123" l="1"/>
  <c r="Y79" i="123"/>
  <c r="T142" i="515"/>
  <c r="T8" i="515" s="1"/>
  <c r="T166" i="515" l="1"/>
  <c r="T140" i="515"/>
  <c r="T98" i="515" l="1"/>
  <c r="T218" i="515"/>
  <c r="T248" i="515"/>
  <c r="T11" i="515"/>
  <c r="Y160" i="123" l="1"/>
  <c r="T534" i="515"/>
  <c r="T535" i="515" s="1"/>
  <c r="T110" i="515"/>
  <c r="Y104" i="123"/>
  <c r="T23" i="515"/>
  <c r="Y103" i="123"/>
  <c r="T13" i="515"/>
  <c r="Y97" i="123"/>
  <c r="T20" i="515"/>
  <c r="T109" i="515"/>
  <c r="Y10" i="123"/>
  <c r="Y98" i="123"/>
  <c r="T111" i="515"/>
  <c r="Y108" i="123" l="1"/>
  <c r="Y106" i="123" s="1"/>
  <c r="Y100" i="123"/>
  <c r="Y132" i="123"/>
  <c r="Y133" i="123" s="1"/>
  <c r="X15" i="3"/>
  <c r="T14" i="515"/>
  <c r="Y11" i="123"/>
  <c r="Y113" i="123" s="1"/>
  <c r="T16" i="515"/>
  <c r="Y35" i="123"/>
  <c r="T108" i="515"/>
  <c r="Y138" i="123" l="1"/>
  <c r="Y139" i="123" s="1"/>
  <c r="X22" i="3"/>
  <c r="Y46" i="123"/>
  <c r="Y58" i="123" s="1"/>
  <c r="Y69" i="123" s="1"/>
  <c r="Y114" i="123"/>
  <c r="Y115" i="123" s="1"/>
  <c r="T17" i="515"/>
  <c r="T107" i="515" s="1"/>
  <c r="T99" i="515"/>
  <c r="T106" i="515"/>
  <c r="U108" i="515"/>
  <c r="V20" i="515"/>
  <c r="Y135" i="123"/>
  <c r="Y136" i="123" s="1"/>
  <c r="X20" i="3"/>
  <c r="X25" i="3" l="1"/>
  <c r="X14" i="3"/>
  <c r="X72" i="3" s="1"/>
  <c r="X80" i="3" s="1"/>
  <c r="W20" i="515"/>
  <c r="V108" i="515"/>
  <c r="X20" i="515" l="1"/>
  <c r="W108" i="515"/>
  <c r="X55" i="3"/>
  <c r="X48" i="3"/>
  <c r="X49" i="3" s="1"/>
  <c r="X59" i="3" l="1"/>
  <c r="X62" i="3" s="1"/>
  <c r="X56" i="3"/>
  <c r="X60" i="3" s="1"/>
  <c r="X63" i="3" s="1"/>
  <c r="X57" i="3"/>
  <c r="Y9" i="123"/>
  <c r="Y47" i="3"/>
  <c r="Y20" i="515"/>
  <c r="X108" i="515"/>
  <c r="Y108" i="515" l="1"/>
  <c r="Z20" i="515"/>
  <c r="T478" i="515"/>
  <c r="Y16" i="123"/>
  <c r="X51" i="3"/>
  <c r="Y81" i="123"/>
  <c r="AA87" i="123" l="1"/>
  <c r="AA88" i="123"/>
  <c r="Y26" i="123"/>
  <c r="Y32" i="123" s="1"/>
  <c r="Y213" i="123"/>
  <c r="Y220" i="123" s="1"/>
  <c r="Y192" i="123" s="1"/>
  <c r="Y202" i="123" s="1"/>
  <c r="Z212" i="123"/>
  <c r="AA20" i="515"/>
  <c r="Z108" i="515"/>
  <c r="Y82" i="123"/>
  <c r="Y83" i="123"/>
  <c r="Y105" i="123" s="1"/>
  <c r="Y109" i="123" s="1"/>
  <c r="Y110" i="123" s="1"/>
  <c r="Y92" i="123"/>
  <c r="Y84" i="123"/>
  <c r="Y85" i="123" s="1"/>
  <c r="Z99" i="123" l="1"/>
  <c r="Y71" i="123"/>
  <c r="AA108" i="515"/>
  <c r="AB20" i="515"/>
  <c r="AB108" i="515" s="1"/>
  <c r="U164" i="515" l="1"/>
  <c r="U246" i="515" s="1"/>
  <c r="S216" i="515"/>
  <c r="S246" i="515"/>
  <c r="S439" i="515"/>
  <c r="S440" i="515" s="1"/>
  <c r="S442" i="515"/>
  <c r="U439" i="515" l="1"/>
  <c r="U130" i="515"/>
  <c r="V164" i="515"/>
  <c r="U442" i="515" l="1"/>
  <c r="U440" i="515"/>
  <c r="DH439" i="515"/>
  <c r="DG439" i="515"/>
  <c r="DG164" i="515" s="1"/>
  <c r="DF439" i="515"/>
  <c r="V130" i="515"/>
  <c r="W164" i="515"/>
  <c r="V439" i="515"/>
  <c r="V246" i="515"/>
  <c r="U142" i="515"/>
  <c r="U437" i="515"/>
  <c r="DG440" i="515" l="1"/>
  <c r="DG441" i="515" s="1"/>
  <c r="DF440" i="515"/>
  <c r="DF441" i="515" s="1"/>
  <c r="DH440" i="515"/>
  <c r="DH441" i="515" s="1"/>
  <c r="DF164" i="515"/>
  <c r="DH164" i="515"/>
  <c r="DG130" i="515"/>
  <c r="DG166" i="515"/>
  <c r="DG218" i="515" s="1"/>
  <c r="DG216" i="515"/>
  <c r="V142" i="515"/>
  <c r="V437" i="515"/>
  <c r="U8" i="515"/>
  <c r="U140" i="515"/>
  <c r="U166" i="515"/>
  <c r="V440" i="515"/>
  <c r="V442" i="515"/>
  <c r="X164" i="515"/>
  <c r="W130" i="515"/>
  <c r="W246" i="515"/>
  <c r="W439" i="515"/>
  <c r="DH176" i="515" l="1"/>
  <c r="DH442" i="515"/>
  <c r="DF176" i="515"/>
  <c r="DF442" i="515"/>
  <c r="DG140" i="515"/>
  <c r="DG8" i="515" s="1"/>
  <c r="DG11" i="515" s="1"/>
  <c r="DG437" i="515"/>
  <c r="DF130" i="515"/>
  <c r="DI164" i="515"/>
  <c r="DF166" i="515"/>
  <c r="DF216" i="515"/>
  <c r="DH130" i="515"/>
  <c r="DH216" i="515"/>
  <c r="DH166" i="515"/>
  <c r="DH218" i="515" s="1"/>
  <c r="DG176" i="515"/>
  <c r="DG442" i="515"/>
  <c r="V8" i="515"/>
  <c r="V140" i="515"/>
  <c r="V166" i="515"/>
  <c r="W440" i="515"/>
  <c r="W442" i="515"/>
  <c r="Y164" i="515"/>
  <c r="X130" i="515"/>
  <c r="X246" i="515"/>
  <c r="X439" i="515"/>
  <c r="U11" i="515"/>
  <c r="U98" i="515"/>
  <c r="U218" i="515"/>
  <c r="U248" i="515"/>
  <c r="W142" i="515"/>
  <c r="W437" i="515"/>
  <c r="DF218" i="515" l="1"/>
  <c r="DI216" i="515"/>
  <c r="DI439" i="515"/>
  <c r="DI166" i="515"/>
  <c r="DI218" i="515" s="1"/>
  <c r="DH140" i="515"/>
  <c r="DH8" i="515" s="1"/>
  <c r="DH11" i="515" s="1"/>
  <c r="DH437" i="515"/>
  <c r="DF140" i="515"/>
  <c r="DF8" i="515" s="1"/>
  <c r="DF11" i="515" s="1"/>
  <c r="DF437" i="515"/>
  <c r="DI130" i="515"/>
  <c r="DF226" i="515"/>
  <c r="DF187" i="515"/>
  <c r="DF228" i="515"/>
  <c r="DF246" i="515"/>
  <c r="DI176" i="515"/>
  <c r="DG226" i="515"/>
  <c r="DG228" i="515"/>
  <c r="DG246" i="515"/>
  <c r="DG187" i="515"/>
  <c r="DG538" i="515"/>
  <c r="DG539" i="515" s="1"/>
  <c r="DG534" i="515"/>
  <c r="DG535" i="515" s="1"/>
  <c r="DG98" i="515"/>
  <c r="DH246" i="515"/>
  <c r="DH187" i="515"/>
  <c r="DH226" i="515"/>
  <c r="DH228" i="515"/>
  <c r="Z10" i="123"/>
  <c r="Z98" i="123"/>
  <c r="Z104" i="123"/>
  <c r="Z160" i="123"/>
  <c r="U19" i="515"/>
  <c r="U13" i="515" s="1"/>
  <c r="U23" i="515"/>
  <c r="U534" i="515"/>
  <c r="U535" i="515" s="1"/>
  <c r="X142" i="515"/>
  <c r="X437" i="515"/>
  <c r="Y130" i="515"/>
  <c r="Z164" i="515"/>
  <c r="Y246" i="515"/>
  <c r="Y439" i="515"/>
  <c r="V11" i="515"/>
  <c r="V98" i="515"/>
  <c r="V218" i="515"/>
  <c r="V248" i="515"/>
  <c r="W8" i="515"/>
  <c r="W140" i="515"/>
  <c r="W166" i="515"/>
  <c r="X442" i="515"/>
  <c r="X440" i="515"/>
  <c r="DI187" i="515" l="1"/>
  <c r="DI226" i="515"/>
  <c r="DI246" i="515"/>
  <c r="DI441" i="515"/>
  <c r="DI442" i="515" s="1"/>
  <c r="DI228" i="515"/>
  <c r="DH582" i="515"/>
  <c r="DH239" i="515"/>
  <c r="DH22" i="515"/>
  <c r="DH248" i="515"/>
  <c r="DI140" i="515"/>
  <c r="DI8" i="515" s="1"/>
  <c r="DI11" i="515" s="1"/>
  <c r="DI437" i="515"/>
  <c r="DH538" i="515"/>
  <c r="DH539" i="515" s="1"/>
  <c r="DH534" i="515"/>
  <c r="DH535" i="515" s="1"/>
  <c r="DH98" i="515"/>
  <c r="DF22" i="515"/>
  <c r="DF248" i="515"/>
  <c r="DF239" i="515"/>
  <c r="DF582" i="515"/>
  <c r="DF534" i="515"/>
  <c r="DF535" i="515" s="1"/>
  <c r="DF538" i="515"/>
  <c r="DF539" i="515" s="1"/>
  <c r="DF98" i="515"/>
  <c r="DG248" i="515"/>
  <c r="DG22" i="515"/>
  <c r="DG582" i="515"/>
  <c r="DG239" i="515"/>
  <c r="Z132" i="123"/>
  <c r="Z133" i="123" s="1"/>
  <c r="Y15" i="3"/>
  <c r="AA10" i="123"/>
  <c r="Z15" i="3" s="1"/>
  <c r="AA160" i="123"/>
  <c r="V19" i="515"/>
  <c r="V13" i="515" s="1"/>
  <c r="V16" i="515" s="1"/>
  <c r="V23" i="515"/>
  <c r="V534" i="515"/>
  <c r="V535" i="515" s="1"/>
  <c r="Y142" i="515"/>
  <c r="Y437" i="515"/>
  <c r="Z130" i="515"/>
  <c r="AA164" i="515"/>
  <c r="Z439" i="515"/>
  <c r="Z246" i="515"/>
  <c r="W11" i="515"/>
  <c r="W98" i="515"/>
  <c r="W248" i="515"/>
  <c r="W218" i="515"/>
  <c r="Y442" i="515"/>
  <c r="Y440" i="515"/>
  <c r="Z11" i="123"/>
  <c r="Z113" i="123" s="1"/>
  <c r="AA104" i="123" s="1"/>
  <c r="Z35" i="123"/>
  <c r="U14" i="515"/>
  <c r="X8" i="515"/>
  <c r="X166" i="515"/>
  <c r="X140" i="515"/>
  <c r="U16" i="515"/>
  <c r="U106" i="515" l="1"/>
  <c r="DH14" i="515"/>
  <c r="DG14" i="515"/>
  <c r="DF14" i="515"/>
  <c r="DF28" i="515"/>
  <c r="DF100" i="515"/>
  <c r="DF23" i="515"/>
  <c r="DF109" i="515" s="1"/>
  <c r="DH28" i="515"/>
  <c r="DH23" i="515"/>
  <c r="DH109" i="515" s="1"/>
  <c r="DH100" i="515"/>
  <c r="DI582" i="515"/>
  <c r="DI22" i="515"/>
  <c r="DI239" i="515"/>
  <c r="DI248" i="515"/>
  <c r="DG23" i="515"/>
  <c r="DG109" i="515" s="1"/>
  <c r="DG100" i="515"/>
  <c r="DG28" i="515"/>
  <c r="DI98" i="515"/>
  <c r="DI538" i="515"/>
  <c r="DI539" i="515" s="1"/>
  <c r="DI534" i="515"/>
  <c r="DI535" i="515" s="1"/>
  <c r="DI440" i="515"/>
  <c r="V17" i="515"/>
  <c r="V107" i="515" s="1"/>
  <c r="V99" i="515"/>
  <c r="X11" i="515"/>
  <c r="X98" i="515"/>
  <c r="X248" i="515"/>
  <c r="X218" i="515"/>
  <c r="Z46" i="123"/>
  <c r="Z58" i="123" s="1"/>
  <c r="Z114" i="123"/>
  <c r="Z115" i="123" s="1"/>
  <c r="Z138" i="123"/>
  <c r="Z139" i="123" s="1"/>
  <c r="Y22" i="3"/>
  <c r="AB10" i="123"/>
  <c r="AA15" i="3" s="1"/>
  <c r="AB160" i="123"/>
  <c r="W23" i="515"/>
  <c r="W19" i="515"/>
  <c r="W13" i="515" s="1"/>
  <c r="W16" i="515" s="1"/>
  <c r="W534" i="515"/>
  <c r="W535" i="515" s="1"/>
  <c r="Z142" i="515"/>
  <c r="Z437" i="515"/>
  <c r="Z135" i="123"/>
  <c r="Z136" i="123" s="1"/>
  <c r="Y20" i="3"/>
  <c r="U17" i="515"/>
  <c r="U99" i="515"/>
  <c r="Z440" i="515"/>
  <c r="Z442" i="515"/>
  <c r="Y8" i="515"/>
  <c r="Y140" i="515"/>
  <c r="Y166" i="515"/>
  <c r="AB164" i="515"/>
  <c r="AA130" i="515"/>
  <c r="AA246" i="515"/>
  <c r="AA439" i="515"/>
  <c r="AA11" i="123"/>
  <c r="AA113" i="123" s="1"/>
  <c r="AB104" i="123" s="1"/>
  <c r="AA35" i="123"/>
  <c r="Z22" i="3" s="1"/>
  <c r="V14" i="515"/>
  <c r="V106" i="515" s="1"/>
  <c r="AA132" i="123"/>
  <c r="AA133" i="123" s="1"/>
  <c r="DF106" i="515" l="1"/>
  <c r="DF13" i="515"/>
  <c r="DG106" i="515"/>
  <c r="DG13" i="515"/>
  <c r="DG16" i="515" s="1"/>
  <c r="DH106" i="515"/>
  <c r="DH13" i="515"/>
  <c r="DH16" i="515" s="1"/>
  <c r="Y14" i="3"/>
  <c r="DI28" i="515"/>
  <c r="DI100" i="515"/>
  <c r="DI23" i="515"/>
  <c r="DI109" i="515" s="1"/>
  <c r="Y11" i="515"/>
  <c r="Y98" i="515"/>
  <c r="Y218" i="515"/>
  <c r="Y248" i="515"/>
  <c r="W17" i="515"/>
  <c r="W107" i="515" s="1"/>
  <c r="W99" i="515"/>
  <c r="AA135" i="123"/>
  <c r="AA136" i="123" s="1"/>
  <c r="AB130" i="515"/>
  <c r="AB246" i="515"/>
  <c r="AB439" i="515"/>
  <c r="Z20" i="3"/>
  <c r="Z14" i="3" s="1"/>
  <c r="Z8" i="515"/>
  <c r="Z140" i="515"/>
  <c r="Z166" i="515"/>
  <c r="AB132" i="123"/>
  <c r="AB133" i="123" s="1"/>
  <c r="AA142" i="515"/>
  <c r="AA437" i="515"/>
  <c r="AA440" i="515"/>
  <c r="AA442" i="515"/>
  <c r="AB11" i="123"/>
  <c r="AB35" i="123"/>
  <c r="AA22" i="3" s="1"/>
  <c r="W14" i="515"/>
  <c r="W106" i="515" s="1"/>
  <c r="AA46" i="123"/>
  <c r="AA58" i="123" s="1"/>
  <c r="AA138" i="123"/>
  <c r="AA139" i="123" s="1"/>
  <c r="AA114" i="123"/>
  <c r="AA115" i="123" s="1"/>
  <c r="U107" i="515"/>
  <c r="AC10" i="123"/>
  <c r="AB15" i="3" s="1"/>
  <c r="AC160" i="123"/>
  <c r="X19" i="515"/>
  <c r="X13" i="515" s="1"/>
  <c r="X23" i="515"/>
  <c r="X534" i="515"/>
  <c r="X535" i="515" s="1"/>
  <c r="DG99" i="515" l="1"/>
  <c r="DG17" i="515"/>
  <c r="DG107" i="515" s="1"/>
  <c r="DG19" i="515"/>
  <c r="DG20" i="515" s="1"/>
  <c r="DG108" i="515" s="1"/>
  <c r="DH99" i="515"/>
  <c r="DH19" i="515"/>
  <c r="DH17" i="515"/>
  <c r="DH107" i="515" s="1"/>
  <c r="DF16" i="515"/>
  <c r="DI13" i="515"/>
  <c r="Y72" i="3"/>
  <c r="AC11" i="123"/>
  <c r="AC113" i="123" s="1"/>
  <c r="AD104" i="123" s="1"/>
  <c r="AC35" i="123"/>
  <c r="AB22" i="3" s="1"/>
  <c r="X14" i="515"/>
  <c r="X106" i="515" s="1"/>
  <c r="AB135" i="123"/>
  <c r="AB136" i="123" s="1"/>
  <c r="Z11" i="515"/>
  <c r="Z98" i="515"/>
  <c r="Z218" i="515"/>
  <c r="Z248" i="515"/>
  <c r="AA8" i="515"/>
  <c r="AA140" i="515"/>
  <c r="AA166" i="515"/>
  <c r="Z72" i="3"/>
  <c r="AB142" i="515"/>
  <c r="AB437" i="515"/>
  <c r="AD10" i="123"/>
  <c r="AC15" i="3" s="1"/>
  <c r="AD160" i="123"/>
  <c r="Y19" i="515"/>
  <c r="Y13" i="515" s="1"/>
  <c r="Y23" i="515"/>
  <c r="Y534" i="515"/>
  <c r="Y535" i="515" s="1"/>
  <c r="X16" i="515"/>
  <c r="AC132" i="123"/>
  <c r="AC133" i="123" s="1"/>
  <c r="AB114" i="123"/>
  <c r="AB46" i="123"/>
  <c r="AB58" i="123" s="1"/>
  <c r="AB138" i="123"/>
  <c r="AB139" i="123" s="1"/>
  <c r="AB113" i="123"/>
  <c r="AB442" i="515"/>
  <c r="AB440" i="515"/>
  <c r="AA20" i="3"/>
  <c r="AA14" i="3" s="1"/>
  <c r="DI14" i="515" l="1"/>
  <c r="DI106" i="515" s="1"/>
  <c r="DI16" i="515"/>
  <c r="DF99" i="515"/>
  <c r="DF19" i="515"/>
  <c r="DI19" i="515" s="1"/>
  <c r="DI20" i="515" s="1"/>
  <c r="DI108" i="515" s="1"/>
  <c r="DF17" i="515"/>
  <c r="DF107" i="515" s="1"/>
  <c r="DH20" i="515"/>
  <c r="DH108" i="515" s="1"/>
  <c r="AB20" i="3"/>
  <c r="AB14" i="3" s="1"/>
  <c r="AB72" i="3" s="1"/>
  <c r="AD11" i="123"/>
  <c r="AC20" i="3" s="1"/>
  <c r="AD35" i="123"/>
  <c r="AC22" i="3" s="1"/>
  <c r="Y14" i="515"/>
  <c r="Y106" i="515" s="1"/>
  <c r="Y16" i="515"/>
  <c r="AA72" i="3"/>
  <c r="AB115" i="123"/>
  <c r="AC104" i="123"/>
  <c r="AB8" i="515"/>
  <c r="AB166" i="515"/>
  <c r="AB140" i="515"/>
  <c r="AE10" i="123"/>
  <c r="AD15" i="3" s="1"/>
  <c r="AE160" i="123"/>
  <c r="Z19" i="515"/>
  <c r="Z13" i="515" s="1"/>
  <c r="Z23" i="515"/>
  <c r="Z534" i="515"/>
  <c r="Z535" i="515" s="1"/>
  <c r="AC46" i="123"/>
  <c r="AC58" i="123" s="1"/>
  <c r="AC114" i="123"/>
  <c r="AC115" i="123" s="1"/>
  <c r="AC138" i="123"/>
  <c r="AC139" i="123" s="1"/>
  <c r="AA11" i="515"/>
  <c r="AA98" i="515"/>
  <c r="AA248" i="515"/>
  <c r="AA218" i="515"/>
  <c r="X17" i="515"/>
  <c r="X107" i="515" s="1"/>
  <c r="X99" i="515"/>
  <c r="AD132" i="123"/>
  <c r="AD133" i="123" s="1"/>
  <c r="AC135" i="123"/>
  <c r="AC136" i="123" s="1"/>
  <c r="DF20" i="515" l="1"/>
  <c r="DF108" i="515" s="1"/>
  <c r="DI99" i="515"/>
  <c r="DI17" i="515"/>
  <c r="DI107" i="515" s="1"/>
  <c r="AC14" i="3"/>
  <c r="AC72" i="3" s="1"/>
  <c r="AD113" i="123"/>
  <c r="AE104" i="123" s="1"/>
  <c r="AD135" i="123"/>
  <c r="AD136" i="123" s="1"/>
  <c r="AF160" i="123"/>
  <c r="AF10" i="123"/>
  <c r="AA19" i="515"/>
  <c r="AA13" i="515" s="1"/>
  <c r="AA23" i="515"/>
  <c r="AA534" i="515"/>
  <c r="AA535" i="515" s="1"/>
  <c r="Y17" i="515"/>
  <c r="Y107" i="515" s="1"/>
  <c r="Y99" i="515"/>
  <c r="AE11" i="123"/>
  <c r="AD20" i="3" s="1"/>
  <c r="AE35" i="123"/>
  <c r="AD22" i="3" s="1"/>
  <c r="Z14" i="515"/>
  <c r="Z106" i="515" s="1"/>
  <c r="AB11" i="515"/>
  <c r="AB98" i="515"/>
  <c r="AB248" i="515"/>
  <c r="AB218" i="515"/>
  <c r="Z16" i="515"/>
  <c r="AD46" i="123"/>
  <c r="AD58" i="123" s="1"/>
  <c r="AD114" i="123"/>
  <c r="AD138" i="123"/>
  <c r="AD139" i="123" s="1"/>
  <c r="AE132" i="123"/>
  <c r="AE133" i="123" s="1"/>
  <c r="AE113" i="123" l="1"/>
  <c r="AF104" i="123" s="1"/>
  <c r="AD14" i="3"/>
  <c r="AD72" i="3" s="1"/>
  <c r="AD115" i="123"/>
  <c r="AG10" i="123"/>
  <c r="AG160" i="123"/>
  <c r="AB19" i="515"/>
  <c r="AB13" i="515" s="1"/>
  <c r="AB16" i="515" s="1"/>
  <c r="AB23" i="515"/>
  <c r="AB534" i="515"/>
  <c r="AB535" i="515" s="1"/>
  <c r="AE135" i="123"/>
  <c r="AE136" i="123" s="1"/>
  <c r="AF132" i="123"/>
  <c r="AF133" i="123" s="1"/>
  <c r="AF11" i="123"/>
  <c r="AF35" i="123"/>
  <c r="AE22" i="3" s="1"/>
  <c r="AA14" i="515"/>
  <c r="AA106" i="515" s="1"/>
  <c r="Z17" i="515"/>
  <c r="Z107" i="515" s="1"/>
  <c r="Z99" i="515"/>
  <c r="AE46" i="123"/>
  <c r="AE58" i="123" s="1"/>
  <c r="AE114" i="123"/>
  <c r="AE138" i="123"/>
  <c r="AE139" i="123" s="1"/>
  <c r="AE15" i="3"/>
  <c r="AA16" i="515"/>
  <c r="AE115" i="123" l="1"/>
  <c r="AF135" i="123"/>
  <c r="AF136" i="123" s="1"/>
  <c r="AG132" i="123"/>
  <c r="AG133" i="123" s="1"/>
  <c r="AF15" i="3"/>
  <c r="AG11" i="123"/>
  <c r="AG135" i="123" s="1"/>
  <c r="AG136" i="123" s="1"/>
  <c r="AG35" i="123"/>
  <c r="AF22" i="3" s="1"/>
  <c r="AB14" i="515"/>
  <c r="AB106" i="515" s="1"/>
  <c r="AA17" i="515"/>
  <c r="AA107" i="515" s="1"/>
  <c r="AA99" i="515"/>
  <c r="AB17" i="515"/>
  <c r="AB107" i="515" s="1"/>
  <c r="AB99" i="515"/>
  <c r="AF114" i="123"/>
  <c r="AF138" i="123"/>
  <c r="AF139" i="123" s="1"/>
  <c r="AF46" i="123"/>
  <c r="AF58" i="123" s="1"/>
  <c r="AF113" i="123"/>
  <c r="AE20" i="3"/>
  <c r="AE14" i="3" s="1"/>
  <c r="AE72" i="3" s="1"/>
  <c r="AF20" i="3" l="1"/>
  <c r="AF14" i="3" s="1"/>
  <c r="AF72" i="3" s="1"/>
  <c r="AG46" i="123"/>
  <c r="AG58" i="123" s="1"/>
  <c r="AG114" i="123"/>
  <c r="AG138" i="123"/>
  <c r="AG139" i="123" s="1"/>
  <c r="AF115" i="123"/>
  <c r="AG104" i="123"/>
  <c r="AG113" i="123"/>
  <c r="AG115" i="123" l="1"/>
  <c r="V73" i="515" l="1"/>
  <c r="W73" i="515" l="1"/>
  <c r="X33" i="515"/>
  <c r="Y33" i="515" l="1"/>
  <c r="X73" i="515"/>
  <c r="Z33" i="515" l="1"/>
  <c r="Y73" i="515"/>
  <c r="AA33" i="515" l="1"/>
  <c r="Z73" i="515"/>
  <c r="AA73" i="515" l="1"/>
  <c r="AB33" i="515"/>
  <c r="AB73" i="515" s="1"/>
  <c r="AB88" i="123" l="1"/>
  <c r="AB87" i="123"/>
  <c r="AD88" i="123"/>
  <c r="AD87" i="123"/>
  <c r="AF88" i="123"/>
  <c r="AF87" i="123"/>
  <c r="Z77" i="123"/>
  <c r="Z69" i="123"/>
  <c r="AB77" i="123"/>
  <c r="AB69" i="123"/>
  <c r="AD77" i="123"/>
  <c r="AD69" i="123"/>
  <c r="AF77" i="123"/>
  <c r="AF69" i="123"/>
  <c r="Z71" i="123"/>
  <c r="AA99" i="123"/>
  <c r="AA98" i="123"/>
  <c r="AB71" i="123"/>
  <c r="AC99" i="123"/>
  <c r="AC98" i="123"/>
  <c r="AE98" i="123"/>
  <c r="AD71" i="123"/>
  <c r="AE99" i="123"/>
  <c r="AG99" i="123"/>
  <c r="AG98" i="123"/>
  <c r="AF71" i="123"/>
  <c r="P76" i="123"/>
  <c r="K121" i="515"/>
  <c r="P82" i="123"/>
  <c r="AA76" i="123"/>
  <c r="V121" i="515"/>
  <c r="X121" i="515"/>
  <c r="AC76" i="123"/>
  <c r="Z121" i="515"/>
  <c r="AE76" i="123"/>
  <c r="AB121" i="515"/>
  <c r="AG76" i="123"/>
  <c r="AA69" i="123"/>
  <c r="AA77" i="123"/>
  <c r="AC69" i="123"/>
  <c r="AC77" i="123"/>
  <c r="AE69" i="123"/>
  <c r="AE77" i="123"/>
  <c r="AG69" i="123"/>
  <c r="AG77" i="123"/>
  <c r="Z84" i="123"/>
  <c r="Z92" i="123"/>
  <c r="Z82" i="123"/>
  <c r="Z85" i="123"/>
  <c r="AB84" i="123"/>
  <c r="AB92" i="123"/>
  <c r="AB82" i="123"/>
  <c r="AB85" i="123"/>
  <c r="AD84" i="123"/>
  <c r="AD92" i="123"/>
  <c r="AD82" i="123"/>
  <c r="AD85" i="123"/>
  <c r="AF84" i="123"/>
  <c r="AF92" i="123"/>
  <c r="AF82" i="123"/>
  <c r="AF85" i="123"/>
  <c r="K109" i="515"/>
  <c r="P89" i="123"/>
  <c r="K115" i="515"/>
  <c r="AA89" i="123"/>
  <c r="V109" i="515"/>
  <c r="V115" i="515"/>
  <c r="X115" i="515"/>
  <c r="AC89" i="123"/>
  <c r="X109" i="515"/>
  <c r="AE89" i="123"/>
  <c r="Z115" i="515"/>
  <c r="Z109" i="515"/>
  <c r="AB109" i="515"/>
  <c r="AG89" i="123"/>
  <c r="AB115" i="515"/>
  <c r="AA84" i="123"/>
  <c r="AA82" i="123"/>
  <c r="AA85" i="123"/>
  <c r="AA92" i="123"/>
  <c r="AC92" i="123"/>
  <c r="AC85" i="123"/>
  <c r="AC82" i="123"/>
  <c r="AC84" i="123"/>
  <c r="AE92" i="123"/>
  <c r="AE84" i="123"/>
  <c r="AE85" i="123"/>
  <c r="AE82" i="123"/>
  <c r="AG92" i="123"/>
  <c r="AG85" i="123"/>
  <c r="AG82" i="123"/>
  <c r="AG84" i="123"/>
  <c r="U111" i="515"/>
  <c r="U102" i="515"/>
  <c r="AC87" i="123"/>
  <c r="AC88" i="123"/>
  <c r="AG87" i="123"/>
  <c r="AG88" i="123"/>
  <c r="AB99" i="123"/>
  <c r="AA71" i="123"/>
  <c r="AB98" i="123"/>
  <c r="AE71" i="123"/>
  <c r="AF98" i="123"/>
  <c r="AF99" i="123"/>
  <c r="Z76" i="123"/>
  <c r="U121" i="515"/>
  <c r="AD76" i="123"/>
  <c r="Y121" i="515"/>
  <c r="AE87" i="123"/>
  <c r="AE88" i="123"/>
  <c r="AB89" i="123"/>
  <c r="W109" i="515"/>
  <c r="AF89" i="123"/>
  <c r="AA109" i="515"/>
  <c r="V111" i="515"/>
  <c r="V102" i="515"/>
  <c r="X102" i="515"/>
  <c r="X111" i="515"/>
  <c r="Z111" i="515"/>
  <c r="Z102" i="515"/>
  <c r="Y51" i="3"/>
  <c r="AB102" i="515"/>
  <c r="AB111" i="515"/>
  <c r="AC71" i="123"/>
  <c r="AD99" i="123"/>
  <c r="AD98" i="123"/>
  <c r="Z106" i="123"/>
  <c r="Z110" i="123"/>
  <c r="AB110" i="123"/>
  <c r="AB106" i="123"/>
  <c r="AD110" i="123"/>
  <c r="AD106" i="123"/>
  <c r="AF110" i="123"/>
  <c r="AF106" i="123"/>
  <c r="AA110" i="123"/>
  <c r="AA106" i="123"/>
  <c r="AC120" i="123"/>
  <c r="AC78" i="123"/>
  <c r="AC79" i="123"/>
  <c r="AC110" i="123"/>
  <c r="AC106" i="123"/>
  <c r="AE110" i="123"/>
  <c r="AE106" i="123"/>
  <c r="AD79" i="123"/>
  <c r="AD78" i="123"/>
  <c r="AD120" i="123"/>
  <c r="AD51" i="3"/>
  <c r="Z79" i="123"/>
  <c r="Z78" i="123"/>
  <c r="Z120" i="123"/>
  <c r="AC51" i="3"/>
  <c r="AD16" i="123"/>
  <c r="AD26" i="123"/>
  <c r="AD32" i="123"/>
  <c r="AG106" i="123"/>
  <c r="AG110" i="123"/>
  <c r="Z121" i="123"/>
  <c r="Z116" i="123"/>
  <c r="AB121" i="123"/>
  <c r="AB116" i="123"/>
  <c r="AF32" i="123"/>
  <c r="AA79" i="123"/>
  <c r="AA78" i="123"/>
  <c r="AA120" i="123"/>
  <c r="AE51" i="3"/>
  <c r="AG79" i="123"/>
  <c r="AG78" i="123"/>
  <c r="AG120" i="123"/>
  <c r="AE79" i="123"/>
  <c r="AE78" i="123"/>
  <c r="AE120" i="123"/>
  <c r="AD121" i="123"/>
  <c r="AD116" i="123"/>
  <c r="AF121" i="123"/>
  <c r="AF116" i="123"/>
  <c r="P202" i="123"/>
  <c r="P193" i="123"/>
  <c r="P197" i="123"/>
  <c r="K74" i="515"/>
  <c r="L103" i="515"/>
  <c r="O206" i="123"/>
  <c r="P206" i="123"/>
  <c r="L562" i="515"/>
  <c r="K103" i="515"/>
  <c r="U74" i="515"/>
  <c r="Z206" i="123"/>
  <c r="U103" i="515"/>
  <c r="AB206" i="123"/>
  <c r="W103" i="515"/>
  <c r="W74" i="515"/>
  <c r="Y74" i="515"/>
  <c r="Y103" i="515"/>
  <c r="AD206" i="123"/>
  <c r="AA74" i="515"/>
  <c r="AA103" i="515"/>
  <c r="AF206" i="123"/>
  <c r="Z76" i="3"/>
  <c r="Z43" i="3"/>
  <c r="AB76" i="3"/>
  <c r="AB43" i="3"/>
  <c r="AD76" i="3"/>
  <c r="AD43" i="3"/>
  <c r="AF76" i="3"/>
  <c r="AF43" i="3"/>
  <c r="AD89" i="123"/>
  <c r="Y109" i="515"/>
  <c r="Y115" i="515"/>
  <c r="W102" i="515"/>
  <c r="W111" i="515"/>
  <c r="AA102" i="515"/>
  <c r="AA111" i="515"/>
  <c r="AA116" i="123"/>
  <c r="AA121" i="123"/>
  <c r="P121" i="123"/>
  <c r="P116" i="123"/>
  <c r="AG116" i="123"/>
  <c r="AG121" i="123"/>
  <c r="V74" i="515"/>
  <c r="AA206" i="123"/>
  <c r="V103" i="515"/>
  <c r="AE206" i="123"/>
  <c r="Z74" i="515"/>
  <c r="Z103" i="515"/>
  <c r="AA43" i="3"/>
  <c r="AA76" i="3"/>
  <c r="AE43" i="3"/>
  <c r="AE76" i="3"/>
  <c r="AA48" i="3"/>
  <c r="AE116" i="123"/>
  <c r="AE121" i="123"/>
  <c r="T480" i="515"/>
  <c r="T488" i="515"/>
  <c r="U110" i="515"/>
  <c r="U101" i="515"/>
  <c r="W110" i="515"/>
  <c r="W101" i="515"/>
  <c r="W37" i="515"/>
  <c r="Y37" i="515"/>
  <c r="Y110" i="515"/>
  <c r="Y101" i="515"/>
  <c r="AA101" i="515"/>
  <c r="AA37" i="515"/>
  <c r="AA110" i="515"/>
  <c r="BT41" i="515"/>
  <c r="BX101" i="515"/>
  <c r="BT110" i="515"/>
  <c r="BT101" i="515"/>
  <c r="AC121" i="123"/>
  <c r="AC116" i="123"/>
  <c r="AD100" i="123"/>
  <c r="DG41" i="515"/>
  <c r="DG101" i="515"/>
  <c r="DG110" i="515"/>
  <c r="DG37" i="515"/>
  <c r="K101" i="515"/>
  <c r="K110" i="515"/>
  <c r="L101" i="515"/>
  <c r="V37" i="515"/>
  <c r="V110" i="515"/>
  <c r="V101" i="515"/>
  <c r="X101" i="515"/>
  <c r="X110" i="515"/>
  <c r="X37" i="515"/>
  <c r="Z51" i="3"/>
  <c r="AA119" i="123"/>
  <c r="Z37" i="515"/>
  <c r="Z101" i="515"/>
  <c r="Z110" i="515"/>
  <c r="AB101" i="515"/>
  <c r="AB37" i="515"/>
  <c r="AB110" i="515"/>
  <c r="DF110" i="515"/>
  <c r="DF101" i="515"/>
  <c r="DF37" i="515"/>
  <c r="DF41" i="515"/>
  <c r="DH110" i="515"/>
  <c r="DH101" i="515"/>
  <c r="DH37" i="515"/>
  <c r="DH41" i="515"/>
  <c r="K91" i="515"/>
  <c r="K496" i="515"/>
  <c r="K111" i="515"/>
  <c r="K493" i="515"/>
  <c r="DF102" i="515"/>
  <c r="DF111" i="515"/>
  <c r="DH102" i="515"/>
  <c r="DH111" i="515"/>
  <c r="V493" i="515"/>
  <c r="X74" i="515"/>
  <c r="X103" i="515"/>
  <c r="AC206" i="123"/>
  <c r="AG206" i="123"/>
  <c r="AB74" i="515"/>
  <c r="AB103" i="515"/>
  <c r="Y111" i="515"/>
  <c r="Y102" i="515"/>
  <c r="AD97" i="123"/>
  <c r="Y43" i="3"/>
  <c r="Y76" i="3"/>
  <c r="AC43" i="3"/>
  <c r="AC76" i="3"/>
  <c r="BX102" i="515"/>
  <c r="BT111" i="515"/>
  <c r="BT72" i="515"/>
  <c r="BT102" i="515"/>
  <c r="AB79" i="123"/>
  <c r="AB78" i="123"/>
  <c r="AB120" i="123"/>
  <c r="Z16" i="123"/>
  <c r="Z26" i="123"/>
  <c r="Z32" i="123"/>
  <c r="AG119" i="123"/>
  <c r="AB51" i="3"/>
  <c r="AB76" i="123"/>
  <c r="W115" i="515"/>
  <c r="W121" i="515"/>
  <c r="BT103" i="515"/>
  <c r="BT45" i="515"/>
  <c r="BT47" i="515"/>
  <c r="BX103" i="515"/>
  <c r="DI101" i="515"/>
  <c r="DI110" i="515"/>
  <c r="DI41" i="515"/>
  <c r="P110" i="123"/>
  <c r="DG111" i="515"/>
  <c r="DG102" i="515"/>
  <c r="DI111" i="515"/>
  <c r="DI102" i="515"/>
  <c r="Z89" i="123"/>
  <c r="U115" i="515"/>
  <c r="U109" i="515"/>
  <c r="R438" i="515"/>
  <c r="R434" i="515"/>
  <c r="S434" i="515"/>
  <c r="R437" i="515"/>
  <c r="AA16" i="123"/>
  <c r="AA26" i="123"/>
  <c r="AA32" i="123"/>
  <c r="P106" i="123"/>
  <c r="P109" i="123"/>
  <c r="CW437" i="515"/>
  <c r="CW438" i="515"/>
  <c r="K580" i="515"/>
  <c r="L574" i="515"/>
  <c r="L580" i="515"/>
  <c r="L575" i="515"/>
  <c r="K47" i="515"/>
  <c r="K569" i="515"/>
  <c r="K561" i="515"/>
  <c r="AA57" i="3"/>
  <c r="W493" i="515"/>
  <c r="AB63" i="3"/>
  <c r="AA493" i="515"/>
  <c r="Z493" i="515"/>
  <c r="W499" i="515"/>
  <c r="W495" i="515"/>
  <c r="W496" i="515"/>
  <c r="L466" i="515"/>
  <c r="X503" i="515"/>
  <c r="Z57" i="3"/>
  <c r="AF119" i="123"/>
  <c r="AF62" i="3"/>
  <c r="AG109" i="123"/>
  <c r="AC48" i="3"/>
  <c r="AB119" i="123"/>
  <c r="Z495" i="515"/>
  <c r="Z496" i="515"/>
  <c r="P192" i="123"/>
  <c r="AB57" i="3"/>
  <c r="AF76" i="123"/>
  <c r="AA115" i="515"/>
  <c r="AA121" i="515"/>
  <c r="AC57" i="3"/>
  <c r="AD202" i="123"/>
  <c r="AF59" i="3"/>
  <c r="AF57" i="3"/>
  <c r="DA434" i="515"/>
  <c r="DE435" i="515"/>
  <c r="AF120" i="123"/>
  <c r="AF78" i="123"/>
  <c r="AF79" i="123"/>
  <c r="AE57" i="3"/>
  <c r="AD119" i="123"/>
  <c r="X466" i="515"/>
  <c r="X496" i="515"/>
  <c r="AE67" i="123"/>
  <c r="AE16" i="123"/>
  <c r="AE26" i="123"/>
  <c r="AE32" i="123"/>
  <c r="Z63" i="3"/>
  <c r="Y117" i="515"/>
  <c r="Y118" i="515"/>
  <c r="P108" i="123"/>
  <c r="AB213" i="123"/>
  <c r="AA499" i="515"/>
  <c r="AA466" i="515"/>
  <c r="CJ442" i="515"/>
  <c r="X493" i="515"/>
  <c r="X495" i="515"/>
  <c r="R466" i="515"/>
  <c r="AE97" i="123"/>
  <c r="AE100" i="123"/>
  <c r="U493" i="515"/>
  <c r="Y36" i="3"/>
  <c r="U92" i="515"/>
  <c r="U93" i="515"/>
  <c r="AC59" i="3"/>
  <c r="AC62" i="3"/>
  <c r="Y62" i="3"/>
  <c r="AA80" i="3"/>
  <c r="AF51" i="3"/>
  <c r="AG81" i="123"/>
  <c r="AG83" i="123"/>
  <c r="AG105" i="123"/>
  <c r="AD48" i="3"/>
  <c r="Z499" i="515"/>
  <c r="L74" i="515"/>
  <c r="Y57" i="3"/>
  <c r="Y59" i="3"/>
  <c r="M472" i="515"/>
  <c r="AB478" i="515"/>
  <c r="AG213" i="123"/>
  <c r="AF16" i="123"/>
  <c r="AF26" i="123"/>
  <c r="AB80" i="3"/>
  <c r="R439" i="515"/>
  <c r="R440" i="515"/>
  <c r="O466" i="515"/>
  <c r="AB48" i="3"/>
  <c r="AB59" i="3"/>
  <c r="AB62" i="3"/>
  <c r="AG202" i="123"/>
  <c r="S466" i="515"/>
  <c r="P119" i="123"/>
  <c r="K114" i="515"/>
  <c r="K120" i="515"/>
  <c r="P103" i="123"/>
  <c r="Z80" i="3"/>
  <c r="AC67" i="123"/>
  <c r="AB493" i="515"/>
  <c r="U488" i="515"/>
  <c r="AC119" i="123"/>
  <c r="AD57" i="3"/>
  <c r="AF48" i="3"/>
  <c r="AC80" i="3"/>
  <c r="AF213" i="123"/>
  <c r="Y493" i="515"/>
  <c r="AE63" i="3"/>
  <c r="AB109" i="123"/>
  <c r="AD63" i="3"/>
  <c r="AA503" i="515"/>
  <c r="DF45" i="515"/>
  <c r="DF47" i="515"/>
  <c r="DF103" i="515"/>
  <c r="AC63" i="3"/>
  <c r="AA213" i="123"/>
  <c r="AF109" i="123"/>
  <c r="AA120" i="515"/>
  <c r="AF103" i="123"/>
  <c r="AF108" i="123"/>
  <c r="AA488" i="515"/>
  <c r="W488" i="515"/>
  <c r="AE213" i="123"/>
  <c r="AC16" i="123"/>
  <c r="AC26" i="123"/>
  <c r="AC32" i="123"/>
  <c r="Z202" i="123"/>
  <c r="Z36" i="3"/>
  <c r="V92" i="515"/>
  <c r="V93" i="515"/>
  <c r="AB55" i="3"/>
  <c r="AB56" i="3"/>
  <c r="AB60" i="3"/>
  <c r="AG67" i="123"/>
  <c r="W503" i="515"/>
  <c r="AB192" i="123"/>
  <c r="AB202" i="123"/>
  <c r="AA51" i="3"/>
  <c r="V503" i="515"/>
  <c r="Z117" i="515"/>
  <c r="Z118" i="515"/>
  <c r="Y503" i="515"/>
  <c r="Z503" i="515"/>
  <c r="AB117" i="515"/>
  <c r="AB118" i="515"/>
  <c r="AE109" i="123"/>
  <c r="Z119" i="123"/>
  <c r="X499" i="515"/>
  <c r="CI442" i="515"/>
  <c r="V117" i="515"/>
  <c r="V118" i="515"/>
  <c r="V488" i="515"/>
  <c r="X120" i="515"/>
  <c r="AC103" i="123"/>
  <c r="AC108" i="123"/>
  <c r="R433" i="515"/>
  <c r="R441" i="515"/>
  <c r="R442" i="515"/>
  <c r="AD59" i="3"/>
  <c r="AD62" i="3"/>
  <c r="Z492" i="515"/>
  <c r="AD36" i="3"/>
  <c r="Z92" i="515"/>
  <c r="Z93" i="515"/>
  <c r="X488" i="515"/>
  <c r="AA59" i="3"/>
  <c r="AA62" i="3"/>
  <c r="AF192" i="123"/>
  <c r="AF202" i="123"/>
  <c r="O56" i="3"/>
  <c r="O60" i="3"/>
  <c r="O63" i="3"/>
  <c r="L472" i="515"/>
  <c r="AA55" i="3"/>
  <c r="AA56" i="3"/>
  <c r="AA60" i="3"/>
  <c r="AA63" i="3"/>
  <c r="U117" i="515"/>
  <c r="U118" i="515"/>
  <c r="V466" i="515"/>
  <c r="W117" i="515"/>
  <c r="W118" i="515"/>
  <c r="Z488" i="515"/>
  <c r="X114" i="515"/>
  <c r="X117" i="515"/>
  <c r="X118" i="515"/>
  <c r="AD67" i="123"/>
  <c r="AG212" i="123"/>
  <c r="AG220" i="123"/>
  <c r="AG192" i="123"/>
  <c r="AE48" i="3"/>
  <c r="AA495" i="515"/>
  <c r="AA496" i="515"/>
  <c r="U499" i="515"/>
  <c r="AB97" i="123"/>
  <c r="AB100" i="123"/>
  <c r="DH32" i="515"/>
  <c r="DH35" i="515"/>
  <c r="DH45" i="515"/>
  <c r="DH47" i="515"/>
  <c r="DH103" i="515"/>
  <c r="AF67" i="123"/>
  <c r="AD63" i="123"/>
  <c r="AE63" i="123"/>
  <c r="AF63" i="123"/>
  <c r="AG63" i="123"/>
  <c r="AC213" i="123"/>
  <c r="M466" i="515"/>
  <c r="AD213" i="123"/>
  <c r="AA67" i="123"/>
  <c r="N466" i="515"/>
  <c r="AB81" i="123"/>
  <c r="AB83" i="123"/>
  <c r="AB105" i="123"/>
  <c r="AB47" i="515"/>
  <c r="AB504" i="515"/>
  <c r="AB505" i="515"/>
  <c r="AA502" i="515"/>
  <c r="AA506" i="515"/>
  <c r="AA498" i="515"/>
  <c r="AA492" i="515"/>
  <c r="AE36" i="3"/>
  <c r="AA92" i="515"/>
  <c r="AA93" i="515"/>
  <c r="AB499" i="515"/>
  <c r="U466" i="515"/>
  <c r="DI32" i="515"/>
  <c r="DI35" i="515"/>
  <c r="DI45" i="515"/>
  <c r="DI47" i="515"/>
  <c r="DI103" i="515"/>
  <c r="AB75" i="3"/>
  <c r="AC97" i="123"/>
  <c r="AC100" i="123"/>
  <c r="AD192" i="123"/>
  <c r="AD109" i="123"/>
  <c r="AF212" i="123"/>
  <c r="AF220" i="123"/>
  <c r="AB503" i="515"/>
  <c r="L576" i="515"/>
  <c r="AG97" i="123"/>
  <c r="AG100" i="123"/>
  <c r="AE202" i="123"/>
  <c r="CI457" i="515"/>
  <c r="L567" i="515"/>
  <c r="L578" i="515"/>
  <c r="V499" i="515"/>
  <c r="AD55" i="3"/>
  <c r="AD56" i="3"/>
  <c r="AD60" i="3"/>
  <c r="Z47" i="515"/>
  <c r="Z504" i="515"/>
  <c r="Z505" i="515"/>
  <c r="Z67" i="123"/>
  <c r="AE80" i="3"/>
  <c r="T31" i="515"/>
  <c r="T479" i="515"/>
  <c r="AC36" i="3"/>
  <c r="Y92" i="515"/>
  <c r="Y93" i="515"/>
  <c r="Y75" i="3"/>
  <c r="Y80" i="3"/>
  <c r="L568" i="515"/>
  <c r="L579" i="515"/>
  <c r="AF36" i="3"/>
  <c r="AB92" i="515"/>
  <c r="AB93" i="515"/>
  <c r="AF97" i="123"/>
  <c r="AF100" i="123"/>
  <c r="Z192" i="123"/>
  <c r="AB16" i="123"/>
  <c r="AB26" i="123"/>
  <c r="AB32" i="123"/>
  <c r="AD80" i="3"/>
  <c r="CW441" i="515"/>
  <c r="CW442" i="515"/>
  <c r="T466" i="515"/>
  <c r="AF81" i="123"/>
  <c r="AF83" i="123"/>
  <c r="AF105" i="123"/>
  <c r="CJ440" i="515"/>
  <c r="CJ441" i="515"/>
  <c r="AB488" i="515"/>
  <c r="AA109" i="123"/>
  <c r="K479" i="515"/>
  <c r="K480" i="515"/>
  <c r="U114" i="515"/>
  <c r="U120" i="515"/>
  <c r="Z103" i="123"/>
  <c r="Z108" i="123"/>
  <c r="CI440" i="515"/>
  <c r="CI441" i="515"/>
  <c r="AA75" i="3"/>
  <c r="Q466" i="515"/>
  <c r="AG71" i="123"/>
  <c r="AC63" i="123"/>
  <c r="AA63" i="123"/>
  <c r="AB63" i="123"/>
  <c r="AB67" i="123"/>
  <c r="DF32" i="515"/>
  <c r="DF35" i="515"/>
  <c r="AC55" i="3"/>
  <c r="AC56" i="3"/>
  <c r="AC60" i="3"/>
  <c r="AB212" i="123"/>
  <c r="AB220" i="123"/>
  <c r="Y499" i="515"/>
  <c r="W466" i="515"/>
  <c r="AC25" i="3"/>
  <c r="AD75" i="3"/>
  <c r="AC202" i="123"/>
  <c r="L470" i="515"/>
  <c r="L468" i="515"/>
  <c r="AD81" i="123"/>
  <c r="AD83" i="123"/>
  <c r="AD105" i="123"/>
  <c r="AA114" i="515"/>
  <c r="AA117" i="515"/>
  <c r="AA118" i="515"/>
  <c r="AA202" i="123"/>
  <c r="CI57" i="515"/>
  <c r="CI456" i="515"/>
  <c r="AD212" i="123"/>
  <c r="AD220" i="123"/>
  <c r="Z48" i="3"/>
  <c r="Z56" i="3"/>
  <c r="Z60" i="3"/>
  <c r="Z55" i="3"/>
  <c r="Z59" i="3"/>
  <c r="Z62" i="3"/>
  <c r="CW439" i="515"/>
  <c r="CW440" i="515"/>
  <c r="M463" i="515"/>
  <c r="M453" i="515"/>
  <c r="M470" i="515"/>
  <c r="M468" i="515"/>
  <c r="Z502" i="515"/>
  <c r="Z506" i="515"/>
  <c r="Z498" i="515"/>
  <c r="AE59" i="3"/>
  <c r="AE62" i="3"/>
  <c r="AE108" i="123"/>
  <c r="Y114" i="515"/>
  <c r="Y120" i="515"/>
  <c r="AD103" i="123"/>
  <c r="AD108" i="123"/>
  <c r="Y466" i="515"/>
  <c r="P466" i="515"/>
  <c r="AB25" i="3"/>
  <c r="AF80" i="3"/>
  <c r="Z97" i="123"/>
  <c r="Z100" i="123"/>
  <c r="L73" i="515"/>
  <c r="M567" i="515"/>
  <c r="M578" i="515"/>
  <c r="W114" i="515"/>
  <c r="W120" i="515"/>
  <c r="AB103" i="123"/>
  <c r="AB108" i="123"/>
  <c r="AA81" i="123"/>
  <c r="AA83" i="123"/>
  <c r="AA105" i="123"/>
  <c r="AB492" i="515"/>
  <c r="AB495" i="515"/>
  <c r="AB496" i="515"/>
  <c r="V114" i="515"/>
  <c r="V120" i="515"/>
  <c r="AA103" i="123"/>
  <c r="AA108" i="123"/>
  <c r="AF75" i="3"/>
  <c r="Y91" i="515"/>
  <c r="AC9" i="3"/>
  <c r="AB114" i="515"/>
  <c r="AB120" i="515"/>
  <c r="AG103" i="123"/>
  <c r="AG108" i="123"/>
  <c r="K31" i="515"/>
  <c r="Z75" i="3"/>
  <c r="AC81" i="123"/>
  <c r="AC83" i="123"/>
  <c r="AC105" i="123"/>
  <c r="AC109" i="123"/>
  <c r="AE119" i="123"/>
  <c r="Z114" i="515"/>
  <c r="Z120" i="515"/>
  <c r="AE103" i="123"/>
  <c r="AE212" i="123"/>
  <c r="AE220" i="123"/>
  <c r="AE192" i="123"/>
  <c r="W502" i="515"/>
  <c r="W506" i="515"/>
  <c r="W498" i="515"/>
  <c r="W492" i="515"/>
  <c r="AA36" i="3"/>
  <c r="W92" i="515"/>
  <c r="W93" i="515"/>
  <c r="Y492" i="515"/>
  <c r="Y495" i="515"/>
  <c r="Y496" i="515"/>
  <c r="V502" i="515"/>
  <c r="V506" i="515"/>
  <c r="V498" i="515"/>
  <c r="V492" i="515"/>
  <c r="V495" i="515"/>
  <c r="V496" i="515"/>
  <c r="AE75" i="3"/>
  <c r="P97" i="123"/>
  <c r="P100" i="123"/>
  <c r="AA97" i="123"/>
  <c r="AA100" i="123"/>
  <c r="AA25" i="3"/>
  <c r="AD25" i="3"/>
  <c r="DG45" i="515"/>
  <c r="DG47" i="515"/>
  <c r="DG103" i="515"/>
  <c r="R430" i="515"/>
  <c r="CW430" i="515"/>
  <c r="CW433" i="515"/>
  <c r="CW434" i="515"/>
  <c r="DA435" i="515"/>
  <c r="Z466" i="515"/>
  <c r="Y55" i="3"/>
  <c r="Y56" i="3"/>
  <c r="Y60" i="3"/>
  <c r="Y63" i="3"/>
  <c r="AF55" i="3"/>
  <c r="AF56" i="3"/>
  <c r="AF60" i="3"/>
  <c r="AF63" i="3"/>
  <c r="Y488" i="515"/>
  <c r="X47" i="515"/>
  <c r="X504" i="515"/>
  <c r="X505" i="515"/>
  <c r="Y502" i="515"/>
  <c r="Y506" i="515"/>
  <c r="Y498" i="515"/>
  <c r="Z461" i="515"/>
  <c r="Z464" i="515"/>
  <c r="AA461" i="515"/>
  <c r="AA464" i="515"/>
  <c r="AB461" i="515"/>
  <c r="AB464" i="515"/>
  <c r="AB466" i="515"/>
  <c r="AE81" i="123"/>
  <c r="AE83" i="123"/>
  <c r="AE105" i="123"/>
  <c r="Z81" i="123"/>
  <c r="Z83" i="123"/>
  <c r="Z105" i="123"/>
  <c r="Z109" i="123"/>
  <c r="X506" i="515"/>
  <c r="X498" i="515"/>
  <c r="X492" i="515"/>
  <c r="AB36" i="3"/>
  <c r="X92" i="515"/>
  <c r="X93" i="515"/>
  <c r="AE25" i="3"/>
  <c r="AE55" i="3"/>
  <c r="AE56" i="3"/>
  <c r="AE60" i="3"/>
  <c r="U37" i="515"/>
  <c r="DI37" i="515"/>
  <c r="DI38" i="515"/>
  <c r="L566" i="515"/>
  <c r="L577" i="515"/>
  <c r="L453" i="515"/>
  <c r="L463" i="515"/>
  <c r="L464" i="515"/>
  <c r="M461" i="515"/>
  <c r="M464" i="515"/>
  <c r="N461" i="515"/>
  <c r="N464" i="515"/>
  <c r="O461" i="515"/>
  <c r="O464" i="515"/>
  <c r="P461" i="515"/>
  <c r="P464" i="515"/>
  <c r="Q461" i="515"/>
  <c r="Q464" i="515"/>
  <c r="R461" i="515"/>
  <c r="R464" i="515"/>
  <c r="S461" i="515"/>
  <c r="S464" i="515"/>
  <c r="T461" i="515"/>
  <c r="T464" i="515"/>
  <c r="U461" i="515"/>
  <c r="U464" i="515"/>
  <c r="V461" i="515"/>
  <c r="V464" i="515"/>
  <c r="W461" i="515"/>
  <c r="W464" i="515"/>
  <c r="X461" i="515"/>
  <c r="X464" i="515"/>
  <c r="Y461" i="515"/>
  <c r="Y464" i="515"/>
  <c r="AG32" i="123"/>
  <c r="AC212" i="123"/>
  <c r="AC220" i="123"/>
  <c r="AC192" i="123"/>
  <c r="AC75" i="3"/>
  <c r="K32" i="515"/>
  <c r="K35" i="515"/>
  <c r="K41" i="515"/>
  <c r="K45" i="515"/>
  <c r="K568" i="515"/>
  <c r="K579" i="515"/>
  <c r="X91" i="515"/>
  <c r="AB9" i="3"/>
  <c r="CW431" i="515"/>
  <c r="R431" i="515"/>
  <c r="Z63" i="123"/>
  <c r="AA47" i="515"/>
  <c r="AA504" i="515"/>
  <c r="AA505" i="515"/>
  <c r="AB502" i="515"/>
  <c r="AB506" i="515"/>
  <c r="AB498" i="515"/>
  <c r="U505" i="515"/>
  <c r="AF9" i="123"/>
  <c r="AA478" i="515"/>
  <c r="AB479" i="515"/>
  <c r="AB31" i="515"/>
  <c r="AB32" i="515"/>
  <c r="AB35" i="515"/>
  <c r="AB41" i="515"/>
  <c r="AB45" i="515"/>
  <c r="AB91" i="515"/>
  <c r="AF9" i="3"/>
  <c r="AF25" i="3"/>
  <c r="X35" i="515"/>
  <c r="X41" i="515"/>
  <c r="X45" i="515"/>
  <c r="AA35" i="515"/>
  <c r="AA41" i="515"/>
  <c r="AA45" i="515"/>
  <c r="AA91" i="515"/>
  <c r="AE9" i="3"/>
  <c r="U47" i="515"/>
  <c r="U504" i="515"/>
  <c r="U506" i="515"/>
  <c r="U498" i="515"/>
  <c r="U492" i="515"/>
  <c r="U495" i="515"/>
  <c r="U496" i="515"/>
  <c r="X502" i="515"/>
  <c r="Z213" i="123"/>
  <c r="Z220" i="123"/>
  <c r="W91" i="515"/>
  <c r="AA9" i="3"/>
  <c r="Z35" i="515"/>
  <c r="Z41" i="515"/>
  <c r="Z45" i="515"/>
  <c r="Z91" i="515"/>
  <c r="AD9" i="3"/>
  <c r="Y35" i="515"/>
  <c r="Y41" i="515"/>
  <c r="Y45" i="515"/>
  <c r="Y47" i="515"/>
  <c r="Y504" i="515"/>
  <c r="Y505" i="515"/>
  <c r="DG32" i="515"/>
  <c r="DG35" i="515"/>
  <c r="V47" i="515"/>
  <c r="V504" i="515"/>
  <c r="V505" i="515"/>
  <c r="AD9" i="123"/>
  <c r="Y478" i="515"/>
  <c r="Z479" i="515"/>
  <c r="Z31" i="515"/>
  <c r="Z32" i="515"/>
  <c r="AE9" i="123"/>
  <c r="Z478" i="515"/>
  <c r="AA479" i="515"/>
  <c r="AA31" i="515"/>
  <c r="AA32" i="515"/>
  <c r="AA9" i="123"/>
  <c r="V478" i="515"/>
  <c r="W479" i="515"/>
  <c r="W31" i="515"/>
  <c r="W32" i="515"/>
  <c r="W35" i="515"/>
  <c r="W41" i="515"/>
  <c r="W45" i="515"/>
  <c r="W47" i="515"/>
  <c r="W504" i="515"/>
  <c r="W505" i="515"/>
  <c r="AA192" i="123"/>
  <c r="CW432" i="515"/>
  <c r="R432" i="515"/>
  <c r="V479" i="515"/>
  <c r="V31" i="515"/>
  <c r="V32" i="515"/>
  <c r="V35" i="515"/>
  <c r="V41" i="515"/>
  <c r="V45" i="515"/>
  <c r="V91" i="515"/>
  <c r="Z9" i="3"/>
  <c r="Z25" i="3"/>
  <c r="AD47" i="3"/>
  <c r="AD49" i="3"/>
  <c r="AE47" i="3"/>
  <c r="AE49" i="3"/>
  <c r="AF47" i="3"/>
  <c r="AF49" i="3"/>
  <c r="AG9" i="123"/>
  <c r="AG16" i="123"/>
  <c r="AG26" i="123"/>
  <c r="AB9" i="123"/>
  <c r="W478" i="515"/>
  <c r="X479" i="515"/>
  <c r="X31" i="515"/>
  <c r="X32" i="515"/>
  <c r="BT38" i="515"/>
  <c r="BT32" i="515"/>
  <c r="BT35" i="515"/>
  <c r="BT37" i="515"/>
  <c r="K37" i="515"/>
  <c r="K38" i="515"/>
  <c r="L571" i="515"/>
  <c r="L565" i="515"/>
  <c r="AA212" i="123"/>
  <c r="AA220" i="123"/>
  <c r="AC9" i="123"/>
  <c r="X478" i="515"/>
  <c r="Y479" i="515"/>
  <c r="Y31" i="515"/>
  <c r="Y32" i="515"/>
  <c r="AC47" i="3"/>
  <c r="AC49" i="3"/>
  <c r="Z9" i="123"/>
  <c r="U478" i="515"/>
  <c r="U479" i="515"/>
  <c r="U31" i="515"/>
  <c r="U32" i="515"/>
  <c r="U35" i="515"/>
  <c r="U41" i="515"/>
  <c r="U45" i="515"/>
  <c r="U91" i="515"/>
  <c r="Y9" i="3"/>
  <c r="Y25" i="3"/>
  <c r="Y48" i="3"/>
  <c r="Y49" i="3"/>
  <c r="Z47" i="3"/>
  <c r="Z49" i="3"/>
  <c r="AA47" i="3"/>
  <c r="AA49" i="3"/>
  <c r="AB47" i="3"/>
  <c r="AB49" i="3"/>
</calcChain>
</file>

<file path=xl/comments1.xml><?xml version="1.0" encoding="utf-8"?>
<comments xmlns="http://schemas.openxmlformats.org/spreadsheetml/2006/main">
  <authors>
    <author>Vincent Andrews</author>
    <author>Matthew Grainger</author>
    <author>pamelk</author>
    <author>matgrai</author>
    <author>Kaufman, Pamela (Research)</author>
    <author>Colantuoni, John (Research)</author>
    <author>ayalavin</author>
    <author>colantuo</author>
  </authors>
  <commentList>
    <comment ref="BC19" authorId="0">
      <text>
        <r>
          <rPr>
            <b/>
            <sz val="8"/>
            <color indexed="81"/>
            <rFont val="Tahoma"/>
            <family val="2"/>
          </rPr>
          <t>Vincent Andrews:</t>
        </r>
        <r>
          <rPr>
            <sz val="8"/>
            <color indexed="81"/>
            <rFont val="Tahoma"/>
            <family val="2"/>
          </rPr>
          <t xml:space="preserve">
Reconciliation of their SG&amp;A from press release and non-recurrings to get Revs - total expenses to agree with bottom up operating income</t>
        </r>
      </text>
    </comment>
    <comment ref="BD19" authorId="0">
      <text>
        <r>
          <rPr>
            <b/>
            <sz val="8"/>
            <color indexed="81"/>
            <rFont val="Tahoma"/>
            <family val="2"/>
          </rPr>
          <t>Vincent Andrews:</t>
        </r>
        <r>
          <rPr>
            <sz val="8"/>
            <color indexed="81"/>
            <rFont val="Tahoma"/>
            <family val="2"/>
          </rPr>
          <t xml:space="preserve">
Reconciliation of their numbers with addbacks to add to our op inc. #</t>
        </r>
      </text>
    </comment>
    <comment ref="BE19" authorId="0">
      <text>
        <r>
          <rPr>
            <b/>
            <sz val="8"/>
            <color indexed="81"/>
            <rFont val="Tahoma"/>
            <family val="2"/>
          </rPr>
          <t>Vincent Andrews:</t>
        </r>
        <r>
          <rPr>
            <sz val="8"/>
            <color indexed="81"/>
            <rFont val="Tahoma"/>
            <family val="2"/>
          </rPr>
          <t xml:space="preserve">
77 is reconcilation of their numbers with add backs to our op inc #</t>
        </r>
      </text>
    </comment>
    <comment ref="BV32" authorId="1">
      <text>
        <r>
          <rPr>
            <b/>
            <sz val="8"/>
            <color indexed="81"/>
            <rFont val="Tahoma"/>
            <family val="2"/>
          </rPr>
          <t>Matthew Grainger:</t>
        </r>
        <r>
          <rPr>
            <sz val="8"/>
            <color indexed="81"/>
            <rFont val="Tahoma"/>
            <family val="2"/>
          </rPr>
          <t xml:space="preserve">
Excludes $85 mil in financing fees for UST transaction</t>
        </r>
      </text>
    </comment>
    <comment ref="CP32" authorId="2">
      <text>
        <r>
          <rPr>
            <b/>
            <sz val="8"/>
            <color indexed="81"/>
            <rFont val="Tahoma"/>
            <family val="2"/>
          </rPr>
          <t>pamelk:</t>
        </r>
        <r>
          <rPr>
            <sz val="8"/>
            <color indexed="81"/>
            <rFont val="Tahoma"/>
            <family val="2"/>
          </rPr>
          <t xml:space="preserve">
Adjusted for $64mm credit</t>
        </r>
      </text>
    </comment>
    <comment ref="BW33" authorId="1">
      <text>
        <r>
          <rPr>
            <b/>
            <sz val="8"/>
            <color indexed="81"/>
            <rFont val="Tahoma"/>
            <family val="2"/>
          </rPr>
          <t>Matthew Grainger:</t>
        </r>
        <r>
          <rPr>
            <sz val="8"/>
            <color indexed="81"/>
            <rFont val="Tahoma"/>
            <family val="2"/>
          </rPr>
          <t xml:space="preserve">
Excludes pre-tax impact $175 million for gains on issuance of common stock and $112 million intangible asset impairment</t>
        </r>
      </text>
    </comment>
    <comment ref="BZ33" authorId="3">
      <text>
        <r>
          <rPr>
            <b/>
            <sz val="8"/>
            <color indexed="81"/>
            <rFont val="Tahoma"/>
            <family val="2"/>
          </rPr>
          <t>matgrai:</t>
        </r>
        <r>
          <rPr>
            <sz val="8"/>
            <color indexed="81"/>
            <rFont val="Tahoma"/>
            <family val="2"/>
          </rPr>
          <t xml:space="preserve">
Includes $32 million in stock issuance gains and $17 million in costs for "business capability programme"</t>
        </r>
      </text>
    </comment>
    <comment ref="CO33" authorId="2">
      <text>
        <r>
          <rPr>
            <b/>
            <sz val="8"/>
            <color indexed="81"/>
            <rFont val="Tahoma"/>
            <family val="2"/>
          </rPr>
          <t>pamelk:</t>
        </r>
        <r>
          <rPr>
            <sz val="8"/>
            <color indexed="81"/>
            <rFont val="Tahoma"/>
            <family val="2"/>
          </rPr>
          <t xml:space="preserve">
add back charge/.85</t>
        </r>
      </text>
    </comment>
    <comment ref="CP33" authorId="2">
      <text>
        <r>
          <rPr>
            <b/>
            <sz val="8"/>
            <color indexed="81"/>
            <rFont val="Tahoma"/>
            <family val="2"/>
          </rPr>
          <t>pamelk:</t>
        </r>
        <r>
          <rPr>
            <sz val="8"/>
            <color indexed="81"/>
            <rFont val="Tahoma"/>
            <family val="2"/>
          </rPr>
          <t xml:space="preserve">
add back charge/.85</t>
        </r>
      </text>
    </comment>
    <comment ref="CT33" authorId="2">
      <text>
        <r>
          <rPr>
            <b/>
            <sz val="8"/>
            <color indexed="81"/>
            <rFont val="Tahoma"/>
            <family val="2"/>
          </rPr>
          <t>pamelk:</t>
        </r>
        <r>
          <rPr>
            <sz val="8"/>
            <color indexed="81"/>
            <rFont val="Tahoma"/>
            <family val="2"/>
          </rPr>
          <t xml:space="preserve">
add back charge/.85</t>
        </r>
      </text>
    </comment>
    <comment ref="DA33" authorId="4">
      <text>
        <r>
          <rPr>
            <b/>
            <sz val="9"/>
            <color indexed="81"/>
            <rFont val="Tahoma"/>
            <family val="2"/>
          </rPr>
          <t>Kaufman, Pamela (Research):</t>
        </r>
        <r>
          <rPr>
            <sz val="9"/>
            <color indexed="81"/>
            <rFont val="Tahoma"/>
            <family val="2"/>
          </rPr>
          <t xml:space="preserve">
9 days of SAB Miller income</t>
        </r>
      </text>
    </comment>
    <comment ref="BC37" authorId="0">
      <text>
        <r>
          <rPr>
            <b/>
            <sz val="8"/>
            <color indexed="81"/>
            <rFont val="Tahoma"/>
            <family val="2"/>
          </rPr>
          <t>Vincent Andrews:</t>
        </r>
        <r>
          <rPr>
            <sz val="8"/>
            <color indexed="81"/>
            <rFont val="Tahoma"/>
            <family val="2"/>
          </rPr>
          <t xml:space="preserve">
add for mw val</t>
        </r>
      </text>
    </comment>
    <comment ref="BD37" authorId="0">
      <text>
        <r>
          <rPr>
            <b/>
            <sz val="8"/>
            <color indexed="81"/>
            <rFont val="Tahoma"/>
            <family val="2"/>
          </rPr>
          <t>Vincent Andrews:</t>
        </r>
        <r>
          <rPr>
            <sz val="8"/>
            <color indexed="81"/>
            <rFont val="Tahoma"/>
            <family val="2"/>
          </rPr>
          <t xml:space="preserve">
add for mw val</t>
        </r>
      </text>
    </comment>
    <comment ref="BI37" authorId="0">
      <text>
        <r>
          <rPr>
            <b/>
            <sz val="8"/>
            <color indexed="81"/>
            <rFont val="Tahoma"/>
            <family val="2"/>
          </rPr>
          <t>Vincent Andrews:</t>
        </r>
        <r>
          <rPr>
            <sz val="8"/>
            <color indexed="81"/>
            <rFont val="Tahoma"/>
            <family val="2"/>
          </rPr>
          <t xml:space="preserve">
stella doro tax add back</t>
        </r>
      </text>
    </comment>
    <comment ref="BL37" authorId="0">
      <text>
        <r>
          <rPr>
            <b/>
            <sz val="8"/>
            <color indexed="81"/>
            <rFont val="Tahoma"/>
            <family val="2"/>
          </rPr>
          <t>Vincent Andrews:</t>
        </r>
        <r>
          <rPr>
            <sz val="8"/>
            <color indexed="81"/>
            <rFont val="Tahoma"/>
            <family val="2"/>
          </rPr>
          <t xml:space="preserve">
$67 is the tax benefit at KFT -- derived by finding the delta of taxes at KFT based on the two rates that the company gave</t>
        </r>
      </text>
    </comment>
    <comment ref="CO37" authorId="2">
      <text>
        <r>
          <rPr>
            <b/>
            <sz val="8"/>
            <color indexed="81"/>
            <rFont val="Tahoma"/>
            <family val="2"/>
          </rPr>
          <t>pamelk:</t>
        </r>
        <r>
          <rPr>
            <sz val="8"/>
            <color indexed="81"/>
            <rFont val="Tahoma"/>
            <family val="2"/>
          </rPr>
          <t xml:space="preserve">
take difference between pretax income and net income</t>
        </r>
      </text>
    </comment>
    <comment ref="CP37" authorId="2">
      <text>
        <r>
          <rPr>
            <b/>
            <sz val="8"/>
            <color indexed="81"/>
            <rFont val="Tahoma"/>
            <family val="2"/>
          </rPr>
          <t>pamelk:</t>
        </r>
        <r>
          <rPr>
            <sz val="8"/>
            <color indexed="81"/>
            <rFont val="Tahoma"/>
            <family val="2"/>
          </rPr>
          <t xml:space="preserve">
take difference between pretax income and net income</t>
        </r>
      </text>
    </comment>
    <comment ref="BG38" authorId="0">
      <text>
        <r>
          <rPr>
            <b/>
            <sz val="8"/>
            <color indexed="81"/>
            <rFont val="Tahoma"/>
            <family val="2"/>
          </rPr>
          <t>Vincent Andrews:</t>
        </r>
        <r>
          <rPr>
            <sz val="8"/>
            <color indexed="81"/>
            <rFont val="Tahoma"/>
            <family val="2"/>
          </rPr>
          <t xml:space="preserve">
added back $207 (american jobs creation act) back to reported taxes paid to derive this tax rate</t>
        </r>
      </text>
    </comment>
    <comment ref="BQ38" authorId="1">
      <text>
        <r>
          <rPr>
            <b/>
            <sz val="8"/>
            <color indexed="81"/>
            <rFont val="Tahoma"/>
            <family val="2"/>
          </rPr>
          <t>Matthew Grainger:</t>
        </r>
        <r>
          <rPr>
            <sz val="8"/>
            <color indexed="81"/>
            <rFont val="Tahoma"/>
            <family val="2"/>
          </rPr>
          <t xml:space="preserve">
Includes reversal of $98 million tax accrual in 4Q</t>
        </r>
      </text>
    </comment>
    <comment ref="CS38" authorId="5">
      <text>
        <r>
          <rPr>
            <b/>
            <sz val="9"/>
            <color indexed="81"/>
            <rFont val="Tahoma"/>
            <family val="2"/>
          </rPr>
          <t>Colantuoni, John (Research):</t>
        </r>
        <r>
          <rPr>
            <sz val="9"/>
            <color indexed="81"/>
            <rFont val="Tahoma"/>
            <family val="2"/>
          </rPr>
          <t xml:space="preserve">
Tax rate benefit in Q4 due to year-ago quarter debt tender offer</t>
        </r>
      </text>
    </comment>
    <comment ref="BJ43" authorId="0">
      <text>
        <r>
          <rPr>
            <b/>
            <sz val="8"/>
            <color indexed="81"/>
            <rFont val="Tahoma"/>
            <family val="2"/>
          </rPr>
          <t>Vincent Andrews:</t>
        </r>
        <r>
          <rPr>
            <sz val="8"/>
            <color indexed="81"/>
            <rFont val="Tahoma"/>
            <family val="2"/>
          </rPr>
          <t xml:space="preserve">
+ minority interest on KFT charges</t>
        </r>
      </text>
    </comment>
    <comment ref="Q47" authorId="2">
      <text>
        <r>
          <rPr>
            <b/>
            <sz val="8"/>
            <color indexed="81"/>
            <rFont val="Tahoma"/>
            <family val="2"/>
          </rPr>
          <t>pamelk:</t>
        </r>
        <r>
          <rPr>
            <sz val="8"/>
            <color indexed="81"/>
            <rFont val="Tahoma"/>
            <family val="2"/>
          </rPr>
          <t xml:space="preserve">
4Q13: Guidance of $2.52 - $2.59</t>
        </r>
      </text>
    </comment>
    <comment ref="R47" authorId="2">
      <text>
        <r>
          <rPr>
            <b/>
            <sz val="8"/>
            <color indexed="81"/>
            <rFont val="Tahoma"/>
            <family val="2"/>
          </rPr>
          <t>pamelk:</t>
        </r>
        <r>
          <rPr>
            <sz val="8"/>
            <color indexed="81"/>
            <rFont val="Tahoma"/>
            <family val="2"/>
          </rPr>
          <t xml:space="preserve">
4Q13: Guidance of $2.52 - $2.59</t>
        </r>
      </text>
    </comment>
    <comment ref="S47" authorId="4">
      <text>
        <r>
          <rPr>
            <b/>
            <sz val="9"/>
            <color indexed="81"/>
            <rFont val="Tahoma"/>
            <family val="2"/>
          </rPr>
          <t>Kaufman, Pamela (Research):</t>
        </r>
        <r>
          <rPr>
            <sz val="9"/>
            <color indexed="81"/>
            <rFont val="Tahoma"/>
            <family val="2"/>
          </rPr>
          <t xml:space="preserve">
Guidance $2.98-3.04</t>
        </r>
      </text>
    </comment>
    <comment ref="AZ47" authorId="0">
      <text>
        <r>
          <rPr>
            <b/>
            <sz val="8"/>
            <color indexed="81"/>
            <rFont val="Tahoma"/>
            <family val="2"/>
          </rPr>
          <t>Vincent Andrews:</t>
        </r>
        <r>
          <rPr>
            <sz val="8"/>
            <color indexed="81"/>
            <rFont val="Tahoma"/>
            <family val="2"/>
          </rPr>
          <t xml:space="preserve">
$1.23 with rounding errior</t>
        </r>
      </text>
    </comment>
    <comment ref="AY49" authorId="0">
      <text>
        <r>
          <rPr>
            <b/>
            <sz val="8"/>
            <color indexed="81"/>
            <rFont val="Tahoma"/>
            <family val="2"/>
          </rPr>
          <t>Vincent Andrews:</t>
        </r>
        <r>
          <rPr>
            <sz val="8"/>
            <color indexed="81"/>
            <rFont val="Tahoma"/>
            <family val="2"/>
          </rPr>
          <t xml:space="preserve">
$182 domestic tobacco legal settlement; $9 HQ relocation charge</t>
        </r>
      </text>
    </comment>
    <comment ref="AZ49" authorId="0">
      <text>
        <r>
          <rPr>
            <b/>
            <sz val="8"/>
            <color indexed="81"/>
            <rFont val="Tahoma"/>
            <family val="2"/>
          </rPr>
          <t>Vincent Andrews:</t>
        </r>
        <r>
          <rPr>
            <sz val="8"/>
            <color indexed="81"/>
            <rFont val="Tahoma"/>
            <family val="2"/>
          </rPr>
          <t xml:space="preserve">
$27M HQ relocation costs</t>
        </r>
      </text>
    </comment>
    <comment ref="BA49" authorId="0">
      <text>
        <r>
          <rPr>
            <b/>
            <sz val="8"/>
            <color indexed="81"/>
            <rFont val="Tahoma"/>
            <family val="2"/>
          </rPr>
          <t>Vincent Andrews:</t>
        </r>
        <r>
          <rPr>
            <sz val="8"/>
            <color indexed="81"/>
            <rFont val="Tahoma"/>
            <family val="2"/>
          </rPr>
          <t xml:space="preserve">
$20 Domestic tobacco legal settlement; $33 Domestic HQ relocation charge; $13 Asset impairment and exit costs</t>
        </r>
      </text>
    </comment>
    <comment ref="BB49" authorId="0">
      <text>
        <r>
          <rPr>
            <b/>
            <sz val="8"/>
            <color indexed="81"/>
            <rFont val="Tahoma"/>
            <family val="2"/>
          </rPr>
          <t>Vincent Andrews:</t>
        </r>
        <r>
          <rPr>
            <sz val="8"/>
            <color indexed="81"/>
            <rFont val="Tahoma"/>
            <family val="2"/>
          </rPr>
          <t xml:space="preserve">
Domestic HQ relocation (10); Asset impairment and exit costs (309); Asset impairment and exit costs (16)</t>
        </r>
      </text>
    </comment>
    <comment ref="CK103" authorId="6">
      <text>
        <r>
          <rPr>
            <b/>
            <sz val="8"/>
            <color indexed="81"/>
            <rFont val="Tahoma"/>
            <family val="2"/>
          </rPr>
          <t>ayalavin:</t>
        </r>
        <r>
          <rPr>
            <sz val="8"/>
            <color indexed="81"/>
            <rFont val="Tahoma"/>
            <family val="2"/>
          </rPr>
          <t xml:space="preserve">
Q4 better than Q3; but will moderate overall in the back half of the year</t>
        </r>
      </text>
    </comment>
    <comment ref="BR127" authorId="1">
      <text>
        <r>
          <rPr>
            <b/>
            <sz val="8"/>
            <color indexed="81"/>
            <rFont val="Tahoma"/>
            <family val="2"/>
          </rPr>
          <t>Matthew Grainger:</t>
        </r>
        <r>
          <rPr>
            <sz val="8"/>
            <color indexed="81"/>
            <rFont val="Tahoma"/>
            <family val="2"/>
          </rPr>
          <t xml:space="preserve">
Excludes $3 mil of PMI contract volume</t>
        </r>
      </text>
    </comment>
    <comment ref="BS127" authorId="1">
      <text>
        <r>
          <rPr>
            <b/>
            <sz val="8"/>
            <color indexed="81"/>
            <rFont val="Tahoma"/>
            <family val="2"/>
          </rPr>
          <t>Matthew Grainger:</t>
        </r>
        <r>
          <rPr>
            <sz val="8"/>
            <color indexed="81"/>
            <rFont val="Tahoma"/>
            <family val="2"/>
          </rPr>
          <t xml:space="preserve">
Excludes $107 mil of PMI contract volume</t>
        </r>
      </text>
    </comment>
    <comment ref="BT127" authorId="1">
      <text>
        <r>
          <rPr>
            <b/>
            <sz val="8"/>
            <color indexed="81"/>
            <rFont val="Tahoma"/>
            <family val="2"/>
          </rPr>
          <t>Matthew Grainger:</t>
        </r>
        <r>
          <rPr>
            <sz val="8"/>
            <color indexed="81"/>
            <rFont val="Tahoma"/>
            <family val="2"/>
          </rPr>
          <t xml:space="preserve">
Excludes $97 mil of PMI contract volume</t>
        </r>
      </text>
    </comment>
    <comment ref="BU127" authorId="1">
      <text>
        <r>
          <rPr>
            <b/>
            <sz val="8"/>
            <color indexed="81"/>
            <rFont val="Tahoma"/>
            <family val="2"/>
          </rPr>
          <t>Matthew Grainger:</t>
        </r>
        <r>
          <rPr>
            <sz val="8"/>
            <color indexed="81"/>
            <rFont val="Tahoma"/>
            <family val="2"/>
          </rPr>
          <t xml:space="preserve">
Excludes $107 mil of PMI contract volume</t>
        </r>
      </text>
    </comment>
    <comment ref="CP131" authorId="2">
      <text>
        <r>
          <rPr>
            <b/>
            <sz val="8"/>
            <color indexed="81"/>
            <rFont val="Tahoma"/>
            <family val="2"/>
          </rPr>
          <t>pamelk:</t>
        </r>
        <r>
          <rPr>
            <sz val="8"/>
            <color indexed="81"/>
            <rFont val="Tahoma"/>
            <family val="2"/>
          </rPr>
          <t xml:space="preserve">
Schedule 2</t>
        </r>
      </text>
    </comment>
    <comment ref="AY173" authorId="0">
      <text>
        <r>
          <rPr>
            <b/>
            <sz val="8"/>
            <color indexed="81"/>
            <rFont val="Tahoma"/>
            <family val="2"/>
          </rPr>
          <t>Vincent Andrews:</t>
        </r>
        <r>
          <rPr>
            <sz val="8"/>
            <color indexed="81"/>
            <rFont val="Tahoma"/>
            <family val="2"/>
          </rPr>
          <t xml:space="preserve">
$182 domestic legal settlement; $9 relocation charges
</t>
        </r>
      </text>
    </comment>
    <comment ref="AZ173" authorId="0">
      <text>
        <r>
          <rPr>
            <b/>
            <sz val="8"/>
            <color indexed="81"/>
            <rFont val="Tahoma"/>
            <family val="2"/>
          </rPr>
          <t>Vincent Andrews:</t>
        </r>
        <r>
          <rPr>
            <sz val="8"/>
            <color indexed="81"/>
            <rFont val="Tahoma"/>
            <family val="2"/>
          </rPr>
          <t xml:space="preserve">
$27M HQ relocation charge</t>
        </r>
      </text>
    </comment>
    <comment ref="BA173" authorId="0">
      <text>
        <r>
          <rPr>
            <b/>
            <sz val="8"/>
            <color indexed="81"/>
            <rFont val="Tahoma"/>
            <family val="2"/>
          </rPr>
          <t>Vincent Andrews:</t>
        </r>
        <r>
          <rPr>
            <sz val="8"/>
            <color indexed="81"/>
            <rFont val="Tahoma"/>
            <family val="2"/>
          </rPr>
          <t xml:space="preserve">
$13 Asset impairment; $33 HQ relocation; $20 Domestic tobacco legal settlement</t>
        </r>
      </text>
    </comment>
    <comment ref="BC173" authorId="0">
      <text>
        <r>
          <rPr>
            <b/>
            <sz val="8"/>
            <color indexed="81"/>
            <rFont val="Tahoma"/>
            <family val="2"/>
          </rPr>
          <t>Vincent Andrews:</t>
        </r>
        <r>
          <rPr>
            <sz val="8"/>
            <color indexed="81"/>
            <rFont val="Tahoma"/>
            <family val="2"/>
          </rPr>
          <t xml:space="preserve">
$10 HQ relocation charge</t>
        </r>
      </text>
    </comment>
    <comment ref="BD173" authorId="0">
      <text>
        <r>
          <rPr>
            <b/>
            <sz val="8"/>
            <color indexed="81"/>
            <rFont val="Tahoma"/>
            <family val="2"/>
          </rPr>
          <t>Vincent Andrews:</t>
        </r>
        <r>
          <rPr>
            <sz val="8"/>
            <color indexed="81"/>
            <rFont val="Tahoma"/>
            <family val="2"/>
          </rPr>
          <t xml:space="preserve">
Domestic HQ relocation</t>
        </r>
      </text>
    </comment>
    <comment ref="BC179" authorId="0">
      <text>
        <r>
          <rPr>
            <b/>
            <sz val="8"/>
            <color indexed="81"/>
            <rFont val="Tahoma"/>
            <family val="2"/>
          </rPr>
          <t>Vincent Andrews:</t>
        </r>
        <r>
          <rPr>
            <sz val="8"/>
            <color indexed="81"/>
            <rFont val="Tahoma"/>
            <family val="2"/>
          </rPr>
          <t xml:space="preserve">
$250 International Tobacco EC agreement (2004); $23 Asset impairment and exit costs</t>
        </r>
      </text>
    </comment>
    <comment ref="BD179" authorId="0">
      <text>
        <r>
          <rPr>
            <b/>
            <sz val="8"/>
            <color indexed="81"/>
            <rFont val="Tahoma"/>
            <family val="2"/>
          </rPr>
          <t>Vincent Andrews:</t>
        </r>
        <r>
          <rPr>
            <sz val="8"/>
            <color indexed="81"/>
            <rFont val="Tahoma"/>
            <family val="2"/>
          </rPr>
          <t xml:space="preserve">
Asset impairment and exit costs
</t>
        </r>
      </text>
    </comment>
    <comment ref="BG179" authorId="0">
      <text>
        <r>
          <rPr>
            <b/>
            <sz val="8"/>
            <color indexed="81"/>
            <rFont val="Tahoma"/>
            <family val="2"/>
          </rPr>
          <t>Vincent Andrews:</t>
        </r>
        <r>
          <rPr>
            <sz val="8"/>
            <color indexed="81"/>
            <rFont val="Tahoma"/>
            <family val="2"/>
          </rPr>
          <t xml:space="preserve">
$96 represents the give back from the inventory gain in Italy 1Q05.</t>
        </r>
      </text>
    </comment>
    <comment ref="BJ179" authorId="0">
      <text>
        <r>
          <rPr>
            <b/>
            <sz val="8"/>
            <color indexed="81"/>
            <rFont val="Tahoma"/>
            <family val="2"/>
          </rPr>
          <t>Vincent Andrews:</t>
        </r>
        <r>
          <rPr>
            <sz val="8"/>
            <color indexed="81"/>
            <rFont val="Tahoma"/>
            <family val="2"/>
          </rPr>
          <t xml:space="preserve">
Adjusted down $50 for Japan load in 1Q05</t>
        </r>
      </text>
    </comment>
    <comment ref="BC184" authorId="0">
      <text>
        <r>
          <rPr>
            <b/>
            <sz val="8"/>
            <color indexed="81"/>
            <rFont val="Tahoma"/>
            <family val="2"/>
          </rPr>
          <t>Vincent Andrews:</t>
        </r>
        <r>
          <rPr>
            <sz val="8"/>
            <color indexed="81"/>
            <rFont val="Tahoma"/>
            <family val="2"/>
          </rPr>
          <t xml:space="preserve">
$9 implimentation costs; $39 asset impairment and exit costs</t>
        </r>
      </text>
    </comment>
    <comment ref="BD184" authorId="0">
      <text>
        <r>
          <rPr>
            <b/>
            <sz val="8"/>
            <color indexed="81"/>
            <rFont val="Tahoma"/>
            <family val="2"/>
          </rPr>
          <t>Vincent Andrews:</t>
        </r>
        <r>
          <rPr>
            <sz val="8"/>
            <color indexed="81"/>
            <rFont val="Tahoma"/>
            <family val="2"/>
          </rPr>
          <t xml:space="preserve">
$6--asset impairment and exit costs; $13--implimentation costs</t>
        </r>
      </text>
    </comment>
    <comment ref="BC185" authorId="0">
      <text>
        <r>
          <rPr>
            <b/>
            <sz val="8"/>
            <color indexed="81"/>
            <rFont val="Tahoma"/>
            <family val="2"/>
          </rPr>
          <t>Vincent Andrews:</t>
        </r>
        <r>
          <rPr>
            <sz val="8"/>
            <color indexed="81"/>
            <rFont val="Tahoma"/>
            <family val="2"/>
          </rPr>
          <t xml:space="preserve">
$90 asset impairment and exit costs; $7 from a 2003 divested business</t>
        </r>
      </text>
    </comment>
    <comment ref="BD185" authorId="0">
      <text>
        <r>
          <rPr>
            <b/>
            <sz val="8"/>
            <color indexed="81"/>
            <rFont val="Tahoma"/>
            <family val="2"/>
          </rPr>
          <t>Vincent Andrews:</t>
        </r>
        <r>
          <rPr>
            <sz val="8"/>
            <color indexed="81"/>
            <rFont val="Tahoma"/>
            <family val="2"/>
          </rPr>
          <t xml:space="preserve">
$39--asset impairment and exit costs; $8 loss on sale of business; $23 gains on sale of business 2003</t>
        </r>
      </text>
    </comment>
    <comment ref="CW271" authorId="2">
      <text>
        <r>
          <rPr>
            <b/>
            <sz val="8"/>
            <color indexed="81"/>
            <rFont val="Tahoma"/>
            <family val="2"/>
          </rPr>
          <t>pamelk:</t>
        </r>
        <r>
          <rPr>
            <sz val="8"/>
            <color indexed="81"/>
            <rFont val="Tahoma"/>
            <family val="2"/>
          </rPr>
          <t xml:space="preserve">
Savings from expiration of grower buyout ~$0.06/pack</t>
        </r>
      </text>
    </comment>
    <comment ref="CN305" authorId="7">
      <text>
        <r>
          <rPr>
            <b/>
            <sz val="8"/>
            <color indexed="81"/>
            <rFont val="Tahoma"/>
            <family val="2"/>
          </rPr>
          <t>colantuo:</t>
        </r>
        <r>
          <rPr>
            <sz val="8"/>
            <color indexed="81"/>
            <rFont val="Tahoma"/>
            <family val="2"/>
          </rPr>
          <t xml:space="preserve">
-3% after adjusting for one extra shipping day and changes in trade inventories and retail share gains</t>
        </r>
      </text>
    </comment>
    <comment ref="CM310" authorId="6">
      <text>
        <r>
          <rPr>
            <b/>
            <sz val="8"/>
            <color indexed="81"/>
            <rFont val="Tahoma"/>
            <family val="2"/>
          </rPr>
          <t>ayalavin:</t>
        </r>
        <r>
          <rPr>
            <sz val="8"/>
            <color indexed="81"/>
            <rFont val="Tahoma"/>
            <family val="2"/>
          </rPr>
          <t xml:space="preserve">
difficult shipment comparison due to less trade de-load in the year ago period</t>
        </r>
      </text>
    </comment>
    <comment ref="CN314" authorId="7">
      <text>
        <r>
          <rPr>
            <b/>
            <sz val="8"/>
            <color indexed="81"/>
            <rFont val="Tahoma"/>
            <family val="2"/>
          </rPr>
          <t>colantuo:</t>
        </r>
        <r>
          <rPr>
            <sz val="8"/>
            <color indexed="81"/>
            <rFont val="Tahoma"/>
            <family val="2"/>
          </rPr>
          <t xml:space="preserve">
Adjusted volume was down 3.5%</t>
        </r>
      </text>
    </comment>
    <comment ref="CM317" authorId="6">
      <text>
        <r>
          <rPr>
            <b/>
            <sz val="8"/>
            <color indexed="81"/>
            <rFont val="Tahoma"/>
            <family val="2"/>
          </rPr>
          <t>ayalavin:</t>
        </r>
        <r>
          <rPr>
            <sz val="8"/>
            <color indexed="81"/>
            <rFont val="Tahoma"/>
            <family val="2"/>
          </rPr>
          <t xml:space="preserve">
earlier trade de-load due to earlier price increase</t>
        </r>
      </text>
    </comment>
    <comment ref="CI321" authorId="6">
      <text>
        <r>
          <rPr>
            <b/>
            <sz val="8"/>
            <color indexed="81"/>
            <rFont val="Tahoma"/>
            <family val="2"/>
          </rPr>
          <t>ayalavin:</t>
        </r>
        <r>
          <rPr>
            <sz val="8"/>
            <color indexed="81"/>
            <rFont val="Tahoma"/>
            <family val="2"/>
          </rPr>
          <t xml:space="preserve">
PM USA believes that the trade built more inventory during the second quarter of 2012 versus the prior-year period, which benefited comparisons of its reported second-quarter shipments. PM USA also believes that the trade depleted inventories following PM USA's June 18, 2012 list price increase, and this depletion continued into July.</t>
        </r>
      </text>
    </comment>
    <comment ref="CJ323" authorId="6">
      <text>
        <r>
          <rPr>
            <b/>
            <sz val="8"/>
            <color indexed="81"/>
            <rFont val="Tahoma"/>
            <family val="2"/>
          </rPr>
          <t>ayalavin:</t>
        </r>
        <r>
          <rPr>
            <sz val="8"/>
            <color indexed="81"/>
            <rFont val="Tahoma"/>
            <family val="2"/>
          </rPr>
          <t xml:space="preserve">
PM USA believes the trade depleted less inventory compared to the year ago period
</t>
        </r>
      </text>
    </comment>
    <comment ref="CP386" authorId="2">
      <text>
        <r>
          <rPr>
            <b/>
            <sz val="8"/>
            <color indexed="81"/>
            <rFont val="Tahoma"/>
            <family val="2"/>
          </rPr>
          <t>pamelk:</t>
        </r>
        <r>
          <rPr>
            <sz val="8"/>
            <color indexed="81"/>
            <rFont val="Tahoma"/>
            <family val="2"/>
          </rPr>
          <t xml:space="preserve">
Extra shipping day; 4% adjusted</t>
        </r>
      </text>
    </comment>
    <comment ref="BW388" authorId="3">
      <text>
        <r>
          <rPr>
            <b/>
            <sz val="8"/>
            <color indexed="81"/>
            <rFont val="Tahoma"/>
            <family val="2"/>
          </rPr>
          <t>matgrai:</t>
        </r>
        <r>
          <rPr>
            <sz val="8"/>
            <color indexed="81"/>
            <rFont val="Tahoma"/>
            <family val="2"/>
          </rPr>
          <t xml:space="preserve">
Note estimated -2% for 1H09</t>
        </r>
      </text>
    </comment>
    <comment ref="BX388" authorId="3">
      <text>
        <r>
          <rPr>
            <b/>
            <sz val="8"/>
            <color indexed="81"/>
            <rFont val="Tahoma"/>
            <family val="2"/>
          </rPr>
          <t>matgrai:</t>
        </r>
        <r>
          <rPr>
            <sz val="8"/>
            <color indexed="81"/>
            <rFont val="Tahoma"/>
            <family val="2"/>
          </rPr>
          <t xml:space="preserve">
Note estimated -2% for 9M09</t>
        </r>
      </text>
    </comment>
    <comment ref="CX389" authorId="5">
      <text>
        <r>
          <rPr>
            <b/>
            <sz val="9"/>
            <color indexed="81"/>
            <rFont val="Tahoma"/>
            <family val="2"/>
          </rPr>
          <t>Colantuoni, John (Research):</t>
        </r>
        <r>
          <rPr>
            <sz val="9"/>
            <color indexed="81"/>
            <rFont val="Tahoma"/>
            <family val="2"/>
          </rPr>
          <t xml:space="preserve">
Estimates industry grew 2.5% over past 6 months</t>
        </r>
      </text>
    </comment>
    <comment ref="DA389" authorId="4">
      <text>
        <r>
          <rPr>
            <b/>
            <sz val="9"/>
            <color indexed="81"/>
            <rFont val="Tahoma"/>
            <family val="2"/>
          </rPr>
          <t>Kaufman, Pamela (Research):</t>
        </r>
        <r>
          <rPr>
            <sz val="9"/>
            <color indexed="81"/>
            <rFont val="Tahoma"/>
            <family val="2"/>
          </rPr>
          <t xml:space="preserve">
2.5% over the past 6 months</t>
        </r>
      </text>
    </comment>
    <comment ref="DC389" authorId="4">
      <text>
        <r>
          <rPr>
            <b/>
            <sz val="9"/>
            <color indexed="81"/>
            <rFont val="Tahoma"/>
            <family val="2"/>
          </rPr>
          <t>Kaufman, Pamela (Research):</t>
        </r>
        <r>
          <rPr>
            <sz val="9"/>
            <color indexed="81"/>
            <rFont val="Tahoma"/>
            <family val="2"/>
          </rPr>
          <t xml:space="preserve">
1H17</t>
        </r>
      </text>
    </comment>
    <comment ref="BZ434" authorId="3">
      <text>
        <r>
          <rPr>
            <b/>
            <sz val="8"/>
            <color indexed="81"/>
            <rFont val="Tahoma"/>
            <family val="2"/>
          </rPr>
          <t>matgrai:</t>
        </r>
        <r>
          <rPr>
            <sz val="8"/>
            <color indexed="81"/>
            <rFont val="Tahoma"/>
            <family val="2"/>
          </rPr>
          <t xml:space="preserve">
Estimated +16% on an adjusted basis</t>
        </r>
      </text>
    </comment>
    <comment ref="CB434" authorId="3">
      <text>
        <r>
          <rPr>
            <b/>
            <sz val="8"/>
            <color indexed="81"/>
            <rFont val="Tahoma"/>
            <family val="2"/>
          </rPr>
          <t>matgrai:</t>
        </r>
        <r>
          <rPr>
            <sz val="8"/>
            <color indexed="81"/>
            <rFont val="Tahoma"/>
            <family val="2"/>
          </rPr>
          <t xml:space="preserve">
growth slowed due to depletion of 1H inventory build-up</t>
        </r>
      </text>
    </comment>
    <comment ref="CP446" authorId="2">
      <text>
        <r>
          <rPr>
            <b/>
            <sz val="8"/>
            <color indexed="81"/>
            <rFont val="Tahoma"/>
            <family val="2"/>
          </rPr>
          <t>pamelk:</t>
        </r>
        <r>
          <rPr>
            <sz val="8"/>
            <color indexed="81"/>
            <rFont val="Tahoma"/>
            <family val="2"/>
          </rPr>
          <t xml:space="preserve">
Have $185mm remaining under repurchase program - expect to complete it by 3Q14</t>
        </r>
      </text>
    </comment>
    <comment ref="T486" authorId="4">
      <text>
        <r>
          <rPr>
            <b/>
            <sz val="9"/>
            <color indexed="81"/>
            <rFont val="Tahoma"/>
            <family val="2"/>
          </rPr>
          <t>Kaufman, Pamela (Research):</t>
        </r>
        <r>
          <rPr>
            <sz val="9"/>
            <color indexed="81"/>
            <rFont val="Tahoma"/>
            <family val="2"/>
          </rPr>
          <t xml:space="preserve">
takes into account refinancing in 2016</t>
        </r>
      </text>
    </comment>
    <comment ref="P512" authorId="6">
      <text>
        <r>
          <rPr>
            <b/>
            <sz val="8"/>
            <color indexed="81"/>
            <rFont val="Tahoma"/>
            <family val="2"/>
          </rPr>
          <t>ayalavin:</t>
        </r>
        <r>
          <rPr>
            <sz val="8"/>
            <color indexed="81"/>
            <rFont val="Tahoma"/>
            <family val="2"/>
          </rPr>
          <t xml:space="preserve">
as per 2012 10-k</t>
        </r>
      </text>
    </comment>
    <comment ref="A520" authorId="1">
      <text>
        <r>
          <rPr>
            <b/>
            <sz val="8"/>
            <color indexed="81"/>
            <rFont val="Tahoma"/>
            <family val="2"/>
          </rPr>
          <t>Matthew Grainger:</t>
        </r>
        <r>
          <rPr>
            <sz val="8"/>
            <color indexed="81"/>
            <rFont val="Tahoma"/>
            <family val="2"/>
          </rPr>
          <t xml:space="preserve">
$300 mil add'l SG&amp;A + $250 mil corporate restructuring + $250 mil incremental MO + $300 mil UST</t>
        </r>
      </text>
    </comment>
  </commentList>
</comments>
</file>

<file path=xl/comments2.xml><?xml version="1.0" encoding="utf-8"?>
<comments xmlns="http://schemas.openxmlformats.org/spreadsheetml/2006/main">
  <authors>
    <author>Ryerson, Tony (Research)</author>
    <author>vandrews</author>
    <author>danilee</author>
    <author>Matthew Grainger</author>
    <author>Kaufman, Pamela (Research)</author>
  </authors>
  <commentList>
    <comment ref="V42" authorId="0">
      <text>
        <r>
          <rPr>
            <b/>
            <sz val="9"/>
            <color indexed="81"/>
            <rFont val="Tahoma"/>
            <family val="2"/>
          </rPr>
          <t>Ryerson, Tony (Research):</t>
        </r>
        <r>
          <rPr>
            <sz val="9"/>
            <color indexed="81"/>
            <rFont val="Tahoma"/>
            <family val="2"/>
          </rPr>
          <t xml:space="preserve">
div payable</t>
        </r>
      </text>
    </comment>
    <comment ref="L44" authorId="1">
      <text>
        <r>
          <rPr>
            <b/>
            <sz val="8"/>
            <color indexed="81"/>
            <rFont val="Tahoma"/>
            <family val="2"/>
          </rPr>
          <t>vandrews:</t>
        </r>
        <r>
          <rPr>
            <sz val="8"/>
            <color indexed="81"/>
            <rFont val="Tahoma"/>
            <family val="2"/>
          </rPr>
          <t xml:space="preserve">
+(CashFlow!L43*0.9)</t>
        </r>
      </text>
    </comment>
    <comment ref="M61" authorId="2">
      <text>
        <r>
          <rPr>
            <b/>
            <sz val="8"/>
            <color indexed="81"/>
            <rFont val="Tahoma"/>
            <family val="2"/>
          </rPr>
          <t>danilee:</t>
        </r>
        <r>
          <rPr>
            <sz val="8"/>
            <color indexed="81"/>
            <rFont val="Tahoma"/>
            <family val="2"/>
          </rPr>
          <t xml:space="preserve">
adjusted according to ratio of post and pre spin off shareholders' equity.</t>
        </r>
      </text>
    </comment>
    <comment ref="M62" authorId="2">
      <text>
        <r>
          <rPr>
            <b/>
            <sz val="8"/>
            <color indexed="81"/>
            <rFont val="Tahoma"/>
            <family val="2"/>
          </rPr>
          <t>danilee:</t>
        </r>
        <r>
          <rPr>
            <sz val="8"/>
            <color indexed="81"/>
            <rFont val="Tahoma"/>
            <family val="2"/>
          </rPr>
          <t xml:space="preserve">
adjusted according to ratio of post and pre spin off shareholders' equity.</t>
        </r>
      </text>
    </comment>
    <comment ref="M63" authorId="2">
      <text>
        <r>
          <rPr>
            <b/>
            <sz val="8"/>
            <color indexed="81"/>
            <rFont val="Tahoma"/>
            <family val="2"/>
          </rPr>
          <t>danilee:</t>
        </r>
        <r>
          <rPr>
            <sz val="8"/>
            <color indexed="81"/>
            <rFont val="Tahoma"/>
            <family val="2"/>
          </rPr>
          <t xml:space="preserve">
adjusted according to ratio of post and pre spin off shareholders' equity.</t>
        </r>
      </text>
    </comment>
    <comment ref="M64" authorId="2">
      <text>
        <r>
          <rPr>
            <b/>
            <sz val="8"/>
            <color indexed="81"/>
            <rFont val="Tahoma"/>
            <family val="2"/>
          </rPr>
          <t>danilee:</t>
        </r>
        <r>
          <rPr>
            <sz val="8"/>
            <color indexed="81"/>
            <rFont val="Tahoma"/>
            <family val="2"/>
          </rPr>
          <t xml:space="preserve">
adjusted according to ratio of post and pre spin off shareholders' equity.</t>
        </r>
      </text>
    </comment>
    <comment ref="M65" authorId="2">
      <text>
        <r>
          <rPr>
            <b/>
            <sz val="8"/>
            <color indexed="81"/>
            <rFont val="Tahoma"/>
            <family val="2"/>
          </rPr>
          <t>danilee:</t>
        </r>
        <r>
          <rPr>
            <sz val="8"/>
            <color indexed="81"/>
            <rFont val="Tahoma"/>
            <family val="2"/>
          </rPr>
          <t xml:space="preserve">
adjusted according to ratio of post and pre spin off shareholders' equity.</t>
        </r>
      </text>
    </comment>
    <comment ref="M192" authorId="1">
      <text>
        <r>
          <rPr>
            <b/>
            <sz val="8"/>
            <color indexed="81"/>
            <rFont val="Tahoma"/>
            <family val="2"/>
          </rPr>
          <t>vandrews:</t>
        </r>
        <r>
          <rPr>
            <sz val="8"/>
            <color indexed="81"/>
            <rFont val="Tahoma"/>
            <family val="2"/>
          </rPr>
          <t xml:space="preserve">
hardcoated due to KFT link - go back to 5/31/07 model for formula</t>
        </r>
      </text>
    </comment>
    <comment ref="M200" authorId="1">
      <text>
        <r>
          <rPr>
            <b/>
            <sz val="8"/>
            <color indexed="81"/>
            <rFont val="Tahoma"/>
            <family val="2"/>
          </rPr>
          <t>vandrews:</t>
        </r>
        <r>
          <rPr>
            <sz val="8"/>
            <color indexed="81"/>
            <rFont val="Tahoma"/>
            <family val="2"/>
          </rPr>
          <t xml:space="preserve">
hardcoated from KFT link-go back to 5/31/07 model for formula</t>
        </r>
      </text>
    </comment>
    <comment ref="Q250" authorId="3">
      <text>
        <r>
          <rPr>
            <b/>
            <sz val="8"/>
            <color indexed="81"/>
            <rFont val="Tahoma"/>
            <family val="2"/>
          </rPr>
          <t>Matthew Grainger:</t>
        </r>
        <r>
          <rPr>
            <sz val="8"/>
            <color indexed="81"/>
            <rFont val="Tahoma"/>
            <family val="2"/>
          </rPr>
          <t xml:space="preserve">
Does not include $40 million revolver (contractually required early retirement)</t>
        </r>
      </text>
    </comment>
    <comment ref="M269" authorId="1">
      <text>
        <r>
          <rPr>
            <b/>
            <sz val="8"/>
            <color indexed="81"/>
            <rFont val="Tahoma"/>
            <family val="2"/>
          </rPr>
          <t>vandrews:</t>
        </r>
        <r>
          <rPr>
            <sz val="8"/>
            <color indexed="81"/>
            <rFont val="Tahoma"/>
            <family val="2"/>
          </rPr>
          <t xml:space="preserve">
hardcoated from KFT link-go back to 5/31/07 model for formula</t>
        </r>
      </text>
    </comment>
    <comment ref="O269" authorId="1">
      <text>
        <r>
          <rPr>
            <b/>
            <sz val="8"/>
            <color indexed="81"/>
            <rFont val="Tahoma"/>
            <family val="2"/>
          </rPr>
          <t>vandrews:</t>
        </r>
        <r>
          <rPr>
            <sz val="8"/>
            <color indexed="81"/>
            <rFont val="Tahoma"/>
            <family val="2"/>
          </rPr>
          <t xml:space="preserve">
hardcoated from KFT link-go back to 5/31/07 model for formula</t>
        </r>
      </text>
    </comment>
    <comment ref="T293" authorId="4">
      <text>
        <r>
          <rPr>
            <b/>
            <sz val="9"/>
            <color indexed="81"/>
            <rFont val="Tahoma"/>
            <family val="2"/>
          </rPr>
          <t>Kaufman, Pamela (Research):</t>
        </r>
        <r>
          <rPr>
            <sz val="9"/>
            <color indexed="81"/>
            <rFont val="Tahoma"/>
            <family val="2"/>
          </rPr>
          <t xml:space="preserve">
have ~$1.4bn outstanding</t>
        </r>
      </text>
    </comment>
  </commentList>
</comments>
</file>

<file path=xl/comments3.xml><?xml version="1.0" encoding="utf-8"?>
<comments xmlns="http://schemas.openxmlformats.org/spreadsheetml/2006/main">
  <authors>
    <author>Kaufman, Pamela (Research)</author>
    <author>Vincent Andrews</author>
  </authors>
  <commentList>
    <comment ref="W29" authorId="0">
      <text>
        <r>
          <rPr>
            <b/>
            <sz val="9"/>
            <color indexed="81"/>
            <rFont val="Tahoma"/>
            <family val="2"/>
          </rPr>
          <t>Kaufman, Pamela (Research):</t>
        </r>
        <r>
          <rPr>
            <sz val="9"/>
            <color indexed="81"/>
            <rFont val="Tahoma"/>
            <family val="2"/>
          </rPr>
          <t xml:space="preserve">
Cash from SAB merger $5.3 bn pretax (includes $500 MM from derivative gain on FX) and $1.5 bn ABI purchase in open market</t>
        </r>
      </text>
    </comment>
    <comment ref="J68" authorId="1">
      <text>
        <r>
          <rPr>
            <b/>
            <sz val="8"/>
            <color indexed="81"/>
            <rFont val="Tahoma"/>
            <family val="2"/>
          </rPr>
          <t>Vincent Andrews:</t>
        </r>
        <r>
          <rPr>
            <sz val="8"/>
            <color indexed="81"/>
            <rFont val="Tahoma"/>
            <family val="2"/>
          </rPr>
          <t xml:space="preserve">
note that for the ModelWare change in SE calculation, you must add the change in treasury stock from the statement of changes in shareholders equity</t>
        </r>
      </text>
    </comment>
  </commentList>
</comments>
</file>

<file path=xl/comments4.xml><?xml version="1.0" encoding="utf-8"?>
<comments xmlns="http://schemas.openxmlformats.org/spreadsheetml/2006/main">
  <authors>
    <author>matgrai</author>
  </authors>
  <commentList>
    <comment ref="A1" authorId="0">
      <text>
        <r>
          <rPr>
            <b/>
            <sz val="8"/>
            <color indexed="81"/>
            <rFont val="Tahoma"/>
            <family val="2"/>
          </rPr>
          <t>卟䙄_x0001_＀＀ߚ丠'位坞当䱈䡔䅃䕒啟䙎䉟久ㄨ⼲〲〱ⰬⰬ单⥄착＀＀＀＀ߗ丠$位䍞彁䕐华䱟彔十䕓協ㄨ⼲〲㠰ⰬⰬ单⥄_x0018_＀＀_x0018_＀＀_x0008_＀＀_x0001_＀＀_x0001_＀＀＀＀＀＀＀＀＀＀ߗ丠#位䍞彁䕐华䱟彔䥌䉁⡓㈱㈯〰ⰲⰬ唬䑓착_x0018_＀＀_x0018_＀＀_x0008_＀＀_x0001_＀＀_x0001_＀＀豀碵꼝쐕ߗ丠$位䍞彁䕐华䍟剕䱟䅉卂ㄨ⼲〲㐰ⰬⰬ单⥄_x0018_＀＀_x0018_＀＀_x0008_＀＀_x0001_＀＀_x0001_＀＀豀碵꼝쐕ߗ丠%潭灞灟楲散慟杶ㄨㄯ㈯〰ⰵ㈱㌯⼱〲㔰搬착߸＀＀_x0018_＀＀ߨ＀＀ý＀＀_x0001_＀＀嬠꾖䣋䀬쏧ҳᄙ䀬䇡䋞䀬괃郀㗕䀬覱峌ˠ䀬踥ြ汙䀬ꩨ쬧䀬뀩ꘀ萌䀬淸螚䀬✵㈯휁䀬_xD9C6_Ѵ印䀭鮹䀭遤ࢻ汓䀭麄꫍㗏䀭玼䌨ౕ䀭ꉌ왩䀬臜헑䀬䘓늳ꁽ䀬⣇볏︜䀬쁄吡䆩䀭㽧豒䀭쯪仒闍䀭⚑Ǟ钞䀭硴膧䀭栁⺔Ͻ䀯識悶캩䀮끣볢䀮ೲ祥㠧䀮끣볢䀮_xDFF4_힃ꔮ䀮븳ⸯ饕䀮嬋閳钗䀮ﶂ맗卩䀮ਏ텊䀭촤ଟ䀮_xD877_晄㠮䀭钖쾻짱䀭翌뽈⵽䀮諫槭䀮熬ᴶ搁䀮븳ⸯ饕䀮⡉ⅽ糤䀮鐤梾䀮떲䢾鍨䀮熬ᴶ搁䀮諫槭䀮巈⦄ᗊ䀮쎏﹠儊䀮蠉롉➐䀮嚘⬞䀮ⶥ㒙䀮᧷_xDE17_䀭촤ଟ䀮ਏ텊䀭青掌䬤䀭ಈ碫欣䀭⚑Ǟ钞䀭伿؃罉䀭긘耎_xDBB8_䀭珢_xD827_쵿䀭㺧벐䁳䀮ꇏ唌䔱䀮僅ⱎ䀮븎餰_xD82A_䀭Ꮯ哫᛹䀮찑囷䀮䀹䜰枏䀮⚷雝嗈䀮悪剔堧䀮翌뽈⵽䀮볤迿縓䀮쎏﹠儊䀮줭묁ᒚ䀮勷聸䀭鍆ㆋ꺰䀭玼䌨ౕ䀭_xDB7F_␓㮶䀮큟ɂ_xFFFF_ｆ䀭_xDB7F_␓㮶䀮䡑ꬲꁷ䀭唄垣Ѓ䀮븎餰_xD82A_䀭巈⦄ᗊ䀮_xDBC2_ႃ䞐䀮⥖팽豋䀮㵽덟䀮ύ䀮쏳너䀮଴鮴䀮ᝈ嚛焊䀮ꇏ唌䔱䀮蠉롉➐䀮늕ᄌ䀮븳ⸯ饕䀮쏳너䀮텏岑䀮갈娜㍤䀯ↁ宫弽䀯搸獢䀯ሒ᭩穿䀯⨂䄜攪䀯ꔚ_xFFFF_ｋ咒䀯듌⯽䔫䀯灤ᒔ䀯心㖓৪䀯씅㆏䵷䀯﷫㭆⁮䀯뭷驞ᠢ䀯똜쨭恬䀯醟贈퍠䀯ꖐ崏ݐ䀰玗긩̪䀰迉ᗸꁫ䀯往䤣︐䀮졇鹀왝䀮䴯훴䀮쬪윐ࢺ䀯㷀鿏䀮ꥩᶼﳡ䀮✠ᡌ⋍䀯_xDFF4_힃ꔮ䀮௥䡚⣀䀮጗辛፫䀮翌뽈⵽䀮ᐢ䅛⋓䀮䭷쁲䀭绤᪇䀮﫣絷᳦䀮⟵䀭笓Ὠ렫䀭ዓꌫޑ䀮妼祕䀮䖕ᝡὅ䀮妼祕䀮ⴅ_xD824_䀮ᮽ਋_xDA83_䀮䆊苐䀮숿怰㗉䀮汐䴅걋䀮穰症䀮嶪툓쬚䀮䌛瀀ꧬ䀮浝ﻅ뮲䀮識悶캩䀮ﳞ覆ᄆ䀯랥_xFFFF_＿䀮⬬䩍뽁䀮往䤣︐䀮걋䚌㼾䀯듌⯽䔫䀯껄뒖䀮운Ꭰ齂䀮끣볢䀮ᓏ꼺ﮱ䀮䤣긐㪀䀯매྾䀮ꇵٛ䀯_xDD7A_〢⿖䀯贪_xD998_槧䀯૑夌䫝䀰㊶韡ㇺ䀰鸛⥞⃋䀰㊶韡⇺䀰氣穸Ქ䀰瓧䱙⹬䀰籛耊ᓱ䀰䋮鵳ᩆ䀰ﯨⷒ䀰螾蹋崻䀰_xD8D8_ꨥ㚷䀰雷땉㝏䀰᎕⫭岤䀰乑ꮴ犐䀰㥃껑쩂䀰࢚鸛텞䀰_xFFFF_ￖ찹쾗䀰├캯瀱䀰꫎헏鑖䀰꒩䁎뤓䀰麄꫍䀰ꗹ_xDE7E_䀰횢_xDD38_䀰꫎헏鑖䀰Ỹ㤮ꓮ䀰Ỹ㤮ꓮ䀰꒩䁎줓䀰䒧봒ʌ䀱뀌亏ŝ䀱ㄦఈ䀱ﬁ퓨ྕ䀱蠧ྺ⩀䀱蠧ྺ⩀䀱ﵵ▂䀱켭뮃횳䀰얄䀰ﯨ跒䀰ﯨ귒䀰㸙꘢橄䀰᜙ᰎ䀰床녆嫜䀰뭯峐妧䀱筴捉운䀰ହ_xDA7B_១䀱㇏笠펽䀰薈퍚䀰䵪軳⑓䀱팜阓㡸䀱灺홷䭮䀱縔龩ﴷ䀰㿑엁把䀱舂稹廼䀱▅倞ⴶ䀱㺂➑䝉䀱矯ਨㇴ䀱顟ᕌ⊌䀱ㄦⰈ䀱人ⴣ㾕䀱淛騗ᓫ䀱⹉⇿㻽䀱恂탥匢䀱㽧䑒䀱廲㊵㟡䀱㑮란ᩀ䀱쏊굂鹩䀰価䧤緒䀰ᘴ杍錧䀰৪㱋䀰麄꫍﷏䀰뀌亏ŝ䀱_xDF66_섕_xDEFF_䀰ᅞ濼䀰颈_xD912_䀰㪓䴁䀰ퟱ赤䀰켭뮃횳䀰_xDE16_⋥쎾䀰嚖ꩃ䀰槭뾇ꌦ䀰➻ଏ뚵䀰萸㔪졻䀰顟ᕌ⊌䀱㯣Ⴥ䀱㎇骿밃䀱翌뽈䀱੓붺릤䀱䬴퐂體䀱뚚敿ꦥ䀱늕줌䀱䬴퐂體䀱椆ꋆ擩䀱椆ꋆ擩䀱ὠ몝懲䀱灺홷䭮䀱ߗ丠P位䍞彁䕐华䅟䍃䵕䍟䵏剐义⡃㈱㈯〰ⰴⰬ唬䑓䀩南䍟䵏剐䥟䍎偟久当䥌䉁ㄨ⼲〲㐰ⰬⰬ单⥄_x0018_＀＀_x0018_＀＀_x0008_＀＀_x0001_＀＀_x0001_＀＀＀＀＀＀ 䂜ߘ丠&amp;位䍞彁䕐华䙟乕彄呓呁单ㄨ⼲〲〱ⰬⰬ单⥄_x0018_＀＀_x0018_＀＀_x0008_＀＀_x0001_＀＀_x0001_＀＀＀＀＀＀᐀삓ߗ丠&amp;位坞当䕐彎佐呓剟呅䉟久ㄨ⼲〲㜰ⰬⰬ单⥄_x0018_＀＀_x0018_＀＀_x0008_＀＀_x0001_＀＀_x0001_＀＀＀＀＀＀＀＀䂢ߗ丠#位䍞彁䕐华䱟彔䥌䉁⡓㈱㈯〰ⰸⰬ唬䑓착_x0018_＀＀_x0018_＀＀_x0008_＀＀_x0001_＀＀_x0001_＀＀＀＀＀＀쐀䂕ߘ丠$位䍞彁䕐华䍟剕䱟䅉卂ㄨ⼲〲〱ⰬⰬ单⥄_x0018_＀＀_x0018_＀＀_x0008_＀＀_x0001_＀＀_x0001_＀＀＀＀＀＀＀＀䀾ߚ丠F位䍞彁佐呓䕒彔佃呓ㄨ⼲〲〱ⰬⰬ单⥄址当䱈䡔䅃䕒也偐䕟偘ㄨ⼲〲〱ⰬⰬ单⥄_x0018_＀＀_x0018_＀＀_x0008_＀＀_x0001_＀＀_x0001_＀＀＀＀＀＀䁥ߘ丠(位䍞彁䕐华䕟偍䍟乏剔䉉䍟ㄨ⼲〲〱ⰬⰬ单⥄_x0018_＀＀_x0018_＀＀_x0008_＀＀_x0001_＀＀_x0001_＀＀＀＀＀＀＀＀䀾ߗ丠*位䍞彁佐呓䕒彔䅐呒䍟乏剔䉉ㄨ⼲〲㠰ⰬⰬ单⥄_x0018_＀＀_x0018_＀＀_x0008_＀＀_x0001_＀＀_x0001_＀＀＀＀＀＀＀＀＀＀ߗ丠%潭灞灟楲散慟杶ㄨㄯ㈯〰ⰳ㈱㌯⼱〲㌰搬착߸＀＀_x0018_＀＀ߨ＀＀ý＀＀_x0001_＀＀틡쌙䀢೤귅䀢赇ㄉ沗䀢_xFFFF_ﾛᵗ䨹䀢㣫꡾਴䀣ꦬਬ삻䀢䇲曏⟕䀣筟䥦ኀ䀣䇲曏⟕䀣ꖠ_xD82B_⑆䀣딏ᡭअ䀣ᬙ_xD9BA_借䀣̩됇整䀣珫ᖵ᯻䀣צ䟘䀢玂鑆件䀢イǯ䀢룵땯䀡呾练쑏䀡滧䯗⑓䀡鞕俼໾䀡櫛᧖蟟䀡輪쮷앾䀡궒Ꜯ鰄䀡措튕鴳䀡쏯䉁徔䀡䁗麡樾䀡웒欑ꇱ䀡﷣ﶸ懲䀡磻믨兛䀡ᘖ࿜塸䀡콒傂꟞䀡ℶㆭ铨䀡倊쭓嫖䀡򣕔⌣䀡퓱ണ歮䀡쫞鴒㹥䀡措튕鴳䀡賞꾚龒䀡셶髠䀡룵땯䀡쭆ẁ୪䀢멅原_xFFFF_ﾐ䀡忡贄ಙ䀢饫윌䇳䀡ﵺ籉铮䀠餂䖝瓯䀠݋_xFFFF_￫똜䀠녧褔䀠녧褔䀠串죙⭵䀠ㆩኒ䀠┤ఽ⺭䀞䵶䀟㸩ℾ뼻䀟麡Ⱦ㡿䀠們࣡ᥒ䀟䙁蕀䀞㕀멞䀞ጼ⒚풖䀞ᠮ獜뽇䀝Ꞃ⮐복䀛㻺М䀚ᡃ贿獻䀛߉鬽罕䀛⮙檃㎃䀚趗硫_xDE29_䀚轏ᥭ왰䀛_xDAB9_ඊ䀜迕_xDE23_䀛㈯뼁剆䀜㬘◡┸䀝ꮖଟ䀞졗奜䀝珢_xD827_쵿䀝䐂賁䀝ᷳ쓼䐁䀞앥異萀䀞謯춉症䀞⸣贀뗒䀜ᙶ厽휁䀜샧葲萌䀜랝_xD9B1_窑䀜⡞㭠ㄘ䀜䙖鼣걗䀜퉯⠴Ꞛ䀜쬾볮䀜칣ଥ䀝肌䜊몐䀜졗奜䀝켵螺ꔮ䀞絒៧력䀞쬵䀞憙겣㳟䀟ጼ⒚풖䀞쬩윐ࢺ䀟뼒ൢ⤗䀠黭ⰼ뫔䀡犛瞅¹䀣쬌澟阋䀣邒_xDB48_篸䀣殭Ჴ⇨䀣鴠ṙ䀣鴠ṙ䀣张Ղ羇䀣씪욎욡䀣Ɓ_xFFFF_ﾄ䀣챣ଢ଼䀤␃䂚⌑䀤흻⾠䀣圈ꅀ䚞䀤ఓ᫧㡦䀤괺ꃛ_xDBF6_䀣ﰻ夵蚣䀣獇_xD997_䀣⸳䀣︷敄竃䀤Β㕶㉹䀤瑓霤䀣脆䎕䲋䀤⮝ॊ_xDAC1_䀤馿⺘嫄䀤ퟤ넏뫁䀤䓜촭䀤_xDB09_왏ࣸ䀥歕ᙡ懚䀥쀛⁛酁䀥⣡畹妎䀥ꡮ뉯䀥蚭㷄Ꚗ䀥礋㜄幒䀤Ɓ_xFFFF_ﾄ䀣蛂垧嫊䀣ꁄߺ沑䀣ѓ봸뾋䀢꽋웍葊䀢寕嬃瀥䀢뤛䩮ꕹ䀢Ꮒﵺꑉ䀢뤛䩮ꕹ䀢㐳࢞铢䀢텎岑鯾䀢쓁䔟劣䀢Ꮒﵺꑉ䀢Ꮒﵺꑉ䀢꽋웍葊䀢咤Ꮒ蕺䀢뤛䩮ꕹ䀢樚鈔頻䀢皧ꦆ鴭䀢텎岑鯾䀢鳓肼䀢闔竏䀢康菓늂䀢恊๳_xD99E_䀢೤귅䀢ꚇ犃䀢ꚇ犃䀢쭆ẁ୪䀢㚬꿿਺䀢ሯ狚紮䀢껶睁䀢⣐艹䲗䀢꽋웍葊䀢ꛊ繝䀢뤛䩮ꕹ䀢㖴䀢땒ӝᓟ䀣痀賅仰䀣巐朒摅䀣렴ⶭ圼䀣깤ꨌ㘍䀣麲絚䕵䀣蔯촇㎮䀣⫋٬䂸䀣鍏漙ﴫ䀢䛇帠쟗䀢ᕕ蠚쭥䀢ꄫⒻ뫎䀢훘_xFFFF_ｏꭙ䀤欯腢ꂯ䀤㦼ꭜꐽ䀤ꓟ偩霴䀤뵕仼馓䀤䣩_xFFFF_Ｎ紡䀤⸖낫候䀤઀遇ᅊ䀤␃䂚⌑䀤圈ꅀ䚞䀤㢒訫䀤볏瘜臟䀤孽咰뀗䀤䷒_xD862_䀤ꠄ斩䀤⭚᳚컧䀤⑬숉䀤⮝ॊ_xDAC1_䀤ሚ壷죺䀤⌜⏙퓔䀤㲟퐬䀤⭚᳚컧䀤ퟤ넏뫁䀤ꦗಆ䀥澤㓒ਨ䀥嘡葿䀤㸱廌බ䀥褦ᯮ䀥戀䀤䈠㥜彻䀥哷筎鹊䀥ኄ_xDA66_闾䀥∵ܘ蚗䀥퀏㥽足䀥Ƃ྄訥䀥廉ﻯ뽸䀥묂㲚䀥흮䀦ຝ㵤몵䀦맘㍩譎䀦셲ﰙ䋽䀧嗉縬㡓䀧ꕭ仗䀧ꕭ仗䀧젝橺ᗵ䀧Ɡ彖╝䀧탡㱛➼䀧ፖ_xDD44_〇䀧礜눠歈䀧榭燞蚊䀧_xDA0E_辫ڇ䀨಍ᝲቡ䀨䠒嶉㯛䀨蟨숑ඣ䀨㋠쮧퉢䀧좆䀧쾷㌪춥䀧쑺맨䚅䀨㲯佈䀧썭ࠨ㜞䀨≆舴鎍䀨뽡혧骩䀨蚾룠뎌䀨⠋폔ᡇ䀩ᜉࣲ౮䀩홫_xDF19_㜗䀩㎲캅汫䀩賅䐠䀩解츠ǃ䀩톳㼹쇅䀨ᑪ첒헪䀨땴ﬕ⻋䀩㿻驪˲䀩뚌ㄪ䀩ߗ丠F位䍞彁佐呓䕒彔佃呓ㄨ⼲〲㠰ⰬⰬ单⥄址当䱈䡔䅃䕒也偐䕟偘ㄨ⼲〲㠰ⰬⰬ单⥄_x0018_＀＀_x0018_＀＀_x0008_＀＀_x0001_＀＀_x0001_＀＀＀＀＀＀＀＀䁫ߗ丠&amp;獵年彰牰捩彥癡⡧⼱⼱〲㐰ㄬ⼲ㄳ㈯〰ⰴ⥤߸＀＀_x0018_＀＀ߨ＀＀ý＀＀_x0001_＀＀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ߗ丠%位䍞彁䕐华䅟呓䥟呎乁⡇㈱㈯〰ⰷⰬ唬䑓착_x0018_＀＀_x0018_＀＀_x0008_＀＀_x0001_＀＀_x0001_＀＀豀碵꼝쐕ߗ丠(位坞当䱈䡔䅃䕒䑟卉彃䅒䕔ㄨ⼲〲㜰ⰬⰬ单⥄_x0018_＀＀_x0018_＀＀_x0008_＀＀_x0001_＀＀_x0001_＀＀쳍쳌쳌䀘ߗ丠_x0019_位坞当塅䡃剟呁彅䅂彌䡓〨착_x0018_＀＀_x0018_＀＀_x0008_＀＀_x0001_＀＀_x0001_＀＀豀碵꼝쐕ߚ丠.位坞当䱈䡔䅃䕒䅟位呒卟剅彖佃呓ㄨ⼲〲〱ⰬⰬ单⥄_x0018_＀＀_x0018_＀＀_x0008_＀＀_x0001_＀＀_x0001_＀＀＀＀＀＀＀＀쀵ߚ丠)位坞当䱈䡔䅃䕒䕟偘䱟彔佒⡁㈱㈯㄰ⰰⰬ唬䑓착_x0018_＀＀_x0018_＀＀_x0008_＀＀_x0001_＀＀_x0001_＀＀豀碵꼝쐕ߗ丠"位䍞彁佐呓䕒彔䥌䉁ㄨ⼲〲㠰ⰬⰬ单⥄_x0018_＀＀_x0018_＀＀_x0008_＀＀_x0001_＀＀_x0001_＀＀＀＀＀＀㸀삢ߚ丠D位䍞彁佐呓䕒彔䕂彎䉏ㄨ⼲〲〱ⰬⰬ单⥄址当䱈䡔䅃䕒偟佂ㄨ⼲〲〱ⰬⰬ单⥄_x0018_＀＀_x0018_＀＀_x0008_＀＀_x0001_＀＀_x0001_＀＀＀＀＀＀䂣ߗ丠%潭灞灟楲散慟杶ㄨㄯ㈯〰ⰱ㈱㌯⼱〲㄰搬착ߘ＀＀_x0018_＀＀߈＀＀ù＀＀_x0001_＀＀礋㜄幒䀤㦟叫憎䀥㺯羽軮䀣ѓ봸뾋䀢䳬錚䀢镒碶䀣霠ᑀ䀤׮蕦洢䀤峄땒䓝䀣㺯羽軮䀣ᚇ컙돷䀣抈۲톘䀣寝频䀣唲⨰ᮩ䀤憢荚䀤饼䈨囪䀤뵕仼馓䀤읩뼍뺛䀤ಙ䠙䀤冭턏軨䀤ꚶ읹쨩䀤礋㜄幒䀤ᚏ౧㉳䀥౼鱖ժ䀥厨_xDD1E_茈䀥谈෵幌䀥촭Ⴍ䭖䀥_xDA23_ꦎ못䀥䋌ꜻ㡙䀦⦌㉬䀦鵀ࣲ䀦봸代䀥⟔쎹䨦䀥Ƃ྄訥䀥⟠『䀦_xDFE7_אַ㽵䀦흦ᖽ㦉䀦쇰靫쐶䀥∵ܘ蚗䀥Ǫ郳圩䀦⫝̸膈䶮䀦ꁕ茖禇䀦揩‾ǐ䀧_xFFFF_Ｏﴡ헶䀦袨䧓骶䀦૔⨚䀧㠻鯘記䀧텊뷊䀧勧啜䀦䇥詺䀦ꗴ㾷㴗䀦埚ꐞ䀥屎垎䨠䀦郁귕펞䀥ꚶ읹쨩䀤볏瘜臟䀤괺ꃛ_xDBF6_䀣Ƀ靆᜷䀤幟綀䀤襌稤_xDD19_䀥읋果篬䀥㒇瀪궲䀥쏅๻䀥歕ᙡ懚䀥獭穣髂䀤폘缎ṍ䀥붾큫暗䀥嵸悿ꐷ䀥蟽_xDBF4_쇗䀥ό獇դ䀦ฎ⛶Ⲇ䀥㡐떻㹌䀥퀏㥽足䀥꒤ꆇ⇕䀦㒇瀪궲䀥∵ܘ蚗䀥䛘_xD93C_퓍䀥⦌㉬䀦⦌㉬䀦Ẹ硑䀧⿽ꋗ逅䀧⣌宖ꕚ䀧㲊멉㉦䀧೐Ϣḻ䀨餟鴎䀧좆䀧ꗟ◔裣䀨಍ᝲቡ䀨䃿涹鯟䀧寑밼죧䀧禅㎏㡍䀨텊뷊䀧핖鄴䀧窯㳀鉤䀧䠒嶉㯛䀨庴ୄ䀨煇㪎㸺䀨툟㽯䀧鱉儕_xDD13_䀦瓪ඩ䀧徚Ǎ如䀧몄ꅈ搬䀧⮮葦䀧_xDF26_獬뉣䀧⩞챵䀧ꕶꑥ믞䀧_xFFFF_ￚ欀껕䀧﹈螹䀧Ɡ彖╝䀧섉窪痹䀦㯞䱪妈䀦섉窪痹䀦ຝ㵤몵䀦꒤ꆇ⇕䀦쇰靫쐶䀥㨥ⳋ煂䀥꾢봠䀤훂ꕬ䀤∵ܘ蚗䀥鯠쾦ဎ䀦뱑_xDACA_¦䀦꜀䱾䀦냮첉로䀥㹘컠䀥큸뫬媷䀦✹탶績䀧먛Ῑ霨䀦⃉ᅷ₦䀦Ⰶ誹Ʂ䀥㾁ﳼ⣷䀥낅䬚䀤ჱ俆滣䀥畨虲転䀥臵鷤ㅃ䀥躂땖펤䀤坋趰剸䀤ᩘ凸쌍䀤㸱廌බ䀥ᓒ㘁䀥촭Ⴍ䭖䀥썝贌⨧䀥⒯깹ﯯ䀤웢껧䀤詐瘅䀤紗椅陼䀣睹걤㜶䀤裤န䀥祴롳⭖䀥ἐ㡟䀥皒辣䀤⇍薩릒䀤ᵽ朸ᅄ䀥꙲_xDB09_빏䀤⢻顣䀤ầ灩歛䀤쳄輾繑䀤䆷럭鉶䀤ఓ᫧㡦䀤섞钍⨭䀤䟜䵮涺䀤㸱廌බ䀥朣佡л䀥폘缎ṍ䀥렟Ꮚꌈ䀥遽셥쟄䀥艞ὓ﹈䀥鵀ࣲ䀦襌稤_xDD19_䀥ꖱ升ㄽ䀦찃ݼ䀥ꖱ升ㄽ䀦蜗뼳玚䀦괥蛸⟂䀦弋쭒䀥屎垎䨠䀦쬜ꌁ䀦痑ߡ寧䀦䋌ꜻ㡙䀦ꭏ࿨䀥⯃鹉鯫䀥ิ믵䀥瑰욕䀥Ꮣ碖녀䀥鐏껛䀦큸뫬媷䀦猕琐_xDAB4_䀦ヤ뾘_xDE42_䀦⢦욗䀦絬킑᎖䀧嗉縬㡓䀧烞뤟焵䀧牱䎿顑䀧⨜阮삛䀧竲⤰鸾䀧烞뤟焵䀧싁驉帿䀧訞紂眢䀧㱇췙⚌䀧ῢ퉨䀦⭅˷᪳䀧﫯臌䀧툟㽯䀧蜻吲㓅䀧鱉儕_xDD13_䀦젝橺ᗵ䀧⧵擇_xFFFF_ｱ䀦_xFFFF_（栢ᓌ䀦唺枾ꨤ䀥鵀ࣲ䀦㯞䱪妈䀦痑ߡ寧䀦ꁕ茖禇䀦⃉ᅷ₦䀦㨥ⳋ煂䀥㒇瀪궲䀥Ꮣ碖녀䀥蟽_xDBF4_쇗䀥ꍕ͗ڔ䀦鵳婆㜪䀦≛鰗䟁䀦㪎긺㹆䀦䄹Მᄾ䀦നਵ_xDE49_䀥盻ᄒ뗾䀥염쥬悪䀥_xD9BA_⠟䀤苰첈䀤廉ﻯ뽸䀥_xDB72_䞾헽䀥硊꽂턿䀥㮹띫顝䀥刕剾寭䀥途㿶變䀤૩ᆶ_xDE4F_䀤⒯깹ﯯ䀤낅䬚䀤륉᳻ﴟ䀤朣佡л䀥㿄㓑䀥逺퓵믪䀥쁝ೋ鴛䀥ਂ逑䀥䉣◌歕䀥믨奛㎢䀥卦眮䀥_xD84D_㉾蟆䀥ਂ逑䀥犆嶢䲅䀥쑩㻌㦏䀥ߗ丠&amp;獵年彰牰捩彥癡⡧⼱⼱〲㈰ㄬ⼲ㄳ㈯〰ⰲ⥤߸＀＀_x0018_＀＀ߨ＀＀ý＀＀_x0001_＀＀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ߗ丠_x001A_畤浭幹彐塅䡃剟呁⡅执Ɒ獵⥤_x0018_＀＀_x0018_＀＀_x0008_＀＀_x0001_＀＀_x0001_＀＀溘茒쫀㿹ߗ丠$位䍞彁䕐华䱟彔十䕓協ㄨ⼲〲㌰ⰬⰬ单⥄_x0018_＀＀_x0018_＀＀_x0008_＀＀_x0001_＀＀_x0001_＀＀豀碵꼝쐕ߗ丠&amp;位䍞彁䕐华䙟乕彄呓呁单ㄨ⼲〲㔰ⰬⰬ单⥄_x0018_＀＀_x0018_＀＀_x0008_＀＀_x0001_＀＀_x0001_＀＀＀＀＀＀尀䂮ߗ丠&amp;獵年彰牰捩彥癡⡧⼱⼱〲〰ㄬ⼲ㄳ㈯〰ⰰ⥤߸＀＀_x0018_＀＀ߨ＀＀ý＀＀_x0001_＀＀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ߚ丠O位䍞彁佐呓䕒彔䱐乁䅟呓䕟䑎ㄨ⼲〲〱ⰬⰬ单⥄址当䱈䡔䅃䕒䙟彖十䕓⡔㈱㈯㄰ⰰⰬ唬䑓착_x0018_＀＀_x0018_＀＀_x0008_＀＀_x0001_＀＀_x0001_＀＀＀＀＀＀＀＀＀＀ߗ丠&amp;位坞当䕐彎佐呓剟呅䉟久ㄨ⼲〲㈰ⰬⰬ单⥄_x0018_＀＀_x0018_＀＀_x0008_＀＀_x0001_＀＀_x0001_＀＀＀＀＀＀栀䂠ߗ丠#位䍞彁䕐华䱟彔䥌䉁⡓㈱㈯〰ⰳⰬ唬䑓착_x0018_＀＀_x0018_＀＀_x0008_＀＀_x0001_＀＀_x0001_＀＀豀碵꼝쐕ߗ丠(位䍞彁佐呓䕒彔呏䅈䩄也䅂ㄨ⼲〲㠰ⰬⰬ单⥄_x0018_＀＀_x0018_＀＀_x0008_＀＀_x0001_＀＀_x0001_＀＀＀＀＀＀頀䂂ߗ丠K位䍞彁佐呓䕒彔义彔佃呓ㄨ⼲〲㠰ⰬⰬ单⥄址当䱈䡔䅃䕒䥟呎䍟协⡔㈱㈯〰ⰸⰬ唬䑓착_x0018_＀＀_x0018_＀＀_x0008_＀＀_x0001_＀＀_x0001_＀＀＀＀＀＀䀀䁠ߗ丠P位䍞彁䕐华䅟䍃䵕䍟䵏剐义⡃㈱㈯〰ⰲⰬ唬䑓䀩南䍟䵏剐䥟䍎偟久当䥌䉁ㄨ⼲〲㈰ⰬⰬ单⥄_x0018_＀＀_x0018_＀＀_x0008_＀＀_x0001_＀＀_x0001_＀＀豀碵꼝쐕ߘ丠_x001D_位䍞彁䕐华䍟䵏彐䅒䕔ㄨ⼲〲〱착_x0018_＀＀_x0018_＀＀_x0008_＀＀_x0001_＀＀_x0001_＀＀＀＀＀＀＀＀䀐ߗ丠&amp;位坞当䕐彎佐呓剟呅䉟久ㄨ⼲〲㠰ⰬⰬ单⥄_x0018_＀＀_x0018_＀＀_x0008_＀＀_x0001_＀＀_x0001_＀＀＀＀＀＀∀䂬ߗ丠%位䍞彁䕐华䅟呓䥟呎乁⡇㈱㈯〰ⰲⰬ唬䑓착_x0018_＀＀_x0018_＀＀_x0008_＀＀_x0001_＀＀_x0001_＀＀豀碵꼝쐕ߗ丠;位䍞彁䕐华䑟卉彃䅒䕔ㄨ⼲〲㜰䀩南偟久䥓乏䑟卉彃䅒䕔ㄨ⼲〲㜰착_x0018_＀＀_x0018_＀＀_x0008_＀＀_x0001_＀＀_x0001_＀＀쳍쳌쳌䀘ߗ丠'位坞当䱈䡔䅃䕒啟䙎䉟久ㄨ⼲〲㠰ⰬⰬ单⥄착＀＀＀＀ߗ丠%潭灞灟楲散慟杶ㄨㄯ㈯㄰ⰰ㈱㌯⼱〲〱搬착߸＀＀_x0018_＀＀ߨ＀＀ý＀＀_x0001_＀＀竡긔ꅇ䀳휊炣쨽䀳쳍쳌쳌䀳ꏗ㵰ᜊ䀴슏⣵ཛྷ䀴轜ᰨ䀴尨䊏䀴晧晦♦䀴ਾꏗ㵰䀴竡긔慇䀴凬Ẹ殅䀴竡긔慇䀴긕呺䀴炤਽䀳⣶轜뗂䀳尩슏䀳⣶轜䀳ਾꏗﵰ䀳尨ʏ䀴轜_xDC28_䀳竡긔䀳䞮竡䀳ᑺ잮䀳凬Ẹ殅䀳竡긔慇䀳蔟凫庸䀳⣶轜痂䀳竡긔慇䀳轜鰨䀳竡긔ꅇ䀳ᑻ䞮뫡䀳ᑺ잮䀳＀＀＀＀＀＀䀴尩슏⣵䀴롑䔞䀴Ẹ䀳尨䊏䀴尩슏棵䀴蔟凫Ẹ䀴롑䔞䀴긕呺䀴馚香妙䀴凬Ẹ殅䀴⣶轜뗂䀴ਾꏗ뵰䀴롑씞䀴롒蔞퇫䀴蔟凫庸䀴㌴㌳㌳䀴蔟凫庸䀴轜尨䀴긕呺䀴⣶轜痂䀴ꏗ㵰圊䀴㵱휊炣䀴롑蔞䀴Ẹ硑䀴롑蔞䀴凬Ẹ殅䀴晧晦Ꙧ䀴晧晦Ꙧ䀴롑蔞䀴긕푺䀴凬Ẹ䀴ᑻ䞮﫡䀴휊炣쨽䀴䞮竡긔䀴䞮竡䀴馚香ᦙ䀵馚香ᦙ䀵尩슏⣵䀵馚香ᦙ䀵蔟凫_xDEB8_䀴䞮竡䀴凬Ẹ⮅䀵⣶轜痂䀵ᑺ䞮䀵轜尨䀵＀＀＀＀䀀䀵凬Ẹ䀴롑Ԟ䀵䞮竡⸔䀵㵱휊ィ䀵晧晦晦䀵尨䊏䀵Ẹ㡑䀵＀＀＀＀쀀䀴尨슏䀴긕鑺䀵ꏗ㵰霊䀵凬Ẹꮅ䀵竡긔ꅇ䀵轜鰨䀵㌴㌳댳䀵蔟凫庸䀵슏⣵作䀵凬Ẹꮅ䀴尨ʏ䀵馚香_xD999_䀴晧晦晦䀴尩슏⣵䀴휊炣訽䀴휊炣䨽䀴蔟凫Ẹ䀴竡긔慇䀴ꏗ㵰霊䀴炤਽ϗ䀴롒蔞퇫䀳㌴㌳㌳䀴쳍쳌ೌ䀴롒蔞凫䀴긕ᑺ䀴롒蔞釫䀳尩슏䀳긕푺䀳ਾꏗﵰ䀳롑Ԟ䀴슏⣵ཛྷ䀴馚香_xD999_䀳롑씞䀳蔟凫麸䀳㌴㌳댳䀳ꏗ㵰圊䀴⣶轜䀳휊炣਽䀴ਾꏗ㵰䀴슏⣵作䀴휊炣訽䀴炤਽䀴롒蔞凫䀵쳍쳌䳌䀵쳍쳌䳌䀵ꏗ㵰圊䀵馚香妙䀵⣶轜痂䀵㌳㌳䌳䀵竡긔慇䀵롑蔞䀵尩슏棵䀵馚香_xD999_䀵蔟凫Ẹ䀶ਾꏗﵰ䀵쳍쳌ೌ䀶롒蔞ᇫ䀶롑Ԟ䀶尩슏⣵䀶＀＀＀＀䀀䀶蔟凫Ẹ䀶馚香妙䀶ꏗ㵰圊䀶휊炣訽䀶ꏗ㵰霊䀶竡긔ꅇ䀶㵱휊炣䀶㌳㌳猳䀶馚香妙䀶馚香香䀶凬Ẹ䀶䞮竡䀶尨슏䀶⣶轜뗂䀶ᑻ䞮뫡䀶휊炣쨽䀶馚香_xD999_䀶轜鰨䀶휊炣訽䀶롑蔞䀶롒蔞凫䀶尩슏ꣵ䀶휊炣쨽䀶尩슏䀶轜ᰨ䀷㌳㌳猳䀷竡긔ꅇ䀷ꏗ㵰휊䀷Ẹ硑䀷尨芏䀷䞮竡긔䀷Ẹ硑䀷＀＀＀＀耀䀷⣶轜뗂䀷轜_xDC28_䀷蔟凫_xDEB8_䀷馚香香䀷＀＀＀＀＀＀䀸尨ʏ䀸㌴㌳㌳䀸＀＀＀＀䀀䀸롑Ԟ䀸ᑺ잮䀷긕푺䀷＀＀＀＀䀀䀸䞮竡渔䀸롒蔞釫䀸尨芏䀸馚香妙䀸휊炣訽䀸蔟凫麸䀸쳍쳌쳌䀸竡긔䀸晧晦䀸＀＀＀＀쀀䀸凬Ẹ䀸㌳㌳䀸凬Ẹ䀸슐⣵ཛྷ䀹㌴㌳㌳䀹轜ᰨ䀹ꏗ㵰圊䀹ᑻ䞮櫡䀹蔟凫庸䀹롒蔞釫䀹尨슏䀹晧晦♦䀺轜ᰨ䀺蔟凫_xDEB8_䀹긕鑺䀹⣶轜㗂䀹ᑻ䞮㫡䀹馚香_xD999_䀸㵱휊낣䀸竡긔慇䀸⣶轜痂䀸＀＀＀＀쀀䀸ਾꏗ뵰䀸ᑻ䞮竡䀸휊炣訽䀸롒蔞釫䀸炤਽揗䀸䞮竡渔䀸＀＀＀＀＀＀䀸凬Ẹ⮅䀸쳍쳌쳌䀷슏⣵콜䀷쳍쳌ೌ䀸쳍쳌ೌ䀸晧晦晦䀸ꏗ㵰霊䀸馚香_xD999_䀸ਾꏗ뵰䀸휊炣쨽䀸＀＀＀＀쀀䀸⣶轜䀸ਾꏗﵰ䀸凬Ẹ⮅䀹＀＀＀＀䀀䀹尨䊏䀹馚香_xD999_䀸㌴㌳댳䀸＀＀＀＀쀀䀸⣶轜뗂䀸馚香香䀸蔟凫麸䀸ߗ丠%位䍞彁䕐华䅟呓䥟呎乁⡇㈱㈯〰ⰸⰬ唬䑓착_x0018_＀＀_x0018_＀＀_x0008_＀＀_x0001_＀＀_x0001_＀＀豀碵꼝쐕ߗ丠$位䍞彁䕐华䍟剕䱟䅉卂ㄨ⼲〲㔰ⰬⰬ单⥄_x0018_＀＀_x0018_＀＀_x0008_＀＀_x0001_＀＀_x0001_＀＀豀碵꼝쐕ߘ丠F位䍞彁䕐华也呅䍟协⡔㈱㈯㄰ⰰⰬ唬䑓䀩南偟久䥓乏也偐䕟偘ㄨ⼲〲〱ⰬⰬ单⥄_x0018_＀＀_x0018_＀＀_x0008_＀＀_x0001_＀＀_x0001_＀＀＀＀＀＀䀀䁣ߗ丠P位䍞彁䕐华䅟䍃䵕䍟䵏剐义⡃㈱㈯〰ⰷⰬ唬䑓䀩南䍟䵏剐䥟䍎偟久当䥌䉁ㄨ⼲〲㜰ⰬⰬ单⥄_x0018_＀＀_x0018_＀＀_x0008_＀＀_x0001_＀＀_x0001_＀＀豀碵꼝쐕ߘ丠:位坞当䕐华佉彎十䕓協䕟啑⡉㈱㈯㄰⤰䍀彁䕐华偟呃䕟⡑㈱㈯㄰⤰_x0018_＀＀_x0018_＀＀_x0008_＀＀_x0001_＀＀_x0001_＀＀＀＀＀＀＀＀䁍ߗ丠(位坞当䱈䡔䅃䕒䑟卉彃䅒䕔ㄨ⼲〲㠰ⰬⰬ单⥄_x0018_＀＀_x0018_＀＀_x0008_＀＀_x0001_＀＀_x0001_＀＀쳍쳌쳌䀘ߗ丠
潭灞灟楲散_x0018_＀＀_x0018_＀＀_x0008_＀＀_x0001_＀＀_x0001_＀＀馚香_xD999_䀺ߘ丠H位䍞彁䕐华卟噒䍟协⡔㈱㈯㄰ⰰⰬ唬䑓䀩南偟久䥓乏卟剅彖佃呓ㄨ⼲〲〱ⰬⰬ单⥄_x0018_＀＀_x0018_＀＀_x0008_＀＀_x0001_＀＀_x0001_＀＀＀＀＀＀＀＀䁔ߗ丠$位䍞彁䕐华䱟彔十䕓協ㄨ⼲〲㐰ⰬⰬ单⥄_x0018_＀＀_x0018_＀＀_x0008_＀＀_x0001_＀＀_x0001_＀＀豀碵꼝쐕ߗ丠&amp;位䍞彁䕐华䙟乕彄呓呁单ㄨ⼲〲㘰ⰬⰬ单⥄_x0018_＀＀_x0018_＀＀_x0008_＀＀_x0001_＀＀_x0001_＀＀＀＀＀＀退䁳ߗ丠%潭灞灟楲散慟杶ㄨㄯㄯ㤹ⰹ㈱㌯⼱㤱㤹搬착߸＀＀_x0018_＀＀ߨ＀＀ý＀＀_x0001_＀＀஦缾쐣䀨ᾧ䗔唊䀨댵ʖ㻒䀨䎁动鞳䀨_xDA77_ᄚ쮌䀨単ᑙ䥶䀩䘂㞗鎇䀩娃芺⑭䀩촠㑘ᖝ䀩ꗟ◔裣䀨㜑銧、䀨࣭薧䀧롅꣉氲䀦㦟叫憎䀥镓뢶矆䀥뤬얊멯䀥岒䏾嗺䀦卥缮䀥ɰ觓䀦꼠댇䀥촭Ⴍ䭖䀥询棶䀥㴈喛ꮟ䀥콁镦䀥櫎㶁娦䀥덧珪ⶵ䀥쯡ń䀥爔⺥䀣暲遤낻䀢㖂ꛎ렣䀢ﴶ埙䀢䷓ၢ䀡鈝⡚Კ䀢끣糢䀢챹敀䀢樚鈔頻䀢팤펡웳䀢縛_xDD37_讲䀢鈝⡚Კ䀢枘괥ﻸ䀡퐊ᔰ䀢败㋑䀢끣糢䀢꽋웍葊䀢벡ꎏ㨹䀢끣糢䀢ꢠ塬꥓䀢≨硬畺䀢败㋑䀢䷓ၢ䀡齳Ԝ튈䀡瓯觧듧䀡㖩㯍煎䀣챹敀䀢롷᨝嬖䀣ѓ봸뾋䀢챹敀䀢ѓ봸뾋䀢縛_xDD37_讲䀢엎ᄄ䀣༨딋禦䀡霭캍䧹䀠檃ᎃ_xFFFF_￑䀟_xD91B_隕䊑䀠6ရᘡ䀠糵ው䀟怴쒐䀟沨単ⱙ䀠㔈ꩃ䀠旾兡䀠萒ꀫݐ䀠沨単ⱙ䀠6ရᘡ䀠ꕻ䌬꬜䀞矚떿䀟œ㳷穿䀟쳡䀟_xD91B_隕䊑䀠醟贈퍠䀟6ရᘡ䀠檃ᎃ_xFFFF_￑䀟霭캍䧹䀠੊耬㬩䀠⃍뀾쟣䀠錃䔛櫖䀡錃䔛櫖䀡ॣ捫䀠ꁙ⇝⃅䀡䩪າ靇䀡᤼├麯䀡瓯觧듧䀡벡ꎏ㨹䀢Ժ_xD9F9_෈䀢벡ꎏ㨹䀢惭㻄␁䀢㾖ᛟ_xDD2C_䀢૾⮙骃䀢≨硬畺䀢운Ꭰ彂䀢ﴶ埙䀢婂큣䤉䀢_xDAB6_廃䀡湄ᮆ_xD9F0_䀡ᡕ࡛偲䀢Ժ_xD9F9_෈䀢ᡕ࡛偲䀢ﴶ埙䀢縛_xDD37_讲䀢퐊ᔰ䀢챹敀䀢㺯羽軮䀣ﮓ訝甂䀣㖩㯍煎䀣鎸쨯䀣驣廩ꔧ䀣깤ꨌ㘍䀣㺯羽軮䀣蝈ょ找䀣菠⻗ᡭ䀣඀ႈ陗䀣ѓ봸뾋䀢엎ᄄ䀣樚鈔頻䀢䳬錚䀢૾⮙骃䀢꽋웍葊䀢樚鈔頻䀢ѓ봸뾋䀢곉衶䀡瓯觧듧䀡_xDAB6_廃䀡ꦆ甭䀡_xDAB6_廃䀡Ժ_xD9F9_෈䀢ꦆ甭䀡瓯觧듧䀡⚑Ǟ咞䀡馮덼䗍䀡곉衶䀡瓯觧듧䀡㮅ꘗ䀡ነ뚻쎷䀡瓯觧듧䀡錃䔛櫖䀡ⴼ瀿⾕䀡쫞鴒㹥䀡馮덼䗍䀡ʸᇴ䀡궰ﺟ횳䀠㔈ꩃ䀠⸣贀緒䀠塆䀠䟩⧃魳䀠㔈ꩃ䀠솱䧂枚䀠Οᇋ怲䀠茫荪뤓䀠샊ⴁᥝ䀡샊ⴁᥝ䀡ʸᇴ䀡ᡇ将䀡쐳⺱据䀡ᡇ将䀡鈝⡚Კ䀢ነ뚻쎷䀡쐳⺱据䀡༨딋禦䀡⚑Ǟ咞䀡錃䔛櫖䀡ʸᇴ䀡⾾售⭩䀢쫞鴒㹥䀡䎿ꁑ뱏䀡௥䡚䀡䩪າ靇䀡㮅ꘗ䀡꜅逾﮼䀠ॣ捫䀠粀ᔉ_xDE1C_䀠ᚹ䀭ꋛ䀠粀ᔉ_xDE1C_䀠⸣贀緒䀠쳡䀟쳡䀟怴쒐䀟켇⚄ᶉ䀠黵槊襏䀟⽀맜䀟_xDA38_썱ꛯ䀟œ㳷穿䀟萒ꀫݐ䀠怴쒐䀟䈤_xD823_ຸ䀠檃ᎃ_xFFFF_￑䀟醟贈퍠䀟œ㳷穿䀟œ㳷穿䀟ྑ㙺纫䀞픴煉꽇䀝휁㌕䯂䀜㥠ق㳲䀜蹩ﲬ砲䀜煭쾍_xFFFF_､䀘쌿㖛_xDF78_䀕劤棬䀖冽䰫鯟䀗췡밚ꪯ䀗ꛆ䊕휠䀗댵ʖ㻒䀘弓⣭凎䀗ᷧ䀕쾯䜩䀖폋ꊹ䀘饯旓ℱ䀘된ὗ贏䀗तᗂ졐䀗ᙺ績䀗ᝡཅ챼䀖_xDB37_飜悞䀗셲ﰙ䋽䀗ᙺ績䀗饯旓ℱ䀘羪줐ΐ䀘﯎㣿ቡ䀘贀ꗒ륿䀗炆닌넧䀙삋_xDF58_䀗练걏땓䀘尽屲䀘﯎㣿ቡ䀘僖⽪䶢䀘㘪痦䀘罻ꚃ䀘谙褑歂䀘饯旓ℱ䀘﯎㣿ቡ䀘䕎谪㐭䀗딂㰘_xDB4C_䀖तᗂ졐䀗_xDC1F_떝껛䀖뗩壙⦉䀖ᷧ䀕콁镦䀕裣န䀕䁊쉌㲅䀕_xDDEC_䭕䀕䁊쉌㲅䀕꼠댇䀕桍墒幒䀔ꎏ눹篲䀔콁镦䀕ᷧ䀕_xDDEC_䭕䀕ߗ丠&amp;位坞当䕐彎佐呓剟呅䉟久ㄨ⼲〲㌰ⰬⰬ单⥄_x0018_＀＀_x0018_＀＀_x0008_＀＀_x0001_＀＀_x0001_＀＀＀＀＀＀ 䂜ߗ丠#位䍞彁䕐华䱟彔䥌䉁⡓㈱㈯〰ⰴⰬ唬䑓착_x0018_＀＀_x0018_＀＀_x0008_＀＀_x0001_＀＀_x0001_＀＀豀碵꼝쐕ߘ丠E位䍞彁䕐华剟䅏䅟呃ㄨ⼲〲〱ⰬⰬ单⥄址当䕐华佉彎䍁彔佒⡁㈱㈯㄰ⰰⰬ唬䑓착_x0018_＀＀_x0018_＀＀_x0008_＀＀_x0001_＀＀_x0001_＀＀＀＀＀＀䂃ߗ丠!位坞当䕐华佉彎十䕓協䱟⡔ⰰⰬ唬䑓착_x0018_＀＀_x0018_＀＀_x0008_＀＀_x0001_＀＀_x0001_＀＀豀碵꼝쐕ߗ丠$位䍞彁䕐华䍟剕䱟䅉卂ㄨ⼲〲㘰ⰬⰬ单⥄_x0018_＀＀_x0018_＀＀_x0008_＀＀_x0001_＀＀_x0001_＀＀＀＀＀＀＀＀＀＀ߘ丠$位䍞彁䕐华䱟彔十䕓協ㄨ⼲〲〱ⰬⰬ单⥄_x0018_＀＀_x0018_＀＀_x0008_＀＀_x0001_＀＀_x0001_＀＀＀＀＀＀＀＀＀＀ߗ丠+位䍞彁佐呓䕒彔䵅彐佃呎䥒彂⡃㈱㈯〰ⰸⰬ唬䑓착_x0018_＀＀_x0018_＀＀_x0008_＀＀_x0001_＀＀_x0001_＀＀＀＀＀＀＀＀＀＀ߚ丠L位䍞彁佐呓䕒彔剓彖佃呓ㄨ⼲〲〱ⰬⰬ单⥄址当䱈䡔䅃䕒卟剅彖佃呓ㄨ⼲〲〱ⰬⰬ单⥄_x0018_＀＀_x0018_＀＀_x0008_＀＀_x0001_＀＀_x0001_＀＀＀＀＀＀＀＀䀽ߗ丠I位䍞彁佐呓䕒彔佒彁䍁⡔㈱㈯〰ⰸⰬ唬䑓䀩南䡟呌䍈剁彅䍁彔佒⡁㈱㈯〰ⰸⰬ唬䑓착_x0018_＀＀_x0018_＀＀_x0008_＀＀_x0001_＀＀_x0001_＀＀＀＀＀＀＀＀＀＀ߘ丠:位坞当䕐华佉彎十䕓協偟佒⡐㈱㈯㄰⤰䍀彁䕐华偟呃剟⡅㈱㈯㄰⤰_x0018_＀＀_x0018_＀＀_x0008_＀＀_x0001_＀＀_x0001_＀＀＀＀＀＀＀＀＀＀ߘ丠#位䍞彁䕐华䱟彔䥌䉁⡓㈱㈯㄰ⰰⰬ唬䑓착_x0018_＀＀_x0018_＀＀_x0008_＀＀_x0001_＀＀_x0001_＀＀＀＀＀＀鰀䂒ߗ丠P位䍞彁䕐华䅟䍃䵕䍟䵏剐义⡃㈱㈯〰ⰵⰬ唬䑓䀩南䍟䵏剐䥟䍎偟久当䥌䉁ㄨ⼲〲㔰ⰬⰬ单⥄_x0018_＀＀_x0018_＀＀_x0008_＀＀_x0001_＀＀_x0001_＀＀＀＀＀＀ 䂜ߗ丠%位䍞彁䕐华䅟呓䥟呎乁⡇㈱㈯〰ⰳⰬ唬䑓착_x0018_＀＀_x0018_＀＀_x0008_＀＀_x0001_＀＀_x0001_＀＀＀＀＀＀＀＀＀＀ߚ丠"位䍞彁佐呓䕒彔䥌䉁ㄨ⼲〲〱ⰬⰬ单⥄_x0018_＀＀_x0018_＀＀_x0008_＀＀_x0001_＀＀_x0001_＀＀＀＀＀＀삣ߗ丠!位䍞彁䕐华偟䑐䉟久䍟协⡔ⰰⰬ唬䑓착_x0018_＀＀_x0018_＀＀_x0008_＀＀_x0001_＀＀_x0001_＀＀豀碵꼝쐕ߚ丠*位䍞彁佐呓䕒彔䅐呒䍟乏剔䉉ㄨ⼲〲〱ⰬⰬ单⥄_x0018_＀＀_x0018_＀＀_x0008_＀＀_x0001_＀＀_x0001_＀＀＀＀＀＀＀＀＀＀ߚ丠(位坞当䱈䡔䅃䕒䑟卉彃䅒䕔ㄨ⼲〲㤰ⰬⰬ单⥄_x0018_＀＀_x0018_＀＀_x0008_＀＀_x0001_＀＀_x0001_＀＀晦晦晦䀘ߘ丠L位䍞彁䕐华偟䥒剏卟噒ㄨ⼲〲〱ⰬⰬ单⥄址当䕐华佉彎剐卟剅彖佃呓ㄨ⼲〲〱ⰬⰬ单⥄_x0018_＀＀_x0018_＀＀_x0008_＀＀_x0001_＀＀_x0001_＀＀＀＀＀＀＀＀䀪ߗ丠%潭灞灟楲散慟杶ㄨㄯ㈯〰ⰸ㈱㌯⼱〲㠰搬착ࠀ＀＀_x0018_＀＀߰＀＀þ＀＀_x0001_＀＀콖佉䀷ᚈ컙᯷䀷弜晻䁉䀷馚香ᦙ䀷腯씄톏䀷曥Ƹ➟䀸컚号淣䀸燴ꡭ优䀸鋡廣䀸豪凖䓕䀸㹃_xD9E8_㊬䀸튞贈ܿ䀸๖눭꾝䀷衑䎀䊨䀷铅ꉈꆗ䀶悁Ẏ瞿䀶名뿆ᣏ䀷_xDF3C_赏캗䀶㲉≉䀷撚ⳤ秬䀷ᇇ頩䀷귖鎞忞䀷፫䐻䀷꜈✅䀷拶✨跚䀶㵱휊炣䀶ꡮ_xDA6F_䀶ꁼ᠕課䀶铚밫嗋䀶蚮㷄嚖䀶悁Ẏ瞿䀶凂欜䀶弛幻䀶醽縏䀶莑昒绚䀶_xDA51_簛ꉡ䀶鵟䁣닶䀶뜭᪴䀶ﲹ䀶稺_xDEFC_䀶㜷➦섬䀶哊ꣁ躤䀶듍⯽蔫䀶롑씞䀶譮ᬲᩤ䀷실邁퀬䀶⺈澨ﮙ䀶㜢ස೸䀷㐅㘑㔼䀷霺ꫢ랲䀶聴蹠ꜞ䀶뉬㵆⍄䀶ഇᏽ鑜䀵꧒鼫ᇥ䀶䠖푐䀵Ő鸰ꭁ䀵䧐ᯯ᭟䀶ᆜ鶥䀶ⓝ脆莕䀶蘆溬铵䀶롑씞䀶㌴㌳㌳䀶晧晦♦䀶긕ᑺ䀶尨ʏ䀶⣶轜뗂䀵竡긔䀵䞮竡渔䀵尩슏䀴㵱휊낣䀵蔟凫庸䀵휊炣訽䀵⣶轜뗂䀵凬Ẹꮅ䀵轜_xDC28_䀵馚香ᦙ䀶尩슏⣵䀶쳍쳌ೌ䀶쳍쳌䳌䀶ᑺ螮䀶㌴㌳댳䀵휊炣䨽䀵ਾꏗ㵰䀴＀＀＀＀＀＀䀴蔟凫Ẹ䀴䞮竡渔䀴⣶轜뗂䀴炤਽䀴긕푺䀴긕呺䀵㵱휊䀴긕鑺䀵凬Ẹ䀵＀＀＀＀＀＀䀶ꏗ㵰圊䀶㌳㌳猳䀶슏⣵轜䀶㵱휊炣䀶蔟凫庸䀶롑씞䀶ᑺ䞮䀶ᑻ䞮竡䀶긕呺䀶㌳㌳猳䀶尨䊏䀶ᑺޮ䀶ᑻ䞮﫡䀵슏⣵ཛྷ䀶尩슏⣵䀶ᑺ螮䀵尩슏⣵䀵竡긔ⅇ䀵Ẹ롑䀴㵱휊䀴晧晦䀴馚香香䀴Ẹ롑䀴⣶轜뗂䀴馚香_xD999_䀴ᑺ잮䀴晧晦䀴轜ᰨ䀵롒蔞凫䀵Ẹ䀴馚香妙䀴슏⣵轜䀴蔟凫Ẹ䀴凬Ẹ䀳蔟凫Ẹ䀴롑蔞䀴쳍쳌ೌ䀵⣶轜䀴ᑻ䞮㫡䀵尨䊏䀵Ẹ䀴㵱휊낣䀴ꏗ㵰휊䀴晧晦Ꙧ䀴㌳㌳猳䀴롑䔞䀴馚香香䀴⣶轜㗂䀵슏⣵콜䀴롒蔞ᇫ䀵晧晦䀴蔟凫庸䀵㌴㌳댳䀵馚香妙䀴晧晦䀴롒蔞ᇫ䀵蔟凫庸䀵ਾꏗ㵰䀵炤਽䀴㌳㌳䀴ਾꏗ㵰䀵⣶轜뗂䀵쳍쳌賌䀵晧晦晦䀵馚香香䀵ꏗ㵰圊䀵ᑻ䞮﫡䀴ਾꏗﵰ䀴尩슏䀴凬Ẹ䀴쳍쳌쳌䀴ᑺ잮䀴蔟凫麸䀴휊炣਽䀵ᑺޮ䀵馚香妙䀵尨䊏䀵尩슏ꣵ䀴㌳㌳䀴Ẹ䀴尩슏ꣵ䀴尨슏䀴尩슏䀴尩슏⣵䀵尩슏䀴炤਽ꏗ䀴蔟凫_xDEB8_䀳Ẹ㡑䀴휊炣訽䀴휊炣਽䀴ᑺ잮䀳竡긔䀳ᑻ䞮竡䀴炤਽䀴馚香妙䀳ꏗ㵰휊䀳쳍쳌賌䀴긕ᑺ䀴휊炣䨽䀴긕呺䀳롑蔞䀲馚香ᦙ䀲竡긔慇䀱尩슏⣵䀱Ẹ䀳쳍쳌賌䀳롒蔞ᇫ䀲＀＀＀＀＀＀䀳롒蔞凫䀳轜尨䀴竡긔慇䀳휊炣䨽䀳긕鑺䀳Ẹ㡑䀳⣶轜痂䀲ᑺ螮䀳炤਽⏗䀳尩슏⣵䀳㵱휊ィ䀳竡긔ⅇ䀳ꏗ㵰ᜊ䀳ਾꏗ㵰䀲晧晦Ꙧ䀱ᑻ䞮﫡䀱롒蔞퇫䀱긕呺䀱긕鑺䀰䞮竡긔䀰尨䊏䀰㌳㌳㌳䀰⣶轜䀰＀＀＀＀耀䀰晧晦䀬ᑻ䞮﫡䀮轜_xDC28_䀮馚香香䀯ਾꏗ뵰䀯긕ᑺ䀰롑蔞䀮䞮竡⸔䀮＀＀＀＀＀＀䀯슐⣵ཛྷ䀮＀＀＀＀＀＀䀮＀＀＀＀＀＀䀮轜_xDC28_䀭蔟凫Ẹ䀮휊炣਽䀮䞮竡긔䀮凬Ẹ殅䀮긕ᑺ䀭ꏗ㵰圊䀭轜尨䀮슐⣵轜䀮⣶轜痂䀭㵱휊炣䀭쳍쳌쳌䀭蔟凫Ẹ䀮竡긔慇䀮尩슏ꣵ䀮蔟凫Ẹ䀮ߘ丠:位坞当䕐华佉彎十䕓協佟䡔ㄨ⼲〲〱䀩䅃偟久当䍐彔呏⡈㈱㈯㄰⤰_x0018_＀＀_x0018_＀＀_x0008_＀＀_x0001_＀＀_x0001_＀＀＀＀＀＀＀＀䀘ߚ丠I位䍞彁佐呓䕒彔佒彁䍁⡔㈱㈯㄰ⰰⰬ唬䑓䀩南䡟呌䍈剁彅䍁彔佒⡁㈱㈯㄰ⰰⰬ唬䑓착_x0018_＀＀_x0018_＀＀_x0008_＀＀_x0001_＀＀_x0001_＀＀＀＀＀＀＀＀＀＀ߗ丠I位䍞彁䕐华偟䅌彎十⡔㈱㈯〰ⰷⰬ唬䑓䀩南偟久䥓乏噟䱁䅟卓呅⡓㈱㈯〰ⰷⰬ唬䑓착_x0018_＀＀_x0018_＀＀_x0008_＀＀_x0001_＀＀_x0001_＀＀＀＀＀＀鰀䃂ߘ丠;位坞当䕐华佉彎十䕓協䉟乏卄ㄨ⼲〲〱䀩䅃偟久当䍐彔䥆ㄨ⼲〲〱착_x0018_＀＀_x0018_＀＀_x0008_＀＀_x0001_＀＀_x0001_＀＀＀＀＀＀＀＀䁂䋵交_x0012_潭䙞彇䕍乁䕟卐䙟ㅹ_x0018_＀＀_x0018_＀＀_x0008_＀＀_x0001_＀＀_x0001_＀＀㽐﹞䳹䀀ߗ丠_x0012_慳ⵢ潬幮剐䍉⡅低⥗_x0018_＀＀_x0018_＀＀_x0008_＀＀_x0001_＀＀_x0001_＀＀슏⣵⽜䀷ߗ丠$位䍞彁䕐华䱟彔十䕓協ㄨ⼲〲㔰ⰬⰬ单⥄_x0018_＀＀_x0018_＀＀_x0008_＀＀_x0001_＀＀_x0001_＀＀豀碵꼝쐕ߗ丠%潭灞灟楲散慟杶ㄨㄯ㈯〰ⰶ㈱㌯⼱〲㘰搬착߰＀＀_x0018_＀＀ߠ＀＀ü＀＀_x0001_＀＀灺홷䭮䀱倊쭓嫖䀱ꏂ⎍竖䀱_xDD97_澓䀱䠖鑐䀱웒欑ꇱ䀱谖鰄䀱꼦㇎댠䀱_xDFCF_䊄간䀱Ꙣ忭녙䀱៬蛬譭䀱䧥㗒输䀱₰壍紴䀱㿑엁劊䀱灺홷䭮䀱▅倞ⴶ䀱ହ_xDA7B_១䀱␶뇮ᇴ䀱㧕䰆䀱줉☂᭰䀱欼嶷빨䀰攗젶̤䀱⡷갊䀰_xDCC7_蒵顼䀰㽨䑒薆䀰ⷠꂐ燸䀰㚤牱莿䀰塥ᯅ龙䀰尨ꊏ䀰価䧤緒䀰횢촸䀰ㄦﰈ䀰屓䀰䫋劓_xDDD0_䀰݋_xFFFF_￫똜䀰ㄦﰈ䀰ㄦﰈ䀰犱酨쓭䀰왩퓬䀰ﺇ⸉ꑖ䀰苩雺괹䀰ᘴ杍錧䀰䂸냇䀰묆_xDB61_貢䀰ꍚꈞ鷑䀰鑱㪼탇䀰↗疎_xDB71_䀰罣㷙᡹䀱攗젶̤䀱郫㰆䀱鿔䣽ᤑ䀱ꢘ᫞᫘䀱ɶ࢚؛䀱⮪ࡹ䀱얄䀰⋦Ꮎ䀰켭뮃횳䀰糄Ź䀰苩雺괹䀰⡷갊䀰국ሯ_xDADA_䀰煡馫䀰ⲑɠ暷䀰൰镬腠䀰ᨶ珀䀰ᶨ髾禬䀰㳉߲伃䀰籛耊⓱䀰撮䛇㘠䀰菐뎻୶䀰히௵᭶䀰쳣䀯伪쬔䀯匦ꌅኒ䀰壻濁䀯撮䛇㘠䀰輳쇼叀䀰൰镬腠䀰㚤牱鎿䀰쬿蓮䀰뎒Ʞꘝ䀰㌟ᥐ䀰⤋ꤿ쇶䀰厏⑴_xDF97_䀰⩛䝯䀰ㄦఈ䀱ﵵᖂ䀱䰛ऑ䀱皟毸ᚲ䀱붥េ팦䀰㚤牱莿䀰绺뱪䭴䀰㽨䑒薆䀰♬泟魳䀰냳歐澚䀰텤癴倲䀰邂怬漂䀰ఠ昞䀰짯䋃榭䀰쏊굂鹩䀰愩녟䀰݋_xFFFF_￫옜䀰忙佶蘞䀰训棛뼀䀰尨슏䀰똱_xDCA0_䀰Ỹ㤮铮䀰⡷갊䀰Ὲ氌䀰磕⛩耱䀰쉻༒猨䀰圕綕瑗䀰컄㨔᦯䀰ቅ貽ㅢ䀰롧鼁嘟䀰ᓤ줝查䀰쉻༒茨䀰詝쪫ꎾ䀰⡷갊䀰욧띋䀰価䧤緒䀰_xDE16_⋥뎾䀰ဏ퇌쟣䀰ퟱ赤䀰㑮란ᩀ䀱㌟ᥐ﻿䀰솔⓪䀱䰛螺䀰飈隻_xFFFF_ﾐ䀱쇽珀ǯ䀲ᑦⷋ䀱騘㓫૒䀲眈䀱祥렧션䀱希ᗴ䀱䔏㺁쾑䀱绤䀱逄쓚䀱_xFFFF_ｙョ也䀲쿿빡炼䀲䋙莐昒䀲⬬䩍蝁䀲䮝啱矙䀲鸆ཻ粗䀲릢⍎괭䀲_xD8C3_遂芃䀲呡❒禠䀲跎৩葋䀲廙㦖蹝䀲ꛊ繝䀲玂鑆件䀲㐄阑䀲虚호跅䀲짚⣠ꕹ䀲㸄谿또䀲짚⣠ꕹ䀲릢⍎봭䀲͇୸뀤䀲睱滖낻䀲⳥槬澇䀳淆耴悷䀳﫬묅孡䀳␡頋巀䀳臂貐䀳Წ摚眻䀳罎⏶瑅䀳쀰㨾啵䀳먋꒽許䀳쀰㨾啵䀳㑙鶝昌䀳ꗤ쒛†䀳붑﷞ự䀳ܶǨ䀳ퟜ玁㑆䀳蛃垧䫊䀳鹯郪㦛䀳đ傇⚥䀳৕≨㡬䀳䫴㹙䀳꺨陼㇧䀳䪶㢰ᦜ䀳⣶轜᷂䀳妟ꀒ䀲⣶轜ෂ䀳䲄爲혖䀱ꧦ褎䀱眈䀱_xD9AA_괃타䀱Ə럝䀱赥衺띆䀱猙዗臲䀱Ʇ︝첚䀱✾澽╼䀲_xDD98_螓㊅䀲쵠舁㨹䀲脜嵸Ⴟ䀲Έ㰌㻷䀲혤叢㰀䀲ꛊ湝䀲_xDEE8_◃䷇䀲ꋜیᲙ䀲楯␵⇮䀲輞ꠙ辌䀲쿿빡炼䀲虚호跅䀲呡❒禠䀲犜瞅¹䀳㽓⩯䀲덽跍䀲⼛ⓝ䀲ꐕ팙䀲쎵鍟_xDA35_䀲ﴢ痶퓠䀲濽㬥쨶䀲ꪹ믬퀢䀲齖궫韘䀲쎵鍟_xDA35_䀲튞贈뜿䀲갈娜뭤䀲㸄谿또䀲䛈帠쟗䀲জ䀳ᝃ埔䀳ꬢ㵛괧䀳⾄Ꙍꘊ䀳㴝潾矓䀳녇틜硪䀳皊刕找䀳攂깓仰䀳辇⦈岑䀳龿⼚蓝䀳矚綿䀳㖩㯍煎䀳╰㘻褂䀳땳猕䀳_xDA7B_꿡竉䀳慼唲ꨰ䀳᷼ʊꉽ䀳Ὄꂺ궾䀳▄ꀞ䀳늖焌鎬䀳臭恖꫈䀳쳢뤀䀳ꓽꟚ퇣䀳赐溗䀳逃퓚䀳ៗ洉휹䀳푗᩠龆䀳墹荑롩䀳_xDE6A_話_xDC8E_䀳뚅䮜䀳劔_xDD25_䀳ߗ丠&amp;獵年彰牰捩彥癡⡧⼱⼱〲㜰ㄬ⼲ㄳ㈯〰ⰷ⥤߰＀＀_x0018_＀＀ߠ＀＀ü＀＀_x0001_＀＀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ߗ丠&amp;位坞当䕐彎佐呓剟呅䉟久ㄨ⼲〲㐰ⰬⰬ单⥄_x0018_＀＀_x0018_＀＀_x0008_＀＀_x0001_＀＀_x0001_＀＀＀＀＀＀_xDD00_䂳ߗ丠_x001E_位䍞彁䕐华䱟彔十䕓協〨ⰬⰬ单⥄_x0018_＀＀_x0018_＀＀_x0008_＀＀_x0001_＀＀_x0001_＀＀＀＀＀＀＀＀＀＀ߘ丠;位䍞彁䕐华剟䅏剟呁⡅㈱㈯㄰⤰址当䕐华佉彎塅彐呌剟䅏ㄨ⼲〲〱착_x0018_＀＀_x0018_＀＀_x0008_＀＀_x0001_＀＀_x0001_＀＀＀＀＀＀＀＀䀒ߚ丠(位䍞彁佐呓䕒彔呏䅈䩄也䅂ㄨ⼲〲〱ⰬⰬ单⥄_x0018_＀＀_x0018_＀＀_x0008_＀＀_x0001_＀＀_x0001_＀＀＀＀＀＀䀀䂂ߗ丠_x0016_位坞当奆⡃⤰䍀彁奆⡃⤰_x0018_＀＀_x0018_＀＀_x0008_＀＀_x0001_＀＀_x0008_＀＀㈱㈯㄰0ߗ丠&amp;獵年彰牰捩彥癡⡧⼱⼱〲㔰ㄬ⼲ㄳ㈯〰ⰵ⥤߸＀＀_x0018_＀＀ߨ＀＀ý＀＀_x0001_＀＀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ߘ丠&amp;位坞当䕐彎佐呓剟呅䉟久ㄨ⼲〲〱ⰬⰬ单⥄_x0018_＀＀_x0018_＀＀_x0008_＀＀_x0001_＀＀_x0001_＀＀＀＀＀＀ሀ䂬ߗ丠%位䍞彁䕐华䅟呓䥟呎乁⡇㈱㈯〰ⰴⰬ唬䑓착_x0018_＀＀_x0018_＀＀_x0008_＀＀_x0001_＀＀_x0001_＀＀＀＀＀＀＀＀＀＀ߗ丠,位䍞彁佐呓䕒彔剕呟归䉏䅟位呒ㄨ⼲〲㠰ⰬⰬ单⥄_x0018_＀＀_x0018_＀＀_x0008_＀＀_x0001_＀＀_x0001_＀＀＀＀＀＀＀＀＀＀ߗ丠&amp;位䍞彁䕐华䙟乕彄呓呁单ㄨ⼲〲㜰ⰬⰬ单⥄_x0018_＀＀_x0018_＀＀_x0008_＀＀_x0001_＀＀_x0001_＀＀＀＀＀＀怀䂌ߘ丠I位䍞彁䕐华偟䅌彎十⡔㈱㈯㄰ⰰⰬ唬䑓䀩南偟久䥓乏噟䱁䅟卓呅⡓㈱㈯㄰ⰰⰬ唬䑓착_x0018_＀＀_x0018_＀＀_x0008_＀＀_x0001_＀＀_x0001_＀＀＀＀＀＀戀䂴ߗ丠#位䍞彁䕐华䱟彔䥌䉁⡓㈱㈯〰ⰵⰬ唬䑓착_x0018_＀＀_x0018_＀＀_x0008_＀＀_x0001_＀＀_x0001_＀＀豀碵꼝쐕ߗ丠&amp;獵年彰牰捩彥癡⡧⼱⼱〲㌰ㄬ⼲ㄳ㈯〰ⰳ⥤߸＀＀_x0018_＀＀ߨ＀＀ý＀＀_x0001_＀＀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ߗ丠$位䍞彁䕐华䍟剕䱟䅉卂ㄨ⼲〲㜰ⰬⰬ单⥄_x0018_＀＀_x0018_＀＀_x0008_＀＀_x0001_＀＀_x0001_＀＀＀＀＀＀＀＀＀＀ߘ丠%位䍞彁䕐华䅟呓䥟呎乁⡇㈱㈯㄰ⰰⰬ唬䑓착_x0018_＀＀_x0018_＀＀_x0008_＀＀_x0001_＀＀_x0001_＀＀豀碵꼝쐕ߗ丠&amp;位䍞彁佐呓䕒彔䕂彎䅐䑉ㄨ⼲〲㠰ⰬⰬ单⥄_x0018_＀＀_x0018_＀＀_x0008_＀＀_x0001_＀＀_x0001_＀＀＀＀＀＀＀＀＀＀ߚ丠K位䍞彁佐呓䕒彔义彔佃呓ㄨ⼲〲〱ⰬⰬ单⥄址当䱈䡔䅃䕒䥟呎䍟协⡔㈱㈯㄰ⰰⰬ唬䑓착_x0018_＀＀_x0018_＀＀_x0008_＀＀_x0001_＀＀_x0001_＀＀＀＀＀＀䁠ߗ丠%潭灞灟楲散慟杶ㄨㄯ㈯〰ⰴ㈱㌯⼱〲㐰搬착߸＀＀_x0018_＀＀ߨ＀＀ý＀＀_x0001_＀＀뚌ㄪ䀩_xDFF8_癊䱬䀩﷍ᯕ䀩സ蕑䀨갭霛䀨잟켨钼䀨钚溂焯䀨阭濫顊䀨㍈䴖齧䀨ᖹ櫂䀨謲汐ᴅ䀩퓽_xD978_䀨活ࢍꇆ䀨煭쾍_xFFFF_､䀨㿻驪˲䀩篃Ⰾ㡇䀩絗뚮形䀩િ_xDDF0_痦䀩祊蒭싮䀩걏䀩_xDC2F_ス믒䀩섚苯䀩﬍넽蕎䀩ꞗ䕳焩䀩ఏ簠鄨䀩껉貴寔䀩獃䚝㉚䀩Ύ隯謻䀩_xD90A_᭹涛䀩迪ర鉘䀩璓䶛䀩ᎃ꿑螭䀩喴摉萟䀩迪ర鉘䀩圄ɹ齡䀩૥狯㜑䀪⧃䀪킙ㄤ䀪ꦓ冂敉䀪뱫鍴ꐘ䀪ቿ㮟䀪৾嘮䀪ᄯ鵯퍿䀪밧꜄頾䀪虦늍䀪⮿_xFFFF_ﾂ䀪ꜙꨡ䀪ψඑ䀫㊇암ቔ䀪⡏쁄␡䀩瀝ㅝ䀨鈡육ﯖ䀨껉貴寔䀩轤㍐窤䀩᧫㇂介䀩ㇹ껦营䀨螺ꔮ鄮䀨흑ﯚ蕔䀨Ⱇו뒼䀨숀ኇ턭䀨橿璼ₓ䀩謲汐ᴅ䀩괶Ȕ㒹䀩Ɀ蝄臀䀩⬰晾䀩꤫퀓顄䀩ꈼ畂륳䀩ᎃ꿑螭䀩郷뷰ꆿ䀩ᘢ븰䀩罡䀩䞕숷몢䀩_xDC2F_ス믒䀩ꏎ_xFFFF_￢䀩ሖ먰↼䀪육㏖ᎄ䀪爙㵬_xD843_䀩⭖縓➩䀪ꏎ_xFFFF_￢䀩䞕숷몢䀩䤧䳗䀩ᒐ憑霕䀩੽樌䀩ᓓ丁ꋯ䀩Ĕᗢ䀪㊇암ቔ䀪Ò˞ਉ䀪Ĕᗢ䀪祊蒭싮䀩攣ꒋ棝䀩瘝⿎롊䀨瓪ඩ䀧쬜ꌁ䀦岷_xD8FD_ᜤ䀧獘悀䀦呺_xDFFC_ᴑ䀧ꎾ蓆페䀦ᝡཅ챼䀦姕뀭퓇䀦⭚᳚컧䀤㮹띫顝䀥䄹Მᄾ䀦샆踺樟䀦掀黏㓋䀦⏮⚷滝䀦蜗뼳玚䀦䗱뱻蚐䀦ꞇ쩗搲䀦燅헠뽲䀦㟒ᩩ봔䀦௾Ą萲䀦巢焻䀦㢸㜪୑䀦ែ匦̅䀦꒤ꆇ⇕䀦橮裂᎜䀦ꍕ͗ڔ䀦狰_xDF11_ᦉ䀦_xDE98_峾␴䀦뢈锹瀌䀦轓렴涭䀦⃉ᅷ₦䀦勧啜䀦툟㽯䀧齮晕⭊䀧䍸ᔚᄸ䀧⧵擇_xFFFF_ｱ䀦櫗笏䀦ῢ퉨䀦ヤ뾘_xDE42_䀦汩֯޽䀧윑뢺ڍ䀧䂖컚䀦鐏껛䀦向庍倍䀦_xDA8C_⫽蟀䀦袨䧓骶䀦鎙䀦൑㗻䀦ᖩ䀥묂㲚䀥ⓕ䍸봚䀥ꦽ蕈춱䀥哷筎鹊䀥몾倪_xD98B_䀥鵀ࣲ䀦⃉ᅷ₦䀦ᛸ跖_xFFFF_ｷ䀥㻝첫䀥唺枾ꨤ䀥ꜞ䣨霮䀥㭵쫻貃䀥க羕뜭䀥瀍뙁휬䀥鈐䰅䀥┘⿨죴䀥ែ匦̅䀦花ໟ䀦䑟㇛彵䀦繓懓䀦ᐼ洞繄䀦ၮ趭䀦彴泎顗䀦먛Ῑ霨䀦쎨뜊걼䀦챬裫빃䀦쎨뜊걼䀦꺞꣮䀦鐏껛䀦챬裫빃䀦໠⧔욏䀦ℱ鋦䀦ꉐ䀦ꘚ풶﹁䀦蹭魳ὰ䀧㻀町鯥䀦ຝ㵤몵䀦꺞꣮䀦灵㞰ꐱ䀦巢焻䀦弋쭒䀥齲崜䀥㷮牜ǜ䀥祴롳⭖䀥_xD9BA_⠟䀤㲟퐬䀤붾큫暗䀥尩슏裵䀥瑰욕䀥䋌ꜻ㡙䀦_xDE98_峾␴䀦ែ匦̅䀦މ䶔᪹䀦湺⮡뀑䀥_xD84D_㉾蟆䀥ⵕ⣩쌇䀥륯뇺빉䀥䛘_xD93C_퓍䀥ⓕ䍸봚䀥堝邎䀥찃ݼ䀥찃ݼ䀥俠鞍䀥䀥唺枾ꨤ䀥齲崜䀥蟽_xDBF4_쇗䀥䎖沋㯧䀦┽쓧訞䀦⏮⚷滝䀦ꁕ茖禇䀦_xDA48_㺍篦䀦Ɡ彖╝䀧儿냙᪦䀩﷉䔎ځ䀩뚌ㄪ䀩㻮䟇䀨؇㸐䀩븸쳶䂒䀩ᥦ壢圗䀩ꑲ〳⋲䀩ရ긡⶜䀩紊钰䀪邼༎ⱡ䀫㋰䛃_xDF59_䀪_xFFFF_￬믋䀪෇鮿祮䀪㿀䪥趔䀪ꜙꨡ䀪琔䥻챣䀪『ᷳ鳼䀪⁜걣䀪⩯慒_xD96C_䀪嵴쇸ﳹ䀪ᄯ鵯퍿䀪媒館몜䀪곙_xDCFA_䀪뫽鷓㸧䀫奨迷悅䀫痍椚뒩䀫❓覠↰䀬᝝灾┾䀬볹ꧢ㉇䀬샃싡䀫맓钢䀫굇細䆯䀬鐈륍㯂䀬驷⣌䀬῞嗯⬫䀬敷గ膮䀬뀩ꘀ萌䀬ᣯﬞ䱙䀬嬠꾖䣋䀬ߘ丠&amp;位坞当䕐华佉彎䕎彔䥌䉁ㄨ⼲〲〱ⰬⰬ单⥄_x0018_＀＀_x0018_＀＀_x0008_＀＀_x0001_＀＀_x0001_＀＀豀碵꼝쐕ߚ丠O位䍞彁佐呓䕒彔䱐乁䅟呓䕟䑎ㄨ⼲〲㤰ⰬⰬ单⥄址当䱈䡔䅃䕒䙟彖十䕓⡔㈱㈯〰ⰹⰬ唬䑓착_x0018_＀＀_x0018_＀＀_x0008_＀＀_x0001_＀＀_x0001_＀＀＀＀＀＀＀＀＀＀ߗ丠P位䍞彁䕐华䅟䍃䵕䍟䵏剐义⡃㈱㈯〰ⰳⰬ唬䑓䀩南䍟䵏剐䥟䍎偟久当䥌䉁ㄨ⼲〲㌰ⰬⰬ单⥄_x0018_＀＀_x0018_＀＀_x0008_＀＀_x0001_＀＀_x0001_＀＀＀＀＀＀ 䂜ߗ丠%潭灞灟楲散慟杶ㄨㄯ㈯〰ⰲ㈱㌯⼱〲㈰搬착߸＀＀_x0018_＀＀ߨ＀＀ý＀＀_x0001_＀＀쑩㻌㦏䀥ꜞ䣨霮䀥쀛⁛酁䀥䦔洍嘀䀥ਂ逑䀥ᖩ䀥逺퓵믪䀥ᕥ̶_xD85C_䀥花ໟ䀦Ǫ郳圩䀦鐏껛䀦岒䏾嗺䀦鐏껛䀦彴泎顗䀦⏾臓䀦揩‾ǐ䀧㤡뢙_xD855_䀦勧啜䀦藬똂ᦃ䀧粝౺䀧玛䳰䀦㲊멉㉦䀧㉶䨸՞䀧姕뀭퓇䀦鱉儕_xDD13_䀦蹭魳ὰ䀧궎ࡧ䀦_xD962_⇌ⶩ䀧ᰚ꼥䇎䀧嗉縬㡓䀧ᘷؔ牥䀧䃿涹鯟䀧鹅崤턳䀧ꛆ䊕휠䀧ᲂゔ໓䀨Ⓚ⦕ࣦ䀨棎媫䀨㺫字䀨슇䀨֞벡㎏䀨ྲⲲ悘䀨瀝ㅝ䀨갭霛䀨ꗟ◔裣䀨ꝲ끴꿾䀨쎓鴧䀨罻ꚃ䀨⟥㻕圝䀨⤵_xDD05_牞䀨ꊺ႔㪬䀨Ⓚ⦕ࣦ䀨襺䲱㒿䀨쁈䀧逥묒޶䀨_xDB1A_䅫ᗯ䀨軻뇡궟䀨晍궼싴䀨蟨숑ඣ䀨Ꜯ쐄ꐤ䀨蠍圐컎䀨딋禦懇䀨_xD8A1_騊ꂖ䀨厹堺迿䀨_xD8E4_虺거䀨㍈䴖齧䀨ྲⲲ悘䀨ﵡ쎟㥼䀨ꊺ႔㪬䀨㵜봧챯䀨㝺ᐖﴆ䀨깠୅軐䀨鴛右眜䀨蚾룠뎌䀨螺ꔮ鄮䀨_xDBC6_꽊䀨쎓鴧䀨鈡육ﯖ䀨ዽ훱濹䀩껉貴寔䀩隖窑敏䀩岢뼚拰䀩Ɀ蝄臀䀩獃䚝㉚䀩ᓓ丁ꋯ䀩‶层䀩䟙꺧왼䀩櫨䀩뭻㤥뽠䀩뢙ၕ紃䀩漷ᒜ闦䀩੽樌䀩춘䀩鼖怂欼䀩蠍圐컎䀨⥚爄㎉䀩⥚爄㎉䀩➯䀩Ꙉꝃ嗧䀩已嵊縲䀩均ꬺ䀩섚苯䀩Ɀ蝄臀䀩櫨䀩킙ㄤ䀪ꫣ肊䀪澟阋拪䀪₟_xDDB1_렽䀪㿀䪥趔䀪훓悈М䀪牜⧜䀩ꎋ፲풵䀩揹魚ໆ䀪⧃䀪︳왽펅䀩辧῀虾䀩涤觼滊䀩涤觼滊䀩涤觼滊䀩梁⚝帳䀩笗븯彨䀨먛Ῑ霨䀦㭵쫻貃䀥⌜⏙퓔䀤啓_xD868_䀣ఓ᫧㡦䀤뿴譜퀖䀤騨뀇⟈䀥螔媅䀤ꕈ퇘搸䀥찃ݼ䀥쁝ೋ鴛䀥皒辣䀤礋㜄幒䀤㫄_xDE55_䀣䝳쯿ꂵ䀣쏚⡞ꭠ䀣쐀뵝沊䀤悳迢ꚢ䀣䲌꿀䲑䀣Წ摚眻䀣詐瘅䀤簱䱄겉䀤⭚᳚컧䀤ჱ俆滣䀥몾倪_xD98B_䀥콁ꕦ䀥풐兂䀥渑ꨲ䀤_xD9BA_⠟䀤냐ﴘ䀥Ǫ郳圩䀦⥊⚒䀦穆뭑앟䀦ꔍ⋶䀦㤡뢙_xD855_䀦㤡뢙_xD855_䀦⇝Å욉䀧핖鄴䀧䤼暺闲䀧袬䀨죊_xD859_䀧බ₣汸䀧섯ྩ㜤䀧ែ匦̅䀦ꍕ͗ڔ䀦ℌ﷧Ɀ䀦ꎾ蓆페䀦_xFFFF_ｱ䀦Ɡ彖╝䀧흮䀦⃉ᅷ₦䀦옐䭏䀦_xD84D_㉾蟆䀥収爝䐳䀦ᛸ跖_xFFFF_ｷ䀥괥蛸⟂䀦實혟紛䀥ჱ俆滣䀥俠鞍䀥∵ܘ蚗䀥릲鹪쨣䀥쌲녆䀤鲔쌓䀣ힾᰐ聯䀣䅎㙾앲䀣蔯촇㎮䀣檃ᎃ쟑䀣얃쳡蚯䀡퉸旂䀡쮯鿰_xD86E_䀢ㄎ䚪䀢婂큣䤉䀢뛺ꥠ䀠皁ᒇ_xDC03_䀡䆁꟒쑕䀠⫠⁏䀠䦾ꃓ빨䀠㓴遠⇴䀡Õ릥䀡艄蚩䀢끵쿾_xDE61_䀡❳Ꟙ䀢ታ彊褈䀢쏚⡞ꭠ䀣ꘉ妚䀣獇_xD997_䀣괺ꃛ_xDBF6_䀣稵䀵롩䀣㍌䚤䀣Წ摚眻䀣G謷⌗䀣㾖ᛟ_xDD2C_䀢ﶋꇤ䀣䑎뚿剾䀣元侠쇤䀣ꎓ준䀣存뾱䀣ꎓ준䀣锇躸䀣滧䯗⑓䀡瓯觧듧䀡ᯚ慼_xDD32_䀡报鹣䀡汮ꑶ껺䀡氫렆ꌠ䀡ꋧ茡䀡磻믨兛䀡᳁總⭯䀡㟖뤰摑䀡ᡇ将䀡穊娘沝䀡䂚謑瘘䀡䩪າ靇䀡띣⫏봳䀡媆볓哣䀢핚躒㡲䀢ꛊ繝䀢崥盧警䀢ﺴﯼ䀢צ䟘䀢ꊾ꽛䀢〧횝䀢᧊㮊㓞䀣筟䥦ኀ䀣殭Ჴ⇨䀣襾_xDBFC_䀢딏ᡭअ䀣鵢_xDF2A_⨳䀣蔯촇㎮䀣妚䀣왔쾿₸䀣ࣈ炨⤄䀣틡쌙䀢ߚ丠(位坞当䱈䡔䅃䕒䑟卉彃䅒䕔ㄨ⼲〲〱ⰬⰬ单⥄_x0018_＀＀_x0018_＀＀_x0008_＀＀_x0001_＀＀_x0001_＀＀馚香香䀒ߘ丠M位䍞彁䕐华啟剎䍅䝏ㄨ⼲〲〱ⰬⰬ单⥄址当䕐华佉彎乕䕒彃䕓噒䍟协⡔㈱㈯㄰ⰰⰬ唬䑓착_x0018_＀＀_x0018_＀＀_x0008_＀＀_x0001_＀＀_x0001_＀＀＀＀＀＀＀＀䁏ߗ丠%潭灞灟楲散慟杶ㄨㄯ㈯㄰ⰱ㈱㌯⼱〲ㄱ搬착߸＀＀_x0018_＀＀ߨ＀＀ý＀＀_x0001_＀＀蔟凫麸䀸＀＀＀＀耀䀸炤਽揗䀸ᑻ䞮竡䀸긕鑺䀸炤਽揗䀸ਾꏗ㵰䀸롒蔞ᇫ䀸슐⣵ཛྷ䀸蔟凫Ẹ䀸尩슏⣵䀸긕ᑺ䀸ਾꏗﵰ䀷휊炣਽䀸ꏗ㵰ᜊ䀸凬Ẹ殅䀸휊炣䨽䀸炤਽䏗䀸凬Ẹ䀷휊炣쨽䀷尨芏䀷긕鑺䀷䞮竡긔䀷쳍쳌ೌ䀸＀＀＀＀＀＀䀸슐⣵ཛྷ䀸竡긔ⅇ䀸晧晦♦䀸ꏗ㵰ᜊ䀸㵱휊炣䀸ਾꏗ絰䀸ᑻ䞮竡䀸ᑻ䞮竡䀸ᑻ䞮뫡䀸휊炣쨽䀸ਾꏗ뵰䀸⣶轜뗂䀸⣶轜뗂䀸㵱휊䀸蔟凫庸䀹蔟凫Ẹ䀹쳍쳌ೌ䀹㵱휊炣䀹롒蔞凫䀹竡긔慇䀹尩슏ꣵ䀹슐⣵콜䀹炤਽ꏗ䀹쳍쳌ೌ䀹ਾꏗﵰ䀸⣶轜뗂䀸휊炣䨽䀸㵱휊炣䀸쳍쳌쳌䀸晧晦♦䀹䞮竡渔䀹轜鰨䀹䞮竡䀹롒蔞퇫䀹쳍쳌ೌ䀺Ẹ䀹轜ᰨ䀺ᑺޮ䀺ᑻ䞮﫡䀹㵱휊䀹轜ᰨ䀺ᑺ䞮䀺馚香ᦙ䀺ਾꏗ㵰䀺롑蔞䀺㌴㌳댳䀺䞮竡긔䀺炤਽䀺尨ʏ䀻쳍쳌賌䀺竡긔慇䀺晧晦♦䀺슐⣵ཛྷ䀺긕ᑺ䀺휊炣䨽䀺蔟凫麸䀺晧晦Ꙧ䀺ꏗ㵰휊䀺ᑺ잮䀺＀＀＀＀＀＀䀻馚香_xD999_䀺䞮竡긔䀺⣶轜䀺炤਽⏗䀻凬Ẹ⮅䀻슐⣵ཛྷ䀻馚香妙䀻슐⣵作䀻ਾꏗ絰䀻尩슏ꣵ䀻蔟凫_xDEB8_䀻ᑻ䞮﫡䀻ਾꏗ뵰䀻馚香_xD999_䀻凬Ẹ䀻尩슏䀻롑씞䀻㵱휊䀻슐⣵ཛྷ䀼凬Ẹ䀻롒蔞釫䀻馚香香䀻＀＀＀＀䀀䀻馚香ᦙ䀻휊炣䨽䀻⣶轜痂䀻尨ʏ䀻䞮竡䀺蔟凫庸䀻轜鰨䀺䞮竡䀺긕ᑺ䀻롒蔞凫䀻슐⣵作䀻䞮竡⸔䀻馚香_xD999_䀺휊炣쨽䀺롑씞䀺轜尨䀺馚香ᦙ䀺尩슏棵䀺ᑺ螮䀺馚香香䀺롒蔞퇫䀺＀＀＀＀＀＀䀻炤਽䀺䞮竡䀺晧晦䀺轜_xDC28_䀺馚香_xD999_䀺馚香_xD999_䀺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ߗ丠&amp;位䍞彁䕐华䙟乕彄呓呁单ㄨ⼲〲㈰ⰬⰬ单⥄_x0018_＀＀_x0018_＀＀_x0008_＀＀_x0001_＀＀_x0001_＀＀＀＀＀＀＀＀䂌ߗ丠%潭灞灟楲散慟杶ㄨㄯ㈯〰ⰰ㈱㌯⼱〲〰搬착߸＀＀_x0018_＀＀ߨ＀＀ý＀＀_x0001_＀＀_xDDEC_䭕䀕꼠댇䀕쌿㖛_xDF78_䀕蟽_xDBF4_쇗䀕娐式娦䀕ᷧ䀕厊薭㡙䀖浐≰嗺䀖蜖뼳玚䀖_xDC1F_떝껛䀖쾯䜩䀖_xDDEC_䭕䀕渷㼱ꐷ䀕뵕仼馓䀔桍墒幒䀔桍墒幒䀔寝频䀓븼殽䀓ᐫ绩煎䀓뼣衾㘍䀓贈厭䀓ᐫ绩煎䀓菠⻗ᡭ䀓ᐫ绩煎䀓菠⻗ᡭ䀓޻뻨জ䀓ﮆ෈䀒⾾售⭩䀒蓆䮘暪䀒ꔒ솽ꘗ䀑곉衶䀑ꔒ솽ꘗ䀑䩪າ靇䀑ﮆ෈䀒⾾售⭩䀒贈厭䀓늳졽칛䀒㰭ᔯ錛䀒⾾售⭩䀒쀉ꔿ葊䀒睱滖낻䀒챹敀䀒_xD9CF_䈂ꇫ䀒늳졽칛䀒蓆䮘暪䀒鈝⡚Კ䀒齳Ԝ튈䀑薭桙듧䀑ꔒ솽ꘗ䀑蓆䮘暪䀒㴔ㇰ䀑_xD9CF_䈂ꇫ䀒_xDEC5_뾋䀒_xDEC5_뾋䀒≨硬畺䀒늳졽칛䀒_xDAB6_廃䀑ﮆ෈䀒Ễ埚䀒쵠舁㨹䀒鈝⡚Კ䀒薭桙듧䀑椳畓겏䀓ⷱᮬ軯䀓⚅▉ụ䀕䄱_xDF0D_諂䀔ꢣ뜳䀔䁊쉌㲅䀕㏛ɋ퓔䀔桍墒幒䀔㓁Ἄ⌑䀔ⴊﻫ䂱䀔嫷篐ꡣ䀔ⷱᮬ軯䀓椳畓겏䀓ↂ宫✽䀓峄땒䓝䀓ꑶ컺쨯䀓ەꈧ뭟䀓桍墒幒䀔嫷篐ꡣ䀔桍墒幒䀔ⴊﻫ䂱䀔▞ࣈ킨䀕窦_xFFFF_Ｒ௨䀖㋴蚖䀕콁镦䀕蟽_xDBF4_쇗䀕鉟擊䀖쌿㖛_xDF78_䀕厊薭㡙䀖蟽_xDBF4_쇗䀕Ⓑ艪䀖煭쾍_xFFFF_､䀘緜辎朖䀙ꓸओ㪦䀙尽屲䀘度_xFFFF_ｽ痦䀙抺塆䀙緜辎朖䀙ു싟熺䀚얏ꤶ䀙緜辎朖䀙࠽更稒䀘㜑銧、䀘࠽更稒䀘_xDB37_飜悞䀗冽䰫鯟䀗䑨潩䀗﫧᰾쐤䀘煭쾍_xFFFF_､䀘煭쾍_xFFFF_､䀘틥藸ꉗ䀙抺塆䀙緜辎朖䀙鞢ⱑ蒷䀙冽䰫鯟䀗䑨潩䀗셲ﰙ䋽䀗਋㊃ᚍ䀗_xDD05_퉞ﴘ䀕꼠댇䀕ꓸओ㪦䀙㕃夥鎇䀙饯旓ℱ䀘㽼ี䀙䎀动鞳䀘⣔餤⯕䀙ꯉ౳컈䀙ศ_xDFA0_뿷䀙煭쾍_xFFFF_､䀘煭쾍_xFFFF_､䀘羪줐ΐ䀘_xDB37_飜悞䀗汩֯޽䀗딂㰘_xDB4C_䀖▞ࣈ킨䀕쾯䜩䀖驗芔潮䀗冽䰫鯟䀗ᙺ績䀗컈_xD8DB_䀖췡밚ꪯ䀗弓⣭凎䀗된ὗ贏䀗तᗂ졐䀗_xDB37_飜悞䀗ꛆ䊕휠䀗羪줐ΐ䀘谙褑歂䀘罻ꚃ䀘얏ꤶ䀙Ⲧ᱃拫䀚ꯉ౳컈䀙✆徢轛䀚덳䀜趂_xDFEB_⧵䀝斀䦥ࠩ䀞蘖맫䀞ꀳ峞䀟ၷ医쳨䀝ၷ医쳨䀝뭰峐醧䀝확收䀝확收䀝픴煉꽇䀝확收䀝李茧꒣䀜ꤖ똰䀛_xFFFF_％쥛涎䀛逶㘮ᒭ䀛랟䀛_xFFFF_％쥛涎䀛㩇⌃謯䀛쏁澴修䀛鲥籞䀛鲥籞䀛挰혊טּ䀙緜辎朖䀙謲汐ᴅ䀙练걏땓䀘⣔餤⯕䀙饯旓ℱ䀘䎀动鞳䀘틥藸ꉗ䀙ꯉ౳컈䀙Ò˞ਉ䀚哴_xDC87_䀚臹㲫ႁ䀜䞝_xFFFF_ￅ䄝䀛_xFFFF_％쥛涎䀛⳱䙁핀䀛脒Ὺ쉄䀜鮿_xD96E_⸡䀜ꤖ똰䀛蹩ﲬ砲䀜뱕禑_xDFE4_䀜趂_xDFEB_⧵䀝긘耎_xDBB8_䀝덳䀜蹩ﲬ砲䀜晦晦噦䀝괲捍赻䀞ྑ㙺纫䀞Ⱥ妸좼䀞6ရᘡ䀠੊耬㬩䀠⸣贀緒䀠㔈ꩃ䀠꜅逾﮼䀠娝㭤迟䀡塆䀠ॣ捫䀠凼駔쁻䀠㭹槂㏁䀠鷘㳮⓱䀠旾兡䀠꜅逾﮼䀠⸣贀緒䀠ʸᇴ䀡萒ꀫݐ䀠萒ꀫݐ䀠묆_xDB61_貢䀠_xDEDF_콋䀠꜅逾﮼䀠ॣ捫䀠⚑Ǟ咞䀡觖鐊䀠归皖癪䀠㪒䴁䀠ﰍ蚨㛽䀡킢쬟䀡뛜凯굿䀡錃䔛櫖䀡懔宅爾䀡湄ᮆ_xD9F0_䀡퐊ᔰ䀢운Ꭰ彂䀢ﴶ埙䀢Ժ_xD9F9_෈䀢枘괥ﻸ䀡ﶨ他䀢깤ꨌ㘍䀣縛_xDD37_讲䀢劰䕁῕䀣贍舧䀣׮蕦洢䀤׮蕦洢䀤␃䂚⌑䀤谦敦ꃻ䀤幟綀䀤段婂ꡣ䀤礋㜄幒䀤ߗ丠&amp;獵年彰牰捩彥癡⡧⼱⼱〲㄰ㄬ⼲ㄳ㈯〰ⰱ⥤ߘ＀＀_x0018_＀＀߈＀＀ù＀＀_x0001_＀＀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ߗ丠_x0019_位坞当塅䡃剟呁彅义彃䙃〨착_x0018_＀＀_x0018_＀＀_x0008_＀＀_x0001_＀＀_x0001_＀＀豀碵꼝쐕ߗ丠P位䍞彁䕐华䅟䍃䵕䍟䵏剐义⡃㈱㈯〰ⰸⰬ唬䑓䀩南䍟䵏剐䥟䍎偟久当䥌䉁ㄨ⼲〲㠰ⰬⰬ单⥄_x0018_＀＀_x0018_＀＀_x0008_＀＀_x0001_＀＀_x0001_＀＀豀碵꼝쐕ߗ丠$位䍞彁䕐华䱟彔十䕓協ㄨ⼲〲㘰ⰬⰬ单⥄_x0018_＀＀_x0018_＀＀_x0008_＀＀_x0001_＀＀_x0001_＀＀＀＀＀＀倀䂝ߗ丠&amp;位䍞彁䕐华䙟乕彄呓呁单ㄨ⼲〲㠰ⰬⰬ单⥄_x0018_＀＀_x0018_＀＀_x0008_＀＀_x0001_＀＀_x0001_＀＀＀＀＀＀᐀삖ߗ丠$位䍞彁䕐华䍟剕䱟䅉卂ㄨ⼲〲㈰ⰬⰬ单⥄_x0018_＀＀_x0018_＀＀_x0008_＀＀_x0001_＀＀_x0001_＀＀豀碵꼝쐕ߗ丠_x000D_位偞偟䥒䕃〨착_x0018_＀＀_x0018_＀＀_x0008_＀＀_x0001_＀＀_x0001_＀＀馚香_xD999_䀺ߗ丠&amp;位坞当䕐彎佐呓剟呅䉟久ㄨ⼲〲㔰ⰬⰬ单⥄_x0018_＀＀_x0018_＀＀_x0008_＀＀_x0001_＀＀_x0001_＀＀＀＀＀＀ꠀ䂪ߗ丠#位䍞彁䕐华䱟彔䥌䉁⡓㈱㈯〰ⰶⰬ唬䑓착_x0018_＀＀_x0018_＀＀_x0008_＀＀_x0001_＀＀_x0001_＀＀＀＀＀＀氀䂘ߚ丠+位䍞彁佐呓䕒彔䵅彐佃呎䥒彂⡃㈱㈯㄰ⰰⰬ唬䑓착_x0018_＀＀_x0018_＀＀_x0008_＀＀_x0001_＀＀_x0001_＀＀＀＀＀＀＀＀＀＀ߗ丠%位䍞彁䕐华䅟呓䥟呎乁⡇㈱㈯〰ⰵⰬ唬䑓착_x0018_＀＀_x0018_＀＀_x0008_＀＀_x0001_＀＀_x0001_＀＀＀＀＀＀＀＀＀＀ߗ丠O位䍞彁佐呓䕒彔䱐乁䅟呓䕟䑎ㄨ⼲〲㠰ⰬⰬ单⥄址当䱈䡔䅃䕒䙟彖十䕓⡔㈱㈯〰ⰸⰬ唬䑓착_x0018_＀＀_x0018_＀＀_x0008_＀＀_x0001_＀＀_x0001_＀＀＀＀＀＀＀＀＀＀ߗ丠.位坞当䱈䡔䅃䕒䅟位呒卟剅彖佃呓ㄨ⼲〲㠰ⰬⰬ单⥄_x0018_＀＀_x0018_＀＀_x0008_＀＀_x0001_＀＀_x0001_＀＀＀＀＀＀＀＀쀢ߗ丠D位䍞彁佐呓䕒彔䕂彎䉏ㄨ⼲〲㜰ⰬⰬ单⥄址当䱈䡔䅃䕒偟佂ㄨ⼲〲㜰ⰬⰬ单⥄_x0018_＀＀_x0018_＀＀_x0008_＀＀_x0001_＀＀_x0001_＀＀＀＀＀＀쐀䂟ߗ丠$位䍞彁䕐华䍟剕䱟䅉卂ㄨ⼲〲㠰ⰬⰬ单⥄_x0018_＀＀_x0018_＀＀_x0008_＀＀_x0001_＀＀_x0001_＀＀＀＀＀＀＀＀䀴ߚ丠S位䍞彁佐呓䕒彔剐佉归剓⡖㈱㈯㄰ⰰⰬ唬䑓䀩南䡟呌䍈剁彅乕䕒彃䕓噒䍟协⡔㈱㈯㄰ⰰⰬ唬䑓착_x0018_＀＀_x0018_＀＀_x0008_＀＀_x0001_＀＀_x0001_＀＀＀＀＀＀쀀쁦ߚ丠B位䍞彁䕐华偟佒彊䉏⡌㈱㈯〰ⰹⰬ唬䑓䀩南偟久䥓乏偟佂ㄨ⼲〲㤰ⰬⰬ单⥄_x0018_＀＀_x0018_＀＀_x0008_＀＀_x0001_＀＀_x0001_＀＀＀＀＀＀묀䂷ߚ丠E位䍞彁佐呓䕒彔佒⡁㈱㈯㄰ⰰⰬ唬䑓䀩南䡟呌䍈剁彅塅彐佒⡁㈱㈯㄰ⰰⰬ唬䑓착_x0018_＀＀_x0018_＀＀_x0008_＀＀_x0001_＀＀_x0001_＀＀＀＀＀＀＀＀＀＀ߗ丠&amp;位䍞彁䕐华䙟乕彄呓呁单ㄨ⼲〲㌰ⰬⰬ单⥄_x0018_＀＀_x0018_＀＀_x0008_＀＀_x0001_＀＀_x0001_＀＀＀＀＀＀䂤ߗ丠E位䍞彁佐呓䕒彔佒⡁㈱㈯〰ⰸⰬ唬䑓䀩南䡟呌䍈剁彅塅彐佒⡁㈱㈯〰ⰸⰬ唬䑓착_x0018_＀＀_x0018_＀＀_x0008_＀＀_x0001_＀＀_x0001_＀＀＀＀＀＀＀＀＀＀ߗ丠B位䍞彁䕐华偟佒彊䉏⡌㈱㈯〰ⰷⰬ唬䑓䀩南偟久䥓乏偟佂ㄨ⼲〲㜰ⰬⰬ单⥄_x0018_＀＀_x0018_＀＀_x0008_＀＀_x0001_＀＀_x0001_＀＀＀＀＀＀혀䃀ߗ丠$位䍞彁䕐华䱟彔十䕓協ㄨ⼲〲㜰ⰬⰬ单⥄_x0018_＀＀_x0018_＀＀_x0008_＀＀_x0001_＀＀_x0001_＀＀＀＀＀＀䀀䂔ߗ丠)位坞当䱈䡔䅃䕒䕟偘䱟彔佒⡁㈱㈯〰ⰸⰬ唬䑓착_x0018_＀＀_x0018_＀＀_x0008_＀＀_x0001_＀＀_x0001_＀＀豀碵꼝쐕ߘ丠B位䍞彁䕐华偟佒彊䉏⡌㈱㈯㄰ⰰⰬ唬䑓䀩南偟久䥓乏偟佂ㄨ⼲〲〱ⰬⰬ单⥄_x0018_＀＀_x0018_＀＀_x0008_＀＀_x0001_＀＀_x0001_＀＀＀＀＀＀✀䂹ߗ丠P位䍞彁䕐华䅟䍃䵕䍟䵏剐义⡃㈱㈯〰ⰶⰬ唬䑓䀩南䍟䵏剐䥟䍎偟久当䥌䉁ㄨ⼲〲㘰ⰬⰬ单⥄_x0018_＀＀_x0018_＀＀_x0008_＀＀_x0001_＀＀_x0001_＀＀＀＀＀＀︀사ߚ丠,位䍞彁佐呓䕒彔剕呟归䉏䅟位呒ㄨ⼲〲〱ⰬⰬ单⥄_x0018_＀＀_x0018_＀＀_x0008_＀＀_x0001_＀＀_x0001_＀＀＀＀＀＀＀＀＀＀ߘ丠A位䍞彁䕐华剟䅏ㄨ⼲〲〱ⰬⰬ单⥄址当䕐华佉彎塅彐佒⡁㈱㈯㄰ⰰⰬ唬䑓착_x0018_＀＀_x0018_＀＀_x0008_＀＀_x0001_＀＀_x0001_＀＀＀＀＀＀倀쁺ߗ丠_x001B_慳ⵢ潬幮彇佃彍䡓剁卅佟呕〨착_x0018_＀＀_x0018_＀＀_x0008_＀＀_x0001_＀＀_x0001_＀＀轜䂙ߗ丠&amp;位坞当䕐彎佐呓剟呅䉟久ㄨ⼲〲㘰ⰬⰬ单⥄_x0018_＀＀_x0018_＀＀_x0008_＀＀_x0001_＀＀_x0001_＀＀＀＀＀＀먀䂹ߘ丠#位䍞彁䕐华䉟久偟䥁⡄㈱㈯㄰ⰰⰬ唬䑓착_x0018_＀＀_x0018_＀＀_x0008_＀＀_x0001_＀＀_x0001_＀＀＀＀＀＀瀀䁷ߘ丠;位䍞彁䕐华䑟卉彃䅒䕔ㄨ⼲〲〱䀩南偟久䥓乏䑟卉彃䅒䕔ㄨ⼲〲〱착_x0018_＀＀_x0018_＀＀_x0008_＀＀_x0001_＀＀_x0001_＀＀＀＀＀＀＀＀䀖ߚ丠I位䍞彁䕐华偟䅌彎十⡔㈱㈯〰ⰹⰬ唬䑓䀩南偟久䥓乏噟䱁䅟卓呅⡓㈱㈯〰ⰹⰬ唬䑓착_x0018_＀＀_x0018_＀＀_x0008_＀＀_x0001_＀＀_x0001_＀＀＀＀＀＀؀䂳ߗ丠D位䍞彁佐呓䕒彔䕂彎䉏ㄨ⼲〲㠰ⰬⰬ单⥄址当䱈䡔䅃䕒偟佂ㄨ⼲〲㠰ⰬⰬ单⥄_x0018_＀＀_x0018_＀＀_x0008_＀＀_x0001_＀＀_x0001_＀＀＀＀＀＀㸀䂢䍔交_x0012_潭䙞彇䕍乁䕟卐䙟ㅑ_x0018_＀＀_x0018_＀＀_x0008_＀＀_x0001_＀＀_x0001_＀＀ै纰Ԣ㿢ߗ丠S位䍞彁佐呓䕒彔剐佉归剓⡖㈱㈯〰ⰸⰬ唬䑓䀩南䡟呌䍈剁彅乕䕒彃䕓噒䍟协⡔㈱㈯〰ⰸⰬ唬䑓착_x0018_＀＀_x0018_＀＀_x0008_＀＀_x0001_＀＀_x0001_＀＀＀＀＀＀쀀쁓ߗ丠*位坞当佃乕剔彙䅎䕍〨䀩䅃䍟彏义佃偒䍟剔⡙⤰_x001E_＀＀_x0018_＀＀_x000E_＀＀_x0001_＀＀_x0008_＀＀湕瑩摥匠慴整sߗ丠%位䍞彁䕐华䅟呓䥟呎乁⡇㈱㈯〰ⰶⰬ唬䑓착_x0018_＀＀_x0018_＀＀_x0008_＀＀_x0001_＀＀_x0001_＀＀豀碵꼝쐕ߗ丠_x0019_位坞当塅䡃剟呁⡅ⰰⰬ唬䑓착_x0018_＀＀_x0018_＀＀_x0008_＀＀_x0001_＀＀_x0001_＀＀＀＀＀＀＀＀㿰ߘ丠G位䍞彁䕐华䥟呎䍟协⡔㈱㈯㄰ⰰⰬ唬䑓䀩南偟久䥓乏䥟呎䍟协⡔㈱㈯㄰ⰰⰬ唬䑓착_x0018_＀＀_x0018_＀＀_x0008_＀＀_x0001_＀＀_x0001_＀＀＀＀＀＀䀀䁶ߗ丠%潭灞灟楲散慟杶ㄨㄯ㈯〰ⰹ㈱㌯⼱〲㤰搬착߸＀＀_x0018_＀＀ߨ＀＀ý＀＀_x0001_＀＀蔟凫Ẹ䀮晧晦晦䀮尨슏䀮쳍쳌䳌䀮䞮竡⸔䀮㌴㌳㌳䀮⣶轜䀮긕鑺䀯Ẹ㡑䀰䞮竡⸔䀰蔟凫庸䀰ꏗ㵰휊䀰尩슏⣵䀱Ẹ䀰⣶轜䀰ꏗ㵰휊䀰㵱휊낣䀰䞮竡䀰쳍쳌쳌䀰ꏗ㵰휊䀰휊炣訽䀰㵱휊낣䀰䞮竡䀰＀＀＀＀쀀䀰Ẹ硑䀰⣶轜䀰슏⣵콜䀰Ẹ硑䀰Ẹ硑䀰쳍쳌賌䀰ꏗ㵰휊䀯炤਽⏗䀯슐⣵ཛྷ䀯晧晦晦䀯凬Ẹ䀮馚香ᦙ䀮ਾꏗ뵰䀮롒蔞퇫䀮ਾꏗ㵰䀮竡긔䀮炤਽⏗䀮ਾꏗ㵰䀭炤਽⏗䀮쳍쳌䳌䀯㵱휊炣䀯ẹ롑䀯馚香香䀰炤਽揗䀰쳍쳌䳌䀰䞮竡긔䀰尩슏䀰Ẹ㡑䀱馚香_xD999_䀰㵱휊낣䀰ᑺ잮䀰轜ᰨ䀱Ẹ㡑䀱롑䔞䀱⣶轜㗂䀱슏⣵轜䀰竡긔慇䀰롑Ԟ䀰쳍쳌䳌䀰轜ᰨ䀰尩슏⣵䀰尩슏⣵䀰휊炣䨽䀰炤਽揗䀰슏⣵作䀰슏⣵轜䀰ᑻ䞮竡䀰炤਽䀰ᑻ䞮﫡䀰ਾꏗﵰ䀰䞮竡䀰ᑻ䞮뫡䀰馚香_xD999_䀰晧晦䀰凬Ẹ䀰竡긔䀰＀＀＀＀＀＀䀱롒蔞퇫䀰긕呺䀰蔟凫庸䀰凬Ẹ⮅䀰馚香香䀰슏⣵ཛྷ䀱ᑺޮ䀱馚香ᦙ䀱휊炣਽䀱炤਽揗䀱⣶轜㗂䀱＀＀＀＀＀＀䀱ᑻ䞮﫡䀰竡긔䀰슏⣵콜䀰롑씞䀰炤਽ꏗ䀰炤਽ꏗ䀰凬Ẹ䀰尩슏ꣵ䀰＀＀＀＀＀＀䀱ꏗ㵰ᜊ䀱㵱휊ィ䀱蔟凫Ẹ䀱＀＀＀＀＀＀䀱Ẹ䀰ᑺޮ䀱⣶轜㗂䀱馚香妙䀱롒蔞ᇫ䀱馚香_xD999_䀰炤਽ꏗ䀰쳍쳌賌䀰尨䊏䀰Ẹ㡑䀰竡긔慇䀰尩슏棵䀰馚香妙䀰尨䊏䀰⣶轜㗂䀰휊炣訽䀰ᑻ䞮竡䀰＀＀＀＀耀䀰炤਽揗䀰䞮竡긔䀰쳍쳌䳌䀰蔟凫麸䀰馚香妙䀰晧晦晦䀰馚香妙䀰Ẹ硑䀰尩슏ꣵ䀰炤਽ꏗ䀰馚香_xD999_䀰ਾꏗﵰ䀰ꏗ㵰圊䀱롑䔞䀱긕呺䀱쳍쳌䳌䀱尩슏棵䀱ꏗ㵰圊䀱䞮竡渔䀱긕鑺䀱㵱휊낣䀱䞮竡긔䀱ᑺ螮䀱竡긔ꅇ䀱轜鰨䀱尨芏䀱炤਽ꏗ䀱⣶轜뗂䀱슏⣵轜䀱롑蔞䀱긕鑺䀱炤਽ꏗ䀱슏⣵轜䀱롑蔞䀱炤਽ꏗ䀱尩슏ꣵ䀱ꏗ㵰휊䀱휊炣਽䀲긕呺䀲晧晦♦䀲凬Ẹ⮅䀲롑䔞䀲Ẹ㡑䀲ᑺ䞮䀲轜ᰨ䀲ᑺ䞮䀲⣶轜㗂䀲＀＀＀＀耀䀲롑蔞䀲ꏗ㵰霊䀲ᑺ螮䀲炤਽⏗䀲ਾꏗﵰ䀱尩슏䀱ᑻ䞮㫡䀲롑Ԟ䀲⣶轜䀱휊炣਽䀲炤਽䀱＀＀＀＀쀀䀱＀＀＀＀耀䀱＀＀＀＀耀䀱凬Ẹꮅ䀱晧晦䀱슏⣵콜䀱휊炣訽䀱Ẹ硑䀱炤਽ꏗ䀱슏⣵콜䀱ᑻ䞮뫡䀱馚香_xD999_䀱슏⣵ཛྷ䀲蔟凫Ẹ䀲슏⣵ཛྷ䀲ᑻ䞮㫡䀲＀＀＀＀䀀䀲롑䔞䀲馚香妙䀲尩슏ꣵ䀲⣶轜㗂䀲䞮竡⸔䀲䞮竡䀱ᑻ䞮﫡䀱炤਽⏗䀲㌳㌳㌳䀲轜尨䀲轜ᰨ䀲쳍쳌䳌䀲⣶轜痂䀲Ẹ硑䀲凬Ẹꮅ䀲휊炣訽䀲蔟凫_xDEB8_䀲롒蔞ᇫ䀳Ẹ䀲롑Ԟ䀳尨䊏䀳ꏗ㵰圊䀳ਾꏗ㵰䀳쳍쳌䳌䀳⣶轜㗂䀳ᑻ䞮﫡䀲竡긔ⅇ䀳쳍쳌䳌䀳㵱휊ィ䀳＀＀＀＀＀＀䀳슏⣵콜䀲롒蔞ᇫ䀳尩슏⣵䀳炤਽⏗䀳롒蔞凫䀳蔟凫庸䀳尨䊏䀳蔟凫庸䀳㌳㌳猳䀳롑蔞䀳凬Ẹꮅ䀳㌴㌳댳䀳竡긔ꅇ䀳ꏗ㵰霊䀳晧晦Ꙧ䀳⣶轜뗂䀳蔟凫_xDEB8_䀳尩슏⣵䀴蔟凫庸䀴ᑻ䞮﫡䀳馚香_xD999_䀳슏⣵콜䀳竡긔ꅇ䀳ߗ丠$位䍞彁䕐华䍟剕䱟䅉卂ㄨ⼲〲㌰ⰬⰬ单⥄_x0018_＀＀_x0018_＀＀_x0008_＀＀_x0001_＀＀_x0001_＀＀豀碵꼝쐕ߗ丠O位䍞彁佐呓䕒彔䱐乁䅟呓䕟䑎ㄨ⼲〲㜰ⰬⰬ单⥄址当䱈䡔䅃䕒䙟彖十䕓⡔㈱㈯〰ⰷⰬ唬䑓착_x0018_＀＀_x0018_＀＀_x0008_＀＀_x0001_＀＀_x0001_＀＀＀＀＀＀＀＀＀＀ߘ丠P位䍞彁䕐华䅟䍃䵕䍟䵏剐义⡃㈱㈯㄰ⰰⰬ唬䑓䀩南䍟䵏剐䥟䍎偟久当䥌䉁ㄨ⼲〲〱ⰬⰬ单⥄_x0018_＀＀_x0018_＀＀_x0008_＀＀_x0001_＀＀_x0001_＀＀豀碵꼝쐕ߗ丠#位䍞彁䕐华䱟彔䥌䉁⡓㈱㈯〰ⰷⰬ唬䑓착_x0018_＀＀_x0018_＀＀_x0008_＀＀_x0001_＀＀_x0001_＀＀＀＀＀＀䀀䁸ߘ丠'位䍞彁䕐华偟剁彔佃呎䥒⡂㈱㈯㄰ⰰⰬ唬䑓착_x0018_＀＀_x0018_＀＀_x0008_＀＀_x0001_＀＀_x0001_＀＀＀＀＀＀＀＀＀＀ߚ丠&amp;位䍞彁佐呓䕒彔䕂彎䅐䑉ㄨ⼲〲〱ⰬⰬ单⥄_x0018_＀＀_x0018_＀＀_x0008_＀＀_x0001_＀＀_x0001_＀＀＀＀＀＀＀＀＀＀ߗ丠_x000B_獵年彰牰捩챥_x0018_＀＀_x0018_＀＀_x0008_＀＀_x0001_＀＀_x0001_＀＀㵱휊傣䁖ߚ丠D位䍞彁佐呓䕒彔䕂彎䉏ㄨ⼲〲㤰ⰬⰬ单⥄址当䱈䡔䅃䕒偟佂ㄨ⼲〲㤰ⰬⰬ单⥄_x0018_＀＀_x0018_＀＀_x0008_＀＀_x0001_＀＀_x0001_＀＀＀＀＀＀䀀䂣ߗ丠L位䍞彁佐呓䕒彔剓彖佃呓ㄨ⼲〲㠰ⰬⰬ单⥄址当䱈䡔䅃䕒卟剅彖佃呓ㄨ⼲〲㠰ⰬⰬ单⥄_x0018_＀＀_x0018_＀＀_x0008_＀＀_x0001_＀＀_x0001_＀＀＀＀＀＀耀䁄ߗ丠&amp;獵年彰牰捩彥癡⡧⼱⼱〲㘰ㄬ⼲ㄳ㈯〰ⰶ⥤߰＀＀_x0018_＀＀ߠ＀＀ü＀＀_x0001_＀＀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ߘ丠'位坞当䕐华佉彎十䕓協䱟⡔㈱㈯㄰ⰰⰬ唬䑓착_x0018_＀＀_x0018_＀＀_x0008_＀＀_x0001_＀＀_x0001_＀＀豀碵꼝쐕ߗ丠%潭灞灟楲散慟杶ㄨㄯ㈯〰ⰷ㈱㌯⼱〲㜰搬착߰＀＀_x0018_＀＀ߠ＀＀ü＀＀_x0001_＀＀劔_xDD25_䀳⪯껻؈䀴̱䦕䀴뤤蟼⯴䀴ꅷ亹崣䀴թ겆敮䀴豪凖ꓕ䀴캛َ녇䀴懥횡眴䀴獭穣ꫂ䀴㾑耘䀴픒孛䀴ᑑᏨ㉹䀴暻췲✶䀴㻖輝候䀴̱妕䀴թ겆啮䀴觋ᕶ幒䀴䞚惾懠䀴衻睆䌐䀴Й๖㨭䀴쪬⮾㾂䀴젍ࣾ䀴敫⿂᯵䀴瑔霤䀳䬟먟䀳馚香릙䀳娈ↁ쎫䀳鰹헹퀜䀳⥟჋䀳꼑៫ﻬ䀳㈣䀳귁离䀳䉛䀳兄侠쇤䀳鈦旨ꌔ䀳赐溗쌒䀳츲蓟푂䀳켘ꆠ≿䀳꧒鼫臥䀳枡蕳䀳⋑率剾䀳췉Ͱܾ䀳먋꒽許䀳_xDD1B_녌䀳뚅䮜䀳탑섿᫅䀴꼑៫໬䀴廝ᣒ玭䀳﫬묅歡䀳쮒䡿鶿䀳㛸_xD9FD_鲏䀳馚香릙䀳猄_xDDBD_䀳욽儮䀳搜醒䀳걲_xDB8B_졨䀳ꦘ䀳_xDD1B_녌䀳⇫_xDD1A_䀳䓺⒞⭝䀴_xDC34_쾀匏䀴먋꒽਱䀵鯐咊笘䀵䝰ⴸ른䀵猙዗퇲䀵춟쾪軕䀵颳糘ꍜ䀵绥ꊇ潀䀵臭恖鋈䀵磁ആ珽䀵饛䯰擽䀵檔躟瓇䀵杸뛭鴋䀵ᙉ脰杛䀵㌳㌳猳䀵⪚锘懔䀵墹荑適䀵쑝扷믖䀵⪚锘懔䀵쏞眥䀵陓踡䅵䀵鋶㣆䀵⇿偵䀵㯎텎蒑䀵ꞇ쩗搲䀵ද嗼䀵쬿ⳮ䀵꠯饯◓䀵珫ᖵﯻ䀴㍉䴖❧䀵ᾋ㩚䀵ࠝˉ栦䀵䑨潩闰䀵借缊䀵臭恖鋈䀵⽯豩_xD9D6_䀵䧐ᯯ᭟䀶喇醼ѹ䀶쑝扷믖䀵䠖푐䀵ꄸĐ䀶븣댓౞䀶愾މ䀵瓧䱙♬䀶颲ⓘ䀶蝪⚿챫䀵泴絖횮䀵㌳㌳猳䀵瀒唈깪䀵㻖輝ꠙ䀵慓Ⅼꇈ䀵Ő鸰ꭁ䀵쑝扷믖䀵閖ꔦ쮠䀵颳糘ꍜ䀵뙆ﷳ烔䀵숒趣ร䀵獂⚝䀵芪䥑࢝䀵䈈育㐉䀵摰爛禃䀵ݵ㎱ꚅ䀵墹荑適䀵慓Ⅼꇈ䀵逄쓚_xDDC9_䀵ۍ撙䀵嬙爈䀵汍긾ᔍ䀶퓩쾕ᳲ䀶喜ꮟ뢭䀵鸱䍁_xDCFF_䀵ꚵ읹㨩䀶퓩쾕ᳲ䀶⑋쯑︨䀵ﬖ﯉䀵瀒唈깪䀵⛕졷䀵攂깓蛰䀵ợὋ確䀵ꭌ無ﶏ䀴곙䀴熋⛾騔䀴ቅ貽ᥢ䀴矅홢䦋䀴뫇趸耆䀴ၢ㥘袴䀴ᨢ䇝듬䀴ꁒ詉䀴㱵ꁦ䘲䀵籰駭夥䀵쏞眥䀵书얗_xDEC4_䀴龪ᔷ좩䀴휊炣쨽䀴꣬艪鮨䀴䣾ᤑ奖䀴恗睖䀴烣埦_xD873_䀴䋄榭꧞䀴䭞߈묽䀴鶲꟯ெ䀵ꈊϮ⪐䀵匼볨囆䀵杸뛭鴋䀵댾䀤䵍䀵攂깓蛰䀵丹켬它䀵ࠝˉ栦䀵⛪࠱粬䀵ꈊϮ⪐䀵숒趣ร䀵龪ᔷ좩䀴⣡畹솎䀴㨕놯䀴福렧텘䀴풖栉됢䀴毹䚲갽䀴䋄榭꧞䀴ꭌ無ﶏ䀴뛮촋㉵䀵屽⨛⧆䀵⭁搰⍵䀵슥䋘ᮐ䀵鶲꟯ெ䀵磕⛩⠱䀵䞅䜛涬䀵ﯓퟆ熞䀵㯎텎蒑䀵臭恖鋈䀵阾琾赁䀵઒ୣ繁䀵磁ആ珽䀵癋Ѭ巢䀵䪌Ӫ鄴䀵㘼隺䀵臭恖鋈䀵〗宁魷䀵寀䄠돱䀵퓾턦䀵셀諅䀵鸱䍁_xDCFF_䀵㽼븵䀵蛃垧૊䀶_xDE16_⋥㮾䀶髿冬儏䀶㉢さ䤪䀶~魒脸䀶~魒脸䀶㵱휊炣䀶醽縏䀶ᬉ庞⬩䀶椰회㵑䀶髿冬儏䀶莑昒绚䀶莦翵㌎䀶竷쟷浻䀶褣䙞沱䀶䤨䳗妾䀶悁Ẏ瞿䀶쎡祼䘁䀶矯ਨ䧴䀶ᝄ럔里䀶ㄒ鈥엨䀶됥峥쎊䀶位唁䀶~魒脸䀶৕≨࡬䀶殐앃鼸䀶拡൅_xD9A6_䀶㦃ﱺ滞䀷؏䀷⨇_xDFE3_䀷ᭈ걇_xDFC5_䀷⑵_xFFFF_ﾗﺐ䀷⑵_xFFFF_ﾗﺐ䀷꛵ᔢ䀷웧蓴ḥ䀸鯥湭음䀷ť렓䀷떳䢾ﭨ䀷븍넰䀷ﯽ஌爇䀷蔴毎櫬䀷ᗋ꘢䀷_xDE55_炎䀷助޳䀷澔릶䀷᧷䀷뼊쿔芛䀷Ȣꄎ浊䀷콖佉䀷ߚ丠;位䍞彁䕐华䑟卉彃䅒䕔ㄨ⼲〲㤰䀩南偟久䥓乏䑟卉彃䅒䕔ㄨ⼲〲㤰착_x0018_＀＀_x0018_＀＀_x0008_＀＀_x0001_＀＀_x0001_＀＀馚香香䀗ߗ丠$位䍞彁䕐华䱟彔十䕓協ㄨ⼲〲㈰ⰬⰬ单⥄_x0018_＀＀_x0018_＀＀_x0008_＀＀_x0001_＀＀_x0001_＀＀豀碵꼝쐕ߗ丠&amp;位䍞彁䕐华䙟乕彄呓呁单ㄨ⼲〲㐰ⰬⰬ单⥄_x0018_＀＀_x0018_＀＀_x0008_＀＀_x0001_＀＀_x0001_＀＀＀＀＀＀舀䂪</t>
        </r>
      </text>
    </comment>
    <comment ref="B1" authorId="0">
      <text>
        <r>
          <rPr>
            <b/>
            <sz val="8"/>
            <color indexed="81"/>
            <rFont val="Tahoma"/>
            <family val="2"/>
          </rPr>
          <t>28869</t>
        </r>
      </text>
    </comment>
    <comment ref="A2" authorId="0">
      <text>
        <r>
          <rPr>
            <b/>
            <sz val="8"/>
            <color indexed="81"/>
            <rFont val="Tahoma"/>
            <family val="2"/>
          </rPr>
          <t>玁㑆䀳蛃垧䫊䀳鹯郪㦛䀳đ傇⚥䀳৕≨㡬䀳䫴㹙䀳꺨陼㇧䀳䪶㢰ᦜ䀳⣶轜᷂䀳妟ꀒ䀲⣶轜ෂ䀳䲄爲혖䀱ꧦ褎䀱眈䀱_xD9AA_괃타䀱Ə럝䀱赥衺띆䀱猙዗臲䀱Ʇ︝첚䀱✾澽╼䀲_xDD98_螓㊅䀲쵠舁㨹䀲脜嵸Ⴟ䀲Έ㰌㻷䀲혤叢㰀䀲ꛊ湝䀲_xDEE8_◃䷇䀲ꋜیᲙ䀲楯␵⇮䀲輞ꠙ辌䀲쿿빡炼䀲虚호跅䀲呡❒禠䀲犜瞅¹䀳㽓⩯䀲덽跍䀲⼛ⓝ䀲ꐕ팙䀲쎵鍟_xDA35_䀲ﴢ痶퓠䀲濽㬥쨶䀲ꪹ믬퀢䀲齖궫韘䀲쎵鍟_xDA35_䀲튞贈뜿䀲갈娜뭤䀲㸄谿또䀲䛈帠쟗䀲জ䀳ᝃ埔䀳ꬢ㵛괧䀳⾄Ꙍꘊ䀳㴝潾矓䀳녇틜硪䀳皊刕找䀳攂깓仰䀳辇⦈岑䀳龿⼚蓝䀳矚綿䀳㖩㯍煎䀳╰㘻褂䀳땳猕䀳_xDA7B_꿡竉䀳慼唲ꨰ䀳᷼ʊꉽ䀳Ὄꂺ궾䀳▄ꀞ䀳늖焌鎬䀳臭恖꫈䀳쳢뤀䀳ꓽꟚ퇣䀳赐溗䀳逃퓚䀳ៗ洉휹䀳푗᩠龆䀳墹荑롩䀳_xDE6A_話_xDC8E_䀳뚅䮜䀳劔_xDD25_䀳㲜䨰＀Ｏ单幔南䡟呌䍈剁彅䵁剏彔䕓噒䍟协⡔㈱㈯〰ⰵⰬ唬䑓착_x0018_＀＀_x0018_＀＀_x0008_＀＀_x0001_＀＀_x0001_＀＀䷓ၢ㥘쀉﹒䨰_x001F_位坞当塅䡃剟呁彅义彃䙃ㄨ⼲〲㈰착_x0018_＀＀_x0018_＀＀_x0008_＀＀_x0001_＀＀_x0001_＀＀豀碵꼝쐕㓗䣦_x0013_位灞楲散 ⼱㈱㈯〰찷_x0018_＀＀_x0018_＀＀_x0008_＀＀_x0001_＀＀_x0001_＀＀ᑻ䞮᫡䁖㩾䨰'位坞当䕐华佉彎十䕓協䱟⡔㈱㈯〰ⰷⰬ唬䑓착_x0018_＀＀_x0018_＀＀_x0008_＀＀_x0001_＀＀_x0001_＀＀＀＀＀＀ꀀ䂔㩾䨰$位䍞彁䕐华䍟䵏彐䅒䕔ㄨ⼲〲㐰ⰬⰬ单⥄_x0018_＀＀_x0018_＀＀_x0008_＀＀_x0001_＀＀_x0001_＀＀쳍쳌쳌䀐㓗䣦_x0013_位灞楲散㄁⼰ㄱ㈯〰찲_x0018_＀＀_x0018_＀＀_x0008_＀＀_x0001_＀＀_x0001_＀＀竡긔腇䁂㓗䣦_x0013_位灞楲散㄁⼱㠲㈯〰참_x0018_＀＀_x0018_＀＀_x0008_＀＀_x0001_＀＀_x0001_＀＀Ẹ롑䀴㓗䣦_x0013_位灞楲散 ⼸㤲㈯〰찳_x0018_＀＀_x0018_＀＀_x0008_＀＀_x0001_＀＀_x0001_＀＀轜鰨䁄㲜䨰L单幔䅃偟协剔呅䥟呎䍟协⡔㈱㈯〰ⰶⰬ唬䑓䀩南䡟呌䍈剁彅义彔佃呓ㄨ⼲〲㘰ⰬⰬ单⥄_x0018_＀＀_x0018_＀＀_x0008_＀＀_x0001_＀＀_x0001_＀＀삃ꇊ뙅䀓﹓䨰(位䍞彁佐呓䕒彔呏䅈䩄也䅂ㄨ⼲〲㐰ⰬⰬ单⥄_x0018_＀＀_x0018_＀＀_x0008_＀＀_x0001_＀＀_x0001_＀＀＀＀＀＀䂖﹒䨰:位坞当䕐华佉彎十䕓協佟䡔ㄨ⼲〲㠰䀩䅃偟久当䍐彔呏⡈㈱㈯〰⤸_x0018_＀＀_x0018_＀＀_x0008_＀＀_x0001_＀＀_x0001_＀＀＀＀＀＀＀＀䀢㓗䣦_x0013_位灞楲散 ⼱㘰㈯〰찶_x0018_＀＀_x0018_＀＀_x0008_＀＀_x0001_＀＀_x0001_＀＀쳍쳌ﳌ䁒㓗䣦_x0013_位灞楲散㄁⼱㜰㈯〰찳_x0018_＀＀_x0018_＀＀_x0008_＀＀_x0001_＀＀_x0001_＀＀竡긔셇䁈㓗䣦_x0013_位灞楲散㄁⼲㌰ㄯ㤹찹_x0018_＀＀_x0018_＀＀_x0008_＀＀_x0001_＀＀_x0001_＀＀＀＀＀＀怀䀺㲜䨰'单幔南偟久䥓乏也呅䱟䅉⡂㈱㈯〰ⰵⰬ唬䑓착_x0018_＀＀_x0018_＀＀_x0008_＀＀_x0001_＀＀_x0001_＀＀豀碵꼝쐕﹓䨰'位坞当䱈䡔䅃䕒啟䙎䉟久ㄨ⼲〲㜰ⰬⰬ单⥄착＀＀＀＀㓗䣦_x0013_位灞楲散㄁⼰㔰㈯〰찱_x0018_＀＀_x0018_＀＀_x0008_＀＀_x0001_＀＀_x0001_＀＀긕ᑺ䁉㓗䣦_x0013_位灞楲散 ⼹〱ㄯ㤹찹_x0018_＀＀_x0018_＀＀_x0008_＀＀_x0001_＀＀_x0001_＀＀＀＀＀＀＀＀䁃㩾䨰(位坞当䕐华佉彎䅖彌十䕓協ㄨ⼲〲㘰ⰬⰬ单⥄_x0018_＀＀_x0018_＀＀_x0008_＀＀_x0001_＀＀_x0001_＀＀＀＀＀＀츀䃒㲛䨰H单幔䅃偟久当义彔佃呓ㄨ⼲〲㜰ⰬⰬ单⥄址当䕐华佉彎义彔佃呓ㄨ⼲〲㜰ⰬⰬ单⥄_x0018_＀＀_x0018_＀＀_x0008_＀＀_x0001_＀＀_x0001_＀＀멞౉謂䁀﹓䨰O位䍞彁佐呓䕒彔䱐乁䅟呓䕟䑎ㄨ⼲〲㌰ⰬⰬ单⥄址当䱈䡔䅃䕒䙟彖十䕓⡔㈱㈯〰ⰳⰬ唬䑓착_x0018_＀＀_x0018_＀＀_x0008_＀＀_x0001_＀＀_x0001_＀＀豀碵꼝쐕﹓䨰+位䍞彁佐呓䕒彔䵅彐佃呎䥒彂⡃㈱㈯〰ⰳⰬ唬䑓착_x0018_＀＀_x0018_＀＀_x0008_＀＀_x0001_＀＀_x0001_＀＀豀碵꼝쐕﹓䨰F位䍞彁佐呓䕒彔佃呓ㄨ⼲〲㈰ⰬⰬ单⥄址当䱈䡔䅃䕒也偐䕟偘ㄨ⼲〲㈰ⰬⰬ单⥄_x0018_＀＀_x0018_＀＀_x0008_＀＀_x0001_＀＀_x0001_＀＀＀＀＀＀䀀䁶㓗䣦_x0013_位灞楲散 ⼷㈱㈯〰찲_x0018_＀＀_x0018_＀＀_x0008_＀＀_x0001_＀＀_x0001_＀＀⣶轜痂䁅㓗䣦_x0013_位灞楲散 ⼵㠲ㄯ㤹찹_x0018_＀＀_x0018_＀＀_x0008_＀＀_x0001_＀＀_x0001_＀＀＀＀＀＀䠀䁃㩾䨰#位䍞彁䕐华䉟久偟䥁⡄㈱㈯〰ⰸⰬ唬䑓착_x0018_＀＀_x0018_＀＀_x0008_＀＀_x0001_＀＀_x0001_＀＀＀＀＀＀ꀀ䁲㓗䣦_x0013_位灞楲散 ⼸㤲㈯〰참_x0018_＀＀_x0018_＀＀_x0008_＀＀_x0001_＀＀_x0001_＀＀ᑺޮ䀵㓗䣦_x0013_位灞楲散㄁⼱㜰㈯〰참_x0018_＀＀_x0018_＀＀_x0008_＀＀_x0001_＀＀_x0001_＀＀Ẹ롑䀴㓗䣦_x0013_位灞楲散 ⼸㠰㈯〰찳_x0018_＀＀_x0018_＀＀_x0008_＀＀_x0001_＀＀_x0001_＀＀⣶轜䁃㲜䨰J单幔䅃偟久当䥄䍓剟呁⡅㈱㈯〰ⰴⰬ唬䑓䀩南偟久䥓乏䑟卉彃䅒䕔ㄨ⼲〲㐰ⰬⰬ单⥄_x0018_＀＀_x0018_＀＀_x0008_＀＀_x0001_＀＀_x0001_＀＀＀＀＀＀＀＀䀘㩾䨰&amp;位坞当䕐彎佐呓剟呅䉟久ㄨ⼲〲㐰ⰬⰬ单⥄_x0018_＀＀_x0018_＀＀_x0008_＀＀_x0001_＀＀_x0001_＀＀＀＀＀＀_xDD00_䂳㓗䣦_x0013_位灞楲散 ⼷㘰㈯〰찱_x0018_＀＀_x0018_＀＀_x0008_＀＀_x0001_＀＀_x0001_＀＀ᑻ䞮_xDAE1_䁆﹓䨰D位䍞彁佐呓䕒彔䕂彎䉏ㄨ⼲〲㔰ⰬⰬ单⥄址当䱈䡔䅃䕒偟佂ㄨ⼲〲㔰ⰬⰬ单⥄_x0018_＀＀_x0018_＀＀_x0008_＀＀_x0001_＀＀_x0001_＀＀＀＀＀＀ጀ䂵﹓䨰L位䍞彁佐呓䕒彔剓彖佃呓ㄨ⼲〲㌰ⰬⰬ单⥄址当䱈䡔䅃䕒卟剅彖佃呓ㄨ⼲〲㌰ⰬⰬ单⥄_x0018_＀＀_x0018_＀＀_x0008_＀＀_x0001_＀＀_x0001_＀＀＀＀＀＀＀＀䁔㩾䨰_x001E_位䍞彁䕐华䱟彔十䕓協〨ⰬⰬ单⥄_x0018_＀＀_x0018_＀＀_x0008_＀＀_x0001_＀＀_x0001_＀＀＀＀＀＀＀＀＀＀㓗䣦_x0013_位灞楲散㄁⼰㔰㈯〰찷_x0018_＀＀_x0018_＀＀_x0008_＀＀_x0001_＀＀_x0001_＀＀炤਽揗䁑㓗䣦_x0013_位灞楲散 ⼳㔱㈯〰찲_x0018_＀＀_x0018_＀＀_x0008_＀＀_x0001_＀＀_x0001_＀＀롑┞䁊㲜䨰&lt;单幔南偟久䥓乏䅟卓呅当佂䑎⡓㈱㈯〰⤲䍀彁䕐华偟呃䙟⡉㈱㈯〰⤲_x0018_＀＀_x0018_＀＀_x0008_＀＀_x0001_＀＀_x0001_＀＀豀碵꼝쐕㲜䨰J单幔䅃偟久当䱐乁䅟呓ㄨ⼲〲㈰ⰬⰬ单⥄址当䕐华佉彎䅖彌十䕓協ㄨ⼲〲㈰ⰬⰬ单⥄_x0018_＀＀_x0018_＀＀_x0008_＀＀_x0001_＀＀_x0001_＀＀㽼戵䁬㲜䨰N单幔䅃偟久当乕䕒佃⡇㈱㈯〰ⰵⰬ唬䑓䀩南偟久䥓乏啟剎䍅卟剅彖佃呓ㄨ⼲〲㔰ⰬⰬ单⥄_x0018_＀＀_x0018_＀＀_x0008_＀＀_x0001_＀＀_x0001_＀＀_xDF3C_赏溗㾢㓗䣦_x0013_位灞楲散 ⼶〱㈯〰찵_x0018_＀＀_x0018_＀＀_x0008_＀＀_x0001_＀＀_x0001_＀＀凬Ẹ䮅䁑㓗䣦_x0013_位灞楲散㄁⼲〲㈯〰찲_x0018_＀＀_x0018_＀＀_x0008_＀＀_x0001_＀＀_x0001_＀＀슏⣵轜䁄㓗䣦_x0013_位灞楲散 ⼵㜰ㄯ㤹찹_x0018_＀＀_x0018_＀＀_x0008_＀＀_x0001_＀＀_x0001_＀＀＀＀＀＀耀䁂㲜䨰(单幔南䡟呌䍈剁彅乕彆䕂⡎㈱㈯〰ⰲⰬ唬䑓⤩＀＀＀＀㓗䣦_x0013_位灞楲散 ⼸㠰㈯〰참_x0018_＀＀_x0018_＀＀_x0008_＀＀_x0001_＀＀_x0001_＀＀㌳㌳䀴㓗䣦_x0013_位灞楲散 ⼳㤰㈯〰찱_x0018_＀＀_x0018_＀＀_x0008_＀＀_x0001_＀＀_x0001_＀＀＀＀＀＀䁉㲜䨰&amp;单幔䅃偟久当十彔义䅔䝎ㄨ⼲〲㐰ⰬⰬ单⥄_x0018_＀＀_x0018_＀＀_x0008_＀＀_x0001_＀＀_x0001_＀＀馚香香㿭㲜䨰#单幔䅃偟协剔呅䱟䅉⡂㈱㈯〰ⰵⰬ唬䑓착_x0018_＀＀_x0018_＀＀_x0008_＀＀_x0001_＀＀_x0001_＀＀_xDB23_绹瑪쁕㲜䨰%单幔䅃偟久当呌䅟卓呅⡓㈱㈯〰ⰵⰬ唬䑓착_x0018_＀＀_x0018_＀＀_x0008_＀＀_x0001_＀＀_x0001_＀＀豀碵꼝쐕㓗䣦_x0013_位灞楲散 ⼷㘰㈯〰찷_x0018_＀＀_x0018_＀＀_x0008_＀＀_x0001_＀＀_x0001_＀＀晧晦䁑㓗䣦_x0013_位灞楲散 ⼲㌱㈯〰찴_x0018_＀＀_x0018_＀＀_x0008_＀＀_x0001_＀＀_x0001_＀＀긕呺䁋㓗䣦_x0013_位灞楲散㄁⼲㐱㈯〰찱_x0018_＀＀_x0018_＀＀_x0008_＀＀_x0001_＀＀_x0001_＀＀ᑺ䁆㲜䨰)单幔䅃偟协剔呅佟䡔䑁彊䉎⡁㈱㈯〰ⰲⰬ唬䑓착_x0018_＀＀_x0018_＀＀_x0008_＀＀_x0001_＀＀_x0001_＀＀豀碵꼝쐕㲜䨰;单幔南偟久䥓乏䅟卓呅当呏⡈㈱㈯〰⤴䍀彁䕐华偟呃佟䡔ㄨ⼲〲㐰착_x0018_＀＀_x0018_＀＀_x0008_＀＀_x0001_＀＀_x0001_＀＀＀＀＀＀＀＀＀＀㩾䨰F位䍞彁䕐华也呅䍟协⡔㈱㈯〰ⰴⰬ唬䑓䀩南偟久䥓乏也偐䕟偘ㄨ⼲〲㐰ⰬⰬ单⥄_x0018_＀＀_x0018_＀＀_x0008_＀＀_x0001_＀＀_x0001_＀＀＀＀＀＀쀀䁴㓗䣦_x0013_位灞楲散 ⼹ㄲ㈯〰찱_x0018_＀＀_x0018_＀＀_x0008_＀＀_x0001_＀＀_x0001_＀＀ꏗ㵰圊䁇㲜䨰)单幔南偟久䥓乏噟䱁䅟卓呅⡓㈱㈯〰ⰴⰬ唬䑓착_x0018_＀＀_x0018_＀＀_x0008_＀＀_x0001_＀＀_x0001_＀＀䯇褷㹁䁶﹒䨰:位坞当䕐华佉彎十䕓協偟佒⡐㈱㈯〰⤸䍀彁䕐华偟呃剟⡅㈱㈯〰⤸_x0018_＀＀_x0018_＀＀_x0008_＀＀_x0001_＀＀_x0001_＀＀＀＀＀＀＀＀＀＀㓗䣦_x0013_位灞楲散 ⼲㜰㈯〰찳_x0018_＀＀_x0018_＀＀_x0008_＀＀_x0001_＀＀_x0001_＀＀슏⣵콜䁂㓗䣦_x0013_位灞楲散㄁⼲㠰㈯〰찰_x0018_＀＀_x0018_＀＀_x0008_＀＀_x0001_＀＀_x0001_＀＀＀＀＀＀퀀䁃㓗䣦_x0013_位灞楲散㄁⼰㔱ㄯ㤹찹_x0018_＀＀_x0018_＀＀_x0008_＀＀_x0001_＀＀_x0001_＀＀＀＀＀＀退䀾㲜䨰%单幔䅃偟久当啃归䥌䉁⡓㈱㈯〰ⰱⰬ唬䑓착_x0018_＀＀_x0018_＀＀_x0008_＀＀_x0001_＀＀_x0001_＀＀豀碵꼝쐕㲜䨰$单幔䅃偟久当䕂彎䅐䑉ㄨ⼲〲㔰ⰬⰬ单⥄_x0018_＀＀_x0018_＀＀_x0008_＀＀_x0001_＀＀_x0001_＀＀ၢ㥘䀴㓗䣦_x0013_位灞楲散 ⼳㤰㈯〰찷_x0018_＀＀_x0018_＀＀_x0008_＀＀_x0001_＀＀_x0001_＀＀ꏗ㵰뜊䁕㓗䣦_x0013_位灞楲散 ⼹㔱㈯〰찰_x0018_＀＀_x0018_＀＀_x0008_＀＀_x0001_＀＀_x0001_＀＀＀＀＀＀ 䀻㲜䨰(单幔南偟久䥓乏䅟卓呅当呌ㄨ⼲〲㐰ⰬⰬ单⥄_x0018_＀＀_x0018_＀＀_x0008_＀＀_x0001_＀＀_x0001_＀＀豀碵꼝쐕㩾䨰H位䍞彁䕐华卟噒䍟协⡔㈱㈯〰ⰴⰬ唬䑓䀩南偟久䥓乏卟剅彖佃呓ㄨ⼲〲㐰ⰬⰬ单⥄_x0018_＀＀_x0018_＀＀_x0008_＀＀_x0001_＀＀_x0001_＀＀＀＀＀＀뀀䁺㩾䨰I位䍞彁䕐华䑟卉彃䅒䕔ㄨ⼲〲㜰ⰬⰬ单⥄址当䕐华佉彎䥄䍓剟呁⡅㈱㈯〰ⰷⰬ唬䑓착_x0018_＀＀_x0018_＀＀_x0008_＀＀_x0001_＀＀_x0001_＀＀쳍쳌쳌䀘﹒䨰_x0016_位坞当奆⡃⤰䍀彁奆⡃⤰_x0018_＀＀_x0018_＀＀_x0008_＀＀_x0001_＀＀_x0008_＀＀㈱㈯〰8㓗䣦_x0013_位灞楲散㄁⼲㐱㈯〰찷_x0018_＀＀_x0018_＀＀_x0008_＀＀_x0001_＀＀_x0001_＀＀긕㑺䁓㓗䣦_x0013_位灞楲散㄁⼱㈱㈯〰찴_x0018_＀＀_x0018_＀＀_x0008_＀＀_x0001_＀＀_x0001_＀＀蔟凫庸䁋㓗䣦_x0013_位灞楲散 ⼵㐲㈯〰찲_x0018_＀＀_x0018_＀＀_x0008_＀＀_x0001_＀＀_x0001_＀＀䞮竡踔䁋㓗䣦_x0013_位灞楲散 ⼹ㄲ㈯〰찷_x0018_＀＀_x0018_＀＀_x0008_＀＀_x0001_＀＀_x0001_＀＀尨⊏䁑㓗䣦_x0013_位灞楲散 ⼷㘱ㄯ㤹찹_x0018_＀＀_x0018_＀＀_x0008_＀＀_x0001_＀＀_x0001_＀＀＀＀＀＀ 䁃㓗䣦_x0013_位灞楲散㄁⼲㠰㈯〰찶_x0018_＀＀_x0018_＀＀_x0008_＀＀_x0001_＀＀_x0001_＀＀롑㔞䁕㓗䣦_x0013_位灞楲散 ⼵㠱㈯〰찱_x0018_＀＀_x0018_＀＀_x0008_＀＀_x0001_＀＀_x0001_＀＀슐⣵⽜䁊﹓䨰I位䍞彁佐呓䕒彔佒彁䍁⡔㈱㈯〰ⰶⰬ唬䑓䀩南䡟呌䍈剁彅䍁彔佒⡁㈱㈯〰ⰶⰬ唬䑓착_x0018_＀＀_x0018_＀＀_x0008_＀＀_x0001_＀＀_x0001_＀＀＀＀＀＀＀＀＀＀㓗䣦_x0013_位灞楲散 ⼹㔱㈯〰찶_x0018_＀＀_x0018_＀＀_x0008_＀＀_x0001_＀＀_x0001_＀＀尩슏죵䁔㲜䨰T单幔䅃偟协剔呅偟䥒剏卟噒ㄨ⼲〲㌰ⰬⰬ单⥄址当䱈䡔䅃䕒啟剎䍅卟剅彖佃呓ㄨ⼲〲㌰ⰬⰬ单⥄_x0018_＀＀_x0018_＀＀_x0008_＀＀_x0001_＀＀_x0001_＀＀馚香香쀦㲜䨰 单幔南䕟䍘彈䅒䕔䥟䍎䍟⡆㈱㈯〰⤵_x0018_＀＀_x0018_＀＀_x0008_＀＀_x0001_＀＀_x0001_＀＀豀碵꼝쐕㲜䨰;单幔南偟久䥓乏䅟卓呅当剐偏ㄨ⼲〲㔰䀩䅃偟久当䍐彔䕒ㄨ⼲〲㔰착_x0018_＀＀_x0018_＀＀_x0008_＀＀_x0001_＀＀_x0001_＀＀＀＀＀＀＀＀＀＀㩾䨰'位䍞彁䕐华偟剁彔佃呎䥒⡂㈱㈯〰ⰲⰬ唬䑓착_x0018_＀＀_x0018_＀＀_x0008_＀＀_x0001_＀＀_x0001_＀＀＀＀＀＀＀＀＀＀㓗䣦_x0013_位灞楲散 ⼸㌱㈯〰찴_x0018_＀＀_x0018_＀＀_x0008_＀＀_x0001_＀＀_x0001_＀＀ᑺ螮䁇﹓䨰,位䍞彁佐呓䕒彔剕呟归䉏䅟位呒ㄨ⼲〲㠰ⰬⰬ单⥄_x0018_＀＀_x0018_＀＀_x0008_＀＀_x0001_＀＀_x0001_＀＀＀＀＀＀＀＀＀＀㩾䨰%位䍞彁䕐华䅟呓䥟呎乁⡇㈱㈯〰ⰴⰬ唬䑓착_x0018_＀＀_x0018_＀＀_x0008_＀＀_x0001_＀＀_x0001_＀＀＀＀＀＀＀＀＀＀﹒䨰:位坞当䕐华佉彎十䕓協佟䡔ㄨ⼲〲㌰䀩䅃偟久当䍐彔呏⡈㈱㈯〰⤳_x0018_＀＀_x0018_＀＀_x0008_＀＀_x0001_＀＀_x0001_＀＀＀＀＀＀＀＀䀀㓗䣦_x0013_位灞楲散 ⼴㈲㈯〰찵_x0018_＀＀_x0018_＀＀_x0008_＀＀_x0001_＀＀_x0001_＀＀㌳㌳㌳䁐㓗䣦_x0013_位灞楲散 ⼳㤱ㄯ㤹찹_x0018_＀＀_x0018_＀＀_x0008_＀＀_x0001_＀＀_x0001_＀＀＀＀＀＀瀀䁄㓗䣦_x0013_位灞楲散 ⼹㤰㈯〰찵_x0018_＀＀_x0018_＀＀_x0008_＀＀_x0001_＀＀_x0001_＀＀휊炣⨽䁒㓗䣦_x0013_位灞楲散㄁⼲㐲ㄯ㤹찹_x0018_＀＀_x0018_＀＀_x0008_＀＀_x0001_＀＀_x0001_＀＀＀＀＀＀瀀䀷㲛䨰%单幔䅃偟久当啃归䥌䉁⡓㈱㈯〰ⰷⰬ唬䑓착_x0018_＀＀_x0018_＀＀_x0008_＀＀_x0001_＀＀_x0001_＀＀꟰䯆ष䀞㲛䨰&lt;单幔南偟久䥓乏䅟卓呅当佂䑎⡓㈱㈯〰⤷䍀彁䕐华偟呃䙟⡉㈱㈯〰⤷_x0018_＀＀_x0018_＀＀_x0008_＀＀_x0001_＀＀_x0001_＀＀＀＀＀＀쀀䁑㩾䨰&amp;位䍞彁䕐华䙟乕彄呓呁单ㄨ⼲〲㜰ⰬⰬ单⥄_x0018_＀＀_x0018_＀＀_x0008_＀＀_x0001_＀＀_x0001_＀＀＀＀＀＀怀䂌㓗䣦_x0013_位灞楲散 ⼵㠱㈯〰찷_x0018_＀＀_x0018_＀＀_x0008_＀＀_x0001_＀＀_x0001_＀＀쳍쳌糌䁑㓗䣦_x0013_位灞楲散 ⼴㘱㈯〰찴_x0018_＀＀_x0018_＀＀_x0008_＀＀_x0001_＀＀_x0001_＀＀㌴㌳䁋㓗䣦_x0013_位灞楲散㄁⼰㘲㈯〰찱_x0018_＀＀_x0018_＀＀_x0008_＀＀_x0001_＀＀_x0001_＀＀슐⣵䁈㲜䨰;单幔南偟久䥓乏䅟卓呅当充䥕ㄨ⼲〲㘰䀩䅃偟久当䍐彔充ㄨ⼲〲㘰착_x0018_＀＀_x0018_＀＀_x0008_＀＀_x0001_＀＀_x0001_＀＀＀＀＀＀＀＀䁑㲛䨰_x001F_单幔䅃偟久当呌䅟卓呅⡓ⰰⰬ唬䑓착_x0018_＀＀_x0018_＀＀_x0008_＀＀_x0001_＀＀_x0001_＀＀욧㝋㿩㩾䨰'位䍞彁䕐华偟䑐䉟久䍟协⡔㈱㈯〰ⰳⰬ唬䑓착_x0018_＀＀_x0018_＀＀_x0008_＀＀_x0001_＀＀_x0001_＀＀＀＀＀＀鐀䂱﹒䨰:位坞当䕐华佉彎十䕓協偟佒⡐㈱㈯〰⤳䍀彁䕐华偟呃剟⡅㈱㈯〰⤳_x0018_＀＀_x0018_＀＀_x0008_＀＀_x0001_＀＀_x0001_＀＀＀＀＀＀＀＀㿰㲜䨰E单幔䅃偟协剔呅䉟久佟⡂㈱㈯〰ⰲⰬ唬䑓䀩南䡟呌䍈剁彅䉐⡏㈱㈯〰ⰲⰬ唬䑓착_x0018_＀＀_x0018_＀＀_x0008_＀＀_x0001_＀＀_x0001_＀＀蔟凫暸䁑㩾䨰_x001F_位坞当塅䡃剟呁⡅㈱㈯〰ⰵⰬ唬䑓착_x0018_＀＀_x0018_＀＀_x0008_＀＀_x0001_＀＀_x0001_＀＀＀＀＀＀＀＀㿰﹒䨰_x001F_位坞当塅䡃剟呁彅义彃䙃ㄨ⼲〲㌰착_x0018_＀＀_x0018_＀＀_x0008_＀＀_x0001_＀＀_x0001_＀＀豀碵꼝쐕㓗䣦_x0013_位灞楲散 ⼴㄰㈯〰찵_x0018_＀＀_x0018_＀＀_x0008_＀＀_x0001_＀＀_x0001_＀＀凬Ẹ䮅䁐㲜䨰 单幔南䕟䍘彈䅒䕔䉟䱁卟⡈㈱㈯〰⤱_x0018_＀＀_x0018_＀＀_x0008_＀＀_x0001_＀＀_x0001_＀＀豀碵꼝쐕㲜䨰-单幔䅃偟协剔呅啟归剔佟彂䵁剏⡔㈱㈯〰ⰳⰬ唬䑓착_x0018_＀＀_x0018_＀＀_x0008_＀＀_x0001_＀＀_x0001_＀＀＀＀＀＀＀＀＀＀﹓䨰&amp;位䍞彁佐呓䕒彔䕂彎䅐䑉ㄨ⼲〲㈰ⰬⰬ单⥄_x0018_＀＀_x0018_＀＀_x0008_＀＀_x0001_＀＀_x0001_＀＀豀碵꼝쐕﹓䨰.位坞当䱈䡔䅃䕒䅟位呒卟剅彖佃呓ㄨ⼲〲㜰ⰬⰬ单⥄_x0018_＀＀_x0018_＀＀_x0008_＀＀_x0001_＀＀_x0001_＀＀＀＀＀＀＀＀쀠㩾䨰I位䍞彁䕐华剟䅏剟呁⡅㈱㈯〰ⰵⰬ唬䑓䀩南偟久䥓乏䕟偘䱟彔佒⡁㈱㈯〰ⰵⰬ唬䑓착_x0018_＀＀_x0018_＀＀_x0008_＀＀_x0001_＀＀_x0001_＀＀＀＀＀＀＀＀䀠㓗䣦_x0013_位灞楲散 ⼷㜲㈯〰찱_x0018_＀＀_x0018_＀＀_x0008_＀＀_x0001_＀＀_x0001_＀＀긕鑺䁅﹒䨰:位坞当䕐华佉彎十䕓協䕟啑⡉㈱㈯〰⤴䍀彁䕐华偟呃䕟⡑㈱㈯〰⤴_x0018_＀＀_x0018_＀＀_x0008_＀＀_x0001_＀＀_x0001_＀＀＀＀＀＀＀＀䁑㓗䣦_x0013_位灞楲散㄁⼰㘲㈯〰찷_x0018_＀＀_x0018_＀＀_x0008_＀＀_x0001_＀＀_x0001_＀＀䞮竡㸔䁒㩾䨰'位䍞彁䕐华偟剁彔佃呎䥒⡂㈱㈯〰ⰸⰬ唬䑓착_x0018_＀＀_x0018_＀＀_x0008_＀＀_x0001_＀＀_x0001_＀＀＀＀＀＀＀＀＀＀﹓䨰L位䍞彁佐呓䕒彔剓彖佃呓ㄨ⼲〲㘰ⰬⰬ单⥄址当䱈䡔䅃䕒卟剅彖佃呓ㄨ⼲〲㘰ⰬⰬ单⥄_x0018_＀＀_x0018_＀＀_x0008_＀＀_x0001_＀＀_x0001_＀＀＀＀＀＀쀀䁘㲜䨰J单幔䅃偟久当䱐乁䅟呓ㄨ⼲〲㔰ⰬⰬ单⥄址当䕐华佉彎䅖彌十䕓協ㄨ⼲〲㔰ⰬⰬ单⥄_x0018_＀＀_x0018_＀＀_x0008_＀＀_x0001_＀＀_x0001_＀＀橿璼ₓ䁷㲜䨰)单幔南䡟呌䍈剁彅䥄䍓剟呁⡅㈱㈯〰ⰲⰬ唬䑓착_x0018_＀＀_x0018_＀＀_x0008_＀＀_x0001_＀＀_x0001_＀＀＀＀＀＀＀＀䀚㩾䨰#位䍞彁䕐华䱟彔䥌䉁⡓㈱㈯〰ⰵⰬ唬䑓착_x0018_＀＀_x0018_＀＀_x0008_＀＀_x0001_＀＀_x0001_＀＀豀碵꼝쐕㩾䨰_x001D_位䍞彁䕐华䍟䵏彐䅒䕔ㄨ⼲〲㠰착_x0018_＀＀_x0018_＀＀_x0008_＀＀_x0001_＀＀_x0001_＀＀＀＀＀＀＀＀䀒㓗䣦_x0013_位灞楲散 ⼷㜲㈯〰찷_x0018_＀＀_x0018_＀＀_x0008_＀＀_x0001_＀＀_x0001_＀＀ᑻ䞮䫡䁐㓗䣦_x0013_位灞楲散 ⼶㔲㈯〰찴_x0018_＀＀_x0018_＀＀_x0008_＀＀_x0001_＀＀_x0001_＀＀晧晦䁇㲜䨰H单幔䅃偟久当义彔佃呓ㄨ⼲〲㘰ⰬⰬ单⥄址当䕐华佉彎义彔佃呓ㄨ⼲〲㘰ⰬⰬ单⥄_x0018_＀＀_x0018_＀＀_x0008_＀＀_x0001_＀＀_x0001_＀＀๖눭澝䀾﹓䨰S位䍞彁佐呓䕒彔剐佉归剓⡖㈱㈯〰ⰲⰬ唬䑓䀩南䡟呌䍈剁彅乕䕒彃䕓噒䍟协⡔㈱㈯〰ⰲⰬ唬䑓착_x0018_＀＀_x0018_＀＀_x0008_＀＀_x0001_＀＀_x0001_＀＀＀＀＀＀䁨﹓䨰"位䍞彁佐呓䕒彔䥌䉁ㄨ⼲〲㔰ⰬⰬ单⥄_x0018_＀＀_x0018_＀＀_x0008_＀＀_x0001_＀＀_x0001_＀＀＀＀＀＀︀사㩾䨰$位䍞彁䕐华䍟剕䱟䅉卂ㄨ⼲〲㜰ⰬⰬ单⥄_x0018_＀＀_x0018_＀＀_x0008_＀＀_x0001_＀＀_x0001_＀＀＀＀＀＀＀＀＀＀㲜䨰;单幔南偟久䥓乏䅟卓呅当充䥕ㄨ⼲〲㄰䀩䅃偟久当䍐彔充ㄨ⼲〲㄰착_x0018_＀＀_x0018_＀＀_x0008_＀＀_x0001_＀＀_x0001_＀＀豀碵꼝쐕㲜䨰"单幔南偟久䥓乏偟佂ㄨ⼲〲㔰ⰬⰬ单⥄_x0018_＀＀_x0018_＀＀_x0008_＀＀_x0001_＀＀_x0001_＀＀茒쫀떡䂀㩾䨰&amp;位坞当䕐华佉彎䕎彔䥌䉁ㄨ⼲〲㐰ⰬⰬ单⥄_x0018_＀＀_x0018_＀＀_x0008_＀＀_x0001_＀＀_x0001_＀＀豀碵꼝쐕㓗䣦_x0013_位灞楲散 ⼲㠲㈯〰찳_x0018_＀＀_x0018_＀＀_x0008_＀＀_x0001_＀＀_x0001_＀＀㌳㌳匳䁃㓗䣦_x0013_位灞楲散㄁⼲㤲㈯〰찰_x0018_＀＀_x0018_＀＀_x0008_＀＀_x0001_＀＀_x0001_＀＀＀＀＀＀＀＀䁆㲜䨰P单幔䅃偟协剔呅偟䅌彎十彔久⡄㈱㈯〰ⰱⰬ唬䑓䀩南䡟呌䍈剁彅噆䅟卓呅ㄨ⼲〲㄰ⰬⰬ单⥄_x0018_＀＀_x0018_＀＀_x0008_＀＀_x0001_＀＀_x0001_＀＀＀＀＀＀＀＀＀＀㲜䨰Q单幔䅃偟久当䍁啃彍佃偍䥒䍎ㄨ⼲〲㈰ⰬⰬ单⥄址当佃偍归义彃䕐华䱟䅉⡂㈱㈯〰ⰲⰬ唬䑓착_x0018_＀＀_x0018_＀＀_x0008_＀＀_x0001_＀＀_x0001_＀＀豀碵꼝쐕㓗䣦_x0013_位灞楲散 ⼱㘲㈯〰찱_x0018_＀＀_x0018_＀＀_x0008_＀＀_x0001_＀＀_x0001_＀＀＀＀＀＀䁅﹓䨰&amp;位䍞彁佐呓䕒彔䕂彎䅐䑉ㄨ⼲〲㠰ⰬⰬ单⥄_x0018_＀＀_x0018_＀＀_x0008_＀＀_x0001_＀＀_x0001_＀＀＀＀＀＀＀＀＀＀㩾䨰(位䍞彁䕐华䕟偍䍟乏剔䉉䍟ㄨ⼲〲㜰ⰬⰬ单⥄_x0018_＀＀_x0018_＀＀_x0008_＀＀_x0001_＀＀_x0001_＀＀＀＀＀＀耀䁠﹒䨰;位坞当䕐华佉彎十䕓協䉟乏卄ㄨ⼲〲㠰䀩䅃偟久当䍐彔䥆ㄨ⼲〲㠰착_x0018_＀＀_x0018_＀＀_x0008_＀＀_x0001_＀＀_x0001_＀＀＀＀＀＀＀＀䁄㓗䣦_x0013_位灞楲散 ⼶㐰㈯〰찴_x0018_＀＀_x0018_＀＀_x0008_＀＀_x0001_＀＀_x0001_＀＀슐⣵⽜䁈㓗䣦_x0013_位灞楲散 ⼱ㄱ㈯〰찲_x0018_＀＀_x0018_＀＀_x0008_＀＀_x0001_＀＀_x0001_＀＀㌳㌳팳䁇㲜䨰+单幔䅃偟协剔呅偟剁彔佃呎䥒⡂㈱㈯〰ⰵⰬ唬䑓착_x0018_＀＀_x0018_＀＀_x0008_＀＀_x0001_＀＀_x0001_＀＀＀＀＀＀＀＀＀＀㓗䣦_x0013_位灞楲散㄁⼰ㄳ㈯〰찳_x0018_＀＀_x0018_＀＀_x0008_＀＀_x0001_＀＀_x0001_＀＀＀＀＀＀䀀䁇㓗䣦_x0013_位灞楲散 ⼵㈰㈯〰찳_x0018_＀＀_x0018_＀＀_x0008_＀＀_x0001_＀＀_x0001_＀＀ẹ䀾㲜䨰'单幔䅃偟久当商䑎卟䅔啔⡓㈱㈯〰ⰳⰬ唬䑓착_x0018_＀＀_x0018_＀＀_x0008_＀＀_x0001_＀＀_x0001_＀＀슐⣵ཛྷ쀛㩾䨰(位䍞彁䕐华䕟偍䍟乏剔䉉䕟ㄨ⼲〲㤰ⰬⰬ单⥄_x0018_＀＀_x0018_＀＀_x0008_＀＀_x0001_＀＀_x0001_＀＀＀＀＀＀＀＀䀴㓗䣦_x0013_位灞楲散㄁⼲㤲㈯〰찶_x0018_＀＀_x0018_＀＀_x0008_＀＀_x0001_＀＀_x0001_＀＀긕瑺䁕㲜䨰G单幔䅃偟协剔呅䍟协⡔㈱㈯〰ⰷⰬ唬䑓䀩南䡟呌䍈剁彅偎彐塅⡐㈱㈯〰ⰷⰬ唬䑓착_x0018_＀＀_x0018_＀＀_x0008_＀＀_x0001_＀＀_x0001_＀＀빷᪟_xDD2F_䀑㩾䨰F位䍞彁䕐华也呅䍟协⡔㈱㈯〰ⰷⰬ唬䑓䀩南偟久䥓乏也偐䕟偘ㄨ⼲〲㜰ⰬⰬ单⥄_x0018_＀＀_x0018_＀＀_x0008_＀＀_x0001_＀＀_x0001_＀＀＀＀＀＀＀＀䁭㓗䣦_x0013_位灞楲散 ⼱㘲㈯〰찷_x0018_＀＀_x0018_＀＀_x0008_＀＀_x0001_＀＀_x0001_＀＀＀＀＀＀＀＀䁖㓗䣦_x0013_位灞楲散 ⼱㔰㈯〰찱_x0018_＀＀_x0018_＀＀_x0008_＀＀_x0001_＀＀_x0001_＀＀＀＀＀＀က䁄䣸%潭灞灟楲散慟杶ㄨㄯ㈯〰ⰴ㈱㌯⼱〲㐰搬착߸＀＀_x0018_＀＀ߨ＀＀ý＀＀_x0001_＀＀뚌ㄪ䀩_xDFF8_癊䱬䀩﷍ᯕ䀩സ蕑䀨갭霛䀨잟켨钼䀨钚溂焯䀨阭濫顊䀨㍈䴖齧䀨ᖹ櫂䀨謲汐ᴅ䀩퓽_xD978_䀨活ࢍꇆ䀨煭쾍_xFFFF_､䀨㿻驪˲䀩篃Ⰾ㡇䀩絗뚮形䀩િ_xDDF0_痦䀩祊蒭싮䀩걏䀩_xDC2F_ス믒䀩섚苯䀩﬍넽蕎䀩ꞗ䕳焩䀩ఏ簠鄨䀩껉貴寔䀩獃䚝㉚䀩Ύ隯謻䀩_xD90A_᭹涛䀩迪ర鉘䀩璓䶛䀩ᎃ꿑螭䀩喴摉萟䀩迪ర鉘䀩圄ɹ齡䀩૥狯㜑䀪⧃䀪킙ㄤ䀪ꦓ冂敉䀪뱫鍴ꐘ䀪ቿ㮟䀪৾嘮䀪ᄯ鵯퍿䀪밧꜄頾䀪虦늍䀪⮿_xFFFF_ﾂ䀪ꜙꨡ䀪ψඑ䀫㊇암ቔ䀪⡏쁄␡䀩瀝ㅝ䀨鈡육ﯖ䀨껉貴寔䀩轤㍐窤䀩᧫㇂介䀩ㇹ껦营䀨螺ꔮ鄮䀨흑ﯚ蕔䀨Ⱇו뒼䀨숀ኇ턭䀨橿璼ₓ䀩謲汐ᴅ䀩괶Ȕ㒹䀩Ɀ蝄臀䀩⬰晾䀩꤫퀓顄䀩ꈼ畂륳䀩ᎃ꿑螭䀩郷뷰ꆿ䀩ᘢ븰䀩罡䀩䞕숷몢䀩_xDC2F_ス믒䀩ꏎ_xFFFF_￢䀩ሖ먰↼䀪육㏖ᎄ䀪爙㵬_xD843_䀩⭖縓➩䀪ꏎ_xFFFF_￢䀩䞕숷몢䀩䤧䳗䀩ᒐ憑霕䀩੽樌䀩ᓓ丁ꋯ䀩Ĕᗢ䀪㊇암ቔ䀪Ò˞ਉ䀪Ĕᗢ䀪祊蒭싮䀩攣ꒋ棝䀩瘝⿎롊䀨瓪ඩ䀧쬜ꌁ䀦岷_xD8FD_ᜤ䀧獘悀䀦呺_xDFFC_ᴑ䀧ꎾ蓆페䀦ᝡཅ챼䀦姕뀭퓇䀦⭚᳚컧䀤㮹띫顝䀥䄹Მᄾ䀦샆踺樟䀦掀黏㓋䀦⏮⚷滝䀦蜗뼳玚䀦䗱뱻蚐䀦ꞇ쩗搲䀦燅헠뽲䀦㟒ᩩ봔䀦௾Ą萲䀦巢焻䀦㢸㜪୑䀦ែ匦̅䀦꒤ꆇ⇕䀦橮裂᎜䀦ꍕ͗ڔ䀦狰_xDF11_ᦉ䀦_xDE98_峾␴䀦뢈锹瀌䀦轓렴涭䀦⃉ᅷ₦䀦勧啜䀦툟㽯䀧齮晕⭊䀧䍸ᔚᄸ䀧⧵擇_xFFFF_ｱ䀦櫗笏䀦ῢ퉨䀦ヤ뾘_xDE42_䀦汩֯޽䀧윑뢺ڍ䀧䂖컚䀦鐏껛䀦向庍倍䀦_xDA8C_⫽蟀䀦袨䧓骶䀦鎙䀦൑㗻䀦ᖩ䀥묂㲚䀥ⓕ䍸봚䀥ꦽ蕈춱䀥哷筎鹊䀥몾倪_xD98B_䀥鵀ࣲ䀦⃉ᅷ₦䀦ᛸ跖_xFFFF_ｷ䀥㻝첫䀥唺枾ꨤ䀥ꜞ䣨霮䀥㭵쫻貃䀥க羕뜭䀥瀍뙁휬䀥鈐䰅䀥┘⿨죴䀥ែ匦̅䀦花ໟ䀦䑟㇛彵䀦繓懓䀦ᐼ洞繄䀦ၮ趭䀦彴泎顗䀦먛Ῑ霨䀦쎨뜊걼䀦챬裫빃䀦쎨뜊걼䀦꺞꣮䀦鐏껛䀦챬裫빃䀦໠⧔욏䀦ℱ鋦䀦ꉐ䀦ꘚ풶﹁䀦蹭魳ὰ䀧㻀町鯥䀦ຝ㵤몵䀦꺞꣮䀦灵㞰ꐱ䀦巢焻䀦弋쭒䀥齲崜䀥㷮牜ǜ䀥祴롳⭖䀥_xD9BA_⠟䀤㲟퐬䀤붾큫暗䀥尩슏裵䀥瑰욕䀥䋌ꜻ㡙䀦_xDE98_峾␴䀦ែ匦̅䀦މ䶔᪹䀦湺⮡뀑䀥_xD84D_㉾蟆䀥ⵕ⣩쌇䀥륯뇺빉䀥䛘_xD93C_퓍䀥ⓕ䍸봚䀥堝邎䀥찃ݼ䀥찃ݼ䀥俠鞍䀥䀥唺枾ꨤ䀥齲崜䀥蟽_xDBF4_쇗䀥䎖沋㯧䀦┽쓧訞䀦⏮⚷滝䀦ꁕ茖禇䀦_xDA48_㺍篦䀦Ɡ彖╝䀧儿냙᪦䀩﷉䔎ځ䀩뚌ㄪ䀩㻮䟇䀨؇㸐䀩븸쳶䂒䀩ᥦ壢圗䀩ꑲ〳⋲䀩ရ긡⶜䀩紊钰䀪邼༎ⱡ䀫㋰䛃_xDF59_䀪_xFFFF_￬믋䀪෇鮿祮䀪㿀䪥趔䀪ꜙꨡ䀪琔䥻챣䀪『ᷳ鳼䀪⁜걣䀪⩯慒_xD96C_䀪嵴쇸ﳹ䀪ᄯ鵯퍿䀪媒館몜䀪곙_xDCFA_䀪뫽鷓㸧䀫奨迷悅䀫痍椚뒩䀫❓覠↰䀬᝝灾┾䀬볹ꧢ㉇䀬샃싡䀫맓钢䀫굇細䆯䀬鐈륍㯂䀬驷⣌䀬῞嗯⬫䀬敷గ膮䀬뀩ꘀ萌䀬ᣯﬞ䱙䀬嬠꾖䣋䀬﹓䨰*位䍞彁佐呓䕒彔䅐呒䍟乏剔䉉ㄨ⼲〲㔰ⰬⰬ单⥄_x0018_＀＀_x0018_＀＀_x0008_＀＀_x0001_＀＀_x0001_＀＀豀碵꼝쐕㲜䨰$单幔䅃偟久当呌䱟䅉卂ㄨ⼲〲㈰ⰬⰬ单⥄_x0018_＀＀_x0018_＀＀_x0008_＀＀_x0001_＀＀_x0001_＀＀豀碵꼝쐕㓗䣦_x0013_位灞楲散㄁⼰ㄳ㈯〰참_x0018_＀＀_x0018_＀＀_x0008_＀＀_x0001_＀＀_x0001_＀＀Ẹ롑䀴㓗䣦_x0013_位灞楲散 ⼵㈰㈯〰참_x0018_＀＀_x0018_＀＀_x0008_＀＀_x0001_＀＀_x0001_＀＀䞮竡渔䀴㓗䣦_x0013_位灞楲散 ⼱ㄱ㈯〰참_x0018_＀＀_x0018_＀＀_x0008_＀＀_x0001_＀＀_x0001_＀＀竡긔셇䁓㓗䣦_x0013_位灞楲散㄁⼰〱㈯〰찳_x0018_＀＀_x0018_＀＀_x0008_＀＀_x0001_＀＀_x0001_＀＀晧晦虦䁆㲛䨰_x001E_单幔䅃偟久当佃偍剟呁⡅㈱㈯〰⤷_x0018_＀＀_x0018_＀＀_x0008_＀＀_x0001_＀＀_x0001_＀＀㌴㌳㌳䀓㩾䨰;位䍞彁䕐华䑟卉彃䅒䕔ㄨ⼲〲㠰䀩南偟久䥓乏䑟卉彃䅒䕔ㄨ⼲〲㠰착_x0018_＀＀_x0018_＀＀_x0008_＀＀_x0001_＀＀_x0001_＀＀晧晦晦䀘㓗䣦_x0013_位灞楲散 ⼱㔰㈯〰찷_x0018_＀＀_x0018_＀＀_x0008_＀＀_x0001_＀＀_x0001_＀＀馚香즙䁕㓗䣦_x0013_位灞楲散㄁⼰㐰㈯〰찲_x0018_＀＀_x0018_＀＀_x0008_＀＀_x0001_＀＀_x0001_＀＀凬Ẹ䮅䁂㲜䨰 单幔南䕟䍘彈䅒䕔䥟䍎䍟⡆㈱㈯〰⤶_x0018_＀＀_x0018_＀＀_x0008_＀＀_x0001_＀＀_x0001_＀＀豀碵꼝쐕㲜䨰)单幔䅃偟久当䵅彐佃呎䥒彂⡃㈱㈯〰ⰵⰬ唬䑓착_x0018_＀＀_x0018_＀＀_x0008_＀＀_x0001_＀＀_x0001_＀＀탥_xDB22_廹䀱﹓䨰(位坞当䱈䡔䅃䕒䑟卉彃䅒䕔ㄨ⼲〲㐰ⰬⰬ单⥄_x0018_＀＀_x0018_＀＀_x0008_＀＀_x0001_＀＀_x0001_＀＀＀＀＀＀＀＀䀗﹒䨰;位坞当䕐华佉彎十䕓協䉟乏卄ㄨ⼲〲㌰䀩䅃偟久当䍐彔䥆ㄨ⼲〲㌰착_x0018_＀＀_x0018_＀＀_x0008_＀＀_x0001_＀＀_x0001_＀＀＀＀＀＀＀＀䀺㓗䣦_x0013_位灞楲散㄁⼰〱㈯〰참_x0018_＀＀_x0018_＀＀_x0008_＀＀_x0001_＀＀_x0001_＀＀Ẹ롑䀴㓗䣦_x0013_位灞楲散 ⼷ㄱ㈯〰찳_x0018_＀＀_x0018_＀＀_x0008_＀＀_x0001_＀＀_x0001_＀＀ᑺ䁄㲜䨰(单幔䅃偟久当偐彄䕂彎佃呓ㄨ⼲〲㘰ⰬⰬ单⥄_x0018_＀＀_x0018_＀＀_x0008_＀＀_x0001_＀＀_x0001_＀＀豀碵꼝쐕㲜䨰B单幔䅃偟久当佒⡁㈱㈯〰ⰲⰬ唬䑓䀩南偟久䥓乏䕟偘剟䅏ㄨ⼲〲㈰ⰬⰬ单⥄_x0018_＀＀_x0018_＀＀_x0008_＀＀_x0001_＀＀_x0001_＀＀꟰䯆椷쀶㲛䨰M单幔䅃偟久当剐佉归剓⡖㈱㈯〰ⰷⰬ唬䑓䀩南偟久䥓乏偟归䕓噒䍟协⡔㈱㈯〰ⰷⰬ唬䑓착_x0018_＀＀_x0018_＀＀_x0008_＀＀_x0001_＀＀_x0001_＀＀㌳㌳㌳㾳﹓䨰I位䍞彁佐呓䕒彔佒彁䍁⡔㈱㈯〰ⰵⰬ唬䑓䀩南䡟呌䍈剁彅䍁彔佒⡁㈱㈯〰ⰵⰬ唬䑓착_x0018_＀＀_x0018_＀＀_x0008_＀＀_x0001_＀＀_x0001_＀＀豀碵꼝쐕﹓䨰D位䍞彁佐呓䕒彔䕂彎䉏ㄨ⼲〲㘰ⰬⰬ单⥄址当䱈䡔䅃䕒偟佂ㄨ⼲〲㘰ⰬⰬ单⥄_x0018_＀＀_x0018_＀＀_x0008_＀＀_x0001_＀＀_x0001_＀＀＀＀＀＀_xDF00_䂴㩾䨰'位坞当䕐华佉彎十䕓協䱟⡔㈱㈯〰ⰲⰬ唬䑓착_x0018_＀＀_x0018_＀＀_x0008_＀＀_x0001_＀＀_x0001_＀＀豀碵꼝쐕㓗䣦_x0013_位灞楲散 ⼳㤲㈯〰찲_x0018_＀＀_x0018_＀＀_x0008_＀＀_x0001_＀＀_x0001_＀＀⣶轜嗂䁊㓗䣦_x0013_位灞楲散 ⼹㌰ㄯ㤹찹_x0018_＀＀_x0018_＀＀_x0008_＀＀_x0001_＀＀_x0001_＀＀＀＀＀＀ꀀ䁃㩾䨰P位䍞彁䕐华䅟䍃䵕䍟䵏剐义⡃㈱㈯〰ⰳⰬ唬䑓䀩南䍟䵏剐䥟䍎偟久当䥌䉁ㄨ⼲〲㌰ⰬⰬ单⥄_x0018_＀＀_x0018_＀＀_x0008_＀＀_x0001_＀＀_x0001_＀＀＀＀＀＀ 䂜㲜䨰 单幔南䕟䍘彈䅒䕔ㄨ⼲〲㘰ⰬⰬ单⥄_x0018_＀＀_x0018_＀＀_x0008_＀＀_x0001_＀＀_x0001_＀＀＀＀＀＀＀＀㿰㲜䨰J单幔䅃偟久当佒彁䅒䕔ㄨ⼲〲㌰ⰬⰬ单⥄址当䕐华佉彎塅彐呌剟䅏ㄨ⼲〲㌰ⰬⰬ单⥄_x0018_＀＀_x0018_＀＀_x0008_＀＀_x0001_＀＀_x0001_＀＀＀＀＀＀＀＀䀠㲜䨰I单幔䅃偟久当剓彖佃呓ㄨ⼲〲㘰ⰬⰬ单⥄址当䕐华佉彎䕓噒䍟协⡔㈱㈯〰ⰶⰬ唬䑓착_x0018_＀＀_x0018_＀＀_x0008_＀＀_x0001_＀＀_x0001_＀＀㵱휊䀲㓗䣦_x0013_位灞楲散 ⼷㔰㈯〰찲_x0018_＀＀_x0018_＀＀_x0008_＀＀_x0001_＀＀_x0001_＀＀ᑻ䞮᫡䁇㲛䨰"单幔南偟久䥓乏䅟卓呅当呌〨ⰬⰬ单⥄_x0018_＀＀_x0018_＀＀_x0008_＀＀_x0001_＀＀_x0001_＀＀豀碵꼝쐕㩾䨰I位䍞彁䕐华剟䅏剟呁⡅㈱㈯〰ⰸⰬ唬䑓䀩南偟久䥓乏䕟偘䱟彔佒⡁㈱㈯〰ⰸⰬ唬䑓착_x0018_＀＀_x0018_＀＀_x0008_＀＀_x0001_＀＀_x0001_＀＀＀＀＀＀＀＀䀠㩾䨰H位䍞彁䕐华卟噒䍟协⡔㈱㈯〰ⰳⰬ唬䑓䀩南偟久䥓乏卟剅彖佃呓ㄨ⼲〲㌰ⰬⰬ单⥄_x0018_＀＀_x0018_＀＀_x0008_＀＀_x0001_＀＀_x0001_＀＀＀＀＀＀怀䁷㓗䣦_x0013_位灞楲散 ⼳㐱㈯〰찳_x0018_＀＀_x0018_＀＀_x0008_＀＀_x0001_＀＀_x0001_＀＀ꏗ㵰眊䁁㓗䣦_x0013_位灞楲散 ⼷ㄱ㈯〰참_x0018_＀＀_x0018_＀＀_x0008_＀＀_x0001_＀＀_x0001_＀＀尨䊏䀵㓗䣦_x0013_位灞楲散 ⼱㔱ㄯ㤹찹_x0018_＀＀_x0018_＀＀_x0008_＀＀_x0001_＀＀_x0001_＀＀＀＀＀＀ 䁊㲜䨰M单幔䅃偟协剔呅卟噒䍟协⡔㈱㈯〰ⰱⰬ唬䑓䀩南䡟呌䍈剁彅䕓噒䍟协⡔㈱㈯〰ⰱⰬ唬䑓착_x0018_＀＀_x0018_＀＀_x0008_＀＀_x0001_＀＀_x0001_＀＀譄ꧻ䀋﹒䨰_x001F_位坞当塅䡃剟呁彅义彃䙃ㄨ⼲〲㐰착_x0018_＀＀_x0018_＀＀_x0008_＀＀_x0001_＀＀_x0001_＀＀豀碵꼝쐕㲜䨰 单幔南䕟䍘彈䅒䕔䉟䱁卟⡈㈱㈯〰⤲_x0018_＀＀_x0018_＀＀_x0008_＀＀_x0001_＀＀_x0001_＀＀豀碵꼝쐕㩾䨰#位䍞彁䕐华䉟久偟䥁⡄㈱㈯〰ⰳⰬ唬䑓착_x0018_＀＀_x0018_＀＀_x0008_＀＀_x0001_＀＀_x0001_＀＀＀＀＀＀怀䂉㓗䣦_x0013_位灞楲散 ⼳㠰㈯〰찲_x0018_＀＀_x0018_＀＀_x0008_＀＀_x0001_＀＀_x0001_＀＀＀＀＀＀ꀀ䁊㲜䨰N单幔䅃偟久当乕䕒佃⡇㈱㈯〰ⰴⰬ唬䑓䀩南偟久䥓乏啟剎䍅卟剅彖佃呓ㄨ⼲〲㐰ⰬⰬ单⥄_x0018_＀＀_x0018_＀＀_x0008_＀＀_x0001_＀＀_x0001_＀＀롑蔞뿓﹓䨰)位坞当䱈䡔䅃䕒䕟偘䱟彔佒⡁㈱㈯〰ⰷⰬ唬䑓착_x0018_＀＀_x0018_＀＀_x0008_＀＀_x0001_＀＀_x0001_＀＀豀碵꼝쐕﹓䨰K位䍞彁佐呓䕒彔义彔佃呓ㄨ⼲〲㔰ⰬⰬ单⥄址当䱈䡔䅃䕒䥟呎䍟协⡔㈱㈯〰ⰵⰬ唬䑓착_x0018_＀＀_x0018_＀＀_x0008_＀＀_x0001_＀＀_x0001_＀＀＀＀＀＀耀䁱㓗䣦_x0013_位灞楲散 ⼳㐱㈯〰참_x0018_＀＀_x0018_＀＀_x0008_＀＀_x0001_＀＀_x0001_＀＀롒蔞䁑㓗䣦_x0013_位灞楲散㄁⼲㌱㈯〰찲_x0018_＀＀_x0018_＀＀_x0008_＀＀_x0001_＀＀_x0001_＀＀ਾꏗ絰䁄㓗䣦_x0013_位灞楲散㄁⼰㤲ㄯ㤹찹_x0018_＀＀_x0018_＀＀_x0008_＀＀_x0001_＀＀_x0001_＀＀＀＀＀＀　䀹㲜䨰＀Ｏ单幔南䡟呌䍈剁彅䵁剏彔䕓噒䍟协⡔㈱㈯〰ⰶⰬ唬䑓착_x0018_＀＀_x0018_＀＀_x0008_＀＀_x0001_＀＀_x0001_＀＀ꧻ틱쀕㓗䣦_x0013_位灞楲散 ⼹〲㈯〰찲_x0018_＀＀_x0018_＀＀_x0008_＀＀_x0001_＀＀_x0001_＀＀Ẹ塑䁅㲜䨰'单幔南偟久偟协彔䕒彔䕂⡎㈱㈯〰ⰶⰬ唬䑓착_x0018_＀＀_x0018_＀＀_x0008_＀＀_x0001_＀＀_x0001_＀＀堐됹髈䁬㩾䨰'位坞当䕐华佉彎十䕓協䱟⡔㈱㈯〰ⰸⰬ唬䑓착_x0018_＀＀_x0018_＀＀_x0008_＀＀_x0001_＀＀_x0001_＀＀豀碵꼝쐕㓗䣦_x0013_位灞楲散 ⼲㘰㈯〰찴_x0018_＀＀_x0018_＀＀_x0008_＀＀_x0001_＀＀_x0001_＀＀炤਽揗䁋㓗䣦_x0013_位灞楲散㄁⼲㜰㈯〰찱_x0018_＀＀_x0018_＀＀_x0008_＀＀_x0001_＀＀_x0001_＀＀휊炣訽䁆䣸%潭灞灟楲散慟杶ㄨㄯ㈯〰ⰲ㈱㌯⼱〲㈰搬착߸＀＀_x0018_＀＀ߨ＀＀ý＀＀_x0001_＀＀쑩㻌㦏䀥ꜞ䣨霮䀥쀛⁛酁䀥䦔洍嘀䀥ਂ逑䀥ᖩ䀥逺퓵믪䀥ᕥ̶_xD85C_䀥花ໟ䀦Ǫ郳圩䀦鐏껛䀦岒䏾嗺䀦鐏껛䀦彴泎顗䀦⏾臓䀦揩‾ǐ䀧㤡뢙_xD855_䀦勧啜䀦藬똂ᦃ䀧粝౺䀧玛䳰䀦㲊멉㉦䀧㉶䨸՞䀧姕뀭퓇䀦鱉儕_xDD13_䀦蹭魳ὰ䀧궎ࡧ䀦_xD962_⇌ⶩ䀧ᰚ꼥䇎䀧嗉縬㡓䀧ᘷؔ牥䀧䃿涹鯟䀧鹅崤턳䀧ꛆ䊕휠䀧ᲂゔ໓䀨Ⓚ⦕ࣦ䀨棎媫䀨㺫字䀨슇䀨֞벡㎏䀨ྲⲲ悘䀨瀝ㅝ䀨갭霛䀨ꗟ◔裣䀨ꝲ끴꿾䀨쎓鴧䀨罻ꚃ䀨⟥㻕圝䀨⤵_xDD05_牞䀨ꊺ႔㪬䀨Ⓚ⦕ࣦ䀨襺䲱㒿䀨쁈䀧逥묒޶䀨_xDB1A_䅫ᗯ䀨軻뇡궟䀨晍궼싴䀨蟨숑ඣ䀨Ꜯ쐄ꐤ䀨蠍圐컎䀨딋禦懇䀨_xD8A1_騊ꂖ䀨厹堺迿䀨_xD8E4_虺거䀨㍈䴖齧䀨ྲⲲ悘䀨ﵡ쎟㥼䀨ꊺ႔㪬䀨㵜봧챯䀨㝺ᐖﴆ䀨깠୅軐䀨鴛右眜䀨蚾룠뎌䀨螺ꔮ鄮䀨_xDBC6_꽊䀨쎓鴧䀨鈡육ﯖ䀨ዽ훱濹䀩껉貴寔䀩隖窑敏䀩岢뼚拰䀩Ɀ蝄臀䀩獃䚝㉚䀩ᓓ丁ꋯ䀩‶层䀩䟙꺧왼䀩櫨䀩뭻㤥뽠䀩뢙ၕ紃䀩漷ᒜ闦䀩੽樌䀩춘䀩鼖怂欼䀩蠍圐컎䀨⥚爄㎉䀩⥚爄㎉䀩➯䀩Ꙉꝃ嗧䀩已嵊縲䀩均ꬺ䀩섚苯䀩Ɀ蝄臀䀩櫨䀩킙ㄤ䀪ꫣ肊䀪澟阋拪䀪₟_xDDB1_렽䀪㿀䪥趔䀪훓悈М䀪牜⧜䀩ꎋ፲풵䀩揹魚ໆ䀪⧃䀪︳왽펅䀩辧῀虾䀩涤觼滊䀩涤觼滊䀩涤觼滊䀩梁⚝帳䀩笗븯彨䀨먛Ῑ霨䀦㭵쫻貃䀥⌜⏙퓔䀤啓_xD868_䀣ఓ᫧㡦䀤뿴譜퀖䀤騨뀇⟈䀥螔媅䀤ꕈ퇘搸䀥찃ݼ䀥쁝ೋ鴛䀥皒辣䀤礋㜄幒䀤㫄_xDE55_䀣䝳쯿ꂵ䀣쏚⡞ꭠ䀣쐀뵝沊䀤悳迢ꚢ䀣䲌꿀䲑䀣Წ摚眻䀣詐瘅䀤簱䱄겉䀤⭚᳚컧䀤ჱ俆滣䀥몾倪_xD98B_䀥콁ꕦ䀥풐兂䀥渑ꨲ䀤_xD9BA_⠟䀤냐ﴘ䀥Ǫ郳圩䀦⥊⚒䀦穆뭑앟䀦ꔍ⋶䀦㤡뢙_xD855_䀦㤡뢙_xD855_䀦⇝Å욉䀧핖鄴䀧䤼暺闲䀧袬䀨죊_xD859_䀧බ₣汸䀧섯ྩ㜤䀧ែ匦̅䀦ꍕ͗ڔ䀦ℌ﷧Ɀ䀦ꎾ蓆페䀦_xFFFF_ｱ䀦Ɡ彖╝䀧흮䀦⃉ᅷ₦䀦옐䭏䀦_xD84D_㉾蟆䀥収爝䐳䀦ᛸ跖_xFFFF_ｷ䀥괥蛸⟂䀦實혟紛䀥ჱ俆滣䀥俠鞍䀥∵ܘ蚗䀥릲鹪쨣䀥쌲녆䀤鲔쌓䀣ힾᰐ聯䀣䅎㙾앲䀣蔯촇㎮䀣檃ᎃ쟑䀣얃쳡蚯䀡퉸旂䀡쮯鿰_xD86E_䀢ㄎ䚪䀢婂큣䤉䀢뛺ꥠ䀠皁ᒇ_xDC03_䀡䆁꟒쑕䀠⫠⁏䀠䦾ꃓ빨䀠㓴遠⇴䀡Õ릥䀡艄蚩䀢끵쿾_xDE61_䀡❳Ꟙ䀢ታ彊褈䀢쏚⡞ꭠ䀣ꘉ妚䀣獇_xD997_䀣괺ꃛ_xDBF6_䀣稵䀵롩䀣㍌䚤䀣Წ摚眻䀣G謷⌗䀣㾖ᛟ_xDD2C_䀢ﶋꇤ䀣䑎뚿剾䀣元侠쇤䀣ꎓ준䀣存뾱䀣ꎓ준䀣锇躸䀣滧䯗⑓䀡瓯觧듧䀡ᯚ慼_xDD32_䀡报鹣䀡汮ꑶ껺䀡氫렆ꌠ䀡ꋧ茡䀡磻믨兛䀡᳁總⭯䀡㟖뤰摑䀡ᡇ将䀡穊娘沝䀡䂚謑瘘䀡䩪າ靇䀡띣⫏봳䀡媆볓哣䀢핚躒㡲䀢ꛊ繝䀢崥盧警䀢ﺴﯼ䀢צ䟘䀢ꊾ꽛䀢〧횝䀢᧊㮊㓞䀣筟䥦ኀ䀣殭Ჴ⇨䀣襾_xDBFC_䀢딏ᡭअ䀣鵢_xDF2A_⨳䀣蔯촇㎮䀣妚䀣왔쾿₸䀣ࣈ炨⤄䀣틡쌙䀢㓗䣦_x0013_位灞楲散 ⼹㐱㈯〰찱_x0018_＀＀_x0018_＀＀_x0008_＀＀_x0001_＀＀_x0001_＀＀㌳㌳ጳ䁈㓗䣦_x0013_位灞楲散㄁⼱ㄱ㈯〰찵_x0018_＀＀_x0018_＀＀_x0008_＀＀_x0001_＀＀_x0001_＀＀晧晦뙦䁒㓗䣦_x0013_位灞楲散 ⼵㌲㈯〰찳_x0018_＀＀_x0018_＀＀_x0008_＀＀_x0001_＀＀_x0001_＀＀ᑺ➮䁅㓗䣦_x0013_位灞楲散 ⼴ㄲ㈯〰찰_x0018_＀＀_x0018_＀＀_x0008_＀＀_x0001_＀＀_x0001_＀＀＀＀＀＀怀䀵㓗䣦_x0013_位灞楲散㄁⼰㠰ㄯ㤹찹_x0018_＀＀_x0018_＀＀_x0008_＀＀_x0001_＀＀_x0001_＀＀＀＀＀＀　䁁㩾䨰(位坞当䕐华佉彎䅖彌十䕓協ㄨ⼲〲㜰ⰬⰬ单⥄_x0018_＀＀_x0018_＀＀_x0008_＀＀_x0001_＀＀_x0001_＀＀＀＀＀＀鰀䃂㓗䣦_x0013_位灞楲散 ⼹㠰㈯〰찰_x0018_＀＀_x0018_＀＀_x0008_＀＀_x0001_＀＀_x0001_＀＀＀＀＀＀耀䀽㲜䨰H单幔䅃偟久当义彔佃呓ㄨ⼲〲㔰ⰬⰬ单⥄址当䕐华佉彎义彔佃呓ㄨ⼲〲㔰ⰬⰬ单⥄_x0018_＀＀_x0018_＀＀_x0008_＀＀_x0001_＀＀_x0001_＀＀㥘좴빶䀼㓗䣦_x0013_位灞楲散㄁⼲㜰㈯〰찷_x0018_＀＀_x0018_＀＀_x0008_＀＀_x0001_＀＀_x0001_＀＀晧晦晦䁓㓗䣦_x0013_位灞楲散 ⼵㜱㈯〰찲_x0018_＀＀_x0018_＀＀_x0008_＀＀_x0001_＀＀_x0001_＀＀Ẹ㡑䁋㲜䨰*单幔南䡟呌䍈剁彅塅彐呌剟䅏ㄨ⼲〲㌰ⰬⰬ单⥄_x0018_＀＀_x0018_＀＀_x0008_＀＀_x0001_＀＀_x0001_＀＀豀碵꼝쐕㲜䨰L单幔䅃偟协剔呅䥟呎䍟协⡔㈱㈯〰ⰵⰬ唬䑓䀩南䡟呌䍈剁彅义彔佃呓ㄨ⼲〲㔰ⰬⰬ单⥄_x0018_＀＀_x0018_＀＀_x0008_＀＀_x0001_＀＀_x0001_＀＀轜尨䀕㩾䨰E位䍞彁䕐华剟䅏䅟呃ㄨ⼲〲㐰ⰬⰬ单⥄址当䕐华佉彎䍁彔佒⡁㈱㈯〰ⰴⰬ唬䑓착_x0018_＀＀_x0018_＀＀_x0008_＀＀_x0001_＀＀_x0001_＀＀＀＀＀＀렀䂕㓗䣦_x0013_位灞楲散 ⼹㐱㈯〰찷_x0018_＀＀_x0018_＀＀_x0008_＀＀_x0001_＀＀_x0001_＀＀롒蔞쇫䁐㓗䣦_x0013_位灞楲散 ⼵㌲㈯〰참_x0018_＀＀_x0018_＀＀_x0008_＀＀_x0001_＀＀_x0001_＀＀ᑺ䞮䀶㓗䣦_x0013_位灞楲散 ⼸㈱㈯〰찵_x0018_＀＀_x0018_＀＀_x0008_＀＀_x0001_＀＀_x0001_＀＀⣶轜뗂䁐㓗䣦_x0013_位灞楲散 ⼷㤰ㄯ㤹찹_x0018_＀＀_x0018_＀＀_x0008_＀＀_x0001_＀＀_x0001_＀＀＀＀＀＀怀䁃㲛䨰Q单幔䅃偟久当䍁啃彍佃偍䥒䍎ㄨ⼲〲㜰ⰬⰬ单⥄址当佃偍归义彃䕐华䱟䅉⡂㈱㈯〰ⰷⰬ唬䑓착_x0018_＀＀_x0018_＀＀_x0008_＀＀_x0001_＀＀_x0001_＀＀譄䧻쁅﹓䨰'位坞当䱈䡔䅃䕒啟䙎䉟久ㄨ⼲〲㌰ⰬⰬ单⥄착＀＀＀＀㓗䣦_x0013_位灞楲散 ⼴ㄲ㈯〰찶_x0018_＀＀_x0018_＀＀_x0008_＀＀_x0001_＀＀_x0001_＀＀尨ꊏ䁑﹓䨰O位䍞彁佐呓䕒彔䱐乁䅟呓䕟䑎ㄨ⼲〲㈰ⰬⰬ单⥄址当䱈䡔䅃䕒䙟彖十䕓⡔㈱㈯〰ⰲⰬ唬䑓착_x0018_＀＀_x0018_＀＀_x0008_＀＀_x0001_＀＀_x0001_＀＀豀碵꼝쐕㩾䨰E位䍞彁䕐华剟䅏䅟呃ㄨ⼲〲㜰ⰬⰬ单⥄址当䕐华佉彎䍁彔佒⡁㈱㈯〰ⰷⰬ唬䑓착_x0018_＀＀_x0018_＀＀_x0008_＀＀_x0001_＀＀_x0001_＀＀＀＀＀＀_xD800_䂃㓗䣦_x0013_位灞楲散 ⼹㠰㈯〰찶_x0018_＀＀_x0018_＀＀_x0008_＀＀_x0001_＀＀_x0001_＀＀䞮竡블䁔⩫䱇_x000E_单〳剙偞偟䥒䕃_x0018_＀＀_x0018_＀＀_x0008_＀＀_x0001_＀＀_x0001_＀＀긕ᑺ䀏㲜䨰(单幔南䡟呌䍈剁彅乕彆䕂⡎㈱㈯〰ⰵⰬ唬䑓⤩＀＀＀＀㲜䨰E单幔䅃偟协剔呅䉟久佟⡂㈱㈯〰ⰳⰬ唬䑓䀩南䡟呌䍈剁彅䉐⡏㈱㈯〰ⰳⰬ唬䑓착_x0018_＀＀_x0018_＀＀_x0008_＀＀_x0001_＀＀_x0001_＀＀⋐秛䁓㓗䣦_x0013_位灞楲散 ⼴㔱㈯〰찵_x0018_＀＀_x0018_＀＀_x0008_＀＀_x0001_＀＀_x0001_＀＀蔟凫㺸䁐㓗䣦_x0013_位灞楲散㄁⼰㔲㈯〰찲_x0018_＀＀_x0018_＀＀_x0008_＀＀_x0001_＀＀_x0001_＀＀쳍쳌䳌䁅㲜䨰,单幔䅃偟协剔呅䕟偍䍟乏剔䉉䍟ㄨ⼲〲㄰ⰬⰬ单⥄_x0018_＀＀_x0018_＀＀_x0008_＀＀_x0001_＀＀_x0001_＀＀＀＀＀＀＀＀＀＀㲜䨰&amp;单幔䅃偟久当十彔义䅔䝎ㄨ⼲〲㔰ⰬⰬ单⥄_x0018_＀＀_x0018_＀＀_x0008_＀＀_x0001_＀＀_x0001_＀＀_xD917_㿱㲜䨰J单幔䅃偟久当䥄䍓剟呁⡅㈱㈯〰ⰳⰬ唬䑓䀩南偟久䥓乏䑟卉彃䅒䕔ㄨ⼲〲㌰ⰬⰬ单⥄_x0018_＀＀_x0018_＀＀_x0008_＀＀_x0001_＀＀_x0001_＀＀＀＀＀＀＀＀䀙㲜䨰#单幔䅃偟协剔呅䱟䅉⡂㈱㈯〰ⰶⰬ唬䑓착_x0018_＀＀_x0018_＀＀_x0008_＀＀_x0001_＀＀_x0001_＀＀⣶轜◂쁗㲜䨰%单幔䅃偟久当呌䅟卓呅⡓㈱㈯〰ⰶⰬ唬䑓착_x0018_＀＀_x0018_＀＀_x0008_＀＀_x0001_＀＀_x0001_＀＀酩糭㔿㿲㓗䣦_x0013_位灞楲散 ⼶〳㈯〰찰_x0018_＀＀_x0018_＀＀_x0008_＀＀_x0001_＀＀_x0001_＀＀＀＀＀＀退䀺㓗䣦_x0013_位灞楲散㄁⼲㜱ㄯ㤹찹_x0018_＀＀_x0018_＀＀_x0008_＀＀_x0001_＀＀_x0001_＀＀＀＀＀＀쀀䀶㲜䨰G单幔䅃偟协剔呅䍟协⡔㈱㈯〰ⰶⰬ唬䑓䀩南䡟呌䍈剁彅偎彐塅⡐㈱㈯〰ⰶⰬ唬䑓착_x0018_＀＀_x0018_＀＀_x0008_＀＀_x0001_＀＀_x0001_＀＀눭ڧ䀢㲜䨰M单幔䅃偟久当剐佉归剓⡖㈱㈯〰ⰴⰬ唬䑓䀩南偟久䥓乏偟归䕓噒䍟协⡔㈱㈯〰ⰴⰬ唬䑓착_x0018_＀＀_x0018_＀＀_x0008_＀＀_x0001_＀＀_x0001_＀＀뱪鍴И뾦﹓䨰,位䍞彁佐呓䕒彔剕呟归䉏䅟位呒ㄨ⼲〲㌰ⰬⰬ单⥄_x0018_＀＀_x0018_＀＀_x0008_＀＀_x0001_＀＀_x0001_＀＀＀＀＀＀＀＀＀＀﹒䨰_x000E_位坞当啃剒久奃_x001C_＀＀_x0018_＀＀_x000C_＀＀_x0001_＀＀_x0008_＀＀⹕⹓䐠汯慬r㓗䣦_x0013_位灞楲散㄁⼰㤱㈯〰찱_x0018_＀＀_x0018_＀＀_x0008_＀＀_x0001_＀＀_x0001_＀＀긕䁈㓗䣦_x0013_位灞楲散 ⼹㐲ㄯ㤹찹_x0018_＀＀_x0018_＀＀_x0008_＀＀_x0001_＀＀_x0001_＀＀＀＀＀＀⠀䁁휲䶮%潭灞灟楲散慟杶ㄨㄯ㈯㄰ⰱ㈱㌯⼱〲ㄱ搬착߸＀＀_x0018_＀＀ߨ＀＀ý＀＀_x0001_＀＀蔟凫麸䀸＀＀＀＀耀䀸炤਽揗䀸ᑻ䞮竡䀸긕鑺䀸炤਽揗䀸ਾꏗ㵰䀸롒蔞ᇫ䀸슐⣵ཛྷ䀸蔟凫Ẹ䀸尩슏⣵䀸긕ᑺ䀸ਾꏗﵰ䀷휊炣਽䀸ꏗ㵰ᜊ䀸凬Ẹ殅䀸휊炣䨽䀸炤਽䏗䀸凬Ẹ䀷휊炣쨽䀷尨芏䀷긕鑺䀷䞮竡긔䀷쳍쳌ೌ䀸＀＀＀＀＀＀䀸슐⣵ཛྷ䀸竡긔ⅇ䀸晧晦♦䀸ꏗ㵰ᜊ䀸㵱휊炣䀸ਾꏗ絰䀸ᑻ䞮竡䀸ᑻ䞮竡䀸ᑻ䞮뫡䀸휊炣쨽䀸ਾꏗ뵰䀸⣶轜뗂䀸⣶轜뗂䀸㵱휊䀸蔟凫庸䀹蔟凫Ẹ䀹쳍쳌ೌ䀹㵱휊炣䀹롒蔞凫䀹竡긔慇䀹尩슏ꣵ䀹슐⣵콜䀹炤਽ꏗ䀹쳍쳌ೌ䀹ਾꏗﵰ䀸⣶轜뗂䀸휊炣䨽䀸㵱휊炣䀸쳍쳌쳌䀸晧晦♦䀹䞮竡渔䀹轜鰨䀹䞮竡䀹롒蔞퇫䀹쳍쳌ೌ䀺Ẹ䀹轜ᰨ䀺ᑺޮ䀺ᑻ䞮﫡䀹㵱휊䀹轜ᰨ䀺ᑺ䞮䀺馚香ᦙ䀺ਾꏗ㵰䀺롑蔞䀺㌴㌳댳䀺䞮竡긔䀺炤਽䀺尨ʏ䀻쳍쳌賌䀺竡긔慇䀺竡긔慇䀺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豀碵꼝쐕㲜䨰(单幔䅃偟久当䅐呒䍟乏剔䉉ㄨ⼲〲㔰ⰬⰬ单⥄_x0018_＀＀_x0018_＀＀_x0008_＀＀_x0001_＀＀_x0001_＀＀＀＀＀＀＀＀＀＀㲛䨰"单幔䅃偟久当偐彄䕂彎佃呓〨ⰬⰬ单⥄_x0018_＀＀_x0018_＀＀_x0008_＀＀_x0001_＀＀_x0001_＀＀豀碵꼝쐕㲜䨰T单幔䅃偟协剔呅偟䥒剏卟噒ㄨ⼲〲㔰ⰬⰬ单⥄址当䱈䡔䅃䕒啟剎䍅卟剅彖佃呓ㄨ⼲〲㔰ⰬⰬ单⥄_x0018_＀＀_x0018_＀＀_x0008_＀＀_x0001_＀＀_x0001_＀＀俟鞍鉮쀸㲜䨰)单幔南偟久䥓乏噟䱁䅟卓呅⡓㈱㈯〰ⰵⰬ唬䑓착_x0018_＀＀_x0018_＀＀_x0008_＀＀_x0001_＀＀_x0001_＀＀橿璼ₓ䁷㲜䨰M单幔䅃偟久当剐佉归剓⡖㈱㈯〰ⰵⰬ唬䑓䀩南偟久䥓乏偟归䕓噒䍟协⡔㈱㈯〰ⰵⰬ唬䑓착_x0018_＀＀_x0018_＀＀_x0008_＀＀_x0001_＀＀_x0001_＀＀ꧼ틱才뽐㓗䣦_x0013_位灞楲散 ⼷㘲㈯〰찲_x0018_＀＀_x0018_＀＀_x0008_＀＀_x0001_＀＀_x0001_＀＀晧晦♦䁇㲜䨰G单幔䅃偟久当䕎彔佃呓ㄨ⼲〲㈰ⰬⰬ单⥄址当䕐华佉彎偎彐塅⡐㈱㈯〰ⰲⰬ唬䑓착_x0018_＀＀_x0018_＀＀_x0008_＀＀_x0001_＀＀_x0001_＀＀๖눭依䀴㩾䨰&amp;位䍞彁䕐华䙟乕彄呓呁单ㄨ⼲〲㈰ⰬⰬ单⥄_x0018_＀＀_x0018_＀＀_x0008_＀＀_x0001_＀＀_x0001_＀＀＀＀＀＀＀＀䂌㲜䨰%单幔䅃偟久当佃偍剟呁⡅㈱㈯〰ⰵⰬ唬䑓착_x0018_＀＀_x0018_＀＀_x0008_＀＀_x0001_＀＀_x0001_＀＀㌴㌳㌳䀓㲜䨰M单幔䅃偟久当剐佉归剓⡖㈱㈯〰ⰶⰬ唬䑓䀩南偟久䥓乏偟归䕓噒䍟协⡔㈱㈯〰ⰶⰬ唬䑓착_x0018_＀＀_x0018_＀＀_x0008_＀＀_x0001_＀＀_x0001_＀＀_xDF3B_赏溗㾒㲛䨰;单幔南偟久䥓乏䅟卓呅当呏⡈㈱㈯〰⤷䍀彁䕐华偟呃佟䡔ㄨ⼲〲㜰착_x0018_＀＀_x0018_＀＀_x0008_＀＀_x0001_＀＀_x0001_＀＀＀＀＀＀＀＀＀＀㲜䨰 单幔南䕟䍘彈䅒䕔䥟䍎䍟⡆㈱㈯〰⤷_x0018_＀＀_x0018_＀＀_x0008_＀＀_x0001_＀＀_x0001_＀＀豀碵꼝쐕㓗䣦_x0013_位灞楲散 ⼶〳㈯〰찶_x0018_＀＀_x0018_＀＀_x0008_＀＀_x0001_＀＀_x0001_＀＀凬Ẹ宅䁒㲜䨰G单幔䅃偟久当䕎彔佃呓ㄨ⼲〲㔰ⰬⰬ单⥄址当䕐华佉彎偎彐塅⡐㈱㈯〰ⰵⰬ唬䑓착_x0018_＀＀_x0018_＀＀_x0008_＀＀_x0001_＀＀_x0001_＀＀삃ꇊ际䀻㓗䣦_x0013_位灞楲散㄁⼰㤱㈯〰찷_x0018_＀＀_x0018_＀＀_x0008_＀＀_x0001_＀＀_x0001_＀＀＀＀＀＀ꀀ䁑䣸%潭灞灟楲散慟杶ㄨㄯ㈯〰ⰰ㈱㌯⼱〲〰搬착߸＀＀_x0018_＀＀ߨ＀＀ý＀＀_x0001_＀＀_xDDEC_䭕䀕꼠댇䀕쌿㖛_xDF78_䀕蟽_xDBF4_쇗䀕娐式娦䀕ᷧ䀕厊薭㡙䀖浐≰嗺䀖蜖뼳玚䀖_xDC1F_떝껛䀖쾯䜩䀖_xDDEC_䭕䀕渷㼱ꐷ䀕뵕仼馓䀔桍墒幒䀔桍墒幒䀔寝频䀓븼殽䀓ᐫ绩煎䀓뼣衾㘍䀓贈厭䀓ᐫ绩煎䀓菠⻗ᡭ䀓ᐫ绩煎䀓菠⻗ᡭ䀓޻뻨জ䀓ﮆ෈䀒⾾售⭩䀒蓆䮘暪䀒ꔒ솽ꘗ䀑곉衶䀑ꔒ솽ꘗ䀑䩪າ靇䀑ﮆ෈䀒⾾售⭩䀒贈厭䀓늳졽칛䀒㰭ᔯ錛䀒⾾售⭩䀒쀉ꔿ葊䀒睱滖낻䀒챹敀䀒_xD9CF_䈂ꇫ䀒늳졽칛䀒蓆䮘暪䀒鈝⡚Კ䀒齳Ԝ튈䀑薭桙듧䀑ꔒ솽ꘗ䀑蓆䮘暪䀒㴔ㇰ䀑_xD9CF_䈂ꇫ䀒_xDEC5_뾋䀒_xDEC5_뾋䀒≨硬畺䀒늳졽칛䀒_xDAB6_廃䀑ﮆ෈䀒Ễ埚䀒쵠舁㨹䀒鈝⡚Კ䀒薭桙듧䀑椳畓겏䀓ⷱᮬ軯䀓⚅▉ụ䀕䄱_xDF0D_諂䀔ꢣ뜳䀔䁊쉌㲅䀕㏛ɋ퓔䀔桍墒幒䀔㓁Ἄ⌑䀔ⴊﻫ䂱䀔嫷篐ꡣ䀔ⷱᮬ軯䀓椳畓겏䀓ↂ宫✽䀓峄땒䓝䀓ꑶ컺쨯䀓ەꈧ뭟䀓桍墒幒䀔嫷篐ꡣ䀔桍墒幒䀔ⴊﻫ䂱䀔▞ࣈ킨䀕窦_xFFFF_Ｒ௨䀖㋴蚖䀕콁镦䀕蟽_xDBF4_쇗䀕鉟擊䀖쌿㖛_xDF78_䀕厊薭㡙䀖蟽_xDBF4_쇗䀕Ⓑ艪䀖煭쾍_xFFFF_､䀘緜辎朖䀙ꓸओ㪦䀙尽屲䀘度_xFFFF_ｽ痦䀙抺塆䀙緜辎朖䀙ു싟熺䀚얏ꤶ䀙緜辎朖䀙࠽更稒䀘㜑銧、䀘࠽更稒䀘_xDB37_飜悞䀗冽䰫鯟䀗䑨潩䀗﫧᰾쐤䀘煭쾍_xFFFF_､䀘煭쾍_xFFFF_､䀘틥藸ꉗ䀙抺塆䀙緜辎朖䀙鞢ⱑ蒷䀙冽䰫鯟䀗䑨潩䀗셲ﰙ䋽䀗਋㊃ᚍ䀗_xDD05_퉞ﴘ䀕꼠댇䀕ꓸओ㪦䀙㕃夥鎇䀙饯旓ℱ䀘㽼ี䀙䎀动鞳䀘⣔餤⯕䀙ꯉ౳컈䀙ศ_xDFA0_뿷䀙煭쾍_xFFFF_､䀘煭쾍_xFFFF_､䀘羪줐ΐ䀘_xDB37_飜悞䀗汩֯޽䀗딂㰘_xDB4C_䀖▞ࣈ킨䀕쾯䜩䀖驗芔潮䀗冽䰫鯟䀗ᙺ績䀗컈_xD8DB_䀖췡밚ꪯ䀗弓⣭凎䀗된ὗ贏䀗तᗂ졐䀗_xDB37_飜悞䀗ꛆ䊕휠䀗羪줐ΐ䀘谙褑歂䀘罻ꚃ䀘얏ꤶ䀙Ⲧ᱃拫䀚ꯉ౳컈䀙✆徢轛䀚덳䀜趂_xDFEB_⧵䀝斀䦥ࠩ䀞蘖맫䀞ꀳ峞䀟ၷ医쳨䀝ၷ医쳨䀝뭰峐醧䀝확收䀝확收䀝픴煉꽇䀝확收䀝李茧꒣䀜ꤖ똰䀛_xFFFF_％쥛涎䀛逶㘮ᒭ䀛랟䀛_xFFFF_％쥛涎䀛㩇⌃謯䀛쏁澴修䀛鲥籞䀛鲥籞䀛挰혊טּ䀙緜辎朖䀙謲汐ᴅ䀙练걏땓䀘⣔餤⯕䀙饯旓ℱ䀘䎀动鞳䀘틥藸ꉗ䀙ꯉ౳컈䀙Ò˞ਉ䀚哴_xDC87_䀚臹㲫ႁ䀜䞝_xFFFF_ￅ䄝䀛_xFFFF_％쥛涎䀛⳱䙁핀䀛脒Ὺ쉄䀜鮿_xD96E_⸡䀜ꤖ똰䀛蹩ﲬ砲䀜뱕禑_xDFE4_䀜趂_xDFEB_⧵䀝긘耎_xDBB8_䀝덳䀜蹩ﲬ砲䀜晦晦噦䀝괲捍赻䀞ྑ㙺纫䀞Ⱥ妸좼䀞6ရᘡ䀠੊耬㬩䀠⸣贀緒䀠㔈ꩃ䀠꜅逾﮼䀠娝㭤迟䀡塆䀠ॣ捫䀠凼駔쁻䀠㭹槂㏁䀠鷘㳮⓱䀠旾兡䀠꜅逾﮼䀠⸣贀緒䀠ʸᇴ䀡萒ꀫݐ䀠萒ꀫݐ䀠묆_xDB61_貢䀠_xDEDF_콋䀠꜅逾﮼䀠ॣ捫䀠⚑Ǟ咞䀡觖鐊䀠归皖癪䀠㪒䴁䀠ﰍ蚨㛽䀡킢쬟䀡뛜凯굿䀡錃䔛櫖䀡懔宅爾䀡湄ᮆ_xD9F0_䀡퐊ᔰ䀢운Ꭰ彂䀢ﴶ埙䀢Ժ_xD9F9_෈䀢枘괥ﻸ䀡ﶨ他䀢깤ꨌ㘍䀣縛_xDD37_讲䀢劰䕁῕䀣贍舧䀣׮蕦洢䀤׮蕦洢䀤␃䂚⌑䀤谦敦ꃻ䀤幟綀䀤段婂ꡣ䀤礋㜄幒䀤㩾䨰!位坞当䕐华佉彎䉐⡏㈱㈯〰ⰷⰬ唬䑓착_x0018_＀＀_x0018_＀＀_x0008_＀＀_x0001_＀＀_x0001_＀＀＀＀＀＀혀䃀㓗䣦_x0013_位灞楲散 ⼶㐲㈯〰찵_x0018_＀＀_x0018_＀＀_x0008_＀＀_x0001_＀＀_x0001_＀＀馚香䦙䁐㲜䨰,单幔䅃偟协剔呅䕟偍䍟乏剔䉉䍟ㄨ⼲〲㜰ⰬⰬ单⥄_x0018_＀＀_x0018_＀＀_x0008_＀＀_x0001_＀＀_x0001_＀＀＀＀＀＀＀＀＀＀㲜䨰B单幔䅃偟久当佒⡁㈱㈯〰ⰵⰬ唬䑓䀩南偟久䥓乏䕟偘剟䅏ㄨ⼲〲㔰ⰬⰬ单⥄_x0018_＀＀_x0018_＀＀_x0008_＀＀_x0001_＀＀_x0001_＀＀馚香ᦙ쀹㲛䨰_x0017_单幔南䙟䍙〨䀩䅃䙟䍙〨착_x0018_＀＀_x0018_＀＀_x0008_＀＀_x0001_＀＀_x0008_＀＀㈱㈯〰7㓗䣦_x0013_位灞楲散 ⼱ㄳ㈯〰찳_x0018_＀＀_x0018_＀＀_x0008_＀＀_x0001_＀＀_x0001_＀＀슏⣵䁂㩾䨰I位䍞彁䕐华䑟卉彃䅒䕔ㄨ⼲〲㘰ⰬⰬ单⥄址当䕐华佉彎䥄䍓剟呁⡅㈱㈯〰ⰶⰬ唬䑓착_x0018_＀＀_x0018_＀＀_x0008_＀＀_x0001_＀＀_x0001_＀＀馚香香䀗㲜䨰'单幔䅃偟协剔呅䉟久偟䥁⡄㈱㈯〰ⰴⰬ唬䑓착_x0018_＀＀_x0018_＀＀_x0008_＀＀_x0001_＀＀_x0001_＀＀＀＀＀＀＀＀＀＀㩾䨰P位䍞彁䕐华䅟䍃䵕䍟䵏剐义⡃㈱㈯〰ⰸⰬ唬䑓䀩南䍟䵏剐䥟䍎偟久当䥌䉁ㄨ⼲〲㠰ⰬⰬ单⥄_x0018_＀＀_x0018_＀＀_x0008_＀＀_x0001_＀＀_x0001_＀＀豀碵꼝쐕﹒䨰_x0019_位坞当塅䡃剟呁彅义彃䙃〨착_x0018_＀＀_x0018_＀＀_x0008_＀＀_x0001_＀＀_x0001_＀＀豀碵꼝쐕㓗䣦_x0013_位灞楲散 ⼶㠱㈯〰찴_x0018_＀＀_x0018_＀＀_x0008_＀＀_x0001_＀＀_x0001_＀＀휊炣쨽䁇㓗䣦_x0013_位灞楲散 ⼲㜲㈯〰찴_x0018_＀＀_x0018_＀＀_x0008_＀＀_x0001_＀＀_x0001_＀＀晧晦왦䁌㓗䣦_x0013_位灞楲散㄁⼲㠲㈯〰찱_x0018_＀＀_x0018_＀＀_x0008_＀＀_x0001_＀＀_x0001_＀＀竡긔Ň䁇㩾䨰$位䍞彁䕐华䱟彔十䕓協ㄨ⼲〲㘰ⰬⰬ单⥄_x0018_＀＀_x0018_＀＀_x0008_＀＀_x0001_＀＀_x0001_＀＀＀＀＀＀倀䂝﹒䨰_x001F_位坞当塅䡃剟呁彅义彃䙃ㄨ⼲〲㔰착_x0018_＀＀_x0018_＀＀_x0008_＀＀_x0001_＀＀_x0001_＀＀豀碵꼝쐕㓗䣦_x0013_位灞楲散 ⼱㔲㈯〰찲_x0018_＀＀_x0018_＀＀_x0008_＀＀_x0001_＀＀_x0001_＀＀쳍쳌쳌䁈㲜䨰 单幔南䕟䍘彈䅒䕔䉟䱁卟⡈㈱㈯〰⤳_x0018_＀＀_x0018_＀＀_x0008_＀＀_x0001_＀＀_x0001_＀＀豀碵꼝쐕㲜䨰;单幔南偟久䥓乏䅟卓呅当剐偏ㄨ⼲〲㘰䀩䅃偟久当䍐彔䕒ㄨ⼲〲㘰착_x0018_＀＀_x0018_＀＀_x0008_＀＀_x0001_＀＀_x0001_＀＀＀＀＀＀＀＀＀＀㩾䨰&amp;位䍞彁䕐华䙟乕彄呓呁单ㄨ⼲〲㠰ⰬⰬ单⥄_x0018_＀＀_x0018_＀＀_x0008_＀＀_x0001_＀＀_x0001_＀＀＀＀＀＀᐀삖㩾䨰I位䍞彁䕐华偟䅌彎十⡔㈱㈯〰ⰳⰬ唬䑓䀩南偟久䥓乏噟䱁䅟卓呅⡓㈱㈯〰ⰳⰬ唬䑓착_x0018_＀＀_x0018_＀＀_x0008_＀＀_x0001_＀＀_x0001_＀＀＀＀＀＀帀䃉㓗䣦_x0013_位灞楲散 ⼶㌰㈯〰찵_x0018_＀＀_x0018_＀＀_x0008_＀＀_x0001_＀＀_x0001_＀＀슏⣵콜䁐㩾䨰'位䍞彁䕐华偟䑐䉟久䍟协⡔㈱㈯〰ⰴⰬ唬䑓착_x0018_＀＀_x0018_＀＀_x0008_＀＀_x0001_＀＀_x0001_＀＀＀＀＀＀倀䂴﹒䨰:位坞当䕐华佉彎十䕓協佟䡔ㄨ⼲〲㘰䀩䅃偟久当䍐彔呏⡈㈱㈯〰⤶_x0018_＀＀_x0018_＀＀_x0008_＀＀_x0001_＀＀_x0001_＀＀＀＀＀＀＀＀㿰㓗䣦_x0013_位灞楲散 ⼱〱㈯〰찳_x0018_＀＀_x0018_＀＀_x0008_＀＀_x0001_＀＀_x0001_＀＀馚香香䁄㓗䣦_x0013_位灞楲散 ⼹㤲㈯〰찰_x0018_＀＀_x0018_＀＀_x0008_＀＀_x0001_＀＀_x0001_＀＀＀＀＀＀瀀䀽㩾䨰$位䍞彁䕐华䍟剕䱟䅉卂ㄨ⼲〲㈰ⰬⰬ单⥄_x0018_＀＀_x0018_＀＀_x0008_＀＀_x0001_＀＀_x0001_＀＀豀碵꼝쐕㩾䨰$位䍞彁䕐华䍟䵏彐䅒䕔ㄨ⼲〲㔰ⰬⰬ单⥄_x0018_＀＀_x0018_＀＀_x0008_＀＀_x0001_＀＀_x0001_＀＀쳍쳌쳌䀐㓗䣦_x0013_位灞楲散㄁⼲㠲㈯〰찷_x0018_＀＀_x0018_＀＀_x0008_＀＀_x0001_＀＀_x0001_＀＀ਾꏗﵰ䁒㓗䣦_x0013_位灞楲散㄁⼱㘲㈯〰찴_x0018_＀＀_x0018_＀＀_x0008_＀＀_x0001_＀＀_x0001_＀＀Ẹᡑ䁍䱑_x000D_位偞偟䥒䕃〨착_x0018_＀＀_x0018_＀＀_x0008_＀＀_x0001_＀＀_x0001_＀＀롒蔞ᇫ䀶㲜䨰F单幔䅃偟久当佒彁䍁⡔㈱㈯〰ⰱⰬ唬䑓䀩南偟久䥓乏䅟呃剟䅏ㄨ⼲〲㄰ⰬⰬ单⥄_x0018_＀＀_x0018_＀＀_x0008_＀＀_x0001_＀＀_x0001_＀＀馚香ᦙ쀙﹓䨰S位䍞彁佐呓䕒彔剐佉归剓⡖㈱㈯〰ⰴⰬ唬䑓䀩南䡟呌䍈剁彅乕䕒彃䕓噒䍟协⡔㈱㈯〰ⰴⰬ唬䑓착_x0018_＀＀_x0018_＀＀_x0008_＀＀_x0001_＀＀_x0001_＀＀＀＀＀＀ꀀ쁫㓗䣦_x0013_位灞楲散 ⼱㔲㈯〰참_x0018_＀＀_x0018_＀＀_x0008_＀＀_x0001_＀＀_x0001_＀＀쳍쳌糌䁒㓗䣦_x0013_位灞楲散 ⼱㐰㈯〰찲_x0018_＀＀_x0018_＀＀_x0008_＀＀_x0001_＀＀_x0001_＀＀凬Ẹஅ䁇﹓䨰(位䍞彁佐呓䕒彔呏䅈䩄也䅂ㄨ⼲〲㔰ⰬⰬ单⥄_x0018_＀＀_x0018_＀＀_x0008_＀＀_x0001_＀＀_x0001_＀＀＀＀＀＀Ѐ䂝㩾䨰(位䍞彁䕐华䕟偍䍟乏剔䉉䍟ㄨ⼲〲㈰ⰬⰬ单⥄_x0018_＀＀_x0018_＀＀_x0008_＀＀_x0001_＀＀_x0001_＀＀＀＀＀＀䀀䂑㲜䨰'单幔南偟久䥓乏也呅䱟䅉⡂㈱㈯〰ⰶⰬ唬䑓착_x0018_＀＀_x0018_＀＀_x0008_＀＀_x0001_＀＀_x0001_＀＀豀碵꼝쐕㓗䣦_x0013_位灞楲散 ⼹㤲㈯〰찶_x0018_＀＀_x0018_＀＀_x0008_＀＀_x0001_＀＀_x0001_＀＀㌳㌳⌳䁓﹓䨰+位䍞彁佐呓䕒彔䵅彐佃呎䥒彂⡃㈱㈯〰ⰴⰬ唬䑓착_x0018_＀＀_x0018_＀＀_x0008_＀＀_x0001_＀＀_x0001_＀＀豀碵꼝쐕㓗䣦_x0013_位灞楲散 ⼸㜲㈯〰찴_x0018_＀＀_x0018_＀＀_x0008_＀＀_x0001_＀＀_x0001_＀＀㵱휊那䁈㓗䣦_x0013_位灞楲散㄁⼱㔰㈯〰찴_x0018_＀＀_x0018_＀＀_x0008_＀＀_x0001_＀＀_x0001_＀＀ᑺޮ䁋䪎_x001D_潭偞䉟呅彁佌䅃彌义䕄⡘㔭䴹〬착_x0018_＀＀_x0018_＀＀_x0008_＀＀_x0001_＀＀_x0001_＀＀깺絊鎴㿡㓗䣦_x0013_位灞楲散 ⼱㐰㈯〰참_x0018_＀＀_x0018_＀＀_x0008_＀＀_x0001_＀＀_x0001_＀＀馚香릙䁒㩾䨰#位䍞彁䕐华䱟彔䥌䉁⡓㈱㈯〰ⰶⰬ唬䑓착_x0018_＀＀_x0018_＀＀_x0008_＀＀_x0001_＀＀_x0001_＀＀＀＀＀＀氀䂘㩾䨰&amp;位坞当䕐彎佐呓剟呅䉟久ㄨ⼲〲㔰ⰬⰬ单⥄_x0018_＀＀_x0018_＀＀_x0008_＀＀_x0001_＀＀_x0001_＀＀＀＀＀＀ꠀ䂪㓗䣦_x0013_位灞楲散㄁⼰㌰㈯〰찳_x0018_＀＀_x0018_＀＀_x0008_＀＀_x0001_＀＀_x0001_＀＀Ẹ塑䁆㲜䨰;单幔南偟久䥓乏䅟卓呅当剐偏ㄨ⼲〲㄰䀩䅃偟久当䍐彔䕒ㄨ⼲〲㄰착_x0018_＀＀_x0018_＀＀_x0008_＀＀_x0001_＀＀_x0001_＀＀豀碵꼝쐕㲜䨰;单幔南偟久䥓乏䅟卓呅当呏⡈㈱㈯〰⤲䍀彁䕐华偟呃佟䡔ㄨ⼲〲㈰착_x0018_＀＀_x0018_＀＀_x0008_＀＀_x0001_＀＀_x0001_＀＀豀碵꼝쐕㲜䨰"单幔南偟久䥓乏偟佂ㄨ⼲〲㘰ⰬⰬ单⥄_x0018_＀＀_x0018_＀＀_x0008_＀＀_x0001_＀＀_x0001_＀＀᪠_xDD2F_夤䂁㲜䨰M单幔䅃偟久当剐佉归剓⡖㈱㈯〰ⰲⰬ唬䑓䀩南偟久䥓乏偟归䕓噒䍟协⡔㈱㈯〰ⰲⰬ唬䑓착_x0018_＀＀_x0018_＀＀_x0008_＀＀_x0001_＀＀_x0001_＀＀炤਽ꏗ뾰㓗䣦_x0013_位灞楲散 ⼸㘰㈯〰찴_x0018_＀＀_x0018_＀＀_x0008_＀＀_x0001_＀＀_x0001_＀＀롒蔞凫䁇㓗䣦_x0013_位灞楲散 ⼳㠲㈯〰찳_x0018_＀＀_x0018_＀＀_x0008_＀＀_x0001_＀＀_x0001_＀＀㵱휊Ⴃ䁀㓗䣦_x0013_位灞楲散 ⼱㤲ㄯ㤹찹_x0018_＀＀_x0018_＀＀_x0008_＀＀_x0001_＀＀_x0001_＀＀＀＀＀＀瀀䁇㲜䨰&lt;单幔南偟久䥓乏䅟卓呅当佂䑎⡓㈱㈯〰⤳䍀彁䕐华偟呃䙟⡉㈱㈯〰⤳_x0018_＀＀_x0018_＀＀_x0008_＀＀_x0001_＀＀_x0001_＀＀豀碵꼝쐕㲜䨰M单幔䅃偟久当剐佉归剓⡖㈱㈯〰ⰳⰬ唬䑓䀩南偟久䥓乏偟归䕓噒䍟协⡔㈱㈯〰ⰳⰬ唬䑓착_x0018_＀＀_x0018_＀＀_x0008_＀＀_x0001_＀＀_x0001_＀＀ㄦ갈뾬㩾䨰(位䍞彁䕐华䕟偍䍟乏剔䉉䍟ㄨ⼲〲㠰ⰬⰬ单⥄_x0018_＀＀_x0018_＀＀_x0008_＀＀_x0001_＀＀_x0001_＀＀＀＀＀＀耀䁆㓗䣦_x0013_位灞楲散㄁⼰㌰㈯〰참_x0018_＀＀_x0018_＀＀_x0008_＀＀_x0001_＀＀_x0001_＀＀Ẹ롑䀴㓗䣦_x0013_位灞楲散 ⼷㐰㈯〰찳_x0018_＀＀_x0018_＀＀_x0008_＀＀_x0001_＀＀_x0001_＀＀슏⣵ཛྷ䁇㓗䣦_x0013_位灞楲散 ⼲ㄱ㈯〰찰_x0018_＀＀_x0018_＀＀_x0008_＀＀_x0001_＀＀_x0001_＀＀＀＀＀＀က䀳㲜䨰;单幔南偟久䥓乏䅟卓呅当充䥕ㄨ⼲〲㈰䀩䅃偟久当䍐彔充ㄨ⼲〲㈰착_x0018_＀＀_x0018_＀＀_x0008_＀＀_x0001_＀＀_x0001_＀＀豀碵꼝쐕㲜䨰)单幔䅃偟协剔呅佟䡔䑁彊䉎⡁㈱㈯〰ⰳⰬ唬䑓착_x0018_＀＀_x0018_＀＀_x0008_＀＀_x0001_＀＀_x0001_＀＀豀碵꼝쐕㓗䣦_x0013_位灞楲散 ⼴㤰㈯〰찴_x0018_＀＀_x0018_＀＀_x0008_＀＀_x0001_＀＀_x0001_＀＀슐⣵꽜䁋㲜䨰+单幔䅃偟协剔呅偟剁彔佃呎䥒⡂㈱㈯〰ⰶⰬ唬䑓착_x0018_＀＀_x0018_＀＀_x0008_＀＀_x0001_＀＀_x0001_＀＀＀＀＀＀＀＀＀＀㓗䣦_x0013_位灞楲散 ⼳㠲㈯〰참_x0018_＀＀_x0018_＀＀_x0008_＀＀_x0001_＀＀_x0001_＀＀롑甞䁒㲜䨰P单幔䅃偟协剔呅偟䅌彎十彔久⡄㈱㈯〰ⰰⰬ唬䑓䀩南䡟呌䍈剁彅噆䅟卓呅ㄨ⼲〲〰ⰬⰬ单⥄_x0018_＀＀_x0018_＀＀_x0008_＀＀_x0001_＀＀_x0001_＀＀＀＀＀＀＀＀＀＀㲜䨰'单幔䅃偟久当商䑎卟䅔啔⡓㈱㈯〰ⰴⰬ唬䑓착_x0018_＀＀_x0018_＀＀_x0008_＀＀_x0001_＀＀_x0001_＀＀㽼_xDE35_쀼㓗䣦_x0013_位灞楲散 ⼳㜰㈯〰찳_x0018_＀＀_x0018_＀＀_x0008_＀＀_x0001_＀＀_x0001_＀＀尩슏䁁㲜䨰%单幔䅃偟久当啃归䥌䉁⡓㈱㈯〰ⰲⰬ唬䑓착_x0018_＀＀_x0018_＀＀_x0008_＀＀_x0001_＀＀_x0001_＀＀豀碵꼝쐕㲜䨰$单幔䅃偟久当䕂彎䅐䑉ㄨ⼲〲㘰ⰬⰬ单⥄_x0018_＀＀_x0018_＀＀_x0008_＀＀_x0001_＀＀_x0001_＀＀盉龾輚䀶㓗䣦_x0013_位灞楲散 ⼷㐰㈯〰참_x0018_＀＀_x0018_＀＀_x0008_＀＀_x0001_＀＀_x0001_＀＀蔟凫Ẹ䀴㓗䣦_x0013_位灞楲散 ⼲ㄱ㈯〰찵_x0018_＀＀_x0018_＀＀_x0008_＀＀_x0001_＀＀_x0001_＀＀쳍쳌賌䁐㓗䣦_x0013_位灞楲散 ⼱㠰ㄯ㤹찹_x0018_＀＀_x0018_＀＀_x0008_＀＀_x0001_＀＀_x0001_＀＀＀＀＀＀倀䁋㲜䨰 单幔南䕟䍘彈䅒䕔ㄨ⼲〲㄰ⰬⰬ单⥄_x0018_＀＀_x0018_＀＀_x0008_＀＀_x0001_＀＀_x0001_＀＀＀＀＀＀＀＀㿰㲜䨰(单幔南偟久䥓乏䅟卓呅当呌ㄨ⼲〲㔰ⰬⰬ单⥄_x0018_＀＀_x0018_＀＀_x0008_＀＀_x0001_＀＀_x0001_＀＀豀碵꼝쐕﹓䨰*位䍞彁佐呓䕒彔䅐呒䍟乏剔䉉ㄨ⼲〲㘰ⰬⰬ单⥄_x0018_＀＀_x0018_＀＀_x0008_＀＀_x0001_＀＀_x0001_＀＀＀＀＀＀＀＀＀＀㓗䣦_x0013_位灞楲散㄁⼲㈱㈯〰찳_x0018_＀＀_x0018_＀＀_x0008_＀＀_x0001_＀＀_x0001_＀＀㌳㌳錳䁊㓗䣦_x0013_位灞楲散㄁⼱〱㈯〰찰_x0018_＀＀_x0018_＀＀_x0008_＀＀_x0001_＀＀_x0001_＀＀＀＀＀＀瀀䁂㲜䨰$单幔䅃偟久当呌䱟䅉卂ㄨ⼲〲㌰ⰬⰬ单⥄_x0018_＀＀_x0018_＀＀_x0008_＀＀_x0001_＀＀_x0001_＀＀豀碵꼝쐕㲜䨰N单幔䅃偟久当乕䕒佃⡇㈱㈯〰ⰳⰬ唬䑓䀩南偟久䥓乏啟剎䍅卟剅彖佃呓ㄨ⼲〲㌰ⰬⰬ单⥄_x0018_＀＀_x0018_＀＀_x0008_＀＀_x0001_＀＀_x0001_＀＀茓쫀䖡뿖㲜䨰J单幔䅃偟久当佒彁䅒䕔ㄨ⼲〲㘰ⰬⰬ单⥄址当䕐华佉彎塅彐呌剟䅏ㄨ⼲〲㘰ⰬⰬ单⥄_x0018_＀＀_x0018_＀＀_x0008_＀＀_x0001_＀＀_x0001_＀＀＀＀＀＀＀＀䀞㲛䨰_x000F_单幔南䍟剕䕒䍎챙_x001C_＀＀_x0018_＀＀_x000C_＀＀_x0001_＀＀_x0008_＀＀⹕⹓䐠汯慬r﹓䨰O位䍞彁佐呓䕒彔䱐乁䅟呓䕟䑎ㄨ⼲〲㄰ⰬⰬ单⥄址当䱈䡔䅃䕒䙟彖十䕓⡔㈱㈯〰ⰱⰬ唬䑓착_x0018_＀＀_x0018_＀＀_x0008_＀＀_x0001_＀＀_x0001_＀＀豀碵꼝쐕㓗䣦_x0013_位灞楲散 ⼳㜰㈯〰참_x0018_＀＀_x0018_＀＀_x0008_＀＀_x0001_＀＀_x0001_＀＀竡긔ꅇ䁒㓗䣦_x0013_位灞楲散㄁⼲㘰㈯〰찲_x0018_＀＀_x0018_＀＀_x0008_＀＀_x0001_＀＀_x0001_＀＀馚香蓮䁃㲜䨰M单幔䅃偟协剔呅卟噒䍟协⡔㈱㈯〰ⰴⰬ唬䑓䀩南䡟呌䍈剁彅䕓噒䍟协⡔㈱㈯〰ⰴⰬ唬䑓착_x0018_＀＀_x0018_＀＀_x0008_＀＀_x0001_＀＀_x0001_＀＀๖눭䀒﹓䨰.位坞当䱈䡔䅃䕒䅟位呒卟剅彖佃呓ㄨ⼲〲㈰ⰬⰬ单⥄_x0018_＀＀_x0018_＀＀_x0008_＀＀_x0001_＀＀_x0001_＀＀＀＀＀＀＀＀쀸㓗䣦_x0013_位灞楲散 ⼹㌱㈯〰찲_x0018_＀＀_x0018_＀＀_x0008_＀＀_x0001_＀＀_x0001_＀＀晧晦♦䁇㓗䣦_x0013_位灞楲散㄁⼲㈱㈯〰참_x0018_＀＀_x0018_＀＀_x0008_＀＀_x0001_＀＀_x0001_＀＀Ẹ롑䀴㓗䣦_x0013_位灞楲散 ⼸ㄱ㈯〰찰_x0018_＀＀_x0018_＀＀_x0008_＀＀_x0001_＀＀_x0001_＀＀＀＀＀＀＀＀䀿㲜䨰J单幔䅃偟久当䥄䍓剟呁⡅㈱㈯〰ⰲⰬ唬䑓䀩南偟久䥓乏䑟卉彃䅒䕔ㄨ⼲〲㈰ⰬⰬ单⥄_x0018_＀＀_x0018_＀＀_x0008_＀＀_x0001_＀＀_x0001_＀＀＀＀＀＀＀＀䀚﹓䨰I位䍞彁佐呓䕒彔佒彁䍁⡔㈱㈯〰ⰴⰬ唬䑓䀩南䡟呌䍈剁彅䍁彔佒⡁㈱㈯〰ⰴⰬ唬䑓착_x0018_＀＀_x0018_＀＀_x0008_＀＀_x0001_＀＀_x0001_＀＀豀碵꼝쐕㩾䨰'位䍞彁䕐华偟剁彔佃呎䥒⡂㈱㈯〰ⰳⰬ唬䑓착_x0018_＀＀_x0018_＀＀_x0008_＀＀_x0001_＀＀_x0001_＀＀＀＀＀＀＀＀＀＀㓗䣦_x0013_位灞楲散㄁⼱〱㈯〰찶_x0018_＀＀_x0018_＀＀_x0008_＀＀_x0001_＀＀_x0001_＀＀凬Ẹ㮅䁔㓗䣦_x0013_位灞楲散 ⼴〲㈯〰찱_x0018_＀＀_x0018_＀＀_x0008_＀＀_x0001_＀＀_x0001_＀＀긕鑺䁇㲜䨰＀Ｏ单幔南䡟呌䍈剁彅䵁剏彔䕓噒䍟协⡔㈱㈯〰ⰱⰬ唬䑓착_x0018_＀＀_x0018_＀＀_x0008_＀＀_x0001_＀＀_x0001_＀＀豀碵꼝쐕㲜䨰)单幔䅃偟久当䵅彐佃呎䥒彂⡃㈱㈯〰ⰶⰬ唬䑓착_x0018_＀＀_x0018_＀＀_x0008_＀＀_x0001_＀＀_x0001_＀＀Წ摚弻䀙㲛䨰_x001A_单幔南䕟䍘彈䅒䕔䥟䍎䍟⡆⤰_x0018_＀＀_x0018_＀＀_x0008_＀＀_x0001_＀＀_x0001_＀＀豀碵꼝쐕㩾䨰%位䍞彁䕐华䅟呓䥟呎乁⡇㈱㈯〰ⰵⰬ唬䑓착_x0018_＀＀_x0018_＀＀_x0008_＀＀_x0001_＀＀_x0001_＀＀＀＀＀＀＀＀＀＀㓗䣦_x0013_位灞楲散 ⼹㜰㈯〰찱_x0018_＀＀_x0018_＀＀_x0008_＀＀_x0001_＀＀_x0001_＀＀휊炣訽䁇﹓䨰(位坞当䱈䡔䅃䕒䑟卉彃䅒䕔ㄨ⼲〲㔰ⰬⰬ单⥄_x0018_＀＀_x0018_＀＀_x0008_＀＀_x0001_＀＀_x0001_＀＀ᑺ䞮䀕㲜䨰P单幔䅃偟协剔呅偟䅌彎十彔久⡄㈱㈯〰ⰷⰬ唬䑓䀩南䡟呌䍈剁彅噆䅟卓呅ㄨ⼲〲㜰ⰬⰬ单⥄_x0018_＀＀_x0018_＀＀_x0008_＀＀_x0001_＀＀_x0001_＀＀＀＀＀＀＀＀＀＀㲜䨰'单幔南偟久偟协彔䕒彔䕂⡎㈱㈯〰ⰱⰬ唬䑓착_x0018_＀＀_x0018_＀＀_x0008_＀＀_x0001_＀＀_x0001_＀＀ొ⬂늇䁣﹒䨰_x001F_位坞当塅䡃剟呁彅义彃䙃ㄨ⼲〲㘰착_x0018_＀＀_x0018_＀＀_x0008_＀＀_x0001_＀＀_x0001_＀＀豀碵꼝쐕㓗䣦_x0013_位灞楲散 ⼵㘱㈯〰찳_x0018_＀＀_x0018_＀＀_x0008_＀＀_x0001_＀＀_x0001_＀＀晧晦Ꙧ䁀㓗䣦_x0013_位灞楲散 ⼴㐱㈯〰찰_x0018_＀＀_x0018_＀＀_x0008_＀＀_x0001_＀＀_x0001_＀＀＀＀＀＀ 䀵㲜䨰 单幔南䕟䍘彈䅒䕔䉟䱁卟⡈㈱㈯〰⤴_x0018_＀＀_x0018_＀＀_x0008_＀＀_x0001_＀＀_x0001_＀＀豀碵꼝쐕㲜䨰 单幔南䕟䍘彈䅒䕔ㄨ⼲〲㜰ⰬⰬ单⥄_x0018_＀＀_x0018_＀＀_x0008_＀＀_x0001_＀＀_x0001_＀＀＀＀＀＀＀＀㿰㲜䨰)单幔䅃偟久当䵅彐佃呎䥒彂⡅㈱㈯〰ⰸⰬ唬䑓착_x0018_＀＀_x0018_＀＀_x0008_＀＀_x0001_＀＀_x0001_＀＀豀碵꼝쐕﹒䨰;位坞当䕐华佉彎十䕓協䉟乏卄ㄨ⼲〲㐰䀩䅃偟久当䍐彔䥆ㄨ⼲〲㐰착_x0018_＀＀_x0018_＀＀_x0008_＀＀_x0001_＀＀_x0001_＀＀＀＀＀＀＀＀䀾㓗䣦_x0013_位灞楲散 ⼸ㄱ㈯〰찶_x0018_＀＀_x0018_＀＀_x0008_＀＀_x0001_＀＀_x0001_＀＀⣶轜㗂䁔㓗䣦_x0013_位灞楲散 ⼱㤱㈯〰찱_x0018_＀＀_x0018_＀＀_x0008_＀＀_x0001_＀＀_x0001_＀＀＀＀＀＀렀䁅㓗䣦_x0013_位灞楲散 ⼴〲㈯〰찷_x0018_＀＀_x0018_＀＀_x0008_＀＀_x0001_＀＀_x0001_＀＀㌳㌳挳䁑㩾䨰_x001F_位坞当塅䡃剟呁⡅㈱㈯〰ⰶⰬ唬䑓착_x0018_＀＀_x0018_＀＀_x0008_＀＀_x0001_＀＀_x0001_＀＀＀＀＀＀＀＀㿰㓗䣦_x0013_位灞楲散 ⼹㜰㈯〰찷_x0018_＀＀_x0018_＀＀_x0008_＀＀_x0001_＀＀_x0001_＀＀尩슏_xD8F5_䁐㲛䨰;单幔南偟久䥓乏䅟卓呅当充䥕ㄨ⼲〲㜰䀩䅃偟久当䍐彔充ㄨ⼲〲㜰착_x0018_＀＀_x0018_＀＀_x0008_＀＀_x0001_＀＀_x0001_＀＀＀＀＀＀쀀䁑﹓䨰O位䍞彁佐呓䕒彔䱐乁䅟呓䕟䑎ㄨ⼲〲㠰ⰬⰬ单⥄址当䱈䡔䅃䕒䙟彖十䕓⡔㈱㈯〰ⰸⰬ唬䑓착_x0018_＀＀_x0018_＀＀_x0008_＀＀_x0001_＀＀_x0001_＀＀＀＀＀＀＀＀＀＀㩾䨰A位䍞彁䕐华剟䅏ㄨ⼲〲㈰ⰬⰬ单⥄址当䕐华佉彎塅彐佒⡁㈱㈯〰ⰲⰬ唬䑓착_x0018_＀＀_x0018_＀＀_x0008_＀＀_x0001_＀＀_x0001_＀＀＀＀＀＀＀＀삒﹒䨰:位坞当䕐华佉彎十䕓協偟佒⡐㈱㈯〰⤴䍀彁䕐华偟呃剟⡅㈱㈯〰⤴_x0018_＀＀_x0018_＀＀_x0008_＀＀_x0001_＀＀_x0001_＀＀＀＀＀＀＀＀㿰㓗䣦_x0013_位灞楲散 ⼵㘱㈯〰참_x0018_＀＀_x0018_＀＀_x0008_＀＀_x0001_＀＀_x0001_＀＀㌳㌳猳䀶㲜䨰-单幔䅃偟协剔呅啟归剔佟彂䵁剏⡔㈱㈯〰ⰴⰬ唬䑓착_x0018_＀＀_x0018_＀＀_x0008_＀＀_x0001_＀＀_x0001_＀＀＀＀＀＀＀＀＀＀﹓䨰&amp;位䍞彁佐呓䕒彔䕂彎䅐䑉ㄨ⼲〲㌰ⰬⰬ单⥄_x0018_＀＀_x0018_＀＀_x0008_＀＀_x0001_＀＀_x0001_＀＀豀碵꼝쐕﹓䨰.位坞当䱈䡔䅃䕒䅟位呒卟剅彖佃呓ㄨ⼲〲㠰ⰬⰬ单⥄_x0018_＀＀_x0018_＀＀_x0008_＀＀_x0001_＀＀_x0001_＀＀＀＀＀＀＀＀쀢㓗䣦_x0013_位灞楲散 ⼴㐱㈯〰찶_x0018_＀＀_x0018_＀＀_x0008_＀＀_x0001_＀＀_x0001_＀＀＀＀＀＀䀀䁑㓗䣦_x0013_位灞楲散㄁⼰㐲㈯〰찳_x0018_＀＀_x0018_＀＀_x0008_＀＀_x0001_＀＀_x0001_＀＀쳍쳌쳌䁆㲜䨰I单幔䅃偟久当剓彖佃呓ㄨ⼲〲㔰ⰬⰬ单⥄址当䕐华佉彎䕓噒䍟协⡔㈱㈯〰ⰵⰬ唬䑓착_x0018_＀＀_x0018_＀＀_x0008_＀＀_x0001_＀＀_x0001_＀＀䖢哽䀲㲜䨰F单幔䅃偟久当佒彁䍁⡔㈱㈯〰ⰴⰬ唬䑓䀩南偟久䥓乏䅟呃剟䅏ㄨ⼲〲㐰ⰬⰬ单⥄_x0018_＀＀_x0018_＀＀_x0008_＀＀_x0001_＀＀_x0001_＀＀᪠_xDD2F_蘤䁅㩾䨰H位䍞彁䕐华卟噒䍟协⡔㈱㈯〰ⰲⰬ唬䑓䀩南偟久䥓乏卟剅彖佃呓ㄨ⼲〲㈰ⰬⰬ单⥄_x0018_＀＀_x0018_＀＀_x0008_＀＀_x0001_＀＀_x0001_＀＀＀＀＀＀＀＀䁴㓗䣦_x0013_位灞楲散 ⼱㤱㈯〰찷_x0018_＀＀_x0018_＀＀_x0008_＀＀_x0001_＀＀_x0001_＀＀㵱휊킣䁕㓗䣦_x0013_位灞楲散㄁⼰㠱㈯〰찲_x0018_＀＀_x0018_＀＀_x0008_＀＀_x0001_＀＀_x0001_＀＀롑Ԟ䁄﹒䨰:位坞当䕐华佉彎十䕓協䕟啑⡉㈱㈯〰⤵䍀彁䕐华偟呃䕟⡑㈱㈯〰⤵_x0018_＀＀_x0018_＀＀_x0008_＀＀_x0001_＀＀_x0001_＀＀＀＀＀＀耀䁑㲛䨰'单幔南偟久偟协彔䕒彔䕂⡎㈱㈯〰ⰷⰬ唬䑓착_x0018_＀＀_x0018_＀＀_x0008_＀＀_x0001_＀＀_x0001_＀＀㭤俟_xFFFF_ﾍ䁬㓗䣦_x0013_位灞楲散㄁⼰㐲㈯〰참_x0018_＀＀_x0018_＀＀_x0008_＀＀_x0001_＀＀_x0001_＀＀Ẹ롑䀴㓗䣦_x0013_位灞楲散 ⼷㔲㈯〰찳_x0018_＀＀_x0018_＀＀_x0008_＀＀_x0001_＀＀_x0001_＀＀蔟凫纸䁄㓗䣦_x0013_位灞楲散 ⼶㌲㈯〰찰_x0018_＀＀_x0018_＀＀_x0008_＀＀_x0001_＀＀_x0001_＀＀＀＀＀＀瀀䀷㓗䣦_x0013_位灞楲散 ⼴〳ㄯ㤹찹_x0018_＀＀_x0018_＀＀_x0008_＀＀_x0001_＀＀_x0001_＀＀＀＀＀＀蠀䁁㲜䨰)单幔南䡟呌䍈剁彅䥄䍓剟呁⡅㈱㈯〰ⰳⰬ唬䑓착_x0018_＀＀_x0018_＀＀_x0008_＀＀_x0001_＀＀_x0001_＀＀＀＀＀＀＀＀䀙﹓䨰D位䍞彁佐呓䕒彔䕂彎䉏ㄨ⼲〲㜰ⰬⰬ单⥄址当䱈䡔䅃䕒偟佂ㄨ⼲〲㜰ⰬⰬ单⥄_x0018_＀＀_x0018_＀＀_x0008_＀＀_x0001_＀＀_x0001_＀＀＀＀＀＀쐀䂟㓗䣦_x0013_位灞楲散 ⼹㜱ㄯ㤹찹_x0018_＀＀_x0018_＀＀_x0008_＀＀_x0001_＀＀_x0001_＀＀＀＀＀＀䁁㲜䨰M单幔䅃偟久当剐佉归剓⡖㈱㈯〰ⰱⰬ唬䑓䀩南偟久䥓乏偟归䕓噒䍟协⡔㈱㈯〰ⰱⰬ唬䑓착_x0018_＀＀_x0018_＀＀_x0008_＀＀_x0001_＀＀_x0001_＀＀豀碵꼝쐕﹓䨰K位䍞彁佐呓䕒彔义彔佃呓ㄨ⼲〲㐰ⰬⰬ单⥄址当䱈䡔䅃䕒䥟呎䍟协⡔㈱㈯〰ⰴⰬ唬䑓착_x0018_＀＀_x0018_＀＀_x0008_＀＀_x0001_＀＀_x0001_＀＀＀＀＀＀耀䁱㲜䨰%单幔䅃偟久当呌䅟卓呅⡓㈱㈯〰ⰱⰬ唬䑓착_x0018_＀＀_x0018_＀＀_x0008_＀＀_x0001_＀＀_x0001_＀＀豀碵꼝쐕㲜䨰H单幔䅃偟久当义彔佃呓ㄨ⼲〲㐰ⰬⰬ单⥄址当䕐华佉彎义彔佃呓ㄨ⼲〲㐰ⰬⰬ单⥄_x0018_＀＀_x0018_＀＀_x0008_＀＀_x0001_＀＀_x0001_＀＀㽼縵䀻﹓䨰"位䍞彁佐呓䕒彔䥌䉁ㄨ⼲〲㘰ⰬⰬ单⥄_x0018_＀＀_x0018_＀＀_x0008_＀＀_x0001_＀＀_x0001_＀＀＀＀＀＀_xDF00_살㩾䨰$位䍞彁䕐华䍟剕䱟䅉卂ㄨ⼲〲㠰ⰬⰬ单⥄_x0018_＀＀_x0018_＀＀_x0008_＀＀_x0001_＀＀_x0001_＀＀豀碵꼝쐕㓗䣦_x0013_位灞楲散 ⼷㤱㈯〰찲_x0018_＀＀_x0018_＀＀_x0008_＀＀_x0001_＀＀_x0001_＀＀Ẹ_xD851_䁄㩾䨰&amp;位坞当䕐华佉彎䕎彔䥌䉁ㄨ⼲〲㔰ⰬⰬ单⥄_x0018_＀＀_x0018_＀＀_x0008_＀＀_x0001_＀＀_x0001_＀＀豀碵꼝쐕㲜䨰N单幔䅃偟久当乕䕒佃⡇㈱㈯〰ⰲⰬ唬䑓䀩南偟久䥓乏啟剎䍅卟剅彖佃呓ㄨ⼲〲㈰ⰬⰬ单⥄_x0018_＀＀_x0018_＀＀_x0008_＀＀_x0001_＀＀_x0001_＀＀恂탥_xDB22_뿙㓗䣦_x0013_位灞楲散 ⼷㔲㈯〰참_x0018_＀＀_x0018_＀＀_x0008_＀＀_x0001_＀＀_x0001_＀＀롒蔞ᇫ䀵㓗䣦_x0013_位灞楲散 ⼶㌲㈯〰찶_x0018_＀＀_x0018_＀＀_x0008_＀＀_x0001_＀＀_x0001_＀＀＀＀＀＀퀀䁑㓗䣦_x0013_位灞楲散 ⼶㈰㈯〰찰_x0018_＀＀_x0018_＀＀_x0008_＀＀_x0001_＀＀_x0001_＀＀＀＀＀＀䀀䀹㓗䣦_x0013_位灞楲散 ⼱〳㈯〰찴_x0018_＀＀_x0018_＀＀_x0008_＀＀_x0001_＀＀_x0001_＀＀凬Ẹ쮅䁋﹓䨰'位坞当䱈䡔䅃䕒啟䙎䉟久ㄨ⼲〲㘰ⰬⰬ单⥄착＀＀＀＀㲜䨰T单幔䅃偟协剔呅偟䥒剏卟噒ㄨ⼲〲㜰ⰬⰬ单⥄址当䱈䡔䅃䕒啟剎䍅卟剅彖佃呓ㄨ⼲〲㜰ⰬⰬ单⥄_x0018_＀＀_x0018_＀＀_x0008_＀＀_x0001_＀＀_x0001_＀＀_xD917_䍓쀲㓗䣦_x0013_位灞楲散 ⼶㜱㈯〰찵_x0018_＀＀_x0018_＀＀_x0008_＀＀_x0001_＀＀_x0001_＀＀尨슏䁐㓗䣦_x0013_位灞楲散㄁⼲㜲㈯〰찲_x0018_＀＀_x0018_＀＀_x0008_＀＀_x0001_＀＀_x0001_＀＀尩슏ꣵ䁄㲜䨰(单幔䅃偟久当偐彄䕂彎佃呓ㄨ⼲〲㄰ⰬⰬ单⥄_x0018_＀＀_x0018_＀＀_x0008_＀＀_x0001_＀＀_x0001_＀＀豀碵꼝쐕㓗䣦_x0013_位灞楲散 ⼱㐲㈯〰찳_x0018_＀＀_x0018_＀＀_x0008_＀＀_x0001_＀＀_x0001_＀＀㌴㌳猳䁃㲜䨰G单幔䅃偟协剔呅䍟协⡔㈱㈯〰ⰵⰬ唬䑓䀩南䡟呌䍈剁彅偎彐塅⡐㈱㈯〰ⰵⰬ唬䑓착_x0018_＀＀_x0018_＀＀_x0008_＀＀_x0001_＀＀_x0001_＀＀_xDF3B_赏䀡㲜䨰L单幔䅃偟协剔呅䥟呎䍟协⡔㈱㈯〰ⰴⰬ唬䑓䀩南䡟呌䍈剁彅义彔佃呓ㄨ⼲〲㐰ⰬⰬ单⥄_x0018_＀＀_x0018_＀＀_x0008_＀＀_x0001_＀＀_x0001_＀＀⋑率橾䀓㓗䣦_x0013_位灞楲散 ⼶㈰㈯〰찶_x0018_＀＀_x0018_＀＀_x0008_＀＀_x0001_＀＀_x0001_＀＀晧晦㙦䁒㲜䨰,单幔䅃偟协剔呅䕟偍䍟乏剔䉉䍟ㄨ⼲〲㈰ⰬⰬ单⥄_x0018_＀＀_x0018_＀＀_x0008_＀＀_x0001_＀＀_x0001_＀＀＀＀＀＀＀＀＀＀㲜䨰M单幔䅃偟协剔呅卟噒䍟协⡔㈱㈯〰ⰷⰬ唬䑓䀩南䡟呌䍈剁彅䕓噒䍟协⡔㈱㈯〰ⰷⰬ唬䑓착_x0018_＀＀_x0018_＀＀_x0008_＀＀_x0001_＀＀_x0001_＀＀퓾넦䀑㲜䨰Q单幔䅃偟久当䍁啃彍佃偍䥒䍎ㄨ⼲〲㔰ⰬⰬ单⥄址当佃偍归义彃䕐华䱟䅉⡂㈱㈯〰ⰵⰬ唬䑓착_x0018_＀＀_x0018_＀＀_x0008_＀＀_x0001_＀＀_x0001_＀＀䦻Ȍ䜫䀹㓗䣦_x0013_位灞楲散 ⼹㠲㈯〰찱_x0018_＀＀_x0018_＀＀_x0008_＀＀_x0001_＀＀_x0001_＀＀롑┞䁈﹓䨰,位䍞彁佐呓䕒彔剕呟归䉏䅟位呒ㄨ⼲〲㐰ⰬⰬ单⥄_x0018_＀＀_x0018_＀＀_x0008_＀＀_x0001_＀＀_x0001_＀＀＀＀＀＀＀＀＀＀㓗䣦_x0013_位灞楲散㄁⼱㔲㈯〰찵_x0018_＀＀_x0018_＀＀_x0008_＀＀_x0001_＀＀_x0001_＀＀䞮竡帔䁒㲜䨰(单幔䅃偟久当䅐呒䍟乏剔䉉ㄨ⼲〲㘰ⰬⰬ单⥄_x0018_＀＀_x0018_＀＀_x0008_＀＀_x0001_＀＀_x0001_＀＀＀＀＀＀＀＀＀＀㓗䣦_x0013_位灞楲散 ⼱㌰㈯〰찳_x0018_＀＀_x0018_＀＀_x0008_＀＀_x0001_＀＀_x0001_＀＀晧晦䁃㲜䨰(单幔南䡟呌䍈剁彅乕彆䕂⡎㈱㈯〰ⰱⰬ唬䑓⤩＀＀＀＀﹓䨰L位䍞彁佐呓䕒彔剓彖佃呓ㄨ⼲〲㈰ⰬⰬ单⥄址当䱈䡔䅃䕒卟剅彖佃呓ㄨ⼲〲㈰ⰬⰬ单⥄_x0018_＀＀_x0018_＀＀_x0008_＀＀_x0001_＀＀_x0001_＀＀＀＀＀＀＀＀䁑㲜䨰J单幔䅃偟久当䱐乁䅟呓ㄨ⼲〲㄰ⰬⰬ单⥄址当䕐华佉彎䅖彌十䕓協ㄨ⼲〲㄰ⰬⰬ单⥄_x0018_＀＀_x0018_＀＀_x0008_＀＀_x0001_＀＀_x0001_＀＀⃅犰䵨䁰﹓䨰)位坞当䱈䡔䅃䕒䕟偘䱟彔佒⡁㈱㈯〰ⰲⰬ唬䑓착_x0018_＀＀_x0018_＀＀_x0008_＀＀_x0001_＀＀_x0001_＀＀豀碵꼝쐕㩾䨰&amp;位䍞彁䕐华䙟乕彄呓呁单ㄨ⼲〲㌰ⰬⰬ单⥄_x0018_＀＀_x0018_＀＀_x0008_＀＀_x0001_＀＀_x0001_＀＀＀＀＀＀䂤㓗䣦_x0013_位灞楲散㄁⼱㤱㈯〰찴_x0018_＀＀_x0018_＀＀_x0008_＀＀_x0001_＀＀_x0001_＀＀晧晦٦䁍㓗䣦_x0013_位灞楲散 ⼷〳㈯〰찴_x0018_＀＀_x0018_＀＀_x0008_＀＀_x0001_＀＀_x0001_＀＀쳍쳌쳌䁇㲜䨰%单幔䅃偟久当佃偍剟呁⡅㈱㈯〰ⰶⰬ唬䑓착_x0018_＀＀_x0018_＀＀_x0008_＀＀_x0001_＀＀_x0001_＀＀㌴㌳㌳䀓㩾䨰I位䍞彁䕐华偟䅌彎十⡔㈱㈯〰ⰶⰬ唬䑓䀩南偟久䥓乏噟䱁䅟卓呅⡓㈱㈯〰ⰶⰬ唬䑓착_x0018_＀＀_x0018_＀＀_x0008_＀＀_x0001_＀＀_x0001_＀＀＀＀＀＀츀䃒㓗䣦_x0013_位灞楲散 ⼹㠲㈯〰찷_x0018_＀＀_x0018_＀＀_x0008_＀＀_x0001_＀＀_x0001_＀＀롒蔞懫䁑㩾䨰B位䍞彁䕐华偟佒彊䉏⡌㈱㈯〰ⰸⰬ唬䑓䀩南偟久䥓乏偟佂ㄨ⼲〲㠰ⰬⰬ单⥄_x0018_＀＀_x0018_＀＀_x0008_＀＀_x0001_＀＀_x0001_＀＀＀＀＀＀_xDE00_䂴㓗䣦_x0013_位灞楲散 ⼸㘲㈯〰찵_x0018_＀＀_x0018_＀＀_x0008_＀＀_x0001_＀＀_x0001_＀＀蔟凫庸䁑㲜䨰(单幔䅃偟久当偐彄䕂彎佃呓ㄨ⼲〲㜰ⰬⰬ单⥄_x0018_＀＀_x0018_＀＀_x0008_＀＀_x0001_＀＀_x0001_＀＀豀碵꼝쐕﹓䨰E位䍞彁佐呓䕒彔佒⡁㈱㈯〰ⰸⰬ唬䑓䀩南䡟呌䍈剁彅塅彐佒⡁㈱㈯〰ⰸⰬ唬䑓착_x0018_＀＀_x0018_＀＀_x0008_＀＀_x0001_＀＀_x0001_＀＀＀＀＀＀＀＀＀＀㩾䨰'位坞当䕐华佉彎十䕓協䱟⡔㈱㈯〰ⰳⰬ唬䑓착_x0018_＀＀_x0018_＀＀_x0008_＀＀_x0001_＀＀_x0001_＀＀豀碵꼝쐕﹑䨰8位䍞彁䕐华也呅䍟协⡔㈱㈯〰⤸址当䕐华佉彎偎彐塅⡐㈱㈯〰⤸_x0018_＀＀_x0018_＀＀_x0008_＀＀_x0001_＀＀_x0001_＀＀＀＀＀＀䁡㓗䣦_x0013_位灞楲散㄁⼱㐰㈯〰찵_x0018_＀＀_x0018_＀＀_x0008_＀＀_x0001_＀＀_x0001_＀＀롒蔞臫䁒﹓䨰I位䍞彁佐呓䕒彔佒彁䍁⡔㈱㈯〰ⰳⰬ唬䑓䀩南䡟呌䍈剁彅䍁彔佒⡁㈱㈯〰ⰳⰬ唬䑓착_x0018_＀＀_x0018_＀＀_x0008_＀＀_x0001_＀＀_x0001_＀＀豀碵꼝쐕﹒䨰_x001F_位坞当塅䡃剟呁彅义彃䙃ㄨ⼲〲㜰착_x0018_＀＀_x0018_＀＀_x0008_＀＀_x0001_＀＀_x0001_＀＀豀碵꼝쐕㲜䨰E单幔䅃偟协剔呅䉟久佟⡂㈱㈯〰ⰴⰬ唬䑓䀩南䡟呌䍈剁彅䉐⡏㈱㈯〰ⰴⰬ唬䑓착_x0018_＀＀_x0018_＀＀_x0008_＀＀_x0001_＀＀_x0001_＀＀䷒⡢䁗㲜䨰 单幔南䕟䍘彈䅒䕔䉟䱁卟⡈㈱㈯〰⤵_x0018_＀＀_x0018_＀＀_x0008_＀＀_x0001_＀＀_x0001_＀＀豀碵꼝쐕㲜䨰'单幔南偟久䥓乏也呅䱟䅉⡂㈱㈯〰ⰱⰬ唬䑓착_x0018_＀＀_x0018_＀＀_x0008_＀＀_x0001_＀＀_x0001_＀＀豀碵꼝쐕㩾䨰M位䍞彁䕐华啟剎䍅䝏ㄨ⼲〲㠰ⰬⰬ单⥄址当䕐华佉彎乕䕒彃䕓噒䍟协⡔㈱㈯〰ⰸⰬ唬䑓착_x0018_＀＀_x0018_＀＀_x0008_＀＀_x0001_＀＀_x0001_＀＀＀＀＀＀쀀䁑㓗䣦_x0013_位灞楲散 ⼴㤲㈯〰찵_x0018_＀＀_x0018_＀＀_x0008_＀＀_x0001_＀＀_x0001_＀＀슏⣵㽜䁐﹓䨰S位䍞彁佐呓䕒彔剐佉归剓⡖㈱㈯〰ⰶⰬ唬䑓䀩南䡟呌䍈剁彅乕䕒彃䕓噒䍟协⡔㈱㈯〰ⰶⰬ唬䑓착_x0018_＀＀_x0018_＀＀_x0008_＀＀_x0001_＀＀_x0001_＀＀＀＀＀＀䀀쁭㲜䨰'单幔䅃偟协剔呅䉟久偟䥁⡄㈱㈯〰ⰵⰬ唬䑓착_x0018_＀＀_x0018_＀＀_x0008_＀＀_x0001_＀＀_x0001_＀＀＀＀＀＀＀＀＀＀㩾䨰B位䍞彁䕐华偟佒彊䉏⡌㈱㈯〰ⰷⰬ唬䑓䀩南偟久䥓乏偟佂ㄨ⼲〲㜰ⰬⰬ单⥄_x0018_＀＀_x0018_＀＀_x0008_＀＀_x0001_＀＀_x0001_＀＀＀＀＀＀혀䃀㓗䣦_x0013_位灞楲散 ⼸㔰㈯〰찵_x0018_＀＀_x0018_＀＀_x0008_＀＀_x0001_＀＀_x0001_＀＀롑锞䁐㩾䨰$位䍞彁䕐华䱟彔十䕓協ㄨ⼲〲㜰ⰬⰬ单⥄_x0018_＀＀_x0018_＀＀_x0008_＀＀_x0001_＀＀_x0001_＀＀＀＀＀＀䀀䂔㩾䨰#位䍞彁䕐华䉟久偟䥁⡄㈱㈯〰ⰴⰬ唬䑓착_x0018_＀＀_x0018_＀＀_x0008_＀＀_x0001_＀＀_x0001_＀＀＀＀＀＀저䂉㓗䣦_x0013_位灞楲散 ⼳㈱㈯〰찴_x0018_＀＀_x0018_＀＀_x0008_＀＀_x0001_＀＀_x0001_＀＀ᑺ➮䁋﹓䨰)位坞当䱈䡔䅃䕒䕟偘䱟彔佒⡁㈱㈯〰ⰸⰬ唬䑓착_x0018_＀＀_x0018_＀＀_x0008_＀＀_x0001_＀＀_x0001_＀＀豀碵꼝쐕㩾䨰A位䍞彁䕐华剟䅏ㄨ⼲〲㔰ⰬⰬ单⥄址当䕐华佉彎塅彐佒⡁㈱㈯〰ⰵⰬ唬䑓착_x0018_＀＀_x0018_＀＀_x0008_＀＀_x0001_＀＀_x0001_＀＀＀＀＀＀᠀삓﹒䨰_x001F_位坞当塅䡃剟呁彅䅂彌䡓ㄨ⼲〲㈰착_x0018_＀＀_x0018_＀＀_x0008_＀＀_x0001_＀＀_x0001_＀＀豀碵꼝쐕㲜䨰＀Ｏ单幔南䡟呌䍈剁彅䵁剏彔䕓噒䍟协⡔㈱㈯〰ⰷⰬ唬䑓착_x0018_＀＀_x0018_＀＀_x0008_＀＀_x0001_＀＀_x0001_＀＀馚香香쀔㩾䨰P位䍞彁䕐华䅟䍃䵕䍟䵏剐义⡃㈱㈯〰ⰶⰬ唬䑓䀩南䍟䵏剐䥟䍎偟久当䥌䉁ㄨ⼲〲㘰ⰬⰬ单⥄_x0018_＀＀_x0018_＀＀_x0008_＀＀_x0001_＀＀_x0001_＀＀＀＀＀＀︀사㩾䨰I位䍞彁䕐华䑟卉彃䅒䕔ㄨ⼲〲㔰ⰬⰬ单⥄址当䕐华佉彎䥄䍓剟呁⡅㈱㈯〰ⰵⰬ唬䑓착_x0018_＀＀_x0018_＀＀_x0008_＀＀_x0001_＀＀_x0001_＀＀슏⣵轜䀖㓗䣦_x0013_位灞楲散 ⼴㠰㈯〰찵_x0018_＀＀_x0018_＀＀_x0008_＀＀_x0001_＀＀_x0001_＀＀롒蔞懫䁐㓗䣦_x0013_位灞楲散 ⼲㐰㈯〰찰_x0018_＀＀_x0018_＀＀_x0008_＀＀_x0001_＀＀_x0001_＀＀＀＀＀＀ꀀ䀴㲛䨰F单幔䅃偟久当佒彁䍁⡔㈱㈯〰ⰷⰬ唬䑓䀩南偟久䥓乏䅟呃剟䅏ㄨ⼲〲㜰ⰬⰬ单⥄_x0018_＀＀_x0018_＀＀_x0008_＀＀_x0001_＀＀_x0001_＀＀ᚇ컙号䀻㩾䨰$位䍞彁䕐华䍟䵏彐䅒䕔ㄨ⼲〲㘰ⰬⰬ单⥄_x0018_＀＀_x0018_＀＀_x0008_＀＀_x0001_＀＀_x0001_＀＀쳍쳌쳌䀐㩾䨰A位䍞彁䕐华剟䅏ㄨ⼲〲㠰ⰬⰬ单⥄址当䕐华佉彎塅彐佒⡁㈱㈯〰ⰸⰬ唬䑓착_x0018_＀＀_x0018_＀＀_x0008_＀＀_x0001_＀＀_x0001_＀＀＀＀＀＀쀀쁺㓗䣦_x0013_位灞楲散 ⼲〱㈯〰찶_x0018_＀＀_x0018_＀＀_x0008_＀＀_x0001_＀＀_x0001_＀＀ᑺ䁑﹓䨰(位䍞彁佐呓䕒彔呏䅈䩄也䅂ㄨ⼲〲㘰ⰬⰬ单⥄_x0018_＀＀_x0018_＀＀_x0008_＀＀_x0001_＀＀_x0001_＀＀＀＀＀＀䠀䂇㩾䨰G位䍞彁䕐华䥟呎䍟协⡔㈱㈯〰ⰸⰬ唬䑓䀩南偟久䥓乏䥟呎䍟协⡔㈱㈯〰ⰸⰬ唬䑓착_x0018_＀＀_x0018_＀＀_x0008_＀＀_x0001_＀＀_x0001_＀＀＀＀＀＀＀＀䁳㲜䨰#单幔䅃偟协剔呅䱟䅉⡂㈱㈯〰ⰱⰬ唬䑓착_x0018_＀＀_x0018_＀＀_x0008_＀＀_x0001_＀＀_x0001_＀＀绺뱪歴쁔㲛䨰'单幔南偟久䥓乏也呅䱟䅉⡂㈱㈯〰ⰷⰬ唬䑓착_x0018_＀＀_x0018_＀＀_x0008_＀＀_x0001_＀＀_x0001_＀＀豀碵꼝쐕㓗䣦_x0013_位灞楲散 ⼲㐰㈯〰찵_x0018_＀＀_x0018_＀＀_x0008_＀＀_x0001_＀＀_x0001_＀＀＀＀＀＀쀀䁐﹓䨰+位䍞彁佐呓䕒彔䵅彐佃呎䥒彂⡃㈱㈯〰ⰵⰬ唬䑓착_x0018_＀＀_x0018_＀＀_x0008_＀＀_x0001_＀＀_x0001_＀＀豀碵꼝쐕㓗䣦_x0013_位灞楲散㄁⼲㔰㈯〰찳_x0018_＀＀_x0018_＀＀_x0008_＀＀_x0001_＀＀_x0001_＀＀⣶轜뗂䁉㓗䣦_x0013_位灞楲散 ⼹㈱㈯〰찳_x0018_＀＀_x0018_＀＀_x0008_＀＀_x0001_＀＀_x0001_＀＀尩슏䣵䁄㲜䨰*单幔南䡟呌䍈剁彅塅彐呌剟䅏ㄨ⼲〲㐰ⰬⰬ单⥄_x0018_＀＀_x0018_＀＀_x0008_＀＀_x0001_＀＀_x0001_＀＀豀碵꼝쐕㲜䨰$单幔䅃偟久当䕂彎䅐䑉ㄨ⼲〲㄰ⰬⰬ单⥄_x0018_＀＀_x0018_＀＀_x0008_＀＀_x0001_＀＀_x0001_＀＀휊炣⨽䀲㲜䨰H单幔䅃偟久当义彔佃呓ㄨ⼲〲㌰ⰬⰬ单⥄址当䕐华佉彎义彔佃呓ㄨ⼲〲㌰ⰬⰬ单⥄_x0018_＀＀_x0018_＀＀_x0008_＀＀_x0001_＀＀_x0001_＀＀퓽ॸ䀺㓗䣦_x0013_位灞楲散 ⼵ㄲ㈯〰찴_x0018_＀＀_x0018_＀＀_x0008_＀＀_x0001_＀＀_x0001_＀＀尩슏ꣵ䁈㓗䣦_x0013_位灞楲散 ⼸〱㈯〰찱_x0018_＀＀_x0018_＀＀_x0008_＀＀_x0001_＀＀_x0001_＀＀䞮竡ด䁆㩾䨰&amp;位坞当䕐彎佐呓剟呅䉟久ㄨ⼲〲㘰ⰬⰬ单⥄_x0018_＀＀_x0018_＀＀_x0008_＀＀_x0001_＀＀_x0001_＀＀＀＀＀＀먀䂹뙁䷊_x001B_慳ⵢ潬幮彇佃彍䡓剁卅佟呕〨착_x0018_＀＀_x0018_＀＀_x0008_＀＀_x0001_＀＀_x0001_＀＀俟鞍鍮䂘㓗䣦_x0013_位灞楲散 ⼹㘰㈯〰찲_x0018_＀＀_x0018_＀＀_x0008_＀＀_x0001_＀＀_x0001_＀＀竡긔䅇䁇㩾䨰I位䍞彁䕐华剟䅏剟呁⡅㈱㈯〰ⰴⰬ唬䑓䀩南偟久䥓乏䕟偘䱟彔佒⡁㈱㈯〰ⰴⰬ唬䑓착_x0018_＀＀_x0018_＀＀_x0008_＀＀_x0001_＀＀_x0001_＀＀＀＀＀＀＀＀䀢㓗䣦_x0013_位灞楲散㄁⼲㔰㈯〰참_x0018_＀＀_x0018_＀＀_x0008_＀＀_x0001_＀＀_x0001_＀＀Ẹ롑䀴㓗䣦_x0013_位灞楲散 ⼶ㄱㄯ㤹찹_x0018_＀＀_x0018_＀＀_x0008_＀＀_x0001_＀＀_x0001_＀＀＀＀＀＀Ѐ䁅㓗䣦_x0013_位灞楲散 ⼹㈱㈯〰참_x0018_＀＀_x0018_＀＀_x0008_＀＀_x0001_＀＀_x0001_＀＀尩슏⣵䀵㓗䣦_x0013_位灞楲散 ⼴㌱㈯〰찱_x0018_＀＀_x0018_＀＀_x0008_＀＀_x0001_＀＀_x0001_＀＀롒蔞䁆㲜䨰&amp;单幔䅃偟久当十彔义䅔䝎ㄨ⼲〲㘰ⰬⰬ单⥄_x0018_＀＀_x0018_＀＀_x0008_＀＀_x0001_＀＀_x0001_＀＀豀碵꼝쐕㓗䣦_x0013_位灞楲散 ⼸〱㈯〰찷_x0018_＀＀_x0018_＀＀_x0008_＀＀_x0001_＀＀_x0001_＀＀尩슏_xD8F5_䁐㓗䣦_x0013_位灞楲散 ⼱㠱㈯〰찲_x0018_＀＀_x0018_＀＀_x0008_＀＀_x0001_＀＀_x0001_＀＀ᑺ枮䁈㲜䨰#单幔䅃偟协剔呅䱟䅉⡂㈱㈯〰ⰷⰬ唬䑓착_x0018_＀＀_x0018_＀＀_x0008_＀＀_x0001_＀＀_x0001_＀＀鮦⃄_xDAB0_쁕㲛䨰%单幔䅃偟久当呌䅟卓呅⡓㈱㈯〰ⰷⰬ唬䑓착_x0018_＀＀_x0018_＀＀_x0008_＀＀_x0001_＀＀_x0001_＀＀욧㝋㿩㓗䣦_x0013_位灞楲散 ⼵㤰㈯〰찳_x0018_＀＀_x0018_＀＀_x0008_＀＀_x0001_＀＀_x0001_＀＀㌴㌳댳䀿㲜䨰)单幔䅃偟协剔呅佟䡔䑁彊䉎⡁㈱㈯〰ⰴⰬ唬䑓착_x0018_＀＀_x0018_＀＀_x0008_＀＀_x0001_＀＀_x0001_＀＀⬂ᚇ껙䀱㲜䨰J单幔䅃偟久当䱐乁䅟呓ㄨ⼲〲㐰ⰬⰬ单⥄址当䕐华佉彎䅖彌十䕓協ㄨ⼲〲㐰ⰬⰬ单⥄_x0018_＀＀_x0018_＀＀_x0008_＀＀_x0001_＀＀_x0001_＀＀䯇褷㹁䁶㲜䨰)单幔䅃偟久当䵅彐佃呎䥒彂⡃㈱㈯〰ⰱⰬ唬䑓착_x0018_＀＀_x0018_＀＀_x0008_＀＀_x0001_＀＀_x0001_＀＀쒜뀠桲䀚㲜䨰G单幔䅃偟协剔呅䍟协⡔㈱㈯〰ⰴⰬ唬䑓䀩南䡟呌䍈剁彅偎彐塅⡐㈱㈯〰ⰴⰬ唬䑓착_x0018_＀＀_x0018_＀＀_x0008_＀＀_x0001_＀＀_x0001_＀＀삃ꇊ㙅䀖㲜䨰)单幔南偟久䥓乏噟䱁䅟卓呅⡓㈱㈯〰ⰶⰬ唬䑓착_x0018_＀＀_x0018_＀＀_x0008_＀＀_x0001_＀＀_x0001_＀＀갈娜浤䁹㓗䣦_x0013_位灞楲散 ⼴㌱㈯〰찷_x0018_＀＀_x0018_＀＀_x0008_＀＀_x0001_＀＀_x0001_＀＀炤਽揗䁑㲜䨰%单幔䅃偟久当啃归䥌䉁⡓㈱㈯〰ⰳⰬ唬䑓착_x0018_＀＀_x0018_＀＀_x0008_＀＀_x0001_＀＀_x0001_＀＀豀碵꼝쐕㲛䨰$单幔䅃偟久当䕂彎䅐䑉ㄨ⼲〲㜰ⰬⰬ单⥄_x0018_＀＀_x0018_＀＀_x0008_＀＀_x0001_＀＀_x0001_＀＀_xDD2F_ؤ䀹㲜䨰 单幔南䕟䍘彈䅒䕔ㄨ⼲〲㈰ⰬⰬ单⥄_x0018_＀＀_x0018_＀＀_x0008_＀＀_x0001_＀＀_x0001_＀＀＀＀＀＀＀＀㿰㲜䨰(单幔南偟久䥓乏䅟卓呅当呌ㄨ⼲〲㘰ⰬⰬ单⥄_x0018_＀＀_x0018_＀＀_x0008_＀＀_x0001_＀＀_x0001_＀＀酨糭㔿㿲㓗䣦_x0013_位灞楲散 ⼵㤰㈯〰참_x0018_＀＀_x0018_＀＀_x0008_＀＀_x0001_＀＀_x0001_＀＀㵱휊䀴㓗䣦_x0013_位灞楲散 ⼱㠱㈯〰참_x0018_＀＀_x0018_＀＀_x0008_＀＀_x0001_＀＀_x0001_＀＀ᑻ䞮_xDAE1_䁒﹓䨰D位䍞彁佐呓䕒彔䕂彎䉏ㄨ⼲〲㠰ⰬⰬ单⥄址当䱈䡔䅃䕒偟佂ㄨ⼲〲㠰ⰬⰬ单⥄_x0018_＀＀_x0018_＀＀_x0008_＀＀_x0001_＀＀_x0001_＀＀＀＀＀＀㸀䂢㓗䣦_x0013_位灞楲散㄁⼰㜱㈯〰찳_x0018_＀＀_x0018_＀＀_x0008_＀＀_x0001_＀＀_x0001_＀＀炤਽揗䁆㩾䨰F位䍞彁䕐华也呅䍟协⡔㈱㈯〰ⰳⰬ唬䑓䀩南偟久䥓乏也偐䕟偘ㄨ⼲〲㌰ⰬⰬ单⥄_x0018_＀＀_x0018_＀＀_x0008_＀＀_x0001_＀＀_x0001_＀＀＀＀＀＀怀䁢㓗䣦_x0013_位灞楲散 ⼸〲ㄯ㤹찹_x0018_＀＀_x0018_＀＀_x0008_＀＀_x0001_＀＀_x0001_＀＀＀＀＀＀쀀䁂㓗䣦_x0013_位灞楲散 ⼶㈲㈯〰찱_x0018_＀＀_x0018_＀＀_x0008_＀＀_x0001_＀＀_x0001_＀＀炤਽쏗䁇﹓䨰.位坞当䱈䡔䅃䕒䅟位呒卟剅彖佃呓ㄨ⼲〲㌰ⰬⰬ单⥄_x0018_＀＀_x0018_＀＀_x0008_＀＀_x0001_＀＀_x0001_＀＀＀＀＀＀＀＀쀻﹒䨰_x001F_位坞当塅䡃剟呁彅义彃䙃ㄨ⼲〲㠰착_x0018_＀＀_x0018_＀＀_x0008_＀＀_x0001_＀＀_x0001_＀＀豀碵꼝쐕ϭ专_x0012_潭䙞彇䕍乁䕟卐䙟ㅑ_x0018_＀＀_x0018_＀＀_x0008_＀＀_x0001_＀＀_x0001_＀＀ꭋ無㿠㲜䨰 单幔南䕟䍘彈䅒䕔䉟䱁卟⡈㈱㈯〰⤶_x0018_＀＀_x0018_＀＀_x0008_＀＀_x0001_＀＀_x0001_＀＀豀碵꼝쐕﹓䨰S位䍞彁佐呓䕒彔剐佉归剓⡖㈱㈯〰ⰸⰬ唬䑓䀩南䡟呌䍈剁彅乕䕒彃䕓噒䍟协⡔㈱㈯〰ⰸⰬ唬䑓착_x0018_＀＀_x0018_＀＀_x0008_＀＀_x0001_＀＀_x0001_＀＀＀＀＀＀쀀쁓㩾䨰F位䍞彁䕐华也呅䍟协⡔㈱㈯〰ⰶⰬ唬䑓䀩南偟久䥓乏也偐䕟偘ㄨ⼲〲㘰ⰬⰬ单⥄_x0018_＀＀_x0018_＀＀_x0008_＀＀_x0001_＀＀_x0001_＀＀＀＀＀＀㠀䂇﹓䨰E位䍞彁佐呓䕒彔佒⡁㈱㈯〰ⰷⰬ唬䑓䀩南䡟呌䍈剁彅塅彐佒⡁㈱㈯〰ⰷⰬ唬䑓착_x0018_＀＀_x0018_＀＀_x0008_＀＀_x0001_＀＀_x0001_＀＀＀＀＀＀＀＀＀＀㩾䨰'位䍞彁䕐华偟剁彔佃呎䥒⡂㈱㈯〰ⰴⰬ唬䑓착_x0018_＀＀_x0018_＀＀_x0008_＀＀_x0001_＀＀_x0001_＀＀＀＀＀＀＀＀＀＀﹒䨰*位坞当佃乕剔彙䅎䕍〨䀩䅃䍟彏义佃偒䍟剔⡙⤰_x001E_＀＀_x0018_＀＀_x000E_＀＀_x0001_＀＀_x0008_＀＀湕瑩摥匠慴整s㓗䣦_x0013_位灞楲散㄁⼰㜱㈯〰참_x0018_＀＀_x0018_＀＀_x0008_＀＀_x0001_＀＀_x0001_＀＀Ẹ롑䀴㓗䣦_x0013_位灞楲散 ⼷㠱㈯〰찳_x0018_＀＀_x0018_＀＀_x0008_＀＀_x0001_＀＀_x0001_＀＀炤਽⏗䁄㓗䣦_x0013_位灞楲散 ⼶㘱㈯〰찰_x0018_＀＀_x0018_＀＀_x0008_＀＀_x0001_＀＀_x0001_＀＀＀＀＀＀耀䀹㓗䣦_x0013_位灞楲散 ⼲㔲㈯〰찰_x0018_＀＀_x0018_＀＀_x0008_＀＀_x0001_＀＀_x0001_＀＀＀＀＀＀ꀀ䀳㓗䣦_x0013_位灞楲散 ⼴㌲ㄯ㤹찹_x0018_＀＀_x0018_＀＀_x0008_＀＀_x0001_＀＀_x0001_＀＀＀＀＀＀退䁁﹓䨰I位䍞彁佐呓䕒彔佒彁䍁⡔㈱㈯〰ⰲⰬ唬䑓䀩南䡟呌䍈剁彅䍁彔佒⡁㈱㈯〰ⰲⰬ唬䑓착_x0018_＀＀_x0018_＀＀_x0008_＀＀_x0001_＀＀_x0001_＀＀豀碵꼝쐕㩾䨰%位䍞彁䕐华䅟呓䥟呎乁⡇㈱㈯〰ⰶⰬ唬䑓착_x0018_＀＀_x0018_＀＀_x0008_＀＀_x0001_＀＀_x0001_＀＀豀碵꼝쐕㩾䨰_x0019_位坞当塅䡃剟呁⡅ⰰⰬ唬䑓착_x0018_＀＀_x0018_＀＀_x0008_＀＀_x0001_＀＀_x0001_＀＀＀＀＀＀＀＀㿰㓗䣦_x0013_位灞楲散 ⼶㈲㈯〰찷_x0018_＀＀_x0018_＀＀_x0008_＀＀_x0001_＀＀_x0001_＀＀쳍쳌ೌ䁑㓗䣦_x0013_位灞楲散㄁⼱〳㈯〰찱_x0018_＀＀_x0018_＀＀_x0008_＀＀_x0001_＀＀_x0001_＀＀⣶轜闂䁇㓗䣦_x0013_位灞楲散 ⼶㄰㈯〰찱_x0018_＀＀_x0018_＀＀_x0008_＀＀_x0001_＀＀_x0001_＀＀尨ꊏ䁉㲜䨰N单幔䅃偟久当乕䕒佃⡇㈱㈯〰ⰱⰬ唬䑓䀩南偟久䥓乏啟剎䍅卟剅彖佃呓ㄨ⼲〲㄰ⰬⰬ单⥄_x0018_＀＀_x0018_＀＀_x0008_＀＀_x0001_＀＀_x0001_＀＀⼛ⓝ脆뿱㲜䨰J单幔䅃偟久当䥄䍓剟呁⡅㈱㈯〰ⰱⰬ唬䑓䀩南偟久䥓乏䑟卉彃䅒䕔ㄨ⼲〲㄰ⰬⰬ单⥄_x0018_＀＀_x0018_＀＀_x0008_＀＀_x0001_＀＀_x0001_＀＀＀＀＀＀＀＀䀝㩾䨰'位䍞彁䕐华偟䑐䉟久䍟协⡔㈱㈯〰ⰵⰬ唬䑓착_x0018_＀＀_x0018_＀＀_x0008_＀＀_x0001_＀＀_x0001_＀＀＀＀＀＀䐀䂶﹒䨰_x001F_位坞当塅䡃剟呁彅䅂彌䡓ㄨ⼲〲㌰착_x0018_＀＀_x0018_＀＀_x0008_＀＀_x0001_＀＀_x0001_＀＀豀碵꼝쐕㓗䣦_x0013_位灞楲散 ⼷㠱㈯〰참_x0018_＀＀_x0018_＀＀_x0008_＀＀_x0001_＀＀_x0001_＀＀㌳㌳猳䀴㓗䣦_x0013_位灞楲散 ⼲㔲㈯〰찵_x0018_＀＀_x0018_＀＀_x0008_＀＀_x0001_＀＀_x0001_＀＀쳍쳌泌䁐랣䭡%潭灞灟楲散慟杶ㄨㄯ㈯〰ⰹ㈱㌯⼱〲㤰搬착߸＀＀_x0018_＀＀ߨ＀＀ý＀＀_x0001_＀＀蔟凫Ẹ䀮晧晦晦䀮尨슏䀮쳍쳌䳌䀮䞮竡⸔䀮㌴㌳㌳䀮⣶轜䀮긕鑺䀯Ẹ㡑䀰䞮竡⸔䀰蔟凫庸䀰ꏗ㵰휊䀰尩슏⣵䀱Ẹ䀰⣶轜䀰ꏗ㵰휊䀰㵱휊낣䀰䞮竡䀰쳍쳌쳌䀰ꏗ㵰휊䀰휊炣訽䀰㵱휊낣䀰䞮竡䀰＀＀＀＀쀀䀰Ẹ硑䀰⣶轜䀰슏⣵콜䀰Ẹ硑䀰Ẹ硑䀰쳍쳌賌䀰ꏗ㵰휊䀯炤਽⏗䀯슐⣵ཛྷ䀯晧晦晦䀯凬Ẹ䀮馚香ᦙ䀮ਾꏗ뵰䀮롒蔞퇫䀮ਾꏗ㵰䀮竡긔䀮炤਽⏗䀮ਾꏗ㵰䀭炤਽⏗䀮쳍쳌䳌䀯㵱휊炣䀯ẹ롑䀯馚香香䀰炤਽揗䀰쳍쳌䳌䀰䞮竡긔䀰尩슏䀰Ẹ㡑䀱馚香_xD999_䀰㵱휊낣䀰ᑺ잮䀰轜ᰨ䀱Ẹ㡑䀱롑䔞䀱⣶轜㗂䀱슏⣵轜䀰竡긔慇䀰롑Ԟ䀰쳍쳌䳌䀰轜ᰨ䀰尩슏⣵䀰尩슏⣵䀰휊炣䨽䀰炤਽揗䀰슏⣵作䀰슏⣵轜䀰ᑻ䞮竡䀰炤਽䀰ᑻ䞮﫡䀰ਾꏗﵰ䀰䞮竡䀰ᑻ䞮뫡䀰馚香_xD999_䀰晧晦䀰凬Ẹ䀰竡긔䀰＀＀＀＀＀＀䀱롒蔞퇫䀰긕呺䀰蔟凫庸䀰凬Ẹ⮅䀰馚香香䀰슏⣵ཛྷ䀱ᑺޮ䀱馚香ᦙ䀱휊炣਽䀱炤਽揗䀱⣶轜㗂䀱＀＀＀＀＀＀䀱ᑻ䞮﫡䀰竡긔䀰슏⣵콜䀰롑씞䀰炤਽ꏗ䀰炤਽ꏗ䀰凬Ẹ䀰尩슏ꣵ䀰＀＀＀＀＀＀䀱ꏗ㵰ᜊ䀱㵱휊ィ䀱蔟凫Ẹ䀱＀＀＀＀＀＀䀱Ẹ䀰ᑺޮ䀱⣶轜㗂䀱馚香妙䀱롒蔞ᇫ䀱馚香_xD999_䀰炤਽ꏗ䀰쳍쳌賌䀰尨䊏䀰Ẹ㡑䀰竡긔慇䀰尩슏棵䀰馚香妙䀰尨䊏䀰⣶轜㗂䀰휊炣訽䀰ᑻ䞮竡䀰＀＀＀＀耀䀰炤਽揗䀰䞮竡긔䀰쳍쳌䳌䀰蔟凫麸䀰馚香妙䀰晧晦晦䀰馚香妙䀰Ẹ硑䀰尩슏ꣵ䀰炤਽ꏗ䀰馚香_xD999_䀰ਾꏗﵰ䀰ꏗ㵰圊䀱롑䔞䀱긕呺䀱쳍쳌䳌䀱尩슏棵䀱ꏗ㵰圊䀱䞮竡渔䀱긕鑺䀱㵱휊낣䀱䞮竡긔䀱ᑺ螮䀱竡긔ꅇ䀱轜鰨䀱尨芏䀱炤਽ꏗ䀱⣶轜뗂䀱슏⣵轜䀱롑蔞䀱긕鑺䀱炤਽ꏗ䀱슏⣵轜䀱롑蔞䀱炤਽ꏗ䀱尩슏ꣵ䀱ꏗ㵰휊䀱휊炣਽䀲긕呺䀲晧晦♦䀲凬Ẹ⮅䀲롑䔞䀲Ẹ㡑䀲ᑺ䞮䀲轜ᰨ䀲ᑺ䞮䀲⣶轜㗂䀲＀＀＀＀耀䀲롑蔞䀲ꏗ㵰霊䀲ᑺ螮䀲炤਽⏗䀲ਾꏗﵰ䀱尩슏䀱ᑻ䞮㫡䀲롑Ԟ䀲⣶轜䀱휊炣਽䀲炤਽䀱＀＀＀＀쀀䀱＀＀＀＀耀䀱＀＀＀＀耀䀱凬Ẹꮅ䀱晧晦䀱슏⣵콜䀱휊炣訽䀱Ẹ硑䀱炤਽ꏗ䀱슏⣵콜䀱ᑻ䞮뫡䀱馚香_xD999_䀱슏⣵ཛྷ䀲蔟凫Ẹ䀲슏⣵ཛྷ䀲ᑻ䞮㫡䀲＀＀＀＀䀀䀲롑䔞䀲馚香妙䀲尩슏ꣵ䀲⣶轜㗂䀲䞮竡⸔䀲䞮竡䀱ᑻ䞮﫡䀱炤਽⏗䀲㌳㌳㌳䀲轜尨䀲轜ᰨ䀲쳍쳌䳌䀲⣶轜痂䀲Ẹ硑䀲凬Ẹꮅ䀲휊炣訽䀲蔟凫_xDEB8_䀲롒蔞ᇫ䀳Ẹ䀲롑Ԟ䀳尨䊏䀳ꏗ㵰圊䀳ਾꏗ㵰䀳쳍쳌䳌䀳⣶轜㗂䀳ᑻ䞮﫡䀲竡긔ⅇ䀳쳍쳌䳌䀳㵱휊ィ䀳＀＀＀＀＀＀䀳슏⣵콜䀲롒蔞ᇫ䀳尩슏⣵䀳炤਽⏗䀳롒蔞凫䀳蔟凫庸䀳尨䊏䀳蔟凫庸䀳㌳㌳猳䀳롑蔞䀳凬Ẹꮅ䀳㌴㌳댳䀳竡긔ꅇ䀳ꏗ㵰霊䀳晧晦Ꙧ䀳⣶轜뗂䀳蔟凫_xDEB8_䀳尩슏⣵䀴蔟凫庸䀴ᑻ䞮﫡䀳馚香_xD999_䀳슏⣵콜䀳竡긔ꅇ䀳㲛䨰;单幔南偟久䥓乏䅟卓呅当剐偏ㄨ⼲〲㜰䀩䅃偟久当䍐彔䕒ㄨ⼲〲㜰착_x0018_＀＀_x0018_＀＀_x0008_＀＀_x0001_＀＀_x0001_＀＀＀＀＀＀＀＀䀽㩾䨰$位䍞彁䕐华䍟剕䱟䅉卂ㄨ⼲〲㌰ⰬⰬ单⥄_x0018_＀＀_x0018_＀＀_x0008_＀＀_x0001_＀＀_x0001_＀＀豀碵꼝쐕㓗䣦_x0013_位灞楲散 ⼶㘱㈯〰찶_x0018_＀＀_x0018_＀＀_x0008_＀＀_x0001_＀＀_x0001_＀＀Ẹ롑䁑㓗䣦_x0013_位灞楲散㄁⼲㘲㈯〰찳_x0018_＀＀_x0018_＀＀_x0008_＀＀_x0001_＀＀_x0001_＀＀㌳㌳팳䁊㓗䣦_x0013_位灞楲散㄁⼱㐲㈯〰찰_x0018_＀＀_x0018_＀＀_x0008_＀＀_x0001_＀＀_x0001_＀＀＀＀＀＀저䁁㓗䣦_x0013_位灞楲散 ⼴㈰ㄯ㤹찹_x0018_＀＀_x0018_＀＀_x0008_＀＀_x0001_＀＀_x0001_＀＀＀＀＀＀䠀䁁㩾䨰B位䍞彁䕐华偟佒彊䉏⡌㈱㈯〰ⰶⰬ唬䑓䀩南偟久䥓乏偟佂ㄨ⼲〲㘰ⰬⰬ单⥄_x0018_＀＀_x0018_＀＀_x0008_＀＀_x0001_＀＀_x0001_＀＀＀＀＀＀翀䃒㓗䣦_x0013_位灞楲散 ⼱㌲㈯〰찴_x0018_＀＀_x0018_＀＀_x0008_＀＀_x0001_＀＀_x0001_＀＀ਾꏗ㵰䁋㲜䨰P单幔䅃偟协剔呅偟䅌彎十彔久⡄㈱㈯〰ⰶⰬ唬䑓䀩南䡟呌䍈剁彅噆䅟卓呅ㄨ⼲〲㘰ⰬⰬ单⥄_x0018_＀＀_x0018_＀＀_x0008_＀＀_x0001_＀＀_x0001_＀＀＀＀＀＀＀＀＀＀㓗䣦_x0013_位灞楲散 ⼸ㄳ㈯〰찱_x0018_＀＀_x0018_＀＀_x0008_＀＀_x0001_＀＀_x0001_＀＀㌴㌳댳䁇㲜䨰-单幔䅃偟协剔呅啟归剔佟彂䵁剏⡔㈱㈯〰ⰵⰬ唬䑓착_x0018_＀＀_x0018_＀＀_x0008_＀＀_x0001_＀＀_x0001_＀＀＀＀＀＀＀＀＀＀﹓䨰&amp;位䍞彁佐呓䕒彔䕂彎䅐䑉ㄨ⼲〲㐰ⰬⰬ单⥄_x0018_＀＀_x0018_＀＀_x0008_＀＀_x0001_＀＀_x0001_＀＀豀碵꼝쐕㩾䨰(位䍞彁䕐华䕟偍䍟乏剔䉉䍟ㄨ⼲〲㌰ⰬⰬ单⥄_x0018_＀＀_x0018_＀＀_x0008_＀＀_x0001_＀＀_x0001_＀＀＀＀＀＀䐀䂒㓗䣦_x0013_位灞楲散㄁⼱〳㈯〰찷_x0018_＀＀_x0018_＀＀_x0008_＀＀_x0001_＀＀_x0001_＀＀炤਽揗䁓㓗䣦_x0013_位灞楲散 ⼶㄰㈯〰찷_x0018_＀＀_x0018_＀＀_x0008_＀＀_x0001_＀＀_x0001_＀＀긕䁑㓗䣦_x0013_位灞楲散 ⼹㜲㈯〰찲_x0018_＀＀_x0018_＀＀_x0008_＀＀_x0001_＀＀_x0001_＀＀䞮竡䁂㓗䣦_x0013_位灞楲散㄁⼲㘲㈯〰참_x0018_＀＀_x0018_＀＀_x0008_＀＀_x0001_＀＀_x0001_＀＀Ẹ롑䀴㓗䣦_x0013_位灞楲散 ⼸㔲㈯〰찰_x0018_＀＀_x0018_＀＀_x0008_＀＀_x0001_＀＀_x0001_＀＀＀＀＀＀ࠀ䁀㲜䨰+单幔䅃偟协剔呅偟剁彔佃呎䥒⡂㈱㈯〰ⰱⰬ唬䑓착_x0018_＀＀_x0018_＀＀_x0008_＀＀_x0001_＀＀_x0001_＀＀＀＀＀＀＀＀＀＀㓗䣦_x0013_位灞楲散㄁⼱㐲㈯〰찶_x0018_＀＀_x0018_＀＀_x0008_＀＀_x0001_＀＀_x0001_＀＀＀＀＀＀䁔㓗䣦_x0013_位灞楲散㄁⼱㌰㈯〰찰_x0018_＀＀_x0018_＀＀_x0008_＀＀_x0001_＀＀_x0001_＀＀＀＀＀＀耀䁁﹓䨰O位䍞彁佐呓䕒彔䱐乁䅟呓䕟䑎ㄨ⼲〲㜰ⰬⰬ单⥄址当䱈䡔䅃䕒䙟彖十䕓⡔㈱㈯〰ⰷⰬ唬䑓착_x0018_＀＀_x0018_＀＀_x0008_＀＀_x0001_＀＀_x0001_＀＀＀＀＀＀＀＀＀＀㩾䨰B位䍞彁䕐华偟佒彊䉏⡌㈱㈯〰ⰵⰬ唬䑓䀩南偟久䥓乏偟佂ㄨ⼲〲㔰ⰬⰬ单⥄_x0018_＀＀_x0018_＀＀_x0008_＀＀_x0001_＀＀_x0001_＀＀＀＀＀＀케䃑㩾䨰G位䍞彁䕐华䥟呎䍟协⡔㈱㈯〰ⰷⰬ唬䑓䀩南偟久䥓乏䥟呎䍟协⡔㈱㈯〰ⰷⰬ唬䑓착_x0018_＀＀_x0018_＀＀_x0008_＀＀_x0001_＀＀_x0001_＀＀＀＀＀＀耀䁻㓗䣦_x0013_位灞楲散 ⼱㈰㈯〰찴_x0018_＀＀_x0018_＀＀_x0008_＀＀_x0001_＀＀_x0001_＀＀㌳㌳匳䁋㩾䨰I位䍞彁䕐华剟䅏剟呁⡅㈱㈯〰ⰷⰬ唬䑓䀩南偟久䥓乏䕟偘䱟彔佒⡁㈱㈯〰ⰷⰬ唬䑓착_x0018_＀＀_x0018_＀＀_x0008_＀＀_x0001_＀＀_x0001_＀＀＀＀＀＀＀＀䀠㓗䣦_x0013_位灞楲散 ⼸ㄳ㈯〰찷_x0018_＀＀_x0018_＀＀_x0008_＀＀_x0001_＀＀_x0001_＀＀휊炣娽䁑㲜䨰I单幔䅃偟久当剓彖佃呓ㄨ⼲〲㐰ⰬⰬ单⥄址当䕐华佉彎䕓噒䍟协⡔㈱㈯〰ⰴⰬ唬䑓착_x0018_＀＀_x0018_＀＀_x0008_＀＀_x0001_＀＀_x0001_＀＀ꗣ쒛뀠䀰㩾䨰#位䍞彁䕐华䱟彔䥌䉁⡓㈱㈯〰ⰷⰬ唬䑓착_x0018_＀＀_x0018_＀＀_x0008_＀＀_x0001_＀＀_x0001_＀＀＀＀＀＀䀀䁸㓗䣦_x0013_位灞楲散㄁⼱㠱㈯〰찵_x0018_＀＀_x0018_＀＀_x0008_＀＀_x0001_＀＀_x0001_＀＀＀＀＀＀퀀䁑㓗䣦_x0013_位灞楲散 ⼴㠲㈯〰찰_x0018_＀＀_x0018_＀＀_x0008_＀＀_x0001_＀＀_x0001_＀＀＀＀＀＀䀵㲛䨰C单幔䅃偟久当剐䩏佟䱂ㄨ⼲〲㜰ⰬⰬ单⥄址当䕐华佉彎䉐⡏㈱㈯〰ⰷⰬ唬䑓착_x0018_＀＀_x0018_＀＀_x0008_＀＀_x0001_＀＀_x0001_＀＀炤਽_xDDD7_䂁㲜䨰E单幔䅃偟协剔呅䉟久佟⡂㈱㈯〰ⰵⰬ唬䑓䀩南䡟呌䍈剁彅䉐⡏㈱㈯〰ⰵⰬ唬䑓착_x0018_＀＀_x0018_＀＀_x0008_＀＀_x0001_＀＀_x0001_＀＀탦_xDB22_㻹䁕﹓䨰"位䍞彁佐呓䕒彔䥌䉁ㄨ⼲〲㜰ⰬⰬ单⥄_x0018_＀＀_x0018_＀＀_x0008_＀＀_x0001_＀＀_x0001_＀＀＀＀＀＀쐀삟㓗䣦_x0013_位灞楲散 ⼸㔲㈯〰찶_x0018_＀＀_x0018_＀＀_x0008_＀＀_x0001_＀＀_x0001_＀＀晧晦٦䁕㓗䣦_x0013_位灞楲散 ⼸㐰㈯〰찰_x0018_＀＀_x0018_＀＀_x0008_＀＀_x0001_＀＀_x0001_＀＀＀＀＀＀ꀀ䀺㲜䨰H单幔䅃偟久当义彔佃呓ㄨ⼲〲㈰ⰬⰬ单⥄址当䕐华佉彎义彔佃呓ㄨ⼲〲㈰ⰬⰬ单⥄_x0018_＀＀_x0018_＀＀_x0008_＀＀_x0001_＀＀_x0001_＀＀㕀멞걉䀹㩾䨰&amp;位坞当䕐华佉彎䕎彔䥌䉁ㄨ⼲〲㘰ⰬⰬ单⥄_x0018_＀＀_x0018_＀＀_x0008_＀＀_x0001_＀＀_x0001_＀＀豀碵꼝쐕㓗䣦_x0013_位灞楲散㄁⼱㌰㈯〰찶_x0018_＀＀_x0018_＀＀_x0008_＀＀_x0001_＀＀_x0001_＀＀凬Ẹ䮅䁔㲜䨰;单幔南偟久䥓乏䅟卓呅当剐偏ㄨ⼲〲㈰䀩䅃偟久当䍐彔䕒ㄨ⼲〲㈰착_x0018_＀＀_x0018_＀＀_x0008_＀＀_x0001_＀＀_x0001_＀＀豀碵꼝쐕㓗䣦_x0013_位灞楲散㄁⼰㄰㈯〰찴_x0018_＀＀_x0018_＀＀_x0008_＀＀_x0001_＀＀_x0001_＀＀＀＀＀＀＀＀䁈㓗䣦_x0013_位灞楲散 ⼸㤱㈯〰찵_x0018_＀＀_x0018_＀＀_x0008_＀＀_x0001_＀＀_x0001_＀＀䞮竡縔䁑﹓䨰K位䍞彁佐呓䕒彔义彔佃呓ㄨ⼲〲㌰ⰬⰬ单⥄址当䱈䡔䅃䕒䥟呎䍟协⡔㈱㈯〰ⰳⰬ唬䑓착_x0018_＀＀_x0018_＀＀_x0008_＀＀_x0001_＀＀_x0001_＀＀＀＀＀＀䁰﹓䨰L位䍞彁佐呓䕒彔剓彖佃呓ㄨ⼲〲㔰ⰬⰬ单⥄址当䱈䡔䅃䕒卟剅彖佃呓ㄨ⼲〲㔰ⰬⰬ单⥄_x0018_＀＀_x0018_＀＀_x0008_＀＀_x0001_＀＀_x0001_＀＀＀＀＀＀＀＀䁘㓗䣦_x0013_位灞楲散 ⼴㠲㈯〰찶_x0018_＀＀_x0018_＀＀_x0008_＀＀_x0001_＀＀_x0001_＀＀휊炣䨽䁒㓗䣦_x0013_位灞楲散 ⼴㜰㈯〰찰_x0018_＀＀_x0018_＀＀_x0008_＀＀_x0001_＀＀_x0001_＀＀＀＀＀＀耀䀶㲜䨰;单幔南偟久䥓乏䅟卓呅当呏⡈㈱㈯〰⤵䍀彁䕐华偟呃佟䡔ㄨ⼲〲㔰착_x0018_＀＀_x0018_＀＀_x0008_＀＀_x0001_＀＀_x0001_＀＀＀＀＀＀＀＀＀＀㲜䨰C单幔䅃偟久当剐䩏佟䱂ㄨ⼲〲㘰ⰬⰬ单⥄址当䕐华佉彎䉐⡏㈱㈯〰ⰶⰬ唬䑓착_x0018_＀＀_x0018_＀＀_x0008_＀＀_x0001_＀＀_x0001_＀＀᪠_xDD2F_夤䂁㓗䣦_x0013_位灞楲散 ⼳㘲㈯〰찴_x0018_＀＀_x0018_＀＀_x0008_＀＀_x0001_＀＀_x0001_＀＀䞮竡츔䁊㲜䨰+单幔䅃偟协剔呅偟剁彔佃呎䥒⡂㈱㈯〰ⰷⰬ唬䑓착_x0018_＀＀_x0018_＀＀_x0008_＀＀_x0001_＀＀_x0001_＀＀＀＀＀＀＀＀＀＀㲜䨰&lt;单幔南偟久䥓乏䅟卓呅当佂䑎⡓㈱㈯〰⤴䍀彁䕐华偟呃䙟⡉㈱㈯〰⤴_x0018_＀＀_x0018_＀＀_x0008_＀＀_x0001_＀＀_x0001_＀＀＀＀＀＀＀＀䀸㩾䨰M位䍞彁䕐华啟剎䍅䝏ㄨ⼲〲㜰ⰬⰬ单⥄址当䕐华佉彎乕䕒彃䕓噒䍟协⡔㈱㈯〰ⰷⰬ唬䑓착_x0018_＀＀_x0018_＀＀_x0008_＀＀_x0001_＀＀_x0001_＀＀＀＀＀＀耀䁕㓗䣦_x0013_位灞楲散 ⼸㐰㈯〰찶_x0018_＀＀_x0018_＀＀_x0008_＀＀_x0001_＀＀_x0001_＀＀馚香蓮䁓㲜䨰(单幔䅃偟久当偐彄䕂彎佃呓ㄨ⼲〲㈰ⰬⰬ单⥄_x0018_＀＀_x0018_＀＀_x0008_＀＀_x0001_＀＀_x0001_＀＀豀碵꼝쐕㲜䨰;单幔南偟久䥓乏䅟卓呅当充䥕ㄨ⼲〲㌰䀩䅃偟久当䍐彔充ㄨ⼲〲㌰착_x0018_＀＀_x0018_＀＀_x0008_＀＀_x0001_＀＀_x0001_＀＀豀碵꼝쐕㲜䨰'单幔䅃偟久当商䑎卟䅔啔⡓㈱㈯〰ⰵⰬ唬䑓착_x0018_＀＀_x0018_＀＀_x0008_＀＀_x0001_＀＀_x0001_＀＀溘茒諀쁃㓗䣦_x0013_位灞楲散㄁⼲ㄳ㈯〰찴_x0018_＀＀_x0018_＀＀_x0008_＀＀_x0001_＀＀_x0001_＀＀쳍쳌賌䁎㓗䣦_x0013_位灞楲散 ⼷㈰㈯〰찴_x0018_＀＀_x0018_＀＀_x0008_＀＀_x0001_＀＀_x0001_＀＀ꏗ㵰휊䁈㩾䨰!位坞当䕐华佉彎䉐⡏㈱㈯〰ⰳⰬ唬䑓착_x0018_＀＀_x0018_＀＀_x0008_＀＀_x0001_＀＀_x0001_＀＀＀＀＀＀ﮀ䃌㓗䣦_x0013_位灞楲散 ⼳ㄱ㈯〰찵_x0018_＀＀_x0018_＀＀_x0008_＀＀_x0001_＀＀_x0001_＀＀尩슏䣵䁐﹓䨰*位䍞彁佐呓䕒彔䅐呒䍟乏剔䉉ㄨ⼲〲㜰ⰬⰬ单⥄_x0018_＀＀_x0018_＀＀_x0008_＀＀_x0001_＀＀_x0001_＀＀＀＀＀＀＀＀＀＀㲜䨰G单幔䅃偟协剔呅䍟协⡔㈱㈯〰ⰳⰬ唬䑓䀩南䡟呌䍈剁彅偎彐塅⡐㈱㈯〰ⰳⰬ唬䑓착_x0018_＀＀_x0018_＀＀_x0008_＀＀_x0001_＀＀_x0001_＀＀蔟凫Ẹ䀇㲜䨰$单幔䅃偟久当呌䱟䅉卂ㄨ⼲〲㐰ⰬⰬ单⥄_x0018_＀＀_x0018_＀＀_x0008_＀＀_x0001_＀＀_x0001_＀＀豀碵꼝쐕㩾䨰E位䍞彁䕐华剟䅏䅟呃ㄨ⼲〲㌰ⰬⰬ单⥄址当䕐华佉彎䍁彔佒⡁㈱㈯〰ⰳⰬ唬䑓착_x0018_＀＀_x0018_＀＀_x0008_＀＀_x0001_＀＀_x0001_＀＀＀＀＀＀䂠㩾䨰H位䍞彁䕐华卟噒䍟协⡔㈱㈯〰ⰸⰬ唬䑓䀩南偟久䥓乏卟剅彖佃呓ㄨ⼲〲㠰ⰬⰬ单⥄_x0018_＀＀_x0018_＀＀_x0008_＀＀_x0001_＀＀_x0001_＀＀＀＀＀＀쀀䁘㓗䣦_x0013_位灞楲散 ⼴㜰㈯〰찶_x0018_＀＀_x0018_＀＀_x0008_＀＀_x0001_＀＀_x0001_＀＀＀＀＀＀瀀䁑﹓䨰'位坞当䱈䡔䅃䕒啟䙎䉟久ㄨ⼲〲㈰ⰬⰬ单⥄착＀＀＀＀㓗䣦_x0013_位灞楲散 ⼳㔰㈯〰찴_x0018_＀＀_x0018_＀＀_x0008_＀＀_x0001_＀＀_x0001_＀＀轜ᰨ䁍㲛䨰+单幔南䍟問呎奒也䵁⡅⤰䍀彁佃䥟䍎剏彐呃奒〨착_x001E_＀＀_x0018_＀＀_x000E_＀＀_x0001_＀＀_x0008_＀＀湕瑩摥匠慴整s㲜䨰(单幔南䡟呌䍈剁彅乕彆䕂⡎㈱㈯〰ⰴⰬ唬䑓⤩＀＀＀＀㓗䣦_x0013_位灞楲散㄁⼲〱㈯〰찴_x0018_＀＀_x0018_＀＀_x0008_＀＀_x0001_＀＀_x0001_＀＀롒蔞釫䁍㲜䨰L单幔䅃偟协剔呅䥟呎䍟协⡔㈱㈯〰ⰳⰬ唬䑓䀩南䡟呌䍈剁彅义彔佃呓ㄨ⼲〲㌰ⰬⰬ单⥄_x0018_＀＀_x0018_＀＀_x0008_＀＀_x0001_＀＀_x0001_＀＀갈娜㭤䀑㲜䨰 单幔南䕟䍘彈䅒䕔䉟䱁卟⡈㈱㈯〰⤷_x0018_＀＀_x0018_＀＀_x0008_＀＀_x0001_＀＀_x0001_＀＀豀碵꼝쐕﹓䨰)位坞当䱈䡔䅃䕒䕟偘䱟彔佒⡁㈱㈯〰ⰳⰬ唬䑓착_x0018_＀＀_x0018_＀＀_x0008_＀＀_x0001_＀＀_x0001_＀＀豀碵꼝쐕㲜䨰＀Ｏ单幔南䡟呌䍈剁彅䵁剏彔䕓噒䍟协⡔㈱㈯〰ⰲⰬ唬䑓착_x0018_＀＀_x0018_＀＀_x0008_＀＀_x0001_＀＀_x0001_＀＀퓽쀑㲛䨰)单幔䅃偟久当䵅彐佃呎䥒彂⡃㈱㈯〰ⰷⰬ唬䑓착_x0018_＀＀_x0018_＀＀_x0008_＀＀_x0001_＀＀_x0001_＀＀_xD917_䀝﹒䨰:位坞当䕐华佉彎十䕓協佟䡔ㄨ⼲〲㐰䀩䅃偟久当䍐彔呏⡈㈱㈯〰⤴_x0018_＀＀_x0018_＀＀_x0008_＀＀_x0001_＀＀_x0001_＀＀＀＀＀＀＀＀㿰㓗䣦_x0013_位灞楲散 ⼲㌰㈯〰찶_x0018_＀＀_x0018_＀＀_x0008_＀＀_x0001_＀＀_x0001_＀＀쳍쳌䁑㲛䨰_x001A_单幔南䕟䍘彈䅒䕔〨ⰬⰬ单⥄_x0018_＀＀_x0018_＀＀_x0008_＀＀_x0001_＀＀_x0001_＀＀＀＀＀＀＀＀㿰﹓䨰(位坞当䱈䡔䅃䕒䑟卉彃䅒䕔ㄨ⼲〲㘰ⰬⰬ单⥄_x0018_＀＀_x0018_＀＀_x0008_＀＀_x0001_＀＀_x0001_＀＀ᑺ䞮䀕㲜䨰'单幔南偟久偟协彔䕒彔䕂⡎㈱㈯〰ⰲⰬ唬䑓착_x0018_＀＀_x0018_＀＀_x0008_＀＀_x0001_＀＀_x0001_＀＀됹盈䮾䁩㩾䨰'位坞当䕐华佉彎十䕓協䱟⡔㈱㈯〰ⰴⰬ唬䑓착_x0018_＀＀_x0018_＀＀_x0008_＀＀_x0001_＀＀_x0001_＀＀豀碵꼝쐕﹓䨰E位䍞彁佐呓䕒彔佒⡁㈱㈯〰ⰶⰬ唬䑓䀩南䡟呌䍈剁彅塅彐佒⡁㈱㈯〰ⰶⰬ唬䑓착_x0018_＀＀_x0018_＀＀_x0008_＀＀_x0001_＀＀_x0001_＀＀＀＀＀＀＀＀＀＀㓗䣦_x0013_位灞楲散 ⼵〲㈯〰찵_x0018_＀＀_x0018_＀＀_x0008_＀＀_x0001_＀＀_x0001_＀＀竡긔䁐㲜䨰'单幔南偟久䥓乏也呅䱟䅉⡂㈱㈯〰ⰲⰬ唬䑓착_x0018_＀＀_x0018_＀＀_x0008_＀＀_x0001_＀＀_x0001_＀＀豀碵꼝쐕㲜䨰G单幔䅃偟久当䕎彔佃呓ㄨ⼲〲㄰ⰬⰬ单⥄址当䕐华佉彎偎彐塅⡐㈱㈯〰ⰱⰬ唬䑓착_x0018_＀＀_x0018_＀＀_x0008_＀＀_x0001_＀＀_x0001_＀＀Წ摚_xDF3B_䀪﹒䨰_x001F_位坞当塅䡃剟呁彅䅂彌䡓ㄨ⼲〲㐰착_x0018_＀＀_x0018_＀＀_x0008_＀＀_x0001_＀＀_x0001_＀＀豀碵꼝쐕㓗䣦_x0013_位灞楲散 ⼹㔰㈯〰찳_x0018_＀＀_x0018_＀＀_x0008_＀＀_x0001_＀＀_x0001_＀＀＀＀＀＀쀀䁄㩾䨰_x001F_位坞当塅䡃剟呁⡅㈱㈯〰ⰷⰬ唬䑓착_x0018_＀＀_x0018_＀＀_x0008_＀＀_x0001_＀＀_x0001_＀＀＀＀＀＀＀＀㿰㩾䨰(位坞当䕐华佉彎䅖彌十䕓協ㄨ⼲〲㌰ⰬⰬ单⥄_x0018_＀＀_x0018_＀＀_x0008_＀＀_x0001_＀＀_x0001_＀＀＀＀＀＀帀䃉㓗䣦_x0013_位灞楲散 ⼵㐱㈯〰찴_x0018_＀＀_x0018_＀＀_x0008_＀＀_x0001_＀＀_x0001_＀＀㵱휊䁈﹒䨰;位坞当䕐华佉彎十䕓協䉟乏卄ㄨ⼲〲㔰䀩䅃偟久当䍐彔䥆ㄨ⼲〲㔰착_x0018_＀＀_x0018_＀＀_x0008_＀＀_x0001_＀＀_x0001_＀＀＀＀＀＀＀＀䀼㓗䣦_x0013_位灞楲散 ⼴㈱㈯〰찲_x0018_＀＀_x0018_＀＀_x0008_＀＀_x0001_＀＀_x0001_＀＀晧晦虦䁊㲜䨰B单幔䅃偟久当佒⡁㈱㈯〰ⰱⰬ唬䑓䀩南偟久䥓乏䕟偘剟䅏ㄨ⼲〲㄰ⰬⰬ单⥄_x0018_＀＀_x0018_＀＀_x0008_＀＀_x0001_＀＀_x0001_＀＀䯇褷쁁쀸㩾䨰#位䍞彁䕐华䉟久偟䥁⡄㈱㈯〰ⰵⰬ唬䑓착_x0018_＀＀_x0018_＀＀_x0008_＀＀_x0001_＀＀_x0001_＀＀＀＀＀＀䂍㓗䣦_x0013_位灞楲散 ⼱㜱㈯〰찳_x0018_＀＀_x0018_＀＀_x0008_＀＀_x0001_＀＀_x0001_＀＀㌴㌳䁄﹒䨰:位坞当䕐华佉彎十䕓協偟佒⡐㈱㈯〰⤵䍀彁䕐华偟呃剟⡅㈱㈯〰⤵_x0018_＀＀_x0018_＀＀_x0008_＀＀_x0001_＀＀_x0001_＀＀＀＀＀＀＀＀㿰㓗䣦_x0013_位灞楲散 ⼹㔰㈯〰참_x0018_＀＀_x0018_＀＀_x0008_＀＀_x0001_＀＀_x0001_＀＀㌳㌳䀴㲜䨰B单幔䅃偟久当佒⡁㈱㈯〰ⰴⰬ唬䑓䀩南偟久䥓乏䕟偘剟䅏ㄨ⼲〲㐰ⰬⰬ单⥄_x0018_＀＀_x0018_＀＀_x0008_＀＀_x0001_＀＀_x0001_＀＀磕⛩䠱쀷㲜䨰J单幔䅃偟久当佒彁䅒䕔ㄨ⼲〲㈰ⰬⰬ单⥄址当䕐华佉彎塅彐呌剟䅏ㄨ⼲〲㈰ⰬⰬ单⥄_x0018_＀＀_x0018_＀＀_x0008_＀＀_x0001_＀＀_x0001_＀＀＀＀＀＀耀䀢㓗䣦_x0013_位灞楲散㄁⼰㈲㈯〰찴_x0018_＀＀_x0018_＀＀_x0008_＀＀_x0001_＀＀_x0001_＀＀晧晦晦䁇㲜䨰)单幔南䡟呌䍈剁彅䥄䍓剟呁⡅㈱㈯〰ⰴⰬ唬䑓착_x0018_＀＀_x0018_＀＀_x0008_＀＀_x0001_＀＀_x0001_＀＀＀＀＀＀＀＀䀘㲜䨰&amp;单幔䅃偟久当十彔义䅔䝎ㄨ⼲〲㄰ⰬⰬ单⥄_x0018_＀＀_x0018_＀＀_x0008_＀＀_x0001_＀＀_x0001_＀＀豀碵꼝쐕﹒䨰:位坞当䕐华佉彎十䕓協䕟啑⡉㈱㈯</t>
        </r>
      </text>
    </comment>
    <comment ref="A3" authorId="0">
      <text>
        <r>
          <rPr>
            <b/>
            <sz val="8"/>
            <color indexed="81"/>
            <rFont val="Tahoma"/>
            <family val="2"/>
          </rPr>
          <t>〰⤶䍀彁䕐华偟呃䕟⡑㈱㈯〰⤶_x0018_＀＀_x0018_＀＀_x0008_＀＀_x0001_＀＀_x0001_＀＀＀＀＀＀쀀䁐㓗䣦_x0013_位灞楲散㄁⼱㈱ㄯ㤹찹_x0018_＀＀_x0018_＀＀_x0008_＀＀_x0001_＀＀_x0001_＀＀＀＀＀＀ 䀹㲜䨰#单幔䅃偟协剔呅䱟䅉⡂㈱㈯〰ⰲⰬ唬䑓착_x0018_＀＀_x0018_＀＀_x0008_＀＀_x0001_＀＀_x0001_＀＀컙号巣쁔㲜䨰%单幔䅃偟久当呌䅟卓呅⡓㈱㈯〰ⰲⰬ唬䑓착_x0018_＀＀_x0018_＀＀_x0008_＀＀_x0001_＀＀_x0001_＀＀豀碵꼝쐕㩾䨰I位䍞彁䕐华䑟卉彃䅒䕔ㄨ⼲〲㐰ⰬⰬ单⥄址当䕐华佉彎䥄䍓剟呁⡅㈱㈯〰ⰴⰬ唬䑓착_x0018_＀＀_x0018_＀＀_x0008_＀＀_x0001_＀＀_x0001_＀＀＀＀＀＀＀＀䀗㩾䨰G位䍞彁䕐华䥟呎䍟协⡔㈱㈯〰ⰶⰬ唬䑓䀩南偟久䥓乏䥟呎䍟协⡔㈱㈯〰ⰶⰬ唬䑓착_x0018_＀＀_x0018_＀＀_x0008_＀＀_x0001_＀＀_x0001_＀＀＀＀＀＀䂌㲜䨰T单幔䅃偟协剔呅偟䥒剏卟噒ㄨ⼲〲㈰ⰬⰬ单⥄址当䱈䡔䅃䕒啟剎䍅卟剅彖佃呓ㄨ⼲〲㈰ⰬⰬ单⥄_x0018_＀＀_x0018_＀＀_x0008_＀＀_x0001_＀＀_x0001_＀＀࠱Წꑚ쀰﹓䨰L位䍞彁佐呓䕒彔剓彖佃呓ㄨ⼲〲㠰ⰬⰬ单⥄址当䱈䡔䅃䕒卟剅彖佃呓ㄨ⼲〲㠰ⰬⰬ单⥄_x0018_＀＀_x0018_＀＀_x0008_＀＀_x0001_＀＀_x0001_＀＀＀＀＀＀耀䁄㓗䣦_x0013_位灞楲散 ⼷㌲㈯〰찴_x0018_＀＀_x0018_＀＀_x0008_＀＀_x0001_＀＀_x0001_＀＀晧晦Ꙧ䁇㲜䨰(单幔䅃偟久当䅐呒䍟乏剔䉉ㄨ⼲〲㄰ⰬⰬ单⥄_x0018_＀＀_x0018_＀＀_x0008_＀＀_x0001_＀＀_x0001_＀＀＀＀＀＀＀＀＀＀㲛䨰J单幔䅃偟久当䱐乁䅟呓ㄨ⼲〲㜰ⰬⰬ单⥄址当䕐华佉彎䅖彌十䕓協ㄨ⼲〲㜰ⰬⰬ单⥄_x0018_＀＀_x0018_＀＀_x0008_＀＀_x0001_＀＀_x0001_＀＀ᢔ嘄䁹㩾䨰I位䍞彁䕐华偟䅌彎十⡔㈱㈯〰ⰲⰬ唬䑓䀩南偟久䥓乏噟䱁䅟卓呅⡓㈱㈯〰ⰲⰬ唬䑓착_x0018_＀＀_x0018_＀＀_x0008_＀＀_x0001_＀＀_x0001_＀＀＀＀＀＀놀䃃㩾䨰B位䍞彁䕐华偟佒彊䉏⡌㈱㈯〰ⰴⰬ唬䑓䀩南偟久䥓乏偟佂ㄨ⼲〲㐰ⰬⰬ单⥄_x0018_＀＀_x0018_＀＀_x0008_＀＀_x0001_＀＀_x0001_＀＀＀＀＀＀뉀䃐㓗䣦_x0013_位灞楲散 ⼶ㄲ㈯〰찲_x0018_＀＀_x0018_＀＀_x0008_＀＀_x0001_＀＀_x0001_＀＀㌳㌳匳䁊㲜䨰*单幔南䡟呌䍈剁彅塅彐呌剟䅏ㄨ⼲〲㔰ⰬⰬ单⥄_x0018_＀＀_x0018_＀＀_x0008_＀＀_x0001_＀＀_x0001_＀＀豀碵꼝쐕﹓䨰D位䍞彁佐呓䕒彔䕂彎䉏ㄨ⼲〲㄰ⰬⰬ单⥄址当䱈䡔䅃䕒偟佂ㄨ⼲〲㄰ⰬⰬ单⥄_x0018_＀＀_x0018_＀＀_x0008_＀＀_x0001_＀＀_x0001_＀＀豀碵꼝쐕㓗䣦_x0013_位灞楲散 ⼸㌱ㄯ㤹찹_x0018_＀＀_x0018_＀＀_x0008_＀＀_x0001_＀＀_x0001_＀＀＀＀＀＀뀀䁁㲜䨰%单幔䅃偟久当佃偍剟呁⡅㈱㈯〰ⰱⰬ唬䑓착_x0018_＀＀_x0018_＀＀_x0008_＀＀_x0001_＀＀_x0001_＀＀㌴㌳㌳䀓㲜䨰H单幔䅃偟久当义彔佃呓ㄨ⼲〲㄰ⰬⰬ单⥄址当䕐华佉彎义彔佃呓ㄨ⼲〲㄰ⰬⰬ单⥄_x0018_＀＀_x0018_＀＀_x0008_＀＀_x0001_＀＀_x0001_＀＀멞౉쬂䀸㓗䣦_x0013_位灞楲散 ⼶㔱㈯〰찱_x0018_＀＀_x0018_＀＀_x0008_＀＀_x0001_＀＀_x0001_＀＀尩슏⣵䁇㩾䨰B位䍞彁䕐华偟佒彊䉏⡌㈱㈯〰ⰳⰬ唬䑓䀩南偟久䥓乏偟佂ㄨ⼲〲㌰ⰬⰬ单⥄_x0018_＀＀_x0018_＀＀_x0008_＀＀_x0001_＀＀_x0001_＀＀＀＀＀＀ﮀ䃌㓗䣦_x0013_位灞楲散 ⼲㠱㈯〰찰_x0018_＀＀_x0018_＀＀_x0008_＀＀_x0001_＀＀_x0001_＀＀＀＀＀＀ꀀ䀳㓗䣦_x0013_位灞楲散 ⼴㘱ㄯ㤹찹_x0018_＀＀_x0018_＀＀_x0008_＀＀_x0001_＀＀_x0001_＀＀＀＀＀＀怀䁁㲜䨰,单幔䅃偟协剔呅䕟偍䍟乏剔䉉䍟ㄨ⼲〲㌰ⰬⰬ单⥄_x0018_＀＀_x0018_＀＀_x0008_＀＀_x0001_＀＀_x0001_＀＀＀＀＀＀＀＀＀＀㲜䨰I单幔䅃偟久当剓彖佃呓ㄨ⼲〲㌰ⰬⰬ单⥄址当䕐华佉彎䕓噒䍟协⡔㈱㈯〰ⰳⰬ唬䑓착_x0018_＀＀_x0018_＀＀_x0008_＀＀_x0001_＀＀_x0001_＀＀司ꗣ䒛䀯㲛䨰&amp;单幔䅃偟久当十彔义䅔䝎ㄨ⼲〲㜰ⰬⰬ单⥄_x0018_＀＀_x0018_＀＀_x0008_＀＀_x0001_＀＀_x0001_＀＀豀碵꼝쐕㓗䣦_x0013_位灞楲散 ⼲㐲㈯〰찶_x0018_＀＀_x0018_＀＀_x0008_＀＀_x0001_＀＀_x0001_＀＀쳍쳌᳌䁒䨿%潭灞灟楲散慟杶ㄨㄯ㈯〰ⰷ㈱㌯⼱〲㜰搬착߰＀＀_x0018_＀＀ߠ＀＀ü＀＀_x0001_＀＀劔_xDD25_䀳⪯껻؈䀴̱䦕䀴뤤蟼⯴䀴ꅷ亹崣䀴թ겆敮䀴豪凖ꓕ䀴캛َ녇䀴懥횡眴䀴獭穣ꫂ䀴㾑耘䀴픒孛䀴ᑑᏨ㉹䀴暻췲✶䀴㻖輝候䀴̱妕䀴թ겆啮䀴觋ᕶ幒䀴䞚惾懠䀴衻睆䌐䀴Й๖㨭䀴쪬⮾㾂䀴젍ࣾ䀴敫⿂᯵䀴瑔霤䀳䬟먟䀳馚香릙䀳娈ↁ쎫䀳鰹헹퀜䀳⥟჋䀳꼑៫ﻬ䀳㈣䀳귁离䀳䉛䀳兄侠쇤䀳鈦旨ꌔ䀳赐溗쌒䀳츲蓟푂䀳켘ꆠ≿䀳꧒鼫臥䀳枡蕳䀳⋑率剾䀳췉Ͱܾ䀳먋꒽許䀳_xDD1B_녌䀳뚅䮜䀳탑섿᫅䀴꼑៫໬䀴廝ᣒ玭䀳﫬묅歡䀳쮒䡿鶿䀳㛸_xD9FD_鲏䀳馚香릙䀳猄_xDDBD_䀳욽儮䀳搜醒䀳걲_xDB8B_졨䀳ꦘ䀳_xDD1B_녌䀳⇫_xDD1A_䀳䓺⒞⭝䀴_xDC34_쾀匏䀴먋꒽਱䀵鯐咊笘䀵䝰ⴸ른䀵猙዗퇲䀵춟쾪軕䀵颳糘ꍜ䀵绥ꊇ潀䀵臭恖鋈䀵磁ആ珽䀵饛䯰擽䀵檔躟瓇䀵杸뛭鴋䀵ᙉ脰杛䀵㌳㌳猳䀵⪚锘懔䀵墹荑適䀵쑝扷믖䀵⪚锘懔䀵쏞眥䀵陓踡䅵䀵鋶㣆䀵⇿偵䀵㯎텎蒑䀵ꞇ쩗搲䀵ද嗼䀵쬿ⳮ䀵꠯饯◓䀵珫ᖵﯻ䀴㍉䴖❧䀵ᾋ㩚䀵ࠝˉ栦䀵䑨潩闰䀵借缊䀵臭恖鋈䀵⽯豩_xD9D6_䀵䧐ᯯ᭟䀶喇醼ѹ䀶쑝扷믖䀵䠖푐䀵ꄸĐ䀶븣댓౞䀶愾މ䀵瓧䱙♬䀶颲ⓘ䀶蝪⚿챫䀵泴絖횮䀵㌳㌳猳䀵瀒唈깪䀵㻖輝ꠙ䀵慓Ⅼꇈ䀵Ő鸰ꭁ䀵쑝扷믖䀵閖ꔦ쮠䀵颳糘ꍜ䀵뙆ﷳ烔䀵숒趣ร䀵獂⚝䀵芪䥑࢝䀵䈈育㐉䀵摰爛禃䀵ݵ㎱ꚅ䀵墹荑適䀵慓Ⅼꇈ䀵逄쓚_xDDC9_䀵ۍ撙䀵嬙爈䀵汍긾ᔍ䀶퓩쾕ᳲ䀶喜ꮟ뢭䀵鸱䍁_xDCFF_䀵ꚵ읹㨩䀶퓩쾕ᳲ䀶⑋쯑︨䀵ﬖ﯉䀵瀒唈깪䀵⛕졷䀵攂깓蛰䀵ợὋ確䀵ꭌ無ﶏ䀴곙䀴熋⛾騔䀴ቅ貽ᥢ䀴矅홢䦋䀴뫇趸耆䀴ၢ㥘袴䀴ᨢ䇝듬䀴ꁒ詉䀴㱵ꁦ䘲䀵籰駭夥䀵쏞眥䀵书얗_xDEC4_䀴龪ᔷ좩䀴휊炣쨽䀴꣬艪鮨䀴䣾ᤑ奖䀴恗睖䀴烣埦_xD873_䀴䋄榭꧞䀴䭞߈묽䀴鶲꟯ெ䀵ꈊϮ⪐䀵匼볨囆䀵杸뛭鴋䀵댾䀤䵍䀵攂깓蛰䀵丹켬它䀵ࠝˉ栦䀵⛪࠱粬䀵ꈊϮ⪐䀵숒趣ร䀵龪ᔷ좩䀴⣡畹솎䀴㨕놯䀴福렧텘䀴풖栉됢䀴毹䚲갽䀴䋄榭꧞䀴ꭌ無ﶏ䀴뛮촋㉵䀵屽⨛⧆䀵⭁搰⍵䀵슥䋘ᮐ䀵鶲꟯ெ䀵磕⛩⠱䀵䞅䜛涬䀵ﯓퟆ熞䀵㯎텎蒑䀵臭恖鋈䀵阾琾赁䀵઒ୣ繁䀵磁ആ珽䀵癋Ѭ巢䀵䪌Ӫ鄴䀵㘼隺䀵臭恖鋈䀵〗宁魷䀵寀䄠돱䀵퓾턦䀵셀諅䀵鸱䍁_xDCFF_䀵㽼븵䀵蛃垧૊䀶_xDE16_⋥㮾䀶髿冬儏䀶㉢さ䤪䀶~魒脸䀶~魒脸䀶㵱휊炣䀶醽縏䀶ᬉ庞⬩䀶椰회㵑䀶髿冬儏䀶莑昒绚䀶莦翵㌎䀶竷쟷浻䀶褣䙞沱䀶䤨䳗妾䀶悁Ẏ瞿䀶쎡祼䘁䀶矯ਨ䧴䀶ᝄ럔里䀶ㄒ鈥엨䀶됥峥쎊䀶位唁䀶~魒脸䀶৕≨࡬䀶殐앃鼸䀶拡൅_xD9A6_䀶㦃ﱺ滞䀷؏䀷⨇_xDFE3_䀷ᭈ걇_xDFC5_䀷⑵_xFFFF_ﾗﺐ䀷⑵_xFFFF_ﾗﺐ䀷꛵ᔢ䀷웧蓴ḥ䀸鯥湭음䀷ť렓䀷떳䢾ﭨ䀷븍넰䀷ﯽ஌爇䀷蔴毎櫬䀷ᗋ꘢䀷_xDE55_炎䀷助޳䀷澔릶䀷᧷䀷뼊쿔芛䀷Ȣꄎ浊䀷콖佉䀷㲜䨰J单幔䅃偟协剔呅剟䅏䅟呃ㄨ⼲〲㜰ⰬⰬ单⥄址当䱈䡔䅃䕒䅟呃剟䅏ㄨ⼲〲㜰ⰬⰬ单⥄_x0018_＀＀_x0018_＀＀_x0008_＀＀_x0001_＀＀_x0001_＀＀＀＀＀＀＀＀＀＀㲜䨰C单幔䅃偟久当剐䩏佟䱂ㄨ⼲〲㔰ⰬⰬ单⥄址当䕐华佉彎䉐⡏㈱㈯〰ⰵⰬ唬䑓착_x0018_＀＀_x0018_＀＀_x0008_＀＀_x0001_＀＀_x0001_＀＀茓쫀떡䂀㓗䣦_x0013_位灞楲散 ⼶㔱㈯〰찷_x0018_＀＀_x0018_＀＀_x0008_＀＀_x0001_＀＀_x0001_＀＀ᑻ䞮ꫡ䁑㓗䣦_x0013_位灞楲散㄁⼱㌲㈯〰찱_x0018_＀＀_x0018_＀＀_x0008_＀＀_x0001_＀＀_x0001_＀＀㌴㌳猳䁇㲜䨰F单幔䅃偟协剔呅剟䅏ㄨ⼲〲㜰ⰬⰬ单⥄址当䱈䡔䅃䕒䕟偘剟䅏ㄨ⼲〲㜰ⰬⰬ单⥄_x0018_＀＀_x0018_＀＀_x0008_＀＀_x0001_＀＀_x0001_＀＀馚香香쀔﹓䨰,位䍞彁佐呓䕒彔剕呟归䉏䅟位呒ㄨ⼲〲㔰ⰬⰬ单⥄_x0018_＀＀_x0018_＀＀_x0008_＀＀_x0001_＀＀_x0001_＀＀＀＀＀＀＀＀＀＀㲛䨰(单幔䅃偟久当䅐呒䍟乏剔䉉ㄨ⼲〲㜰ⰬⰬ单⥄_x0018_＀＀_x0018_＀＀_x0008_＀＀_x0001_＀＀_x0001_＀＀＀＀＀＀＀＀＀＀㩾䨰$位䍞彁䕐华䱟彔十䕓協ㄨ⼲〲㈰ⰬⰬ单⥄_x0018_＀＀_x0018_＀＀_x0008_＀＀_x0001_＀＀_x0001_＀＀豀碵꼝쐕㩾䨰E位䍞彁䕐华剟䅏䅟呃ㄨ⼲〲㘰ⰬⰬ单⥄址当䕐华佉彎䍁彔佒⡁㈱㈯〰ⰶⰬ唬䑓착_x0018_＀＀_x0018_＀＀_x0008_＀＀_x0001_＀＀_x0001_＀＀＀＀＀＀␀䂢㓗䣦_x0013_位灞楲散 ⼲㠱㈯〰찵_x0018_＀＀_x0018_＀＀_x0008_＀＀_x0001_＀＀_x0001_＀＀馚香㦙䁐㓗䣦_x0013_位灞楲散 ⼸〳㈯〰찲_x0018_＀＀_x0018_＀＀_x0008_＀＀_x0001_＀＀_x0001_＀＀＀＀＀＀＀＀䁉㲜䨰G单幔䅃偟协剔呅䍟协⡔㈱㈯〰ⰲⰬ唬䑓䀩南䡟呌䍈剁彅偎彐塅⡐㈱㈯〰ⰲⰬ唬䑓착_x0018_＀＀_x0018_＀＀_x0008_＀＀_x0001_＀＀_x0001_＀＀뙆ﷳ磔䀌㲜䨰Q单幔䅃偟久当䍁啃彍佃偍䥒䍎ㄨ⼲〲㌰ⰬⰬ单⥄址当佃偍归义彃䕐华䱟䅉⡂㈱㈯〰ⰳⰬ唬䑓착_x0018_＀＀_x0018_＀＀_x0008_＀＀_x0001_＀＀_x0001_＀＀_xDF3C_赏ທ䀺㓗䣦_x0013_位灞楲散㄁⼲㤱㈯〰찳_x0018_＀＀_x0018_＀＀_x0008_＀＀_x0001_＀＀_x0001_＀＀⣶轜痂䁋㓗䣦_x0013_位灞楲散㄁⼱㜱㈯〰찰_x0018_＀＀_x0018_＀＀_x0008_＀＀_x0001_＀＀_x0001_＀＀＀＀＀＀堀䁂㩾䨰&amp;位䍞彁䕐华䙟乕彄呓呁单ㄨ⼲〲㐰ⰬⰬ单⥄_x0018_＀＀_x0018_＀＀_x0008_＀＀_x0001_＀＀_x0001_＀＀＀＀＀＀舀䂪㓗䣦_x0013_位灞楲散 ⼹㘲㈯〰찳_x0018_＀＀_x0018_＀＀_x0008_＀＀_x0001_＀＀_x0001_＀＀쳍쳌곌䁅㲜䨰%单幔䅃偟久当佃偍剟呁⡅㈱㈯〰ⰷⰬ唬䑓착_x0018_＀＀_x0018_＀＀_x0008_＀＀_x0001_＀＀_x0001_＀＀㌴㌳㌳䀓㓗䣦_x0013_位灞楲散 ⼸㐲㈯〰찱_x0018_＀＀_x0018_＀＀_x0008_＀＀_x0001_＀＀_x0001_＀＀晧晦虦䁇㲜䨰C单幔䅃偟久当剐䩏佟䱂ㄨ⼲〲㐰ⰬⰬ单⥄址当䕐华佉彎䉐⡏㈱㈯〰ⰴⰬ唬䑓착_x0018_＀＀_x0018_＀＀_x0008_＀＀_x0001_＀＀_x0001_＀＀䷓ၢ하䁾㓗䣦_x0013_位灞楲散㄁⼱㌲㈯〰찷_x0018_＀＀_x0018_＀＀_x0008_＀＀_x0001_＀＀_x0001_＀＀䞮竡㸔䁒㓗䣦_x0013_位灞楲散㄁⼱㈰㈯〰찱_x0018_＀＀_x0018_＀＀_x0008_＀＀_x0001_＀＀_x0001_＀＀炤਽⏗䁈㓗䣦_x0013_位灞楲散 ⼳ㄳ㈯〰찰_x0018_＀＀_x0018_＀＀_x0008_＀＀_x0001_＀＀_x0001_＀＀＀＀＀＀ 䀵㲜䨰E单幔䅃偟协剔呅䉟久佟⡂㈱㈯〰ⰶⰬ唬䑓䀩南䡟呌䍈剁彅䉐⡏㈱㈯〰ⰶⰬ唬䑓착_x0018_＀＀_x0018_＀＀_x0008_＀＀_x0001_＀＀_x0001_＀＀⣶轜◂䁗㓗䣦_x0013_位灞楲散㄁⼲㤱㈯〰참_x0018_＀＀_x0018_＀＀_x0008_＀＀_x0001_＀＀_x0001_＀＀Ẹ롑䀴㓗䣦_x0013_位灞楲散 ⼸㠱㈯〰찰_x0018_＀＀_x0018_＀＀_x0008_＀＀_x0001_＀＀_x0001_＀＀＀＀＀＀᠀䁀㓗䣦_x0013_位灞楲散 ⼶㔲ㄯ㤹찹_x0018_＀＀_x0018_＀＀_x0008_＀＀_x0001_＀＀_x0001_＀＀＀＀＀＀頀䁄</t>
        </r>
      </text>
    </comment>
  </commentList>
</comments>
</file>

<file path=xl/sharedStrings.xml><?xml version="1.0" encoding="utf-8"?>
<sst xmlns="http://schemas.openxmlformats.org/spreadsheetml/2006/main" count="2153" uniqueCount="1081">
  <si>
    <t>Short Term</t>
  </si>
  <si>
    <t>1Q00</t>
  </si>
  <si>
    <t>2Q00</t>
  </si>
  <si>
    <t>3Q00</t>
  </si>
  <si>
    <t>Interest Expense</t>
  </si>
  <si>
    <t xml:space="preserve">   Chateau Ste. Michelle</t>
  </si>
  <si>
    <t xml:space="preserve">   Columbia Crest</t>
  </si>
  <si>
    <t xml:space="preserve">   Total wine</t>
  </si>
  <si>
    <t>4Q10</t>
  </si>
  <si>
    <t xml:space="preserve">   Total Capital</t>
  </si>
  <si>
    <t xml:space="preserve">   ROIC</t>
  </si>
  <si>
    <t xml:space="preserve">   NOPAT Margin (ex-SABMiller)</t>
  </si>
  <si>
    <t>Balance Sheet Ratios</t>
  </si>
  <si>
    <t>Cash Conversion Cycle</t>
  </si>
  <si>
    <t>Days Receivable Outstanding</t>
  </si>
  <si>
    <t>Inventory Days on Hand</t>
  </si>
  <si>
    <t>Days Payable Outstanding</t>
  </si>
  <si>
    <t>Other Ratios</t>
  </si>
  <si>
    <t>Accounts Receivable / Net Sales</t>
  </si>
  <si>
    <t>Receivables Turnover</t>
  </si>
  <si>
    <t>Inventory / COGS</t>
  </si>
  <si>
    <t>Retail Market Share</t>
  </si>
  <si>
    <t>Inventory Turnover</t>
  </si>
  <si>
    <t>Accounts Payable / COGS</t>
  </si>
  <si>
    <t>Accounts Payable Turnover</t>
  </si>
  <si>
    <t>Premium Goodwill on Acquisition</t>
  </si>
  <si>
    <t>Treasury Stock</t>
  </si>
  <si>
    <t>Total Assets</t>
  </si>
  <si>
    <t>Gaap Net Income</t>
  </si>
  <si>
    <t>K tax</t>
  </si>
  <si>
    <t>1Q12</t>
  </si>
  <si>
    <t>Current Share Price</t>
  </si>
  <si>
    <t>1Q09</t>
  </si>
  <si>
    <t>2Q09</t>
  </si>
  <si>
    <t>Goodwill</t>
  </si>
  <si>
    <t>Smokeable Products</t>
  </si>
  <si>
    <t>Debt/EBITDA</t>
  </si>
  <si>
    <t xml:space="preserve">   Leverage (Net Debt / Equity)</t>
  </si>
  <si>
    <t>Change in cash and equivalents</t>
  </si>
  <si>
    <t>Cash and equivalents, Ending</t>
  </si>
  <si>
    <t>Levered FCF</t>
  </si>
  <si>
    <t>Unlevered FCF</t>
  </si>
  <si>
    <t>Discretionary Cash Flow (Levered FCF - Dividends)</t>
  </si>
  <si>
    <t>4Q98</t>
  </si>
  <si>
    <t>1Q99</t>
  </si>
  <si>
    <t>2Q99</t>
  </si>
  <si>
    <t>3Q99</t>
  </si>
  <si>
    <t>2Q04</t>
  </si>
  <si>
    <t>PM USA</t>
  </si>
  <si>
    <t>4Q99</t>
  </si>
  <si>
    <t>Smokable</t>
  </si>
  <si>
    <t>PM USA/Middleton Split</t>
  </si>
  <si>
    <t>OCI</t>
  </si>
  <si>
    <t>Levered FCF per Share</t>
  </si>
  <si>
    <t>Unlevered FCF per Share</t>
  </si>
  <si>
    <t>Levered FCF Yield</t>
  </si>
  <si>
    <t>Unlevered FCF Yield</t>
  </si>
  <si>
    <t>Virginia Slims</t>
  </si>
  <si>
    <t>Total Premium</t>
  </si>
  <si>
    <t>Total Discount</t>
  </si>
  <si>
    <t xml:space="preserve">   Other Premium</t>
  </si>
  <si>
    <t xml:space="preserve">   Other Discount</t>
  </si>
  <si>
    <t>Market Share</t>
  </si>
  <si>
    <t>Other</t>
  </si>
  <si>
    <t>SAB.L,mscalc:netIncome,2008Q1,,FYR</t>
  </si>
  <si>
    <t xml:space="preserve">   Cost of debt</t>
  </si>
  <si>
    <t xml:space="preserve">   Interest on average debt</t>
  </si>
  <si>
    <t>COGS/SG&amp;A</t>
  </si>
  <si>
    <t>MO.N,mstag:revenueNet,2010FY,,FYR,,,IN-PROGRESS</t>
  </si>
  <si>
    <t>$CP$2</t>
  </si>
  <si>
    <t>1,813</t>
  </si>
  <si>
    <t>SAB.L,mscalc:netIncome,2008H1,,FYR</t>
  </si>
  <si>
    <t>Effect of Exchange Rate</t>
  </si>
  <si>
    <t>Total</t>
  </si>
  <si>
    <t>NA</t>
  </si>
  <si>
    <t>New Debt ($4.225 Bn)</t>
  </si>
  <si>
    <t>SAB.L,mscalc:netIncomeBeforeOperatingLeaseAdjustment,2010H2,,FYR,USD</t>
  </si>
  <si>
    <t>2,050.43051423265</t>
  </si>
  <si>
    <t>SAB.L,mscalc:netIncomeBeforeOperatingLeaseAdjustment,2010H2,,FYR</t>
  </si>
  <si>
    <t xml:space="preserve">   Total Cans</t>
  </si>
  <si>
    <t>Noncontrolling interests</t>
  </si>
  <si>
    <t>R&amp;D Expense</t>
  </si>
  <si>
    <t xml:space="preserve">   % of Net Sales</t>
  </si>
  <si>
    <t>Operating Companies Income</t>
  </si>
  <si>
    <t>1Q11</t>
  </si>
  <si>
    <t>Depreciation Expense</t>
  </si>
  <si>
    <t>Reported Sales Growth</t>
  </si>
  <si>
    <t xml:space="preserve">   Finished Product</t>
  </si>
  <si>
    <t>This sheet contains Factset binary data for use with this workbook's =FDS codes.  Modifying the worksheet's contents may damage the workbook's =FDS functionality.</t>
  </si>
  <si>
    <t>SAB.L,mscalc:netIncome,2007FY,,FYR</t>
  </si>
  <si>
    <t>1,795.85280314</t>
  </si>
  <si>
    <t>CHECK</t>
  </si>
  <si>
    <t>NM</t>
  </si>
  <si>
    <t>Acquisitions and Disposals</t>
  </si>
  <si>
    <t>Total Consumer Products Assets</t>
  </si>
  <si>
    <t xml:space="preserve">   % Margin (Net revenues)</t>
  </si>
  <si>
    <t>Parliament</t>
  </si>
  <si>
    <t>Marlboro</t>
  </si>
  <si>
    <t>Other Current Assets</t>
  </si>
  <si>
    <t>MO.N,mstag:statutoryTaxRate,2002FY,,FYR</t>
  </si>
  <si>
    <t>MO.N,mstag:statutoryTaxRate,2007FY,,FYR</t>
  </si>
  <si>
    <t>Pre-Existing/Short-Term Debt - Beginning</t>
  </si>
  <si>
    <t>1,036.47007120979</t>
  </si>
  <si>
    <t>SAB.L,mscalc:netIncome,2008H1,,CY</t>
  </si>
  <si>
    <t>1,116.62192459845</t>
  </si>
  <si>
    <t>SAB.L,mscalc:netIncome,2008FY,,FYR</t>
  </si>
  <si>
    <t>General corporate expense</t>
  </si>
  <si>
    <t>Amortization of goodwill</t>
  </si>
  <si>
    <t>Net Sales</t>
  </si>
  <si>
    <t>Opening debt</t>
  </si>
  <si>
    <t>Additions</t>
  </si>
  <si>
    <t>Repayments</t>
  </si>
  <si>
    <t>Capex</t>
  </si>
  <si>
    <t>Bridge Loan / Scenario Debt</t>
  </si>
  <si>
    <t>Accumulated Depreciation</t>
  </si>
  <si>
    <t>2Q12</t>
  </si>
  <si>
    <t>Interest &amp; other debt expense, net</t>
  </si>
  <si>
    <t>Liabilities and Shareholders' Equity:</t>
  </si>
  <si>
    <t>MO.N,mscalc:targetPrice,,,,USD</t>
  </si>
  <si>
    <t>Divestitures</t>
  </si>
  <si>
    <t>Repurchase of Kraft Stock</t>
  </si>
  <si>
    <t>Retail market share (restated)</t>
  </si>
  <si>
    <t>Total Liabilities and Shareholders' Equity</t>
  </si>
  <si>
    <t>% Allocation of corp expense</t>
  </si>
  <si>
    <t>Corp Expense Allocation</t>
  </si>
  <si>
    <t>PM USA Net Revenue</t>
  </si>
  <si>
    <t>Total Debt</t>
  </si>
  <si>
    <t>1Q14</t>
  </si>
  <si>
    <t>Initial SG&amp;A commitment (2007)</t>
  </si>
  <si>
    <t>Long term debt</t>
  </si>
  <si>
    <t>Balance Sheet</t>
  </si>
  <si>
    <t>SAB.L,mscalc:netIncome,2007H1,,CY</t>
  </si>
  <si>
    <t>949.85280314</t>
  </si>
  <si>
    <t>SAB.L,mscalc:netIncome,2007H2,,CY</t>
  </si>
  <si>
    <t>SAB.L,mscalc:netIncome,2004FY,,CY</t>
  </si>
  <si>
    <t>Net PP&amp;E</t>
  </si>
  <si>
    <t>Total Current Assets</t>
  </si>
  <si>
    <t>Total Current Liabilities</t>
  </si>
  <si>
    <t>Other Accrued Liabilities</t>
  </si>
  <si>
    <t>ST Debt Plus Current Maturities of LT Debt</t>
  </si>
  <si>
    <t>Total Liabilities</t>
  </si>
  <si>
    <t>4Q04</t>
  </si>
  <si>
    <t>Miller Brewing</t>
  </si>
  <si>
    <t xml:space="preserve">   Copenhagen</t>
  </si>
  <si>
    <t xml:space="preserve">   Skoal</t>
  </si>
  <si>
    <t xml:space="preserve">   Red Seal/Other</t>
  </si>
  <si>
    <t>Ratio Analysis</t>
  </si>
  <si>
    <t>RNOA</t>
  </si>
  <si>
    <t>H4sIAA4rU5QA/82Vy07DMBBF/yiMx3Y8JvIiDwtFhBLlsWCFqjS7Nq0KLCpF/XYCi/AIRUKpVbz33HOubblK41tbmDKMvCxIokV4Z83mqVmum+uufU67Zrtpg7IKK2vyOsrSOMhtkd4nBgH8IA4zUxW1DeK6KOwifjB1mQR9zzylJUkk4Izrt2V1aKvDrjVhvVtvl6t2Fb/s923XHMxNlF8N247HmSz/DGHs5hIs6uTRoAdKgBRSKZQoSPCRxTpjOdHLxVneEaQUSjPyBQdS+EEwN8nhcJpqIGPEEaXgihj450v6y/C+n5emp14SBJEm0IKBQDXPq7D545jGwHHaZy/nKu7of+pJcy6Hp4sShsuttTinC3Md9702tzIu+SdVcY8j+UxryTgMfw6jc8qg67ivvbmW+T3hFc8QI80aCQAAAAAAAAAAAAAAAAAAAAAAAAAAAAAAAAAAAAAAAAAAAAAAAAAAAAAAAAAAAAAAAAAAAAAAAAAAAAAAAAAAAAAAAAAAAAAAAAAAAAAAAAAAAAAAAAAAAAAAAAAAAAAAAAAAAAAAAAAAAAAAAAAAAAAAAAAAAAAAAAAAAAAAAAAAAAAAAAAAAAAAAAAAAAAAAAAAAAAAAAAAAAAAAAAAAAAAAAAAAAAAAAAAAAAAAAAAAAAAAAAAAAAAAAAAAAAAAAA=</t>
  </si>
  <si>
    <t xml:space="preserve">   Short Term Debt</t>
  </si>
  <si>
    <t xml:space="preserve">   Long Term Debt</t>
  </si>
  <si>
    <t>Actual Equity Earnings</t>
  </si>
  <si>
    <t>MO % Ownership</t>
  </si>
  <si>
    <t>Accounts Payable</t>
  </si>
  <si>
    <t>3Q04</t>
  </si>
  <si>
    <t xml:space="preserve">   Other Liabilities</t>
  </si>
  <si>
    <t>Intangible Assets</t>
  </si>
  <si>
    <t>3Q14</t>
  </si>
  <si>
    <t>Redeemable noncontrolling interest</t>
  </si>
  <si>
    <t xml:space="preserve">   Interest rate earned</t>
  </si>
  <si>
    <t xml:space="preserve">   Interest income</t>
  </si>
  <si>
    <t>Statutory Tax Rate %</t>
  </si>
  <si>
    <t xml:space="preserve">   Deferred Income Taxes</t>
  </si>
  <si>
    <t>Gross Sales</t>
  </si>
  <si>
    <t>Reconciliation to GAAP Net Income:</t>
  </si>
  <si>
    <t>SAB.L,mscalc:netIncome,2010FY,,FYR</t>
  </si>
  <si>
    <t xml:space="preserve">      Total Premium</t>
  </si>
  <si>
    <t xml:space="preserve">      Total MST</t>
  </si>
  <si>
    <t xml:space="preserve">      % Growth</t>
  </si>
  <si>
    <t>Basic</t>
  </si>
  <si>
    <t>Minority Interest Analysis</t>
  </si>
  <si>
    <t>Postretirement Benefits</t>
  </si>
  <si>
    <t xml:space="preserve">   % Chg</t>
  </si>
  <si>
    <t>1Q08</t>
  </si>
  <si>
    <t>2Q08</t>
  </si>
  <si>
    <t>Discount Cans</t>
  </si>
  <si>
    <t xml:space="preserve">   Premium Mix</t>
  </si>
  <si>
    <t xml:space="preserve">   Discount Mix</t>
  </si>
  <si>
    <t>Other Investing Activities</t>
  </si>
  <si>
    <t>Net Interest Expense on Acquisition Debt</t>
  </si>
  <si>
    <t>Debt assumed from UST</t>
  </si>
  <si>
    <t>Equity income</t>
  </si>
  <si>
    <t>Total Return of Capital Ratio (%)</t>
  </si>
  <si>
    <t>Cash in Escrow deposits</t>
  </si>
  <si>
    <t>Total Cash and equivalents</t>
  </si>
  <si>
    <t>Average Share Price</t>
  </si>
  <si>
    <t>Current Stock Price</t>
  </si>
  <si>
    <t>Count</t>
  </si>
  <si>
    <t>MO.N,mstag:statutoryTaxRate,2011FY,,FYR</t>
  </si>
  <si>
    <t>MO.N,mstag:statutoryTaxRate,2013FY,,FYR</t>
  </si>
  <si>
    <t>Asset impairment, exit, integration and implementation costs</t>
  </si>
  <si>
    <t>Financing fees</t>
  </si>
  <si>
    <t>Tax items</t>
  </si>
  <si>
    <t>One Time Non Recurring Items (After-tax)</t>
  </si>
  <si>
    <t>GAAP Net Income</t>
  </si>
  <si>
    <t>MO.N,mscalc:sedolCodeCalc</t>
  </si>
  <si>
    <t>(Debt + DT)/Assets</t>
  </si>
  <si>
    <t>Number of shares repurchased</t>
  </si>
  <si>
    <t>Net repurchases</t>
  </si>
  <si>
    <t>Share issuance, net</t>
  </si>
  <si>
    <t>Beginning basic shares</t>
  </si>
  <si>
    <t>Ending basic shares</t>
  </si>
  <si>
    <t>Common Stock</t>
  </si>
  <si>
    <t>Earnings Reinvested in business</t>
  </si>
  <si>
    <t>Impact on APIC / Retained earnings $</t>
  </si>
  <si>
    <t>4Q13</t>
  </si>
  <si>
    <t>Gain on sale of corporate headquarters</t>
  </si>
  <si>
    <t>Loss on early extinguishment of debt</t>
  </si>
  <si>
    <t>% of Net Sales</t>
  </si>
  <si>
    <t>Cost of Goods Sold</t>
  </si>
  <si>
    <t>margin %</t>
  </si>
  <si>
    <t>EPS</t>
  </si>
  <si>
    <t xml:space="preserve">   PMCC / Other</t>
  </si>
  <si>
    <t>Dilutive impact of stock options</t>
  </si>
  <si>
    <t>Full Year Dividends Declared (per share)</t>
  </si>
  <si>
    <t>4Q09</t>
  </si>
  <si>
    <t>2017E</t>
  </si>
  <si>
    <t>2018E</t>
  </si>
  <si>
    <t>2019E</t>
  </si>
  <si>
    <t>2020E</t>
  </si>
  <si>
    <t>mstag:amortizationOfGoodwillInIncomeStatement</t>
  </si>
  <si>
    <t>Currency</t>
  </si>
  <si>
    <t>COGS/Sales</t>
  </si>
  <si>
    <t>Gross Margin</t>
  </si>
  <si>
    <t>SG&amp;A/Sales</t>
  </si>
  <si>
    <t>EBIT Margin</t>
  </si>
  <si>
    <t>Pretax Margin</t>
  </si>
  <si>
    <t>Net Margin</t>
  </si>
  <si>
    <t xml:space="preserve">   PM USA</t>
  </si>
  <si>
    <t xml:space="preserve">   Ste. Michelle Wine</t>
  </si>
  <si>
    <t xml:space="preserve">   John Middleton</t>
  </si>
  <si>
    <t xml:space="preserve">   PMCC</t>
  </si>
  <si>
    <t>Net Sales (% Chg)</t>
  </si>
  <si>
    <t>Gross Sales (% Chg)</t>
  </si>
  <si>
    <t>Operating Companies Income (% Chg)</t>
  </si>
  <si>
    <t>Operating Margin (Net)</t>
  </si>
  <si>
    <t>Average Diluted Shares</t>
  </si>
  <si>
    <t>Treasury stock</t>
  </si>
  <si>
    <t>Shares Outstanding (Beginning of Period)</t>
  </si>
  <si>
    <t>Cost savings initiatives</t>
  </si>
  <si>
    <t>Repurchase of Altria Group Stock- net</t>
  </si>
  <si>
    <t>4Q12</t>
  </si>
  <si>
    <t>Net Issuances/Repurchase of Stock</t>
  </si>
  <si>
    <t>Total Financial Services Assets</t>
  </si>
  <si>
    <t>Per unit</t>
  </si>
  <si>
    <t>Per pack</t>
  </si>
  <si>
    <t>Volume (PM USA)</t>
  </si>
  <si>
    <t xml:space="preserve">   Net Sales</t>
  </si>
  <si>
    <t xml:space="preserve">   Controllable Costs</t>
  </si>
  <si>
    <t xml:space="preserve">   Operating Profit</t>
  </si>
  <si>
    <t>Per Pack</t>
  </si>
  <si>
    <t>Per Pack (% Chg)</t>
  </si>
  <si>
    <t>Interest expense</t>
  </si>
  <si>
    <t>Other Liabilities</t>
  </si>
  <si>
    <t>Accumulated other comprehensive losses</t>
  </si>
  <si>
    <t xml:space="preserve"> Paid in capital</t>
  </si>
  <si>
    <t>Corporate Expense and SG&amp;A</t>
  </si>
  <si>
    <t>2008 Carry of $6 Bn debt</t>
  </si>
  <si>
    <t>Per Thousand</t>
  </si>
  <si>
    <t>Price Change</t>
  </si>
  <si>
    <t>Currency Effect</t>
  </si>
  <si>
    <t>Unrecorded Goodwill</t>
  </si>
  <si>
    <t>Spin off cash adjustment</t>
  </si>
  <si>
    <t>equity adjustment bc of spin off</t>
  </si>
  <si>
    <t>1Q07</t>
  </si>
  <si>
    <t>Net Income (post extras)</t>
  </si>
  <si>
    <t>EPS reported</t>
  </si>
  <si>
    <t>MO.N,mstag:statutoryTaxRate,2008FY,,FYR</t>
  </si>
  <si>
    <t>MO.N,mstag:statutoryTaxRate,2006FY,,FYR</t>
  </si>
  <si>
    <t>-</t>
  </si>
  <si>
    <t>Manufacturing Costs</t>
  </si>
  <si>
    <t xml:space="preserve">   % Change</t>
  </si>
  <si>
    <t>EPS Progression</t>
  </si>
  <si>
    <t>PM USA Price / Mix</t>
  </si>
  <si>
    <t>PM USA Volume</t>
  </si>
  <si>
    <t>PM USA Operating Income</t>
  </si>
  <si>
    <t>PM USA Costs</t>
  </si>
  <si>
    <t>Other OCI / SABMiller Equity Income</t>
  </si>
  <si>
    <t>Interest / Tax / DSO</t>
  </si>
  <si>
    <t>UST OCI</t>
  </si>
  <si>
    <t>Basic Shares, Ending</t>
  </si>
  <si>
    <t>2Q13</t>
  </si>
  <si>
    <t>Operating Activities:</t>
  </si>
  <si>
    <t>Total Inventory</t>
  </si>
  <si>
    <t>4Q00</t>
  </si>
  <si>
    <t>MO.N,mstag:statutoryTaxRate,2003FY,,FYR</t>
  </si>
  <si>
    <t>MO.N,mstag:statutoryTaxRate,2010FY,,FYR</t>
  </si>
  <si>
    <t>0.355</t>
  </si>
  <si>
    <t>Cumulative Amortization (Actual)</t>
  </si>
  <si>
    <t xml:space="preserve">   Leaf Tobacco</t>
  </si>
  <si>
    <t>Total KFT</t>
  </si>
  <si>
    <t>John Middleton</t>
  </si>
  <si>
    <t>Closing Debt</t>
  </si>
  <si>
    <t>Total shares issued and o/s (end of period)</t>
  </si>
  <si>
    <t>Total Return of Capital</t>
  </si>
  <si>
    <t>Shares repurchased- Treasury stock</t>
  </si>
  <si>
    <t>Less exercise of stock options</t>
  </si>
  <si>
    <t>Shares Outstanding (End of Period)</t>
  </si>
  <si>
    <t>Total Financial Services Liabilities</t>
  </si>
  <si>
    <t>RESTATED</t>
  </si>
  <si>
    <t>MO.N</t>
  </si>
  <si>
    <t>Segment Data</t>
  </si>
  <si>
    <t>2Q11</t>
  </si>
  <si>
    <t>3Q11</t>
  </si>
  <si>
    <t>3Q13</t>
  </si>
  <si>
    <t>Organic Sales Growth</t>
  </si>
  <si>
    <t>1Q98</t>
  </si>
  <si>
    <t>One Time Non Recurring Items (After-Tax)</t>
  </si>
  <si>
    <t>Acquisition-Related Costs</t>
  </si>
  <si>
    <t>Dividend History</t>
  </si>
  <si>
    <t>Volumes (MM units)</t>
  </si>
  <si>
    <t>Issuance of common stock</t>
  </si>
  <si>
    <t>Actual/Estimated Ratio</t>
  </si>
  <si>
    <t>3Q08</t>
  </si>
  <si>
    <t>One Time After Tax Gain on Miller</t>
  </si>
  <si>
    <t>Total Cigarette</t>
  </si>
  <si>
    <t>Extraordinary Items Per Share</t>
  </si>
  <si>
    <t>Net Income before MI</t>
  </si>
  <si>
    <t>Net Income continuing opps</t>
  </si>
  <si>
    <t>SAB.L,mscalc:netIncome,2009FY,,FYR</t>
  </si>
  <si>
    <t>KFNA</t>
  </si>
  <si>
    <t>KFI</t>
  </si>
  <si>
    <t>Leverage Summary</t>
  </si>
  <si>
    <t>Accrued Expenses</t>
  </si>
  <si>
    <t>Advertising Expense</t>
  </si>
  <si>
    <t>Litigation &amp; Defense Costs</t>
  </si>
  <si>
    <t>1,067.17075565932</t>
  </si>
  <si>
    <t>PMI</t>
  </si>
  <si>
    <t>Europe Revenues</t>
  </si>
  <si>
    <t>Value of shares repurchased</t>
  </si>
  <si>
    <t>SAB.L,mscalc:netIncome,2005FY,,CY</t>
  </si>
  <si>
    <t>916</t>
  </si>
  <si>
    <t>Taxes</t>
  </si>
  <si>
    <t>Cost of Debt</t>
  </si>
  <si>
    <t>EPS from continuing operations</t>
  </si>
  <si>
    <t>Average Debt</t>
  </si>
  <si>
    <t>Monthly expense of $6 Bn carry</t>
  </si>
  <si>
    <t>Extraordinary Items (gains)</t>
  </si>
  <si>
    <t>Excise Tax</t>
  </si>
  <si>
    <t>Acquisitions and Investments</t>
  </si>
  <si>
    <t>Cash from Financing Activities</t>
  </si>
  <si>
    <t>Total PM</t>
  </si>
  <si>
    <t>Volumes/Mix</t>
  </si>
  <si>
    <t>EBIT/EBITDA Summary</t>
  </si>
  <si>
    <t>UST Transaction - Interest Income / Expense</t>
  </si>
  <si>
    <t>2Q06</t>
  </si>
  <si>
    <t>3Q06</t>
  </si>
  <si>
    <t>4Q06</t>
  </si>
  <si>
    <t>Premium Cans</t>
  </si>
  <si>
    <t>x</t>
  </si>
  <si>
    <t>3Q10</t>
  </si>
  <si>
    <t>3Q01</t>
  </si>
  <si>
    <t>4Q01</t>
  </si>
  <si>
    <t>1Q02</t>
  </si>
  <si>
    <t>2Q02</t>
  </si>
  <si>
    <t>3Q02</t>
  </si>
  <si>
    <t>4Q02</t>
  </si>
  <si>
    <t>1Q03</t>
  </si>
  <si>
    <t>2Q03</t>
  </si>
  <si>
    <t>Financial Services Liabilities</t>
  </si>
  <si>
    <t>Changes in Working Capital:</t>
  </si>
  <si>
    <t>Net revenues</t>
  </si>
  <si>
    <t>Volume</t>
  </si>
  <si>
    <t>Interest rate earned</t>
  </si>
  <si>
    <t>Interest on Average Debt</t>
  </si>
  <si>
    <t xml:space="preserve">   Other</t>
  </si>
  <si>
    <t xml:space="preserve">   Adjusted % Change</t>
  </si>
  <si>
    <t>Pre-Existing Debt - Ending</t>
  </si>
  <si>
    <t>Total Months</t>
  </si>
  <si>
    <t xml:space="preserve">   Net revenue</t>
  </si>
  <si>
    <t xml:space="preserve">   Costs</t>
  </si>
  <si>
    <t>Per pack (% Chg)</t>
  </si>
  <si>
    <t xml:space="preserve">   Black &amp; Mild</t>
  </si>
  <si>
    <t>Quarterly Income Statement</t>
  </si>
  <si>
    <t>% Growth</t>
  </si>
  <si>
    <t>Pre-tax income</t>
  </si>
  <si>
    <t>Net Income</t>
  </si>
  <si>
    <t>Tobacco and health judgments</t>
  </si>
  <si>
    <t>Operating Cash Flow</t>
  </si>
  <si>
    <t>NOPAT (ex-SABMiller)</t>
  </si>
  <si>
    <t>Interest expense (after-tax)</t>
  </si>
  <si>
    <t>Dividends</t>
  </si>
  <si>
    <t>Share repurchase</t>
  </si>
  <si>
    <t>Surplus</t>
  </si>
  <si>
    <t>Pension contributinos</t>
  </si>
  <si>
    <t>,mscalc:closePriceCurrencyCalc</t>
  </si>
  <si>
    <t>,mscalc:sedolCodeCalc</t>
  </si>
  <si>
    <t>,mscalc:targetPrice,,,,USD</t>
  </si>
  <si>
    <t>MO.N,mstag:revenueNet,2008FY,,FYR,,,IN-PROGRESS</t>
  </si>
  <si>
    <t>MO.N,mscalc:targetPrice</t>
  </si>
  <si>
    <t xml:space="preserve">SABMiller Dividend </t>
  </si>
  <si>
    <t xml:space="preserve">   Less: Accumulated Depreciation</t>
  </si>
  <si>
    <t>2Q01</t>
  </si>
  <si>
    <t>Actual Common  Dividends</t>
  </si>
  <si>
    <t>Average basic shares outstanding</t>
  </si>
  <si>
    <t>4Q11</t>
  </si>
  <si>
    <t>1Q04</t>
  </si>
  <si>
    <t>Interest Income on opening cash and other assets</t>
  </si>
  <si>
    <t>1Q06</t>
  </si>
  <si>
    <t>Operating Profit</t>
  </si>
  <si>
    <t>Earnings from discontinued operations</t>
  </si>
  <si>
    <t>968.49907513612</t>
  </si>
  <si>
    <t>EBIT</t>
  </si>
  <si>
    <t>Cash &amp; Cash Equivalents</t>
  </si>
  <si>
    <t>4Q07</t>
  </si>
  <si>
    <t>1,497</t>
  </si>
  <si>
    <t xml:space="preserve">   Total</t>
  </si>
  <si>
    <t>Chateau Ste. Michelle</t>
  </si>
  <si>
    <t>Per Case</t>
  </si>
  <si>
    <t>Shipment Volume (Thousand cases)</t>
  </si>
  <si>
    <t xml:space="preserve">   Excise taxes</t>
  </si>
  <si>
    <t xml:space="preserve">   Operating Margin</t>
  </si>
  <si>
    <t>$ millions, except per share</t>
  </si>
  <si>
    <t xml:space="preserve">   Int'l Tobacco</t>
  </si>
  <si>
    <t xml:space="preserve">  WW Tobacco</t>
  </si>
  <si>
    <t>Settlement Charges</t>
  </si>
  <si>
    <t>1,127.90080076725</t>
  </si>
  <si>
    <t>New Debt ($1Bl)</t>
  </si>
  <si>
    <t>SG&amp;A</t>
  </si>
  <si>
    <t>Consumer Products Assets:</t>
  </si>
  <si>
    <t>Finance Assets</t>
  </si>
  <si>
    <t>Other Assets</t>
  </si>
  <si>
    <t>USD</t>
  </si>
  <si>
    <t>2,246.91206078948</t>
  </si>
  <si>
    <t>1,070.35481456844</t>
  </si>
  <si>
    <t>1,082.64532182736</t>
  </si>
  <si>
    <t>SAB.L,mscalc:netIncome,2010H2,,FYR</t>
  </si>
  <si>
    <t>SAB.L,mscalc:netIncome,2010H1,,FYR</t>
  </si>
  <si>
    <t>4Q03</t>
  </si>
  <si>
    <t>Total realized savings</t>
  </si>
  <si>
    <t>1Q01</t>
  </si>
  <si>
    <t>Altria (MO)</t>
  </si>
  <si>
    <t>Exercise of stock options / awards</t>
  </si>
  <si>
    <t>Average price $</t>
  </si>
  <si>
    <t>3Q03</t>
  </si>
  <si>
    <t>2Q98</t>
  </si>
  <si>
    <t>3Q98</t>
  </si>
  <si>
    <t xml:space="preserve">   NFE (RNOA - After-tax cost of debt)</t>
  </si>
  <si>
    <t xml:space="preserve">   RNOA</t>
  </si>
  <si>
    <t xml:space="preserve">   Leverage Effect</t>
  </si>
  <si>
    <t xml:space="preserve">   Operating Assets</t>
  </si>
  <si>
    <t xml:space="preserve">   Operating Liabilities</t>
  </si>
  <si>
    <t xml:space="preserve">   Net Operating Assets</t>
  </si>
  <si>
    <t>ROIC</t>
  </si>
  <si>
    <t xml:space="preserve">   NOPAT</t>
  </si>
  <si>
    <t xml:space="preserve">   % Premium</t>
  </si>
  <si>
    <t xml:space="preserve">   Premium</t>
  </si>
  <si>
    <t xml:space="preserve">   Discount</t>
  </si>
  <si>
    <t xml:space="preserve">   Trade Load impact</t>
  </si>
  <si>
    <t xml:space="preserve">   Extra shipping day</t>
  </si>
  <si>
    <t xml:space="preserve">   Trade Deload</t>
  </si>
  <si>
    <t xml:space="preserve">      Lapping of PY Trade Load</t>
  </si>
  <si>
    <t>Impact on APIC / Retained earnings</t>
  </si>
  <si>
    <t>Non-Recurring/Reconcillation</t>
  </si>
  <si>
    <t>Marketing</t>
  </si>
  <si>
    <t>Non Income Taxes</t>
  </si>
  <si>
    <t>Employment Costs</t>
  </si>
  <si>
    <t>Investment in SAB Miller / Sampoerna</t>
  </si>
  <si>
    <t xml:space="preserve">      Lapping of PY Trade Deload</t>
  </si>
  <si>
    <t>MSA + Buyout + FDA</t>
  </si>
  <si>
    <t>1Q10</t>
  </si>
  <si>
    <t>2Q10</t>
  </si>
  <si>
    <t>Dividends per Share</t>
  </si>
  <si>
    <t>Interest Income</t>
  </si>
  <si>
    <t>SABMiller EPS Contribution</t>
  </si>
  <si>
    <t>EPS Ex-SABMiller</t>
  </si>
  <si>
    <t xml:space="preserve">Kraft </t>
  </si>
  <si>
    <t xml:space="preserve">  Minority expense</t>
  </si>
  <si>
    <t xml:space="preserve">  %</t>
  </si>
  <si>
    <t>Check</t>
  </si>
  <si>
    <t>Net interest expense</t>
  </si>
  <si>
    <t>Smokeless Products</t>
  </si>
  <si>
    <t>Wine</t>
  </si>
  <si>
    <t>Corporate</t>
  </si>
  <si>
    <t>2Q14</t>
  </si>
  <si>
    <t>`</t>
  </si>
  <si>
    <t>Smokeable Volume</t>
  </si>
  <si>
    <t xml:space="preserve">   Volume (% Chg)</t>
  </si>
  <si>
    <t xml:space="preserve">   MSA + Buyout + FDA</t>
  </si>
  <si>
    <t>Smokeable Segment</t>
  </si>
  <si>
    <t>Smokeless Segment</t>
  </si>
  <si>
    <t>Per Can Analysis</t>
  </si>
  <si>
    <t>% Allocation for Corp Expense</t>
  </si>
  <si>
    <t>PM USA Volume &amp; Market Share</t>
  </si>
  <si>
    <t>EBITDA</t>
  </si>
  <si>
    <t>Volume Growth</t>
  </si>
  <si>
    <t>2Q05</t>
  </si>
  <si>
    <t>3Q05</t>
  </si>
  <si>
    <t xml:space="preserve">   Gross revenue</t>
  </si>
  <si>
    <t xml:space="preserve">   Excise tax</t>
  </si>
  <si>
    <t xml:space="preserve">   Operating profit</t>
  </si>
  <si>
    <t>Interest Rate</t>
  </si>
  <si>
    <t>Total Depreciation and Amortization</t>
  </si>
  <si>
    <t xml:space="preserve"> </t>
  </si>
  <si>
    <t>3Q09</t>
  </si>
  <si>
    <t xml:space="preserve">      Asset Retirements or Disposals</t>
  </si>
  <si>
    <t xml:space="preserve">      Other</t>
  </si>
  <si>
    <t xml:space="preserve">   End of Period</t>
  </si>
  <si>
    <t xml:space="preserve">      Depreciation</t>
  </si>
  <si>
    <t>Average Depreciable Life</t>
  </si>
  <si>
    <t>Depreciation as % of Capex</t>
  </si>
  <si>
    <t>Net PP&amp;E / Net Sales</t>
  </si>
  <si>
    <t>Change in AOCI (for MW)</t>
  </si>
  <si>
    <t>Net Debt (incl. settlement and pension/OPEB)</t>
  </si>
  <si>
    <t>Profitability</t>
  </si>
  <si>
    <t>ROE (DuPont)</t>
  </si>
  <si>
    <t xml:space="preserve">   NI / Sales</t>
  </si>
  <si>
    <t xml:space="preserve">   Asset Turnover (Net Sales / Assets)</t>
  </si>
  <si>
    <t xml:space="preserve">   Leverage (Assets / Shareholder Equity)</t>
  </si>
  <si>
    <t xml:space="preserve">   ROE</t>
  </si>
  <si>
    <t>ROE</t>
  </si>
  <si>
    <t xml:space="preserve">   Operating Asset Turnover</t>
  </si>
  <si>
    <t>MO.N,mscalc:factsetIdCalc</t>
  </si>
  <si>
    <t>% change</t>
  </si>
  <si>
    <t>Other Operating Activities</t>
  </si>
  <si>
    <t>Cabarrus plant closure ($156 mil, 2011)</t>
  </si>
  <si>
    <t>1Q05</t>
  </si>
  <si>
    <t>% Chg in Volume</t>
  </si>
  <si>
    <t>4Q08</t>
  </si>
  <si>
    <t>SABMiller intangible asset impairments / gains on stock issuance</t>
  </si>
  <si>
    <t>Capital Expenditures</t>
  </si>
  <si>
    <t>Philip Morris Capital Corporation (PMCC)</t>
  </si>
  <si>
    <t xml:space="preserve">   Change in Assets</t>
  </si>
  <si>
    <t xml:space="preserve">   % change</t>
  </si>
  <si>
    <t>PMCC Revenues</t>
  </si>
  <si>
    <t>Operating Margin</t>
  </si>
  <si>
    <t>3Q07</t>
  </si>
  <si>
    <t>Accounts Receivable</t>
  </si>
  <si>
    <t>Months</t>
  </si>
  <si>
    <t>2,146.8846</t>
  </si>
  <si>
    <t>SAB.L,mscalc:netIncome,2008H2,,FYR</t>
  </si>
  <si>
    <t>SAB.L,mscalc:netIncome,2009H2,,FYR</t>
  </si>
  <si>
    <t>SAB.L,mscalc:netIncome,2009H1,,FYR</t>
  </si>
  <si>
    <t>Net Income - based on MS estimates, March fiscal</t>
  </si>
  <si>
    <t>SAB.L,mscalc:netIncome,2011FY,,FYR</t>
  </si>
  <si>
    <t>Net Income - Calendar Year Estimate</t>
  </si>
  <si>
    <t>SAB.L,mscalc:netIncome,2006FY,,FYR</t>
  </si>
  <si>
    <t>Volume (Actual)</t>
  </si>
  <si>
    <t>2,413.61592381607</t>
  </si>
  <si>
    <t>1,891.81286155675</t>
  </si>
  <si>
    <t>2,035.66983079545</t>
  </si>
  <si>
    <t>Impact on treasury stock</t>
  </si>
  <si>
    <t>Impact on treasury stock $</t>
  </si>
  <si>
    <t xml:space="preserve">  Total</t>
  </si>
  <si>
    <t>E = Morgan Stanley Research Estimates</t>
  </si>
  <si>
    <t>Gross Profit</t>
  </si>
  <si>
    <t>MO.N,mstag:statutoryTaxRate,2005FY,,FYR</t>
  </si>
  <si>
    <t>MO.N,mstag:statutoryTaxRate,2009FY,,FYR</t>
  </si>
  <si>
    <t>MO.N,mstag:statutoryTaxRate,2004FY,,FYR</t>
  </si>
  <si>
    <t>MO.N,mstag:statutoryTaxRate,2012FY,,FYR</t>
  </si>
  <si>
    <t xml:space="preserve">   Adjusted Industry volume</t>
  </si>
  <si>
    <t>6-7%</t>
  </si>
  <si>
    <t xml:space="preserve">   Excise Taxes</t>
  </si>
  <si>
    <t>Property Plant &amp; Equipment at Cost</t>
  </si>
  <si>
    <t xml:space="preserve">   Other Raw Material</t>
  </si>
  <si>
    <t>Matthew Grainger 212.761.8023</t>
  </si>
  <si>
    <t>John Colantuoni 212.761.6210</t>
  </si>
  <si>
    <t>Pamela Kaufman 212.761.7151</t>
  </si>
  <si>
    <t>.</t>
  </si>
  <si>
    <t>Total Shareholders' Equity</t>
  </si>
  <si>
    <t>Total Debt / Equity</t>
  </si>
  <si>
    <t>Total Capitalization</t>
  </si>
  <si>
    <t>Total Debt / Cap</t>
  </si>
  <si>
    <t>Net Debt (incl. settlement accruals)</t>
  </si>
  <si>
    <t>Net Debt/EBITDA</t>
  </si>
  <si>
    <t>Net Debt / Equity</t>
  </si>
  <si>
    <t>Net Total Capitalization</t>
  </si>
  <si>
    <t>Net Debt / Net Total Cap</t>
  </si>
  <si>
    <t>Quick Ratio</t>
  </si>
  <si>
    <t>Current Ratio</t>
  </si>
  <si>
    <t>EBIT/Interest Expense</t>
  </si>
  <si>
    <t>Unfunded pension/postretirement liability</t>
  </si>
  <si>
    <t>4Q05E</t>
  </si>
  <si>
    <t>ISO4217:USD</t>
  </si>
  <si>
    <t>Cash from Investing Activities</t>
  </si>
  <si>
    <t>Investing Activities</t>
  </si>
  <si>
    <t>Cash and equivalents, Beginning</t>
  </si>
  <si>
    <t>Financial Services, Real Estate &amp; Other</t>
  </si>
  <si>
    <t xml:space="preserve">   Yield on Assets</t>
  </si>
  <si>
    <t xml:space="preserve">   Margin</t>
  </si>
  <si>
    <t xml:space="preserve">   Change in Debt</t>
  </si>
  <si>
    <t>Financial Services Assets</t>
  </si>
  <si>
    <t xml:space="preserve">   Depreciation</t>
  </si>
  <si>
    <t xml:space="preserve">   Amortization</t>
  </si>
  <si>
    <t xml:space="preserve">   Receivables</t>
  </si>
  <si>
    <t xml:space="preserve">   Inventories</t>
  </si>
  <si>
    <t>Cash from Operating Activities</t>
  </si>
  <si>
    <t>PP&amp;E</t>
  </si>
  <si>
    <t>Gross PP&amp;E</t>
  </si>
  <si>
    <t xml:space="preserve">   Beginning of Period</t>
  </si>
  <si>
    <t xml:space="preserve">      Capex</t>
  </si>
  <si>
    <t>Altria Group, Inc.</t>
  </si>
  <si>
    <t>Operating Income</t>
  </si>
  <si>
    <t>3Q12</t>
  </si>
  <si>
    <t>Interest Expense, incl. UST Deal Financing</t>
  </si>
  <si>
    <t>New Debt ($775 mil)</t>
  </si>
  <si>
    <t xml:space="preserve">      % Change</t>
  </si>
  <si>
    <t>Minority Interest</t>
  </si>
  <si>
    <t>EBIT (ex-SABMiller)</t>
  </si>
  <si>
    <t>EBITDA (ex-SABMiller)</t>
  </si>
  <si>
    <t>Long Term Debt</t>
  </si>
  <si>
    <t xml:space="preserve">Total </t>
  </si>
  <si>
    <t>1Q</t>
  </si>
  <si>
    <t>2Q</t>
  </si>
  <si>
    <t>3Q</t>
  </si>
  <si>
    <t>4Q</t>
  </si>
  <si>
    <t>Gross Revenues</t>
  </si>
  <si>
    <t>Excise Taxes</t>
  </si>
  <si>
    <t>Net Revenues</t>
  </si>
  <si>
    <t>1Q13</t>
  </si>
  <si>
    <t>Short term portion of long term debt</t>
  </si>
  <si>
    <t>Effective Tax Rate %</t>
  </si>
  <si>
    <t>Total Interest Expense</t>
  </si>
  <si>
    <t>New Debt ($6 Bn)</t>
  </si>
  <si>
    <t>Beginning Cash</t>
  </si>
  <si>
    <t>Ending Cash</t>
  </si>
  <si>
    <t>Total Interest Income</t>
  </si>
  <si>
    <t>Interest Income, incl. UST Deal Financing</t>
  </si>
  <si>
    <t>ND</t>
  </si>
  <si>
    <t>MO.N,mscalc:closePriceCurrencyCalc</t>
  </si>
  <si>
    <t>2692632</t>
  </si>
  <si>
    <t>SAB.L,mscalc:netIncome,2007FY,,CY</t>
  </si>
  <si>
    <t>SAB.L,mscalc:netIncome,2006FY,,CY</t>
  </si>
  <si>
    <t>SAB.L,mscalc:netIncome,2008FY,,CY</t>
  </si>
  <si>
    <t>25</t>
  </si>
  <si>
    <t>SAB.L,mscalc:netIncome,2010FY,,CY</t>
  </si>
  <si>
    <t>SAB.L,mscalc:netIncome,2009FY,,CY</t>
  </si>
  <si>
    <t>Estimated Equity in SABMiller</t>
  </si>
  <si>
    <t>Interest Expense on Acquisition Debt</t>
  </si>
  <si>
    <t>Interest Income on Acquisition Debt</t>
  </si>
  <si>
    <t>Tobacco Minority Interest</t>
  </si>
  <si>
    <t>Current Maturity of Long Term Debt</t>
  </si>
  <si>
    <t>Cash Flow Statement</t>
  </si>
  <si>
    <t>Financing Activities:</t>
  </si>
  <si>
    <t>Deferred Income Taxes</t>
  </si>
  <si>
    <t>2Q07</t>
  </si>
  <si>
    <t>Cash dividends</t>
  </si>
  <si>
    <t>Change in current debt</t>
  </si>
  <si>
    <t>Change in long term debt</t>
  </si>
  <si>
    <t>Other financing activity</t>
  </si>
  <si>
    <t>Dividends Paid</t>
  </si>
  <si>
    <t>Dividend Payout Ratio</t>
  </si>
  <si>
    <t>Dividends per share, for dividend yield</t>
  </si>
  <si>
    <t>Interest Income and Expense</t>
  </si>
  <si>
    <t xml:space="preserve">   Total cash and equivalents</t>
  </si>
  <si>
    <t xml:space="preserve">   Opening debt</t>
  </si>
  <si>
    <t xml:space="preserve">   Closing debt</t>
  </si>
  <si>
    <t>Share Repurchases</t>
  </si>
  <si>
    <t>Change in Other and Accrued Liabilities</t>
  </si>
  <si>
    <t>FCF Analysis</t>
  </si>
  <si>
    <t>4Q14</t>
  </si>
  <si>
    <t>R2007</t>
  </si>
  <si>
    <t>Sheet4!</t>
  </si>
  <si>
    <t>1Q15</t>
  </si>
  <si>
    <t>2Q15</t>
  </si>
  <si>
    <t>3Q15</t>
  </si>
  <si>
    <t>4Q15</t>
  </si>
  <si>
    <t>1Q16</t>
  </si>
  <si>
    <t>2Q16</t>
  </si>
  <si>
    <t>Gross Revenue</t>
  </si>
  <si>
    <t>1Q18E</t>
  </si>
  <si>
    <t>2Q18E</t>
  </si>
  <si>
    <t>3Q18E</t>
  </si>
  <si>
    <t>4Q18E</t>
  </si>
  <si>
    <t>Debt Refinancing</t>
  </si>
  <si>
    <t>Notes due 2038 (9.95%)</t>
  </si>
  <si>
    <t>Notes due 2039 (10.2%)</t>
  </si>
  <si>
    <t>Consideration</t>
  </si>
  <si>
    <t>Total Consideration</t>
  </si>
  <si>
    <t>Principal Amount</t>
  </si>
  <si>
    <t>Tendered ($mm)</t>
  </si>
  <si>
    <t>Premium Paid</t>
  </si>
  <si>
    <t>Issuance</t>
  </si>
  <si>
    <t>2.625% Notes due 2026</t>
  </si>
  <si>
    <t>3.875% Notes due 2046</t>
  </si>
  <si>
    <t>Total interest expense</t>
  </si>
  <si>
    <t>Interest savings</t>
  </si>
  <si>
    <t>Net issuance</t>
  </si>
  <si>
    <t>Beginning</t>
  </si>
  <si>
    <t>Repayment</t>
  </si>
  <si>
    <t>rate</t>
  </si>
  <si>
    <t xml:space="preserve">Average </t>
  </si>
  <si>
    <t>Debt</t>
  </si>
  <si>
    <t>ending 2016</t>
  </si>
  <si>
    <t>UST Net Revenue</t>
  </si>
  <si>
    <t xml:space="preserve">North America Revenues </t>
  </si>
  <si>
    <t>3Q16</t>
  </si>
  <si>
    <t>2021E</t>
  </si>
  <si>
    <t>2022E</t>
  </si>
  <si>
    <t>2023E</t>
  </si>
  <si>
    <t>2024E</t>
  </si>
  <si>
    <t>2025E</t>
  </si>
  <si>
    <t>4Q16</t>
  </si>
  <si>
    <t>1Q17</t>
  </si>
  <si>
    <t>2Q17</t>
  </si>
  <si>
    <t>AdjSmokelessment to third-party guarantee accrual</t>
  </si>
  <si>
    <t>EBIT (ex-Smokeless)</t>
  </si>
  <si>
    <t>EBITDA (ex-Smokeless)</t>
  </si>
  <si>
    <t xml:space="preserve">   Smokeless</t>
  </si>
  <si>
    <t xml:space="preserve">   Smokeless (pro forma)</t>
  </si>
  <si>
    <t xml:space="preserve">   Altria (pro forma, ex-Smokeless and Ste. Michelle)</t>
  </si>
  <si>
    <t xml:space="preserve">   Smokeless (pro forma, ex-synergies)</t>
  </si>
  <si>
    <t>Adjusted % Chg in Volume (Cigarettes)</t>
  </si>
  <si>
    <t>Adjusted Industry % Chg in Volume</t>
  </si>
  <si>
    <t>3Q17</t>
  </si>
  <si>
    <t>4Q17</t>
  </si>
  <si>
    <t>74</t>
  </si>
  <si>
    <t xml:space="preserve">cxxcxc </t>
  </si>
  <si>
    <t>Research</t>
  </si>
  <si>
    <t>MSA12719</t>
  </si>
  <si>
    <t>e = Morgan Stanley Research estimates unless otherwise noted</t>
  </si>
  <si>
    <t>Source: Morgan Stanley Research unless otherwise noted</t>
  </si>
  <si>
    <t>Stocks ratings are relative to the analyst's industry coverage universe.</t>
  </si>
  <si>
    <t>1585 Broadway</t>
  </si>
  <si>
    <t>New York, NY  10036-8293</t>
  </si>
  <si>
    <t>United States</t>
  </si>
  <si>
    <t>Tel: +1 (1)212 761 4000</t>
  </si>
  <si>
    <t>Authors: Matthew Grainger</t>
  </si>
  <si>
    <t>Date: 18 Apr 2018</t>
  </si>
  <si>
    <t>Ticker: MO.N</t>
  </si>
  <si>
    <t>Stock Rating: Equal-Weight</t>
  </si>
  <si>
    <t>Industry: Tobacco</t>
  </si>
  <si>
    <t>Industry View: In-Line</t>
  </si>
  <si>
    <t>Price as of 18 Apr 2018: 60.81</t>
  </si>
  <si>
    <t>Target Price: 70</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</si>
  <si>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</si>
  <si>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</si>
  <si>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</si>
  <si>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</si>
  <si>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Altria Group, Inc..</t>
  </si>
  <si>
    <t>STOCK RATINGS</t>
  </si>
  <si>
    <t>Global Stock Ratings Distribution</t>
  </si>
  <si>
    <t>(as of March 31,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</si>
  <si>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</si>
  <si>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</si>
  <si>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</si>
  <si>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</si>
  <si>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</si>
  <si>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</si>
  <si>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</si>
  <si>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</si>
  <si>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</si>
  <si>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</si>
  <si>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</si>
  <si>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</si>
  <si>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</si>
  <si>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</si>
  <si>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</si>
  <si>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</si>
  <si>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</si>
  <si>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</si>
  <si>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</si>
  <si>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</si>
  <si>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</si>
  <si>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</si>
  <si>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</si>
  <si>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</si>
  <si>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</si>
  <si>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</si>
  <si>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</si>
  <si>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</si>
  <si>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</si>
  <si>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</si>
  <si>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</si>
  <si>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</si>
  <si>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</si>
  <si>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</si>
  <si>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</si>
  <si>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</si>
  <si>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</si>
  <si>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</si>
  <si>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</si>
  <si>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</si>
  <si>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</si>
  <si>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</si>
  <si>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</si>
  <si>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</si>
  <si>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</si>
  <si>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</si>
  <si>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</si>
  <si>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</si>
  <si>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</si>
  <si>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</si>
  <si>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</si>
  <si>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</si>
  <si>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</si>
  <si>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</si>
  <si>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</si>
  <si>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</si>
  <si>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</si>
  <si>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</si>
  <si>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</si>
  <si>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</si>
  <si>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</si>
  <si>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</si>
  <si>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</si>
  <si>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</si>
  <si>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</si>
  <si>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</si>
  <si>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</si>
  <si>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</si>
  <si>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</si>
  <si>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</si>
  <si>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</si>
  <si>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</si>
  <si>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</si>
  <si>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</si>
  <si>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</si>
  <si>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</si>
  <si>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</si>
  <si>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</si>
  <si>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</si>
  <si>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</si>
  <si>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</si>
  <si>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</si>
  <si>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</si>
  <si>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</si>
  <si>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</si>
  <si>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</si>
  <si>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</si>
  <si>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</si>
  <si>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</si>
  <si>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</si>
  <si>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</si>
  <si>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</si>
  <si>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</si>
  <si>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</si>
  <si>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</si>
  <si>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</si>
  <si>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</si>
  <si>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</si>
  <si>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</si>
  <si>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</si>
  <si>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</si>
  <si>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</si>
  <si>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</si>
  <si>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</si>
  <si>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</si>
  <si>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</si>
  <si>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</si>
  <si>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</si>
  <si>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</si>
  <si>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</si>
  <si>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</si>
  <si>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</si>
  <si>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</si>
  <si>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</si>
  <si>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</si>
  <si>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</si>
  <si>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</si>
  <si>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</si>
  <si>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</si>
  <si>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</si>
  <si>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</si>
  <si>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</si>
  <si>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</si>
  <si>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</si>
  <si>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</si>
  <si>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</si>
  <si>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</si>
  <si>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</si>
  <si>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</si>
  <si>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</si>
  <si>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</si>
  <si>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</si>
  <si>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</si>
  <si>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</si>
  <si>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</si>
  <si>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</si>
  <si>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</si>
  <si>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</si>
  <si>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</si>
  <si>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</si>
  <si>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</si>
  <si>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</si>
  <si>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</si>
  <si>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</si>
  <si>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</si>
  <si>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</si>
  <si>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</si>
  <si>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</si>
  <si>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</si>
  <si>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</si>
  <si>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</si>
  <si>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</si>
  <si>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</si>
  <si>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</si>
  <si>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</si>
  <si>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</si>
  <si>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</si>
  <si>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</si>
  <si>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</si>
  <si>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</si>
  <si>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</si>
  <si>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</si>
  <si>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</si>
  <si>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</si>
  <si>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</si>
  <si>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</si>
  <si>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</si>
  <si>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</si>
  <si>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</si>
  <si>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</si>
  <si>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</si>
  <si>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&amp; Co. International PLC and its affiliates have a significant financial interest in the</t>
  </si>
  <si>
    <t>debt securities of Altria Group, Inc..</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</si>
  <si>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</si>
  <si>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</si>
  <si>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</si>
  <si>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</si>
  <si>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</si>
  <si>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</si>
  <si>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</si>
  <si>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</si>
  <si>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</si>
  <si>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</si>
  <si>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</si>
  <si>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</si>
  <si>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</si>
  <si>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</si>
  <si>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</si>
  <si>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</si>
  <si>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</si>
  <si>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</si>
  <si>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</si>
  <si>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</si>
  <si>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</si>
  <si>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</si>
  <si>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</si>
  <si>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</si>
  <si>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</si>
  <si>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</si>
  <si>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</si>
  <si>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</si>
  <si>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</si>
  <si>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</si>
  <si>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</si>
  <si>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</si>
  <si>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</si>
  <si>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</si>
  <si>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</si>
  <si>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</si>
  <si>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</si>
  <si>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</si>
  <si>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</si>
  <si>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</si>
  <si>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</si>
  <si>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</si>
  <si>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</si>
  <si>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</si>
  <si>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</si>
  <si>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</si>
  <si>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</si>
  <si>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</si>
  <si>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</si>
  <si>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</si>
  <si>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</si>
  <si>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</si>
  <si>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</si>
  <si>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</si>
  <si>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</si>
  <si>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</si>
  <si>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</si>
  <si>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</si>
  <si>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</si>
  <si>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</si>
  <si>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</si>
  <si>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</si>
  <si>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</si>
  <si>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</si>
  <si>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</si>
  <si>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</si>
  <si>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either provided or is providing non-investment banking,</t>
  </si>
  <si>
    <t>securities-related services to and/or in the past has entered into an agreement to provide services or</t>
  </si>
  <si>
    <t>has a client relationship with the following company: Altria Group, Inc..</t>
  </si>
  <si>
    <t>Within the last 12 months, Morgan Stanley has provided or is providing investment banking services to,</t>
  </si>
  <si>
    <t>or has an investment banking client relationship with, the following company: Altria Group, Inc..</t>
  </si>
  <si>
    <t>Within the last 12 months, Morgan Stanley has received compensation for products and services other than</t>
  </si>
  <si>
    <t>investment banking services from Altria Group, Inc..</t>
  </si>
  <si>
    <t>In the next 3 months, Morgan Stanley expects to receive or intends to seek compensation for investment</t>
  </si>
  <si>
    <t>banking services from Altria Group, Inc..</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</si>
  <si>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</si>
  <si>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</si>
  <si>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</si>
  <si>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</si>
  <si>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</si>
  <si>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Matthew Grainger.</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</si>
  <si>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</si>
  <si>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</si>
  <si>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</si>
  <si>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</si>
  <si>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</si>
  <si>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</si>
  <si>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</si>
  <si>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</si>
  <si>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</si>
  <si>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</si>
  <si>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</si>
  <si>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</si>
  <si>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</si>
  <si>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</si>
  <si>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</si>
  <si>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</si>
  <si>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</si>
  <si>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</si>
  <si>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</si>
  <si>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</si>
  <si>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</si>
  <si>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</si>
  <si>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</si>
  <si>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</si>
  <si>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</si>
  <si>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</si>
  <si>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Model</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</si>
  <si>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</si>
  <si>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</si>
  <si>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</si>
  <si>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</si>
  <si>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</si>
  <si>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</si>
  <si>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</si>
  <si>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</si>
  <si>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</si>
  <si>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</si>
  <si>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</si>
  <si>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</si>
  <si>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</si>
  <si>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</si>
  <si>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</si>
  <si>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</si>
  <si>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</si>
  <si>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</si>
  <si>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</si>
  <si>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</si>
  <si>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</si>
  <si>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</si>
  <si>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</si>
  <si>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</si>
  <si>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</si>
  <si>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</si>
  <si>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</si>
  <si>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</si>
  <si>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</si>
  <si>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</si>
  <si>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</si>
  <si>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</si>
  <si>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</si>
  <si>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</si>
  <si>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</si>
  <si>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</si>
  <si>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</si>
  <si>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</si>
  <si>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</si>
  <si>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</si>
  <si>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</si>
  <si>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Equal-Weight / In-Line</t>
  </si>
  <si>
    <t>Regular Update</t>
  </si>
  <si>
    <t>NorthAmerica</t>
  </si>
  <si>
    <t>pamelk</t>
  </si>
  <si>
    <t>02209S103</t>
  </si>
  <si>
    <t>L:\CONSUMER\TOBACCO\EXCEL\TOBACCO\CURRENT Company Models\Published Models\MO_Published_041818.xlsm</t>
  </si>
  <si>
    <t>[BRO MSA]</t>
  </si>
  <si>
    <t>[PRODUCT MODEL]</t>
  </si>
  <si>
    <t>[EMAIL_ALERT YES]</t>
  </si>
  <si>
    <t>[DISCIPLINE Company]</t>
  </si>
  <si>
    <t>[SUPPRESSED NO]</t>
  </si>
  <si>
    <t>[DOCDAT 2018-04-18]</t>
  </si>
  <si>
    <t>[DOCTIME 14:12]</t>
  </si>
  <si>
    <t>[PSYM MO.N(S&amp;P) (None)]</t>
  </si>
  <si>
    <t>[COU 1]</t>
  </si>
  <si>
    <t>[ANA ]</t>
  </si>
  <si>
    <t>[HL MO.N Model]</t>
  </si>
  <si>
    <t>[IND TOBACO]</t>
  </si>
  <si>
    <t>[PANA MSA12719]</t>
  </si>
  <si>
    <r>
      <t xml:space="preserve">This workbook contains formulas which </t>
    </r>
    <r>
      <rPr>
        <u/>
        <sz val="14"/>
        <rFont val="Arial"/>
        <family val="2"/>
      </rPr>
      <t>intentionally</t>
    </r>
    <r>
      <rPr>
        <sz val="14"/>
        <rFont val="Arial"/>
        <family val="2"/>
      </rPr>
      <t xml:space="preserve"> use circular reference calculation. These calculations can be resolved as intended by the originating analyst by selecting the Apply Circular Settings button below.</t>
    </r>
  </si>
  <si>
    <r>
      <t xml:space="preserve">This workbook contains formulas which </t>
    </r>
    <r>
      <rPr>
        <u/>
        <sz val="14"/>
        <rFont val="Arial"/>
        <family val="2"/>
      </rPr>
      <t>intentionally</t>
    </r>
    <r>
      <rPr>
        <sz val="14"/>
        <rFont val="Arial"/>
        <family val="2"/>
      </rPr>
      <t xml:space="preserve"> use circular reference calculation. These calculations can be resolved as intended by the originating analyst by applying the following settings in the Tools &gt;&gt; Options &gt;&gt; Calculation dialog box:</t>
    </r>
  </si>
  <si>
    <t>Clicking the Apply Circular Settings button will display the model worksheets and make the following settings changes in the Tools &gt;&gt; Options &gt;&gt; Calculation dialog box:</t>
  </si>
  <si>
    <t>1) Select the Iteration check box</t>
  </si>
  <si>
    <t>Failure to apply these settings can result in incorrect calculation or unexpected termination of your Microsoft Excel session.</t>
  </si>
  <si>
    <t>2) Set Maximum Iterations = 100</t>
  </si>
  <si>
    <t>3) Set Maximum Change = 0.001</t>
  </si>
</sst>
</file>

<file path=xl/styles.xml><?xml version="1.0" encoding="utf-8"?>
<styleSheet xmlns="http://schemas.openxmlformats.org/spreadsheetml/2006/main" xmlns:mc="http://schemas.openxmlformats.org/markup-compatibility/2006" xmlns:x14ac="http://schemas.microsoft.com/office/spreadsheetml/2009/9/ac" mc:Ignorable="x14ac">
  <numFmts count="41">
    <numFmt numFmtId="5" formatCode="&quot;$&quot;#,##0_);\(&quot;$&quot;#,##0\)"/>
    <numFmt numFmtId="6" formatCode="&quot;$&quot;#,##0_);[Red]\(&quot;$&quot;#,##0\)"/>
    <numFmt numFmtId="7" formatCode="&quot;$&quot;#,##0.00_);\(&quot;$&quot;#,##0.00\)"/>
    <numFmt numFmtId="8" formatCode="&quot;$&quot;#,##0.00_);[Red]\(&quot;$&quot;#,##0.00\)"/>
    <numFmt numFmtId="41" formatCode="_(* #,##0_);_(* \(#,##0\);_(* &quot;-&quot;_);_(@_)"/>
    <numFmt numFmtId="44" formatCode="_(&quot;$&quot;* #,##0.00_);_(&quot;$&quot;* \(#,##0.00\);_(&quot;$&quot;* &quot;-&quot;??_);_(@_)"/>
    <numFmt numFmtId="43" formatCode="_(* #,##0.00_);_(* \(#,##0.00\);_(* &quot;-&quot;??_);_(@_)"/>
    <numFmt numFmtId="165" formatCode="0.0_)"/>
    <numFmt numFmtId="166" formatCode="0.0%"/>
    <numFmt numFmtId="167" formatCode="0.0"/>
    <numFmt numFmtId="168" formatCode="0.00_)"/>
    <numFmt numFmtId="169" formatCode="0_)"/>
    <numFmt numFmtId="170" formatCode="#,##0.0_);\(#,##0.0\)"/>
    <numFmt numFmtId="171" formatCode="_(* #,##0.0_);_(* \(#,##0.0\);_(* &quot;-&quot;??_);_(@_)"/>
    <numFmt numFmtId="172" formatCode="_(* #,##0_);_(* \(#,##0\);_(* &quot;-&quot;??_);_(@_)"/>
    <numFmt numFmtId="173" formatCode="#,##0.0"/>
    <numFmt numFmtId="174" formatCode="&quot;$&quot;#,##0.00"/>
    <numFmt numFmtId="175" formatCode="&quot;$&quot;#,##0"/>
    <numFmt numFmtId="176" formatCode="_(* #,##0.00_);_(* \(#,##0.00\);_(* &quot;-&quot;_);_(@_)"/>
    <numFmt numFmtId="177" formatCode="0.000"/>
    <numFmt numFmtId="178" formatCode="0_);\(0\)"/>
    <numFmt numFmtId="179" formatCode="0.0%;\(0.0%\)"/>
    <numFmt numFmtId="180" formatCode="0.0\x"/>
    <numFmt numFmtId="181" formatCode="#,##0.000"/>
    <numFmt numFmtId="182" formatCode="#,##0;\(#,##0\)"/>
    <numFmt numFmtId="183" formatCode="General_)"/>
    <numFmt numFmtId="184" formatCode="_(* #,##0.0_);_(* \(#,##0.0\);_(* &quot;-&quot;_);_(@_)"/>
    <numFmt numFmtId="185" formatCode="0.000%"/>
    <numFmt numFmtId="186" formatCode="#,##0_)&quot;&quot;;\(#,##0\)&quot;&quot;"/>
    <numFmt numFmtId="187" formatCode="_(* #,##0.0000_);_(* \(#,##0.0000\);_(* &quot;-&quot;??_);_(@_)"/>
    <numFmt numFmtId="188" formatCode="_(* #,##0.0_);_(* \(#,##0.0\);_(* &quot;-&quot;?_);_(@_)"/>
    <numFmt numFmtId="189" formatCode="_(* #,##0.000_);_(* \(#,##0.000\);_(* &quot;-&quot;??_);_(@_)"/>
    <numFmt numFmtId="190" formatCode="0.0;\(0.0%\)"/>
    <numFmt numFmtId="191" formatCode="&quot;$&quot;#,##0.000_);[Red]\(&quot;$&quot;#,##0.000\)"/>
    <numFmt numFmtId="192" formatCode="#,##0.0%;\(#,##0.0%\)"/>
    <numFmt numFmtId="193" formatCode="#,##0.00;\(#,##0.00\)"/>
    <numFmt numFmtId="194" formatCode="#,##0.0;\(#,##0.0\)"/>
    <numFmt numFmtId="195" formatCode="#,##0.000;\(#,##0.000\)"/>
    <numFmt numFmtId="196" formatCode="&quot;$&quot;#,##0.0_);[Red]\(&quot;$&quot;#,##0.0\)"/>
    <numFmt numFmtId="197" formatCode="_(* #,##0_);_(* \(#,##0\);_(* &quot;-&quot;?_);_(@_)"/>
    <numFmt numFmtId="198" formatCode="mm/dd/yy\ hh:mm"/>
  </numFmts>
  <fonts count="65">
    <font>
      <sz val="10"/>
      <name val="Arial"/>
    </font>
    <font>
      <sz val="10"/>
      <name val="Arial"/>
      <family val="2"/>
    </font>
    <font>
      <sz val="8"/>
      <name val="Arial"/>
      <family val="2"/>
    </font>
    <font>
      <b/>
      <sz val="8"/>
      <name val="Arial"/>
      <family val="2"/>
    </font>
    <font>
      <sz val="8"/>
      <name val="Arial"/>
      <family val="2"/>
    </font>
    <font>
      <sz val="8"/>
      <name val="Times New Roman"/>
      <family val="1"/>
    </font>
    <font>
      <sz val="10"/>
      <name val="Times New Roman"/>
      <family val="1"/>
    </font>
    <font>
      <u/>
      <sz val="10"/>
      <color indexed="12"/>
      <name val="Times New Roman"/>
      <family val="1"/>
    </font>
    <font>
      <sz val="8"/>
      <name val="Times New Roman"/>
      <family val="1"/>
    </font>
    <font>
      <sz val="10"/>
      <name val="MS Sans Serif"/>
      <family val="2"/>
    </font>
    <font>
      <sz val="10"/>
      <name val="Courier"/>
      <family val="3"/>
    </font>
    <font>
      <sz val="10"/>
      <name val="Arial"/>
      <family val="2"/>
    </font>
    <font>
      <i/>
      <sz val="8"/>
      <name val="Arial"/>
      <family val="2"/>
    </font>
    <font>
      <b/>
      <sz val="10"/>
      <name val="Arial"/>
      <family val="2"/>
    </font>
    <font>
      <sz val="8"/>
      <color indexed="10"/>
      <name val="Arial"/>
      <family val="2"/>
    </font>
    <font>
      <b/>
      <sz val="8"/>
      <color indexed="81"/>
      <name val="Tahoma"/>
      <family val="2"/>
    </font>
    <font>
      <sz val="8"/>
      <color indexed="81"/>
      <name val="Tahoma"/>
      <family val="2"/>
    </font>
    <font>
      <i/>
      <sz val="10"/>
      <name val="Arial"/>
      <family val="2"/>
    </font>
    <font>
      <u/>
      <sz val="10"/>
      <name val="Arial"/>
      <family val="2"/>
    </font>
    <font>
      <b/>
      <sz val="12"/>
      <name val="Arial"/>
      <family val="2"/>
    </font>
    <font>
      <sz val="8"/>
      <color indexed="12"/>
      <name val="Arial"/>
      <family val="2"/>
    </font>
    <font>
      <sz val="8"/>
      <color indexed="12"/>
      <name val="Arial"/>
      <family val="2"/>
    </font>
    <font>
      <sz val="8"/>
      <color indexed="8"/>
      <name val="Arial"/>
      <family val="2"/>
    </font>
    <font>
      <b/>
      <sz val="8"/>
      <color indexed="8"/>
      <name val="Arial"/>
      <family val="2"/>
    </font>
    <font>
      <i/>
      <sz val="8"/>
      <color indexed="12"/>
      <name val="Arial"/>
      <family val="2"/>
    </font>
    <font>
      <i/>
      <sz val="8"/>
      <name val="Times New Roman"/>
      <family val="1"/>
    </font>
    <font>
      <b/>
      <u/>
      <sz val="8"/>
      <name val="Arial"/>
      <family val="2"/>
    </font>
    <font>
      <u/>
      <sz val="8"/>
      <name val="Arial"/>
      <family val="2"/>
    </font>
    <font>
      <sz val="8"/>
      <color indexed="63"/>
      <name val="Arial"/>
      <family val="2"/>
    </font>
    <font>
      <u/>
      <sz val="8"/>
      <color indexed="12"/>
      <name val="Arial"/>
      <family val="2"/>
    </font>
    <font>
      <sz val="11"/>
      <name val="Arial"/>
      <family val="2"/>
    </font>
    <font>
      <b/>
      <sz val="10"/>
      <color indexed="8"/>
      <name val="Times New Roman"/>
      <family val="1"/>
    </font>
    <font>
      <sz val="9"/>
      <name val="Times New Roman"/>
      <family val="1"/>
    </font>
    <font>
      <sz val="10"/>
      <color indexed="8"/>
      <name val="Times New Roman"/>
      <family val="1"/>
    </font>
    <font>
      <sz val="8"/>
      <color indexed="9"/>
      <name val="Arial"/>
      <family val="2"/>
    </font>
    <font>
      <b/>
      <sz val="8"/>
      <color indexed="9"/>
      <name val="Arial"/>
      <family val="2"/>
    </font>
    <font>
      <sz val="8"/>
      <color indexed="21"/>
      <name val="Arial"/>
      <family val="2"/>
    </font>
    <font>
      <sz val="8"/>
      <color indexed="17"/>
      <name val="Arial"/>
      <family val="2"/>
    </font>
    <font>
      <b/>
      <sz val="8"/>
      <color indexed="12"/>
      <name val="Arial"/>
      <family val="2"/>
    </font>
    <font>
      <b/>
      <i/>
      <sz val="8"/>
      <color indexed="9"/>
      <name val="Arial"/>
      <family val="2"/>
    </font>
    <font>
      <sz val="10"/>
      <color indexed="8"/>
      <name val="Arial"/>
      <family val="2"/>
    </font>
    <font>
      <sz val="8"/>
      <color indexed="22"/>
      <name val="Arial"/>
      <family val="2"/>
    </font>
    <font>
      <sz val="9"/>
      <color indexed="81"/>
      <name val="Tahoma"/>
      <family val="2"/>
    </font>
    <font>
      <b/>
      <sz val="9"/>
      <color indexed="81"/>
      <name val="Tahoma"/>
      <family val="2"/>
    </font>
    <font>
      <b/>
      <sz val="8"/>
      <color indexed="60"/>
      <name val="Arial"/>
      <family val="2"/>
    </font>
    <font>
      <i/>
      <u/>
      <sz val="10"/>
      <name val="Arial"/>
      <family val="2"/>
    </font>
    <font>
      <sz val="12"/>
      <name val="ⓒoUAAA¨u"/>
      <family val="1"/>
      <charset val="255"/>
    </font>
    <font>
      <sz val="11"/>
      <name val="￥i￠￢￠?o"/>
      <family val="3"/>
      <charset val="255"/>
    </font>
    <font>
      <sz val="10"/>
      <name val="돋움체"/>
      <family val="3"/>
      <charset val="255"/>
    </font>
    <font>
      <sz val="12"/>
      <name val="바탕체"/>
      <family val="1"/>
      <charset val="255"/>
    </font>
    <font>
      <sz val="12"/>
      <name val="바탕체"/>
      <family val="3"/>
    </font>
    <font>
      <sz val="11"/>
      <color indexed="8"/>
      <name val="Calibri"/>
      <family val="2"/>
    </font>
    <font>
      <sz val="8"/>
      <color indexed="12"/>
      <name val="Arial"/>
      <family val="2"/>
    </font>
    <font>
      <b/>
      <sz val="8"/>
      <color indexed="12"/>
      <name val="Arial"/>
      <family val="2"/>
    </font>
    <font>
      <sz val="10"/>
      <color indexed="12"/>
      <name val="Arial"/>
      <family val="2"/>
    </font>
    <font>
      <sz val="12"/>
      <color indexed="8"/>
      <name val="Times New Roman"/>
      <family val="1"/>
    </font>
    <font>
      <sz val="11"/>
      <color theme="1"/>
      <name val="Calibri"/>
      <family val="2"/>
      <scheme val="minor"/>
    </font>
    <font>
      <b/>
      <sz val="8"/>
      <color rgb="FF0000FF"/>
      <name val="Arial"/>
      <family val="2"/>
    </font>
    <font>
      <sz val="8"/>
      <color rgb="FF0000FF"/>
      <name val="Arial"/>
      <family val="2"/>
    </font>
    <font>
      <sz val="10"/>
      <name val="Arial"/>
      <family val="2"/>
    </font>
    <font>
      <sz val="10"/>
      <color rgb="FF000000"/>
      <name val="Arial"/>
      <family val="2"/>
    </font>
    <font>
      <b/>
      <sz val="12"/>
      <color rgb="FF000080"/>
      <name val="Arial"/>
      <family val="2"/>
    </font>
    <font>
      <sz val="14"/>
      <name val="Arial"/>
      <family val="2"/>
    </font>
    <font>
      <u/>
      <sz val="14"/>
      <name val="Arial"/>
      <family val="2"/>
    </font>
    <font>
      <b/>
      <u/>
      <sz val="14"/>
      <color indexed="10"/>
      <name val="Arial"/>
      <family val="2"/>
    </font>
  </fonts>
  <fills count="13">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56"/>
        <bgColor indexed="64"/>
      </patternFill>
    </fill>
    <fill>
      <patternFill patternType="solid">
        <fgColor indexed="13"/>
        <bgColor indexed="64"/>
      </patternFill>
    </fill>
    <fill>
      <patternFill patternType="solid">
        <fgColor indexed="41"/>
        <bgColor indexed="64"/>
      </patternFill>
    </fill>
    <fill>
      <patternFill patternType="solid">
        <fgColor indexed="9"/>
        <bgColor indexed="64"/>
      </patternFill>
    </fill>
    <fill>
      <patternFill patternType="solid">
        <fgColor indexed="44"/>
        <bgColor indexed="64"/>
      </patternFill>
    </fill>
    <fill>
      <patternFill patternType="solid">
        <fgColor indexed="11"/>
        <bgColor indexed="64"/>
      </patternFill>
    </fill>
    <fill>
      <patternFill patternType="solid">
        <fgColor indexed="51"/>
        <bgColor indexed="64"/>
      </patternFill>
    </fill>
    <fill>
      <patternFill patternType="solid">
        <fgColor theme="0"/>
        <bgColor indexed="64"/>
      </patternFill>
    </fill>
    <fill>
      <patternFill patternType="solid">
        <fgColor indexed="65"/>
        <bgColor indexed="64"/>
      </patternFill>
    </fill>
  </fills>
  <borders count="13">
    <border>
      <left/>
      <right/>
      <top/>
      <bottom/>
      <diagonal/>
    </border>
    <border>
      <left/>
      <right/>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right/>
      <top/>
      <bottom style="thin">
        <color indexed="8"/>
      </bottom>
      <diagonal/>
    </border>
    <border>
      <left style="thin">
        <color indexed="64"/>
      </left>
      <right/>
      <top/>
      <bottom style="thin">
        <color indexed="64"/>
      </bottom>
      <diagonal/>
    </border>
    <border>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43">
    <xf numFmtId="0" fontId="0" fillId="0" borderId="0"/>
    <xf numFmtId="0" fontId="1" fillId="0" borderId="0"/>
    <xf numFmtId="0" fontId="11" fillId="0" borderId="0"/>
    <xf numFmtId="0" fontId="11" fillId="0" borderId="0"/>
    <xf numFmtId="0" fontId="11" fillId="0" borderId="0" applyNumberFormat="0" applyFill="0" applyBorder="0" applyAlignment="0" applyProtection="0"/>
    <xf numFmtId="0" fontId="1" fillId="3" borderId="0" applyNumberFormat="0" applyFont="0" applyBorder="0" applyAlignment="0" applyProtection="0"/>
    <xf numFmtId="0" fontId="1" fillId="0" borderId="0"/>
    <xf numFmtId="0" fontId="9" fillId="0" borderId="0"/>
    <xf numFmtId="0" fontId="9" fillId="0" borderId="0"/>
    <xf numFmtId="0" fontId="46" fillId="0" borderId="0" applyFont="0" applyFill="0" applyBorder="0" applyAlignment="0" applyProtection="0"/>
    <xf numFmtId="0" fontId="47" fillId="0" borderId="0" applyFont="0" applyFill="0" applyBorder="0" applyAlignment="0" applyProtection="0"/>
    <xf numFmtId="0" fontId="31" fillId="0" borderId="0"/>
    <xf numFmtId="43" fontId="1" fillId="0" borderId="0" applyFont="0" applyFill="0" applyBorder="0" applyAlignment="0" applyProtection="0"/>
    <xf numFmtId="44" fontId="1" fillId="0" borderId="0" applyFont="0" applyFill="0" applyBorder="0" applyAlignment="0" applyProtection="0"/>
    <xf numFmtId="0" fontId="7" fillId="0" borderId="0" applyNumberFormat="0" applyFill="0" applyBorder="0" applyAlignment="0" applyProtection="0">
      <alignment vertical="top"/>
      <protection locked="0"/>
    </xf>
    <xf numFmtId="0" fontId="56" fillId="0" borderId="0"/>
    <xf numFmtId="0" fontId="11" fillId="0" borderId="0"/>
    <xf numFmtId="0" fontId="41" fillId="0" borderId="0"/>
    <xf numFmtId="0" fontId="6" fillId="0" borderId="0"/>
    <xf numFmtId="0" fontId="6" fillId="0" borderId="0"/>
    <xf numFmtId="0" fontId="6" fillId="0" borderId="0"/>
    <xf numFmtId="0" fontId="6" fillId="0" borderId="0"/>
    <xf numFmtId="0" fontId="11" fillId="0" borderId="0"/>
    <xf numFmtId="0" fontId="9" fillId="0" borderId="0"/>
    <xf numFmtId="0" fontId="6" fillId="0" borderId="0"/>
    <xf numFmtId="0" fontId="1" fillId="0" borderId="0"/>
    <xf numFmtId="0" fontId="9" fillId="0" borderId="0"/>
    <xf numFmtId="168" fontId="10" fillId="0" borderId="0"/>
    <xf numFmtId="168" fontId="6" fillId="0" borderId="0"/>
    <xf numFmtId="0" fontId="5" fillId="0" borderId="0"/>
    <xf numFmtId="0" fontId="32" fillId="0" borderId="0">
      <alignment vertical="center"/>
    </xf>
    <xf numFmtId="9" fontId="1" fillId="0" borderId="0" applyFont="0" applyFill="0" applyBorder="0" applyAlignment="0" applyProtection="0"/>
    <xf numFmtId="9" fontId="6" fillId="0" borderId="0" applyFont="0" applyFill="0" applyBorder="0" applyAlignment="0" applyProtection="0"/>
    <xf numFmtId="9" fontId="51" fillId="0" borderId="0" applyFont="0" applyFill="0" applyBorder="0" applyAlignment="0" applyProtection="0"/>
    <xf numFmtId="0" fontId="33" fillId="0" borderId="0"/>
    <xf numFmtId="0" fontId="33" fillId="0" borderId="4">
      <alignment horizontal="centerContinuous"/>
    </xf>
    <xf numFmtId="0" fontId="25" fillId="0" borderId="4"/>
    <xf numFmtId="0" fontId="11" fillId="0" borderId="0" applyNumberFormat="0" applyFill="0" applyBorder="0" applyAlignment="0" applyProtection="0"/>
    <xf numFmtId="0" fontId="48" fillId="0" borderId="0" applyFont="0" applyFill="0" applyBorder="0" applyAlignment="0" applyProtection="0"/>
    <xf numFmtId="0" fontId="49" fillId="0" borderId="0" applyFont="0" applyFill="0" applyBorder="0" applyAlignment="0" applyProtection="0"/>
    <xf numFmtId="0" fontId="50" fillId="0" borderId="0"/>
    <xf numFmtId="44" fontId="59" fillId="0" borderId="0" applyFont="0" applyFill="0" applyBorder="0" applyAlignment="0" applyProtection="0"/>
    <xf numFmtId="0" fontId="10" fillId="0" borderId="0"/>
  </cellStyleXfs>
  <cellXfs count="1120">
    <xf numFmtId="0" fontId="0" fillId="0" borderId="0" xfId="0"/>
    <xf numFmtId="0" fontId="35" fillId="4" borderId="0" xfId="0" applyFont="1" applyFill="1" applyBorder="1" applyAlignment="1">
      <alignment horizontal="center"/>
    </xf>
    <xf numFmtId="0" fontId="0" fillId="0" borderId="0" xfId="0" applyBorder="1"/>
    <xf numFmtId="0" fontId="11" fillId="0" borderId="0" xfId="0" applyFont="1"/>
    <xf numFmtId="0" fontId="4" fillId="0" borderId="0" xfId="0" applyFont="1"/>
    <xf numFmtId="166" fontId="4" fillId="0" borderId="0" xfId="31" applyNumberFormat="1" applyFont="1"/>
    <xf numFmtId="0" fontId="2" fillId="0" borderId="0" xfId="0" applyFont="1"/>
    <xf numFmtId="3" fontId="2" fillId="0" borderId="0" xfId="0" applyNumberFormat="1" applyFont="1"/>
    <xf numFmtId="0" fontId="3" fillId="0" borderId="0" xfId="0" applyFont="1"/>
    <xf numFmtId="0" fontId="4" fillId="0" borderId="0" xfId="0" applyFont="1" applyFill="1"/>
    <xf numFmtId="0" fontId="13" fillId="0" borderId="0" xfId="0" applyFont="1"/>
    <xf numFmtId="166" fontId="2" fillId="0" borderId="0" xfId="0" applyNumberFormat="1" applyFont="1"/>
    <xf numFmtId="166" fontId="2" fillId="0" borderId="0" xfId="0" applyNumberFormat="1" applyFont="1" applyAlignment="1">
      <alignment horizontal="right"/>
    </xf>
    <xf numFmtId="0" fontId="4" fillId="6" borderId="0" xfId="0" applyFont="1" applyFill="1"/>
    <xf numFmtId="0" fontId="11" fillId="0" borderId="0" xfId="0" applyFont="1" applyFill="1" applyBorder="1"/>
    <xf numFmtId="0" fontId="11" fillId="0" borderId="0" xfId="0" applyFont="1" applyBorder="1"/>
    <xf numFmtId="0" fontId="1" fillId="0" borderId="0" xfId="0" applyFont="1"/>
    <xf numFmtId="172" fontId="11" fillId="0" borderId="0" xfId="0" applyNumberFormat="1" applyFont="1"/>
    <xf numFmtId="0" fontId="11" fillId="0" borderId="0" xfId="0" applyFont="1" applyAlignment="1">
      <alignment horizontal="right"/>
    </xf>
    <xf numFmtId="0" fontId="19" fillId="0" borderId="0" xfId="0" applyFont="1"/>
    <xf numFmtId="0" fontId="13" fillId="0" borderId="0" xfId="0" applyFont="1" applyBorder="1"/>
    <xf numFmtId="0" fontId="4" fillId="0" borderId="0" xfId="0" applyFont="1" applyAlignment="1">
      <alignment horizontal="center"/>
    </xf>
    <xf numFmtId="166" fontId="0" fillId="0" borderId="0" xfId="0" applyNumberFormat="1"/>
    <xf numFmtId="166" fontId="11" fillId="0" borderId="0" xfId="0" applyNumberFormat="1" applyFont="1"/>
    <xf numFmtId="166" fontId="4" fillId="0" borderId="0" xfId="0" applyNumberFormat="1" applyFont="1"/>
    <xf numFmtId="10" fontId="2" fillId="0" borderId="0" xfId="0" applyNumberFormat="1" applyFont="1" applyAlignment="1">
      <alignment horizontal="right"/>
    </xf>
    <xf numFmtId="0" fontId="0" fillId="0" borderId="0" xfId="0" applyFill="1"/>
    <xf numFmtId="166" fontId="4" fillId="0" borderId="0" xfId="31" applyNumberFormat="1" applyFont="1" applyFill="1"/>
    <xf numFmtId="41" fontId="4" fillId="0" borderId="0" xfId="0" applyNumberFormat="1" applyFont="1"/>
    <xf numFmtId="49" fontId="0" fillId="0" borderId="0" xfId="0" applyNumberFormat="1"/>
    <xf numFmtId="166" fontId="11" fillId="0" borderId="0" xfId="31" applyNumberFormat="1" applyFont="1"/>
    <xf numFmtId="0" fontId="11" fillId="2" borderId="0" xfId="0" applyFont="1" applyFill="1" applyBorder="1"/>
    <xf numFmtId="0" fontId="4" fillId="0" borderId="0" xfId="0" applyFont="1" applyFill="1" applyBorder="1"/>
    <xf numFmtId="0" fontId="4" fillId="2" borderId="0" xfId="0" applyFont="1" applyFill="1" applyBorder="1"/>
    <xf numFmtId="0" fontId="3" fillId="0" borderId="0" xfId="0" applyFont="1" applyFill="1" applyBorder="1"/>
    <xf numFmtId="0" fontId="34" fillId="0" borderId="0" xfId="0" applyFont="1" applyFill="1" applyBorder="1"/>
    <xf numFmtId="0" fontId="34" fillId="0" borderId="0" xfId="0" applyFont="1" applyFill="1" applyBorder="1" applyAlignment="1">
      <alignment horizontal="center"/>
    </xf>
    <xf numFmtId="0" fontId="3" fillId="2" borderId="0" xfId="0" applyFont="1" applyFill="1" applyBorder="1"/>
    <xf numFmtId="0" fontId="4" fillId="0" borderId="0" xfId="0" applyFont="1" applyFill="1" applyBorder="1" applyAlignment="1">
      <alignment horizontal="right"/>
    </xf>
    <xf numFmtId="0" fontId="4" fillId="0" borderId="0" xfId="26" applyFont="1"/>
    <xf numFmtId="168" fontId="4" fillId="0" borderId="0" xfId="27" applyFont="1" applyBorder="1" applyAlignment="1" applyProtection="1">
      <alignment horizontal="left"/>
    </xf>
    <xf numFmtId="175" fontId="4" fillId="0" borderId="0" xfId="27" applyNumberFormat="1" applyFont="1" applyProtection="1"/>
    <xf numFmtId="0" fontId="4" fillId="0" borderId="0" xfId="19" applyFont="1"/>
    <xf numFmtId="0" fontId="4" fillId="0" borderId="0" xfId="0" applyFont="1" applyBorder="1"/>
    <xf numFmtId="0" fontId="4" fillId="2" borderId="0" xfId="0" applyFont="1" applyFill="1"/>
    <xf numFmtId="0" fontId="3" fillId="0" borderId="0" xfId="19" applyFont="1" applyFill="1" applyBorder="1"/>
    <xf numFmtId="5" fontId="4" fillId="0" borderId="0" xfId="0" applyNumberFormat="1" applyFont="1" applyFill="1" applyBorder="1"/>
    <xf numFmtId="0" fontId="3" fillId="0" borderId="0" xfId="0" applyFont="1" applyFill="1"/>
    <xf numFmtId="0" fontId="4" fillId="0" borderId="0" xfId="0" applyFont="1" applyFill="1" applyBorder="1" applyAlignment="1">
      <alignment horizontal="left"/>
    </xf>
    <xf numFmtId="166" fontId="4" fillId="0" borderId="0" xfId="0" applyNumberFormat="1" applyFont="1" applyFill="1" applyBorder="1"/>
    <xf numFmtId="166" fontId="4" fillId="0" borderId="0" xfId="31" applyNumberFormat="1" applyFont="1" applyFill="1" applyBorder="1" applyAlignment="1">
      <alignment horizontal="right"/>
    </xf>
    <xf numFmtId="3" fontId="4" fillId="0" borderId="0" xfId="0" applyNumberFormat="1" applyFont="1" applyFill="1" applyBorder="1" applyAlignment="1">
      <alignment horizontal="center"/>
    </xf>
    <xf numFmtId="0" fontId="4" fillId="0" borderId="1" xfId="0" applyFont="1" applyFill="1" applyBorder="1"/>
    <xf numFmtId="0" fontId="12" fillId="0" borderId="0" xfId="0" applyFont="1" applyFill="1" applyBorder="1" applyAlignment="1">
      <alignment horizontal="left"/>
    </xf>
    <xf numFmtId="0" fontId="12" fillId="0" borderId="0" xfId="0" applyFont="1" applyFill="1" applyBorder="1"/>
    <xf numFmtId="166" fontId="4" fillId="0" borderId="0" xfId="0" applyNumberFormat="1" applyFont="1" applyFill="1" applyBorder="1" applyAlignment="1">
      <alignment horizontal="center"/>
    </xf>
    <xf numFmtId="166" fontId="4" fillId="0" borderId="0" xfId="31" applyNumberFormat="1" applyFont="1" applyFill="1" applyBorder="1" applyAlignment="1">
      <alignment horizontal="center"/>
    </xf>
    <xf numFmtId="3" fontId="4" fillId="0" borderId="0" xfId="0" applyNumberFormat="1" applyFont="1" applyFill="1" applyBorder="1"/>
    <xf numFmtId="3" fontId="4" fillId="0" borderId="0" xfId="0" applyNumberFormat="1" applyFont="1" applyBorder="1"/>
    <xf numFmtId="166" fontId="4" fillId="0" borderId="0" xfId="0" applyNumberFormat="1" applyFont="1" applyFill="1" applyBorder="1" applyAlignment="1">
      <alignment horizontal="right"/>
    </xf>
    <xf numFmtId="3" fontId="4" fillId="0" borderId="0" xfId="0" applyNumberFormat="1" applyFont="1" applyFill="1" applyBorder="1" applyAlignment="1">
      <alignment horizontal="right"/>
    </xf>
    <xf numFmtId="0" fontId="4" fillId="0" borderId="0" xfId="0" applyFont="1" applyFill="1" applyAlignment="1">
      <alignment horizontal="right"/>
    </xf>
    <xf numFmtId="0" fontId="4" fillId="0" borderId="0" xfId="0" applyFont="1" applyBorder="1" applyAlignment="1">
      <alignment horizontal="right"/>
    </xf>
    <xf numFmtId="2" fontId="4" fillId="0" borderId="0" xfId="0" applyNumberFormat="1" applyFont="1" applyFill="1" applyBorder="1"/>
    <xf numFmtId="180" fontId="4" fillId="0" borderId="0" xfId="0" applyNumberFormat="1" applyFont="1" applyFill="1" applyBorder="1" applyAlignment="1">
      <alignment horizontal="right"/>
    </xf>
    <xf numFmtId="37" fontId="36" fillId="0" borderId="0" xfId="12" applyNumberFormat="1" applyFont="1" applyFill="1" applyBorder="1" applyAlignment="1">
      <alignment horizontal="right"/>
    </xf>
    <xf numFmtId="3" fontId="22" fillId="0" borderId="0" xfId="0" applyNumberFormat="1" applyFont="1" applyFill="1"/>
    <xf numFmtId="5" fontId="37" fillId="0" borderId="0" xfId="0" applyNumberFormat="1" applyFont="1" applyFill="1" applyBorder="1"/>
    <xf numFmtId="37" fontId="4" fillId="0" borderId="0" xfId="0" applyNumberFormat="1" applyFont="1" applyFill="1" applyBorder="1"/>
    <xf numFmtId="0" fontId="26" fillId="0" borderId="0" xfId="0" applyFont="1" applyFill="1" applyAlignment="1">
      <alignment horizontal="center"/>
    </xf>
    <xf numFmtId="166" fontId="3" fillId="0" borderId="0" xfId="0" applyNumberFormat="1" applyFont="1" applyFill="1" applyAlignment="1">
      <alignment horizontal="right"/>
    </xf>
    <xf numFmtId="5" fontId="3" fillId="0" borderId="0" xfId="0" applyNumberFormat="1" applyFont="1" applyFill="1"/>
    <xf numFmtId="166" fontId="12" fillId="0" borderId="0" xfId="0" applyNumberFormat="1" applyFont="1" applyBorder="1" applyAlignment="1">
      <alignment horizontal="right"/>
    </xf>
    <xf numFmtId="166" fontId="22" fillId="0" borderId="0" xfId="0" applyNumberFormat="1" applyFont="1" applyFill="1"/>
    <xf numFmtId="166" fontId="3" fillId="0" borderId="0" xfId="0" applyNumberFormat="1" applyFont="1" applyFill="1"/>
    <xf numFmtId="1" fontId="3" fillId="0" borderId="0" xfId="0" applyNumberFormat="1" applyFont="1" applyFill="1"/>
    <xf numFmtId="1" fontId="4" fillId="0" borderId="0" xfId="0" applyNumberFormat="1" applyFont="1" applyBorder="1"/>
    <xf numFmtId="38" fontId="4" fillId="0" borderId="0" xfId="12" applyNumberFormat="1" applyFont="1" applyBorder="1"/>
    <xf numFmtId="38" fontId="4" fillId="0" borderId="0" xfId="12" applyNumberFormat="1" applyFont="1" applyBorder="1" applyAlignment="1">
      <alignment horizontal="center"/>
    </xf>
    <xf numFmtId="0" fontId="4" fillId="0" borderId="0" xfId="19" applyFont="1" applyBorder="1"/>
    <xf numFmtId="0" fontId="4" fillId="0" borderId="0" xfId="19" applyFont="1" applyFill="1" applyBorder="1"/>
    <xf numFmtId="5" fontId="4" fillId="0" borderId="0" xfId="0" applyNumberFormat="1" applyFont="1" applyBorder="1"/>
    <xf numFmtId="173" fontId="14" fillId="0" borderId="0" xfId="0" applyNumberFormat="1" applyFont="1" applyFill="1" applyBorder="1" applyAlignment="1">
      <alignment horizontal="center"/>
    </xf>
    <xf numFmtId="41" fontId="4" fillId="0" borderId="0" xfId="19" applyNumberFormat="1" applyFont="1" applyFill="1" applyBorder="1" applyAlignment="1">
      <alignment horizontal="left"/>
    </xf>
    <xf numFmtId="176" fontId="4" fillId="0" borderId="0" xfId="19" applyNumberFormat="1" applyFont="1" applyFill="1" applyBorder="1" applyAlignment="1">
      <alignment horizontal="center"/>
    </xf>
    <xf numFmtId="176" fontId="4" fillId="0" borderId="0" xfId="19" applyNumberFormat="1" applyFont="1" applyFill="1" applyBorder="1" applyAlignment="1">
      <alignment horizontal="left"/>
    </xf>
    <xf numFmtId="166" fontId="4" fillId="0" borderId="0" xfId="0" applyNumberFormat="1" applyFont="1" applyBorder="1"/>
    <xf numFmtId="7" fontId="4" fillId="0" borderId="0" xfId="0" applyNumberFormat="1" applyFont="1" applyBorder="1"/>
    <xf numFmtId="0" fontId="21" fillId="0" borderId="0" xfId="0" applyFont="1" applyBorder="1"/>
    <xf numFmtId="10" fontId="4" fillId="0" borderId="0" xfId="0" applyNumberFormat="1" applyFont="1" applyBorder="1"/>
    <xf numFmtId="167" fontId="21" fillId="0" borderId="0" xfId="0" applyNumberFormat="1" applyFont="1" applyBorder="1"/>
    <xf numFmtId="167" fontId="22" fillId="0" borderId="0" xfId="0" applyNumberFormat="1" applyFont="1" applyBorder="1"/>
    <xf numFmtId="166" fontId="4" fillId="0" borderId="0" xfId="31" applyNumberFormat="1" applyFont="1" applyBorder="1"/>
    <xf numFmtId="9" fontId="4" fillId="0" borderId="0" xfId="31" applyNumberFormat="1" applyFont="1" applyBorder="1"/>
    <xf numFmtId="9" fontId="22" fillId="0" borderId="0" xfId="0" applyNumberFormat="1" applyFont="1" applyBorder="1"/>
    <xf numFmtId="166" fontId="22" fillId="0" borderId="0" xfId="0" applyNumberFormat="1" applyFont="1" applyBorder="1"/>
    <xf numFmtId="4" fontId="4" fillId="0" borderId="0" xfId="0" applyNumberFormat="1" applyFont="1" applyBorder="1"/>
    <xf numFmtId="3" fontId="21" fillId="2" borderId="0" xfId="0" applyNumberFormat="1" applyFont="1" applyFill="1" applyBorder="1"/>
    <xf numFmtId="1" fontId="22" fillId="0" borderId="0" xfId="0" applyNumberFormat="1" applyFont="1" applyBorder="1"/>
    <xf numFmtId="1" fontId="21" fillId="0" borderId="0" xfId="0" applyNumberFormat="1" applyFont="1" applyBorder="1"/>
    <xf numFmtId="10" fontId="4" fillId="0" borderId="0" xfId="31" applyNumberFormat="1" applyFont="1" applyBorder="1"/>
    <xf numFmtId="10" fontId="4" fillId="5" borderId="0" xfId="31" applyNumberFormat="1" applyFont="1" applyFill="1" applyBorder="1"/>
    <xf numFmtId="2" fontId="4" fillId="0" borderId="0" xfId="0" applyNumberFormat="1" applyFont="1" applyBorder="1"/>
    <xf numFmtId="1" fontId="24" fillId="0" borderId="0" xfId="0" applyNumberFormat="1" applyFont="1" applyBorder="1"/>
    <xf numFmtId="0" fontId="24" fillId="0" borderId="0" xfId="0" applyNumberFormat="1" applyFont="1" applyBorder="1"/>
    <xf numFmtId="1" fontId="4" fillId="0" borderId="0" xfId="31" applyNumberFormat="1" applyFont="1" applyBorder="1"/>
    <xf numFmtId="3" fontId="21" fillId="0" borderId="0" xfId="18" applyNumberFormat="1" applyFont="1" applyBorder="1"/>
    <xf numFmtId="37" fontId="4" fillId="0" borderId="0" xfId="0" applyNumberFormat="1" applyFont="1" applyBorder="1"/>
    <xf numFmtId="39" fontId="4" fillId="0" borderId="0" xfId="0" applyNumberFormat="1" applyFont="1" applyBorder="1"/>
    <xf numFmtId="37" fontId="4" fillId="0" borderId="0" xfId="0" applyNumberFormat="1" applyFont="1" applyBorder="1" applyAlignment="1">
      <alignment horizontal="center"/>
    </xf>
    <xf numFmtId="3" fontId="21" fillId="0" borderId="0" xfId="0" applyNumberFormat="1" applyFont="1" applyFill="1" applyBorder="1" applyAlignment="1">
      <alignment horizontal="center"/>
    </xf>
    <xf numFmtId="166" fontId="12" fillId="0" borderId="0" xfId="0" applyNumberFormat="1" applyFont="1" applyFill="1" applyBorder="1" applyAlignment="1">
      <alignment horizontal="center"/>
    </xf>
    <xf numFmtId="3" fontId="4" fillId="0" borderId="0" xfId="0" applyNumberFormat="1" applyFont="1" applyBorder="1" applyAlignment="1">
      <alignment horizontal="right"/>
    </xf>
    <xf numFmtId="3" fontId="3" fillId="0" borderId="0" xfId="0" applyNumberFormat="1" applyFont="1" applyFill="1" applyBorder="1" applyAlignment="1">
      <alignment horizontal="right"/>
    </xf>
    <xf numFmtId="3" fontId="3" fillId="0" borderId="0" xfId="0" applyNumberFormat="1" applyFont="1" applyFill="1" applyAlignment="1">
      <alignment horizontal="right"/>
    </xf>
    <xf numFmtId="37" fontId="4" fillId="0" borderId="0" xfId="0" applyNumberFormat="1" applyFont="1" applyFill="1" applyAlignment="1">
      <alignment horizontal="right"/>
    </xf>
    <xf numFmtId="37" fontId="22" fillId="0" borderId="0" xfId="0" applyNumberFormat="1" applyFont="1" applyFill="1" applyAlignment="1">
      <alignment horizontal="right"/>
    </xf>
    <xf numFmtId="37" fontId="4" fillId="0" borderId="0" xfId="0" applyNumberFormat="1" applyFont="1" applyFill="1" applyBorder="1" applyAlignment="1">
      <alignment horizontal="right"/>
    </xf>
    <xf numFmtId="173" fontId="4" fillId="0" borderId="0" xfId="0" applyNumberFormat="1" applyFont="1" applyFill="1" applyBorder="1" applyAlignment="1">
      <alignment horizontal="right"/>
    </xf>
    <xf numFmtId="179" fontId="21" fillId="0" borderId="0" xfId="31" applyNumberFormat="1" applyFont="1" applyAlignment="1" applyProtection="1">
      <alignment horizontal="right"/>
    </xf>
    <xf numFmtId="179" fontId="4" fillId="0" borderId="0" xfId="31" applyNumberFormat="1" applyFont="1" applyBorder="1" applyAlignment="1">
      <alignment horizontal="right"/>
    </xf>
    <xf numFmtId="179" fontId="21" fillId="0" borderId="0" xfId="31" applyNumberFormat="1" applyFont="1" applyBorder="1" applyAlignment="1" applyProtection="1">
      <alignment horizontal="right"/>
    </xf>
    <xf numFmtId="166" fontId="4" fillId="0" borderId="0" xfId="27" applyNumberFormat="1" applyFont="1" applyAlignment="1">
      <alignment horizontal="right"/>
    </xf>
    <xf numFmtId="175" fontId="4" fillId="0" borderId="0" xfId="27" applyNumberFormat="1" applyFont="1" applyAlignment="1" applyProtection="1">
      <alignment horizontal="right"/>
    </xf>
    <xf numFmtId="0" fontId="3" fillId="0" borderId="0" xfId="20" applyFont="1" applyFill="1"/>
    <xf numFmtId="37" fontId="4" fillId="0" borderId="0" xfId="0" applyNumberFormat="1" applyFont="1" applyBorder="1" applyAlignment="1">
      <alignment horizontal="right"/>
    </xf>
    <xf numFmtId="0" fontId="4" fillId="0" borderId="0" xfId="20" applyFont="1" applyFill="1"/>
    <xf numFmtId="0" fontId="4" fillId="0" borderId="0" xfId="20" applyFont="1" applyFill="1" applyBorder="1"/>
    <xf numFmtId="181" fontId="4" fillId="0" borderId="0" xfId="0" applyNumberFormat="1" applyFont="1" applyFill="1" applyBorder="1" applyAlignment="1">
      <alignment horizontal="right"/>
    </xf>
    <xf numFmtId="0" fontId="3" fillId="0" borderId="0" xfId="0" applyFont="1" applyBorder="1"/>
    <xf numFmtId="166" fontId="12" fillId="0" borderId="0" xfId="0" applyNumberFormat="1" applyFont="1" applyFill="1" applyBorder="1" applyAlignment="1">
      <alignment horizontal="right"/>
    </xf>
    <xf numFmtId="5" fontId="3" fillId="0" borderId="0" xfId="0" applyNumberFormat="1" applyFont="1" applyFill="1" applyBorder="1"/>
    <xf numFmtId="0" fontId="3" fillId="0" borderId="0" xfId="0" applyFont="1" applyFill="1" applyAlignment="1">
      <alignment horizontal="right"/>
    </xf>
    <xf numFmtId="5" fontId="37" fillId="0" borderId="0" xfId="0" applyNumberFormat="1" applyFont="1" applyFill="1" applyBorder="1" applyAlignment="1">
      <alignment horizontal="right"/>
    </xf>
    <xf numFmtId="3" fontId="3" fillId="0" borderId="0" xfId="0" applyNumberFormat="1" applyFont="1" applyFill="1" applyAlignment="1"/>
    <xf numFmtId="3" fontId="3" fillId="0" borderId="0" xfId="0" applyNumberFormat="1" applyFont="1" applyFill="1" applyBorder="1" applyAlignment="1"/>
    <xf numFmtId="5" fontId="22" fillId="0" borderId="0" xfId="25" applyNumberFormat="1" applyFont="1" applyFill="1" applyBorder="1" applyAlignment="1"/>
    <xf numFmtId="174" fontId="22" fillId="0" borderId="0" xfId="25" applyNumberFormat="1" applyFont="1" applyFill="1" applyBorder="1" applyAlignment="1"/>
    <xf numFmtId="37" fontId="22" fillId="0" borderId="0" xfId="12" applyNumberFormat="1" applyFont="1" applyFill="1" applyBorder="1" applyAlignment="1">
      <alignment horizontal="right"/>
    </xf>
    <xf numFmtId="37" fontId="3" fillId="0" borderId="0" xfId="0" applyNumberFormat="1" applyFont="1" applyFill="1" applyBorder="1"/>
    <xf numFmtId="37" fontId="3" fillId="0" borderId="0" xfId="12" applyNumberFormat="1" applyFont="1" applyFill="1" applyBorder="1"/>
    <xf numFmtId="37" fontId="3" fillId="0" borderId="0" xfId="0" applyNumberFormat="1" applyFont="1" applyFill="1" applyBorder="1" applyAlignment="1">
      <alignment horizontal="right"/>
    </xf>
    <xf numFmtId="37" fontId="3" fillId="0" borderId="0" xfId="0" applyNumberFormat="1" applyFont="1" applyFill="1"/>
    <xf numFmtId="37" fontId="4" fillId="0" borderId="0" xfId="19" applyNumberFormat="1" applyFont="1" applyFill="1" applyBorder="1" applyAlignment="1">
      <alignment horizontal="right"/>
    </xf>
    <xf numFmtId="173" fontId="14" fillId="0" borderId="0" xfId="0" applyNumberFormat="1" applyFont="1" applyFill="1" applyBorder="1" applyAlignment="1">
      <alignment horizontal="right"/>
    </xf>
    <xf numFmtId="0" fontId="26" fillId="0" borderId="0" xfId="0" applyFont="1" applyBorder="1" applyAlignment="1">
      <alignment horizontal="left"/>
    </xf>
    <xf numFmtId="0" fontId="4" fillId="0" borderId="0" xfId="0" applyFont="1" applyBorder="1" applyAlignment="1">
      <alignment horizontal="left"/>
    </xf>
    <xf numFmtId="5" fontId="4" fillId="0" borderId="0" xfId="0" applyNumberFormat="1" applyFont="1" applyBorder="1" applyAlignment="1"/>
    <xf numFmtId="174" fontId="4" fillId="0" borderId="0" xfId="19" applyNumberFormat="1" applyFont="1" applyFill="1" applyBorder="1" applyAlignment="1">
      <alignment horizontal="center"/>
    </xf>
    <xf numFmtId="174" fontId="4" fillId="0" borderId="0" xfId="19" applyNumberFormat="1" applyFont="1" applyFill="1" applyBorder="1" applyAlignment="1">
      <alignment horizontal="left"/>
    </xf>
    <xf numFmtId="174" fontId="4" fillId="0" borderId="0" xfId="19" applyNumberFormat="1" applyFont="1" applyFill="1" applyBorder="1" applyAlignment="1">
      <alignment horizontal="right"/>
    </xf>
    <xf numFmtId="3" fontId="4" fillId="0" borderId="0" xfId="19" applyNumberFormat="1" applyFont="1" applyFill="1" applyBorder="1" applyAlignment="1">
      <alignment horizontal="right"/>
    </xf>
    <xf numFmtId="179" fontId="4" fillId="0" borderId="0" xfId="0" applyNumberFormat="1" applyFont="1"/>
    <xf numFmtId="179" fontId="3" fillId="0" borderId="0" xfId="0" applyNumberFormat="1" applyFont="1" applyFill="1" applyAlignment="1">
      <alignment horizontal="right"/>
    </xf>
    <xf numFmtId="179" fontId="22" fillId="0" borderId="0" xfId="0" applyNumberFormat="1" applyFont="1" applyFill="1" applyAlignment="1">
      <alignment horizontal="right"/>
    </xf>
    <xf numFmtId="41" fontId="4" fillId="0" borderId="0" xfId="0" applyNumberFormat="1" applyFont="1" applyFill="1" applyAlignment="1">
      <alignment horizontal="right"/>
    </xf>
    <xf numFmtId="41" fontId="4" fillId="0" borderId="0" xfId="0" applyNumberFormat="1" applyFont="1" applyFill="1" applyBorder="1" applyAlignment="1">
      <alignment horizontal="right"/>
    </xf>
    <xf numFmtId="41" fontId="11" fillId="0" borderId="0" xfId="0" applyNumberFormat="1" applyFont="1"/>
    <xf numFmtId="41" fontId="11" fillId="0" borderId="0" xfId="0" applyNumberFormat="1" applyFont="1" applyBorder="1"/>
    <xf numFmtId="41" fontId="11" fillId="0" borderId="0" xfId="0" applyNumberFormat="1" applyFont="1" applyAlignment="1">
      <alignment horizontal="right"/>
    </xf>
    <xf numFmtId="0" fontId="28" fillId="0" borderId="0" xfId="0" applyFont="1" applyFill="1" applyBorder="1"/>
    <xf numFmtId="0" fontId="18" fillId="0" borderId="0" xfId="0" applyFont="1" applyBorder="1"/>
    <xf numFmtId="0" fontId="27" fillId="0" borderId="0" xfId="0" applyFont="1" applyBorder="1"/>
    <xf numFmtId="3" fontId="4" fillId="0" borderId="0" xfId="31" applyNumberFormat="1" applyFont="1" applyBorder="1"/>
    <xf numFmtId="173" fontId="4" fillId="0" borderId="0" xfId="31" applyNumberFormat="1" applyFont="1" applyBorder="1"/>
    <xf numFmtId="3" fontId="34" fillId="0" borderId="0" xfId="0" applyNumberFormat="1" applyFont="1" applyFill="1" applyBorder="1" applyAlignment="1">
      <alignment horizontal="center"/>
    </xf>
    <xf numFmtId="3" fontId="14" fillId="0" borderId="0" xfId="0" applyNumberFormat="1" applyFont="1" applyFill="1" applyBorder="1" applyAlignment="1">
      <alignment horizontal="center"/>
    </xf>
    <xf numFmtId="0" fontId="4" fillId="0" borderId="0" xfId="21" applyFont="1" applyBorder="1"/>
    <xf numFmtId="0" fontId="34" fillId="0" borderId="0" xfId="19" applyFont="1" applyFill="1" applyBorder="1"/>
    <xf numFmtId="0" fontId="12" fillId="0" borderId="0" xfId="0" applyFont="1" applyBorder="1"/>
    <xf numFmtId="0" fontId="3" fillId="0" borderId="0" xfId="21" applyFont="1" applyBorder="1"/>
    <xf numFmtId="37" fontId="3" fillId="0" borderId="0" xfId="20" applyNumberFormat="1" applyFont="1" applyFill="1" applyBorder="1" applyAlignment="1">
      <alignment horizontal="right"/>
    </xf>
    <xf numFmtId="37" fontId="3" fillId="0" borderId="0" xfId="0" applyNumberFormat="1" applyFont="1" applyBorder="1" applyAlignment="1">
      <alignment horizontal="right"/>
    </xf>
    <xf numFmtId="37" fontId="3" fillId="0" borderId="0" xfId="20" applyNumberFormat="1" applyFont="1" applyFill="1" applyBorder="1"/>
    <xf numFmtId="0" fontId="2" fillId="0" borderId="0" xfId="0" applyFont="1" applyAlignment="1">
      <alignment horizontal="center"/>
    </xf>
    <xf numFmtId="5" fontId="21" fillId="0" borderId="0" xfId="0" applyNumberFormat="1" applyFont="1" applyBorder="1"/>
    <xf numFmtId="166" fontId="3" fillId="0" borderId="0" xfId="31" applyNumberFormat="1" applyFont="1" applyFill="1"/>
    <xf numFmtId="41" fontId="4" fillId="0" borderId="0" xfId="0" applyNumberFormat="1" applyFont="1" applyBorder="1"/>
    <xf numFmtId="41" fontId="4" fillId="0" borderId="0" xfId="13" applyNumberFormat="1" applyFont="1" applyFill="1" applyBorder="1" applyAlignment="1">
      <alignment horizontal="right"/>
    </xf>
    <xf numFmtId="178" fontId="4" fillId="0" borderId="0" xfId="19" applyNumberFormat="1" applyFont="1" applyFill="1" applyBorder="1"/>
    <xf numFmtId="178" fontId="34" fillId="0" borderId="0" xfId="0" applyNumberFormat="1" applyFont="1" applyFill="1" applyBorder="1"/>
    <xf numFmtId="166" fontId="2" fillId="0" borderId="0" xfId="31" applyNumberFormat="1" applyFont="1"/>
    <xf numFmtId="9" fontId="2" fillId="0" borderId="0" xfId="0" applyNumberFormat="1" applyFont="1"/>
    <xf numFmtId="37" fontId="2" fillId="0" borderId="0" xfId="0" applyNumberFormat="1" applyFont="1"/>
    <xf numFmtId="4" fontId="2" fillId="0" borderId="0" xfId="0" applyNumberFormat="1" applyFont="1"/>
    <xf numFmtId="7" fontId="3" fillId="0" borderId="0" xfId="0" applyNumberFormat="1" applyFont="1" applyFill="1"/>
    <xf numFmtId="175" fontId="3" fillId="0" borderId="0" xfId="0" applyNumberFormat="1" applyFont="1" applyFill="1"/>
    <xf numFmtId="0" fontId="27" fillId="0" borderId="0" xfId="0" applyFont="1" applyFill="1" applyAlignment="1">
      <alignment horizontal="right"/>
    </xf>
    <xf numFmtId="179" fontId="3" fillId="0" borderId="0" xfId="0" applyNumberFormat="1" applyFont="1" applyFill="1"/>
    <xf numFmtId="179" fontId="22" fillId="0" borderId="0" xfId="0" applyNumberFormat="1" applyFont="1" applyFill="1"/>
    <xf numFmtId="0" fontId="35" fillId="0" borderId="0" xfId="0" applyFont="1" applyFill="1" applyBorder="1" applyAlignment="1">
      <alignment horizontal="center"/>
    </xf>
    <xf numFmtId="41" fontId="21" fillId="0" borderId="0" xfId="0" applyNumberFormat="1" applyFont="1" applyFill="1" applyAlignment="1">
      <alignment horizontal="right"/>
    </xf>
    <xf numFmtId="41" fontId="3" fillId="0" borderId="0" xfId="0" applyNumberFormat="1" applyFont="1" applyFill="1"/>
    <xf numFmtId="41" fontId="3" fillId="0" borderId="0" xfId="0" applyNumberFormat="1" applyFont="1" applyFill="1" applyAlignment="1">
      <alignment horizontal="right"/>
    </xf>
    <xf numFmtId="41" fontId="3" fillId="0" borderId="0" xfId="28" applyNumberFormat="1" applyFont="1" applyFill="1" applyBorder="1" applyAlignment="1" applyProtection="1">
      <alignment horizontal="right"/>
    </xf>
    <xf numFmtId="5" fontId="3" fillId="8" borderId="3" xfId="0" applyNumberFormat="1" applyFont="1" applyFill="1" applyBorder="1"/>
    <xf numFmtId="41" fontId="3" fillId="0" borderId="0" xfId="0" applyNumberFormat="1" applyFont="1" applyFill="1" applyBorder="1" applyAlignment="1">
      <alignment horizontal="right"/>
    </xf>
    <xf numFmtId="41" fontId="3" fillId="0" borderId="0" xfId="0" applyNumberFormat="1" applyFont="1" applyFill="1" applyAlignment="1"/>
    <xf numFmtId="41" fontId="4" fillId="0" borderId="0" xfId="0" applyNumberFormat="1" applyFont="1" applyFill="1" applyBorder="1"/>
    <xf numFmtId="183" fontId="29" fillId="0" borderId="0" xfId="14" applyNumberFormat="1" applyFont="1" applyFill="1" applyAlignment="1" applyProtection="1">
      <alignment horizontal="right"/>
    </xf>
    <xf numFmtId="41" fontId="22" fillId="0" borderId="0" xfId="0" applyNumberFormat="1" applyFont="1" applyFill="1" applyBorder="1" applyAlignment="1">
      <alignment horizontal="right"/>
    </xf>
    <xf numFmtId="41" fontId="4" fillId="0" borderId="0" xfId="12" applyNumberFormat="1" applyFont="1" applyFill="1" applyBorder="1" applyAlignment="1">
      <alignment horizontal="right"/>
    </xf>
    <xf numFmtId="0" fontId="3" fillId="0" borderId="0" xfId="0" quotePrefix="1" applyFont="1" applyFill="1" applyBorder="1" applyAlignment="1">
      <alignment horizontal="left"/>
    </xf>
    <xf numFmtId="41" fontId="3" fillId="0" borderId="0" xfId="0" applyNumberFormat="1" applyFont="1" applyFill="1" applyBorder="1" applyAlignment="1"/>
    <xf numFmtId="3" fontId="3" fillId="0" borderId="0" xfId="0" quotePrefix="1" applyNumberFormat="1" applyFont="1" applyFill="1" applyBorder="1"/>
    <xf numFmtId="41" fontId="4" fillId="0" borderId="0" xfId="0" applyNumberFormat="1" applyFont="1" applyBorder="1" applyAlignment="1">
      <alignment horizontal="right"/>
    </xf>
    <xf numFmtId="41" fontId="3" fillId="0" borderId="1" xfId="0" applyNumberFormat="1" applyFont="1" applyFill="1" applyBorder="1" applyAlignment="1">
      <alignment horizontal="right"/>
    </xf>
    <xf numFmtId="41" fontId="4" fillId="0" borderId="1" xfId="0" applyNumberFormat="1" applyFont="1" applyFill="1" applyBorder="1" applyAlignment="1">
      <alignment horizontal="right"/>
    </xf>
    <xf numFmtId="41" fontId="21" fillId="0" borderId="1" xfId="0" applyNumberFormat="1" applyFont="1" applyFill="1" applyBorder="1" applyAlignment="1">
      <alignment horizontal="right"/>
    </xf>
    <xf numFmtId="0" fontId="3" fillId="0" borderId="0" xfId="0" applyFont="1" applyFill="1" applyBorder="1" applyAlignment="1"/>
    <xf numFmtId="4" fontId="3" fillId="0" borderId="0" xfId="0" applyNumberFormat="1" applyFont="1" applyFill="1" applyBorder="1" applyAlignment="1">
      <alignment horizontal="right"/>
    </xf>
    <xf numFmtId="0" fontId="4" fillId="0" borderId="0" xfId="0" quotePrefix="1" applyFont="1" applyFill="1" applyBorder="1"/>
    <xf numFmtId="179" fontId="3" fillId="0" borderId="0" xfId="31" applyNumberFormat="1" applyFont="1" applyFill="1" applyBorder="1" applyAlignment="1">
      <alignment horizontal="right"/>
    </xf>
    <xf numFmtId="179" fontId="3" fillId="0" borderId="0" xfId="31" applyNumberFormat="1" applyFont="1" applyFill="1" applyBorder="1" applyAlignment="1"/>
    <xf numFmtId="166" fontId="3" fillId="0" borderId="0" xfId="31" applyNumberFormat="1" applyFont="1" applyFill="1" applyBorder="1" applyAlignment="1"/>
    <xf numFmtId="0" fontId="4" fillId="8" borderId="3" xfId="0" applyFont="1" applyFill="1" applyBorder="1"/>
    <xf numFmtId="0" fontId="4" fillId="8" borderId="3" xfId="0" applyFont="1" applyFill="1" applyBorder="1" applyAlignment="1">
      <alignment horizontal="right"/>
    </xf>
    <xf numFmtId="179" fontId="22" fillId="0" borderId="0" xfId="31" applyNumberFormat="1" applyFont="1" applyFill="1" applyBorder="1"/>
    <xf numFmtId="0" fontId="3" fillId="8" borderId="3" xfId="23" applyFont="1" applyFill="1" applyBorder="1"/>
    <xf numFmtId="0" fontId="3" fillId="8" borderId="3" xfId="0" applyFont="1" applyFill="1" applyBorder="1"/>
    <xf numFmtId="41" fontId="3" fillId="0" borderId="0" xfId="0" applyNumberFormat="1" applyFont="1" applyBorder="1" applyAlignment="1">
      <alignment horizontal="right"/>
    </xf>
    <xf numFmtId="0" fontId="28" fillId="0" borderId="0" xfId="0" quotePrefix="1" applyFont="1" applyFill="1" applyBorder="1"/>
    <xf numFmtId="41" fontId="21" fillId="0" borderId="0" xfId="0" applyNumberFormat="1" applyFont="1" applyFill="1" applyBorder="1" applyAlignment="1">
      <alignment horizontal="right"/>
    </xf>
    <xf numFmtId="41" fontId="4" fillId="0" borderId="1" xfId="27" applyNumberFormat="1" applyFont="1" applyBorder="1" applyAlignment="1" applyProtection="1">
      <alignment horizontal="right"/>
    </xf>
    <xf numFmtId="41" fontId="4" fillId="0" borderId="0" xfId="26" applyNumberFormat="1" applyFont="1" applyAlignment="1">
      <alignment horizontal="right"/>
    </xf>
    <xf numFmtId="175" fontId="4" fillId="0" borderId="1" xfId="27" applyNumberFormat="1" applyFont="1" applyBorder="1" applyProtection="1"/>
    <xf numFmtId="175" fontId="4" fillId="0" borderId="1" xfId="27" applyNumberFormat="1" applyFont="1" applyBorder="1"/>
    <xf numFmtId="3" fontId="3" fillId="0" borderId="0" xfId="27" applyNumberFormat="1" applyFont="1" applyAlignment="1">
      <alignment horizontal="right"/>
    </xf>
    <xf numFmtId="41" fontId="4" fillId="0" borderId="0" xfId="27" applyNumberFormat="1" applyFont="1" applyAlignment="1">
      <alignment horizontal="right"/>
    </xf>
    <xf numFmtId="41" fontId="21" fillId="0" borderId="0" xfId="27" applyNumberFormat="1" applyFont="1" applyAlignment="1" applyProtection="1">
      <alignment horizontal="right"/>
    </xf>
    <xf numFmtId="41" fontId="21" fillId="0" borderId="1" xfId="27" applyNumberFormat="1" applyFont="1" applyBorder="1" applyAlignment="1" applyProtection="1">
      <alignment horizontal="right"/>
    </xf>
    <xf numFmtId="41" fontId="3" fillId="0" borderId="0" xfId="27" applyNumberFormat="1" applyFont="1" applyAlignment="1">
      <alignment horizontal="right"/>
    </xf>
    <xf numFmtId="41" fontId="4" fillId="0" borderId="0" xfId="26" applyNumberFormat="1" applyFont="1"/>
    <xf numFmtId="41" fontId="38" fillId="0" borderId="0" xfId="27" applyNumberFormat="1" applyFont="1" applyAlignment="1">
      <alignment horizontal="right"/>
    </xf>
    <xf numFmtId="43" fontId="3" fillId="0" borderId="0" xfId="0" applyNumberFormat="1" applyFont="1" applyFill="1" applyAlignment="1">
      <alignment horizontal="right"/>
    </xf>
    <xf numFmtId="0" fontId="39" fillId="4" borderId="1" xfId="0" applyFont="1" applyFill="1" applyBorder="1"/>
    <xf numFmtId="0" fontId="34" fillId="4" borderId="0" xfId="0" applyFont="1" applyFill="1" applyBorder="1" applyAlignment="1">
      <alignment horizontal="center"/>
    </xf>
    <xf numFmtId="0" fontId="35" fillId="4" borderId="0" xfId="19" applyFont="1" applyFill="1" applyBorder="1" applyAlignment="1">
      <alignment horizontal="center"/>
    </xf>
    <xf numFmtId="0" fontId="39" fillId="0" borderId="0" xfId="0" applyFont="1" applyFill="1" applyBorder="1"/>
    <xf numFmtId="0" fontId="35" fillId="0" borderId="0" xfId="19" applyFont="1" applyFill="1" applyBorder="1" applyAlignment="1">
      <alignment horizontal="center"/>
    </xf>
    <xf numFmtId="180" fontId="4" fillId="0" borderId="0" xfId="0" applyNumberFormat="1" applyFont="1" applyFill="1" applyBorder="1"/>
    <xf numFmtId="0" fontId="4" fillId="0" borderId="0" xfId="0" applyNumberFormat="1" applyFont="1" applyBorder="1"/>
    <xf numFmtId="3" fontId="3" fillId="0" borderId="0" xfId="19" applyNumberFormat="1" applyFont="1" applyFill="1" applyBorder="1"/>
    <xf numFmtId="3" fontId="3" fillId="0" borderId="0" xfId="0" applyNumberFormat="1" applyFont="1" applyFill="1" applyBorder="1"/>
    <xf numFmtId="1" fontId="4" fillId="0" borderId="0" xfId="0" applyNumberFormat="1" applyFont="1" applyBorder="1" applyAlignment="1">
      <alignment horizontal="right"/>
    </xf>
    <xf numFmtId="166" fontId="4" fillId="0" borderId="0" xfId="0" applyNumberFormat="1" applyFont="1" applyBorder="1" applyAlignment="1">
      <alignment horizontal="right"/>
    </xf>
    <xf numFmtId="166" fontId="21" fillId="0" borderId="0" xfId="0" applyNumberFormat="1" applyFont="1" applyBorder="1" applyAlignment="1">
      <alignment horizontal="right"/>
    </xf>
    <xf numFmtId="167" fontId="4" fillId="0" borderId="0" xfId="0" applyNumberFormat="1" applyFont="1" applyBorder="1"/>
    <xf numFmtId="5" fontId="12" fillId="0" borderId="0" xfId="0" applyNumberFormat="1" applyFont="1" applyFill="1" applyBorder="1"/>
    <xf numFmtId="10" fontId="4" fillId="0" borderId="0" xfId="0" applyNumberFormat="1" applyFont="1" applyFill="1" applyBorder="1"/>
    <xf numFmtId="4" fontId="4" fillId="0" borderId="0" xfId="0" applyNumberFormat="1" applyFont="1" applyFill="1" applyBorder="1"/>
    <xf numFmtId="5" fontId="11" fillId="0" borderId="0" xfId="0" applyNumberFormat="1" applyFont="1" applyBorder="1"/>
    <xf numFmtId="5" fontId="4" fillId="5" borderId="0" xfId="0" applyNumberFormat="1" applyFont="1" applyFill="1" applyBorder="1"/>
    <xf numFmtId="3" fontId="4" fillId="5" borderId="0" xfId="0" applyNumberFormat="1" applyFont="1" applyFill="1" applyBorder="1"/>
    <xf numFmtId="41" fontId="11" fillId="0" borderId="0" xfId="0" applyNumberFormat="1" applyFont="1" applyBorder="1" applyAlignment="1">
      <alignment horizontal="right"/>
    </xf>
    <xf numFmtId="41" fontId="14" fillId="0" borderId="0" xfId="0" applyNumberFormat="1" applyFont="1" applyFill="1" applyBorder="1" applyAlignment="1">
      <alignment horizontal="right"/>
    </xf>
    <xf numFmtId="0" fontId="34" fillId="8" borderId="3" xfId="0" applyFont="1" applyFill="1" applyBorder="1"/>
    <xf numFmtId="3" fontId="34" fillId="8" borderId="3" xfId="0" applyNumberFormat="1" applyFont="1" applyFill="1" applyBorder="1" applyAlignment="1">
      <alignment horizontal="center"/>
    </xf>
    <xf numFmtId="3" fontId="14" fillId="8" borderId="3" xfId="0" applyNumberFormat="1" applyFont="1" applyFill="1" applyBorder="1" applyAlignment="1">
      <alignment horizontal="center"/>
    </xf>
    <xf numFmtId="173" fontId="14" fillId="8" borderId="3" xfId="0" applyNumberFormat="1" applyFont="1" applyFill="1" applyBorder="1" applyAlignment="1">
      <alignment horizontal="center"/>
    </xf>
    <xf numFmtId="173" fontId="14" fillId="8" borderId="3" xfId="0" applyNumberFormat="1" applyFont="1" applyFill="1" applyBorder="1" applyAlignment="1">
      <alignment horizontal="right"/>
    </xf>
    <xf numFmtId="0" fontId="3" fillId="0" borderId="0" xfId="0" applyFont="1" applyBorder="1" applyAlignment="1">
      <alignment horizontal="left"/>
    </xf>
    <xf numFmtId="179" fontId="4" fillId="0" borderId="0" xfId="0" applyNumberFormat="1" applyFont="1" applyBorder="1" applyAlignment="1">
      <alignment horizontal="left"/>
    </xf>
    <xf numFmtId="173" fontId="4" fillId="0" borderId="0" xfId="0" applyNumberFormat="1" applyFont="1" applyFill="1" applyBorder="1" applyAlignment="1">
      <alignment horizontal="center"/>
    </xf>
    <xf numFmtId="0" fontId="4" fillId="0" borderId="0" xfId="21" quotePrefix="1" applyFont="1" applyBorder="1"/>
    <xf numFmtId="3" fontId="4" fillId="8" borderId="3" xfId="0" applyNumberFormat="1" applyFont="1" applyFill="1" applyBorder="1" applyAlignment="1">
      <alignment horizontal="center"/>
    </xf>
    <xf numFmtId="173" fontId="4" fillId="8" borderId="3" xfId="0" applyNumberFormat="1" applyFont="1" applyFill="1" applyBorder="1" applyAlignment="1">
      <alignment horizontal="center"/>
    </xf>
    <xf numFmtId="173" fontId="4" fillId="8" borderId="3" xfId="0" applyNumberFormat="1" applyFont="1" applyFill="1" applyBorder="1" applyAlignment="1">
      <alignment horizontal="right"/>
    </xf>
    <xf numFmtId="173" fontId="4" fillId="0" borderId="0" xfId="0" applyNumberFormat="1" applyFont="1"/>
    <xf numFmtId="171" fontId="4" fillId="0" borderId="0" xfId="0" applyNumberFormat="1" applyFont="1"/>
    <xf numFmtId="0" fontId="3" fillId="0" borderId="0" xfId="21" quotePrefix="1" applyFont="1" applyBorder="1"/>
    <xf numFmtId="188" fontId="4" fillId="0" borderId="0" xfId="0" applyNumberFormat="1" applyFont="1"/>
    <xf numFmtId="41" fontId="4" fillId="0" borderId="0" xfId="0" applyNumberFormat="1" applyFont="1" applyFill="1" applyBorder="1" applyAlignment="1">
      <alignment horizontal="center"/>
    </xf>
    <xf numFmtId="188" fontId="4" fillId="0" borderId="0" xfId="0" applyNumberFormat="1" applyFont="1" applyFill="1" applyBorder="1" applyAlignment="1">
      <alignment horizontal="center"/>
    </xf>
    <xf numFmtId="41" fontId="22" fillId="0" borderId="0" xfId="0" applyNumberFormat="1" applyFont="1" applyBorder="1"/>
    <xf numFmtId="41" fontId="3" fillId="0" borderId="0" xfId="0" applyNumberFormat="1" applyFont="1" applyBorder="1"/>
    <xf numFmtId="41" fontId="12" fillId="0" borderId="0" xfId="0" applyNumberFormat="1" applyFont="1" applyBorder="1"/>
    <xf numFmtId="41" fontId="12" fillId="0" borderId="0" xfId="0" applyNumberFormat="1" applyFont="1" applyFill="1" applyBorder="1" applyAlignment="1">
      <alignment horizontal="center"/>
    </xf>
    <xf numFmtId="41" fontId="12" fillId="0" borderId="0" xfId="0" applyNumberFormat="1" applyFont="1" applyFill="1" applyBorder="1" applyAlignment="1">
      <alignment horizontal="right"/>
    </xf>
    <xf numFmtId="0" fontId="3" fillId="0" borderId="0" xfId="0" applyFont="1" applyBorder="1" applyAlignment="1">
      <alignment horizontal="right"/>
    </xf>
    <xf numFmtId="0" fontId="35" fillId="4" borderId="3" xfId="0" applyFont="1" applyFill="1" applyBorder="1"/>
    <xf numFmtId="0" fontId="34" fillId="4" borderId="3" xfId="0" applyFont="1" applyFill="1" applyBorder="1"/>
    <xf numFmtId="0" fontId="35" fillId="4" borderId="3" xfId="0" applyFont="1" applyFill="1" applyBorder="1" applyAlignment="1">
      <alignment horizontal="right"/>
    </xf>
    <xf numFmtId="0" fontId="35" fillId="0" borderId="0" xfId="0" applyFont="1" applyFill="1" applyBorder="1"/>
    <xf numFmtId="0" fontId="35" fillId="0" borderId="0" xfId="0" applyFont="1" applyFill="1" applyBorder="1" applyAlignment="1">
      <alignment horizontal="right"/>
    </xf>
    <xf numFmtId="0" fontId="3" fillId="0" borderId="0" xfId="20" applyFont="1" applyFill="1" applyBorder="1"/>
    <xf numFmtId="37" fontId="4" fillId="0" borderId="0" xfId="20" applyNumberFormat="1" applyFont="1" applyFill="1" applyBorder="1"/>
    <xf numFmtId="37" fontId="4" fillId="0" borderId="0" xfId="20" applyNumberFormat="1" applyFont="1" applyFill="1" applyBorder="1" applyAlignment="1">
      <alignment horizontal="right"/>
    </xf>
    <xf numFmtId="37" fontId="4" fillId="2" borderId="0" xfId="0" applyNumberFormat="1" applyFont="1" applyFill="1" applyBorder="1"/>
    <xf numFmtId="37" fontId="3" fillId="0" borderId="0" xfId="0" applyNumberFormat="1" applyFont="1" applyBorder="1"/>
    <xf numFmtId="37" fontId="3" fillId="2" borderId="0" xfId="0" applyNumberFormat="1" applyFont="1" applyFill="1" applyBorder="1"/>
    <xf numFmtId="7" fontId="4" fillId="0" borderId="0" xfId="0" applyNumberFormat="1" applyFont="1" applyBorder="1" applyAlignment="1">
      <alignment horizontal="right"/>
    </xf>
    <xf numFmtId="7" fontId="21" fillId="0" borderId="0" xfId="0" applyNumberFormat="1" applyFont="1" applyBorder="1" applyAlignment="1">
      <alignment horizontal="right"/>
    </xf>
    <xf numFmtId="7" fontId="21" fillId="0" borderId="0" xfId="0" applyNumberFormat="1" applyFont="1" applyBorder="1"/>
    <xf numFmtId="41" fontId="4" fillId="0" borderId="0" xfId="0" applyNumberFormat="1" applyFont="1" applyAlignment="1">
      <alignment horizontal="right"/>
    </xf>
    <xf numFmtId="37" fontId="4" fillId="0" borderId="0" xfId="12" applyNumberFormat="1" applyFont="1" applyFill="1" applyBorder="1" applyAlignment="1">
      <alignment horizontal="left"/>
    </xf>
    <xf numFmtId="41" fontId="4" fillId="0" borderId="1" xfId="0" applyNumberFormat="1" applyFont="1" applyBorder="1" applyAlignment="1">
      <alignment horizontal="right"/>
    </xf>
    <xf numFmtId="181" fontId="4" fillId="8" borderId="3" xfId="0" applyNumberFormat="1" applyFont="1" applyFill="1" applyBorder="1" applyAlignment="1">
      <alignment horizontal="right"/>
    </xf>
    <xf numFmtId="174" fontId="4" fillId="0" borderId="0" xfId="0" applyNumberFormat="1" applyFont="1" applyBorder="1" applyAlignment="1">
      <alignment horizontal="right"/>
    </xf>
    <xf numFmtId="179" fontId="4" fillId="0" borderId="0" xfId="0" applyNumberFormat="1" applyFont="1" applyBorder="1" applyAlignment="1">
      <alignment horizontal="right"/>
    </xf>
    <xf numFmtId="0" fontId="2" fillId="0" borderId="0" xfId="0" applyFont="1" applyBorder="1"/>
    <xf numFmtId="0" fontId="2" fillId="0" borderId="0" xfId="0" applyFont="1" applyFill="1" applyBorder="1"/>
    <xf numFmtId="166" fontId="2" fillId="0" borderId="0" xfId="31" applyNumberFormat="1" applyFont="1" applyFill="1" applyBorder="1"/>
    <xf numFmtId="166" fontId="2" fillId="0" borderId="0" xfId="31" applyNumberFormat="1" applyFont="1" applyFill="1" applyBorder="1" applyAlignment="1">
      <alignment horizontal="right"/>
    </xf>
    <xf numFmtId="166" fontId="20" fillId="0" borderId="0" xfId="31" applyNumberFormat="1" applyFont="1" applyFill="1" applyBorder="1"/>
    <xf numFmtId="166" fontId="20" fillId="0" borderId="0" xfId="31" applyNumberFormat="1" applyFont="1" applyFill="1" applyBorder="1" applyAlignment="1">
      <alignment horizontal="right"/>
    </xf>
    <xf numFmtId="166" fontId="2" fillId="0" borderId="0" xfId="0" applyNumberFormat="1" applyFont="1" applyFill="1" applyBorder="1"/>
    <xf numFmtId="41" fontId="2" fillId="0" borderId="0" xfId="0" applyNumberFormat="1" applyFont="1" applyFill="1" applyBorder="1"/>
    <xf numFmtId="41" fontId="2" fillId="0" borderId="0" xfId="0" applyNumberFormat="1" applyFont="1" applyBorder="1"/>
    <xf numFmtId="0" fontId="20" fillId="0" borderId="0" xfId="0" applyFont="1" applyFill="1" applyBorder="1"/>
    <xf numFmtId="43" fontId="2" fillId="0" borderId="0" xfId="0" applyNumberFormat="1" applyFont="1" applyFill="1" applyBorder="1"/>
    <xf numFmtId="41" fontId="2" fillId="0" borderId="0" xfId="0" applyNumberFormat="1" applyFont="1" applyFill="1" applyBorder="1" applyAlignment="1">
      <alignment horizontal="right"/>
    </xf>
    <xf numFmtId="37" fontId="2" fillId="0" borderId="0" xfId="0" applyNumberFormat="1" applyFont="1" applyFill="1" applyBorder="1" applyAlignment="1">
      <alignment horizontal="right"/>
    </xf>
    <xf numFmtId="0" fontId="3" fillId="0" borderId="0" xfId="29" applyFont="1" applyBorder="1"/>
    <xf numFmtId="0" fontId="3" fillId="0" borderId="0" xfId="29" applyFont="1" applyFill="1" applyBorder="1"/>
    <xf numFmtId="0" fontId="3" fillId="0" borderId="0" xfId="29" applyFont="1" applyFill="1" applyBorder="1" applyAlignment="1" applyProtection="1">
      <alignment horizontal="left"/>
    </xf>
    <xf numFmtId="43" fontId="3" fillId="0" borderId="0" xfId="29" applyNumberFormat="1" applyFont="1" applyBorder="1" applyAlignment="1" applyProtection="1">
      <alignment horizontal="right"/>
    </xf>
    <xf numFmtId="43" fontId="3" fillId="0" borderId="0" xfId="29" applyNumberFormat="1" applyFont="1" applyBorder="1" applyAlignment="1">
      <alignment horizontal="right"/>
    </xf>
    <xf numFmtId="41" fontId="21" fillId="0" borderId="0" xfId="13" applyNumberFormat="1" applyFont="1" applyFill="1" applyBorder="1" applyAlignment="1">
      <alignment horizontal="right"/>
    </xf>
    <xf numFmtId="7" fontId="3" fillId="0" borderId="0" xfId="29" applyNumberFormat="1" applyFont="1" applyBorder="1" applyAlignment="1" applyProtection="1">
      <alignment horizontal="right"/>
    </xf>
    <xf numFmtId="3" fontId="21" fillId="0" borderId="0" xfId="0" applyNumberFormat="1" applyFont="1" applyBorder="1"/>
    <xf numFmtId="41" fontId="4" fillId="3" borderId="0" xfId="0" applyNumberFormat="1" applyFont="1" applyFill="1" applyBorder="1"/>
    <xf numFmtId="10" fontId="21" fillId="0" borderId="0" xfId="0" applyNumberFormat="1" applyFont="1" applyBorder="1"/>
    <xf numFmtId="0" fontId="35" fillId="4" borderId="1" xfId="0" applyFont="1" applyFill="1" applyBorder="1" applyAlignment="1">
      <alignment horizontal="center"/>
    </xf>
    <xf numFmtId="5" fontId="21" fillId="0" borderId="0" xfId="0" applyNumberFormat="1" applyFont="1" applyBorder="1" applyAlignment="1"/>
    <xf numFmtId="166" fontId="21" fillId="0" borderId="0" xfId="0" applyNumberFormat="1" applyFont="1" applyBorder="1"/>
    <xf numFmtId="166" fontId="21" fillId="0" borderId="0" xfId="0" applyNumberFormat="1" applyFont="1" applyFill="1" applyBorder="1"/>
    <xf numFmtId="0" fontId="40" fillId="0" borderId="0" xfId="0" applyFont="1"/>
    <xf numFmtId="43" fontId="2" fillId="0" borderId="0" xfId="0" applyNumberFormat="1" applyFont="1"/>
    <xf numFmtId="41" fontId="2" fillId="0" borderId="0" xfId="0" applyNumberFormat="1" applyFont="1"/>
    <xf numFmtId="0" fontId="2" fillId="0" borderId="0" xfId="0" applyFont="1" applyAlignment="1">
      <alignment horizontal="right"/>
    </xf>
    <xf numFmtId="173" fontId="2" fillId="0" borderId="0" xfId="0" applyNumberFormat="1" applyFont="1" applyAlignment="1">
      <alignment horizontal="right"/>
    </xf>
    <xf numFmtId="1" fontId="3" fillId="0" borderId="0" xfId="31" applyNumberFormat="1" applyFont="1" applyFill="1"/>
    <xf numFmtId="1" fontId="3" fillId="0" borderId="0" xfId="31" applyNumberFormat="1" applyFont="1" applyFill="1" applyBorder="1"/>
    <xf numFmtId="1" fontId="3" fillId="0" borderId="0" xfId="31" applyNumberFormat="1" applyFont="1" applyFill="1" applyBorder="1" applyAlignment="1" applyProtection="1">
      <alignment horizontal="right"/>
    </xf>
    <xf numFmtId="1" fontId="3" fillId="0" borderId="0" xfId="31" applyNumberFormat="1" applyFont="1" applyFill="1" applyBorder="1" applyAlignment="1">
      <alignment horizontal="right"/>
    </xf>
    <xf numFmtId="167" fontId="3" fillId="0" borderId="0" xfId="31" applyNumberFormat="1" applyFont="1" applyFill="1"/>
    <xf numFmtId="179" fontId="3" fillId="0" borderId="0" xfId="31" applyNumberFormat="1" applyFont="1" applyFill="1"/>
    <xf numFmtId="179" fontId="3" fillId="0" borderId="0" xfId="31" applyNumberFormat="1" applyFont="1" applyFill="1" applyBorder="1"/>
    <xf numFmtId="173" fontId="3" fillId="0" borderId="0" xfId="0" applyNumberFormat="1" applyFont="1" applyFill="1"/>
    <xf numFmtId="188" fontId="3" fillId="0" borderId="0" xfId="0" applyNumberFormat="1" applyFont="1" applyFill="1"/>
    <xf numFmtId="179" fontId="38" fillId="0" borderId="0" xfId="0" applyNumberFormat="1" applyFont="1" applyFill="1"/>
    <xf numFmtId="41" fontId="3" fillId="0" borderId="0" xfId="0" applyNumberFormat="1" applyFont="1" applyFill="1" applyBorder="1"/>
    <xf numFmtId="0" fontId="11" fillId="0" borderId="0" xfId="0" applyFont="1" applyFill="1" applyAlignment="1">
      <alignment horizontal="right"/>
    </xf>
    <xf numFmtId="179" fontId="38" fillId="0" borderId="0" xfId="31" applyNumberFormat="1" applyFont="1" applyFill="1" applyBorder="1"/>
    <xf numFmtId="179" fontId="21" fillId="0" borderId="0" xfId="27" applyNumberFormat="1" applyFont="1" applyProtection="1"/>
    <xf numFmtId="179" fontId="38" fillId="0" borderId="0" xfId="31" applyNumberFormat="1" applyFont="1" applyFill="1"/>
    <xf numFmtId="167" fontId="38" fillId="0" borderId="0" xfId="31" applyNumberFormat="1" applyFont="1" applyFill="1"/>
    <xf numFmtId="167" fontId="3" fillId="0" borderId="0" xfId="31" applyNumberFormat="1" applyFont="1" applyFill="1" applyBorder="1"/>
    <xf numFmtId="5" fontId="2" fillId="0" borderId="0" xfId="0" applyNumberFormat="1" applyFont="1" applyBorder="1"/>
    <xf numFmtId="166" fontId="4" fillId="10" borderId="0" xfId="0" applyNumberFormat="1" applyFont="1" applyFill="1" applyBorder="1"/>
    <xf numFmtId="10" fontId="0" fillId="0" borderId="0" xfId="0" applyNumberFormat="1"/>
    <xf numFmtId="41" fontId="0" fillId="0" borderId="0" xfId="0" applyNumberFormat="1"/>
    <xf numFmtId="166" fontId="38" fillId="0" borderId="0" xfId="31" applyNumberFormat="1" applyFont="1" applyFill="1"/>
    <xf numFmtId="177" fontId="38" fillId="0" borderId="0" xfId="31" applyNumberFormat="1" applyFont="1" applyFill="1"/>
    <xf numFmtId="190" fontId="38" fillId="0" borderId="0" xfId="31" applyNumberFormat="1" applyFont="1" applyFill="1"/>
    <xf numFmtId="191" fontId="3" fillId="0" borderId="0" xfId="31" applyNumberFormat="1" applyFont="1" applyFill="1"/>
    <xf numFmtId="191" fontId="3" fillId="0" borderId="0" xfId="13" applyNumberFormat="1" applyFont="1" applyFill="1"/>
    <xf numFmtId="176" fontId="3" fillId="0" borderId="0" xfId="0" applyNumberFormat="1" applyFont="1" applyFill="1" applyBorder="1" applyAlignment="1">
      <alignment horizontal="right"/>
    </xf>
    <xf numFmtId="8" fontId="0" fillId="0" borderId="0" xfId="0" applyNumberFormat="1"/>
    <xf numFmtId="8" fontId="2" fillId="0" borderId="0" xfId="0" applyNumberFormat="1" applyFont="1"/>
    <xf numFmtId="37" fontId="38" fillId="0" borderId="0" xfId="0" applyNumberFormat="1" applyFont="1" applyFill="1"/>
    <xf numFmtId="37" fontId="2" fillId="0" borderId="0" xfId="0" applyNumberFormat="1" applyFont="1" applyFill="1" applyBorder="1"/>
    <xf numFmtId="41" fontId="3" fillId="7" borderId="0" xfId="0" applyNumberFormat="1" applyFont="1" applyFill="1" applyAlignment="1">
      <alignment horizontal="right"/>
    </xf>
    <xf numFmtId="167" fontId="38" fillId="7" borderId="0" xfId="31" applyNumberFormat="1" applyFont="1" applyFill="1"/>
    <xf numFmtId="0" fontId="21" fillId="0" borderId="0" xfId="0" applyFont="1"/>
    <xf numFmtId="4" fontId="3" fillId="0" borderId="0" xfId="31" applyNumberFormat="1" applyFont="1" applyFill="1"/>
    <xf numFmtId="192" fontId="3" fillId="0" borderId="0" xfId="31" applyNumberFormat="1" applyFont="1" applyFill="1"/>
    <xf numFmtId="192" fontId="3" fillId="0" borderId="0" xfId="31" applyNumberFormat="1" applyFont="1" applyFill="1" applyBorder="1"/>
    <xf numFmtId="192" fontId="38" fillId="0" borderId="0" xfId="31" applyNumberFormat="1" applyFont="1" applyFill="1"/>
    <xf numFmtId="192" fontId="38" fillId="0" borderId="0" xfId="31" applyNumberFormat="1" applyFont="1" applyFill="1" applyBorder="1"/>
    <xf numFmtId="43" fontId="2" fillId="0" borderId="0" xfId="29" applyNumberFormat="1" applyFont="1" applyBorder="1" applyAlignment="1" applyProtection="1">
      <alignment horizontal="right"/>
    </xf>
    <xf numFmtId="2" fontId="2" fillId="0" borderId="0" xfId="0" applyNumberFormat="1" applyFont="1" applyFill="1"/>
    <xf numFmtId="4" fontId="2" fillId="0" borderId="0" xfId="0" applyNumberFormat="1" applyFont="1" applyFill="1"/>
    <xf numFmtId="179" fontId="2" fillId="0" borderId="0" xfId="31" applyNumberFormat="1" applyFont="1" applyFill="1"/>
    <xf numFmtId="179" fontId="2" fillId="0" borderId="0" xfId="31" applyNumberFormat="1" applyFont="1" applyFill="1" applyBorder="1"/>
    <xf numFmtId="174" fontId="2" fillId="7" borderId="0" xfId="31" applyNumberFormat="1" applyFont="1" applyFill="1"/>
    <xf numFmtId="2" fontId="2" fillId="0" borderId="0" xfId="31" applyNumberFormat="1" applyFont="1" applyFill="1"/>
    <xf numFmtId="182" fontId="22" fillId="0" borderId="0" xfId="0" applyNumberFormat="1" applyFont="1" applyFill="1" applyAlignment="1">
      <alignment horizontal="right"/>
    </xf>
    <xf numFmtId="182" fontId="3" fillId="0" borderId="0" xfId="0" applyNumberFormat="1" applyFont="1" applyFill="1"/>
    <xf numFmtId="182" fontId="3" fillId="0" borderId="0" xfId="0" applyNumberFormat="1" applyFont="1" applyFill="1" applyAlignment="1">
      <alignment horizontal="right"/>
    </xf>
    <xf numFmtId="182" fontId="3" fillId="0" borderId="0" xfId="0" applyNumberFormat="1" applyFont="1" applyFill="1" applyBorder="1" applyAlignment="1">
      <alignment horizontal="right"/>
    </xf>
    <xf numFmtId="182" fontId="3" fillId="0" borderId="0" xfId="28" applyNumberFormat="1" applyFont="1" applyFill="1" applyBorder="1" applyAlignment="1" applyProtection="1">
      <alignment horizontal="right"/>
    </xf>
    <xf numFmtId="182" fontId="23" fillId="0" borderId="0" xfId="0" applyNumberFormat="1" applyFont="1" applyFill="1" applyBorder="1" applyAlignment="1">
      <alignment horizontal="right"/>
    </xf>
    <xf numFmtId="182" fontId="3" fillId="7" borderId="0" xfId="0" applyNumberFormat="1" applyFont="1" applyFill="1"/>
    <xf numFmtId="182" fontId="2" fillId="0" borderId="0" xfId="0" applyNumberFormat="1" applyFont="1" applyFill="1"/>
    <xf numFmtId="182" fontId="22" fillId="0" borderId="0" xfId="0" applyNumberFormat="1" applyFont="1" applyFill="1"/>
    <xf numFmtId="1" fontId="2" fillId="0" borderId="0" xfId="0" applyNumberFormat="1" applyFont="1" applyFill="1"/>
    <xf numFmtId="195" fontId="3" fillId="0" borderId="0" xfId="0" applyNumberFormat="1" applyFont="1" applyFill="1" applyAlignment="1">
      <alignment horizontal="right"/>
    </xf>
    <xf numFmtId="192" fontId="3" fillId="0" borderId="0" xfId="0" applyNumberFormat="1" applyFont="1" applyFill="1" applyAlignment="1">
      <alignment horizontal="right"/>
    </xf>
    <xf numFmtId="179" fontId="2" fillId="0" borderId="0" xfId="31" applyNumberFormat="1" applyFont="1" applyBorder="1" applyAlignment="1" applyProtection="1">
      <alignment horizontal="right"/>
    </xf>
    <xf numFmtId="5" fontId="3" fillId="2" borderId="3" xfId="0" applyNumberFormat="1" applyFont="1" applyFill="1" applyBorder="1"/>
    <xf numFmtId="0" fontId="3" fillId="0" borderId="0" xfId="29" applyFont="1" applyFill="1" applyBorder="1" applyAlignment="1" applyProtection="1">
      <alignment horizontal="left" indent="1"/>
    </xf>
    <xf numFmtId="9" fontId="2" fillId="0" borderId="0" xfId="31" applyFont="1" applyFill="1"/>
    <xf numFmtId="0" fontId="2" fillId="0" borderId="0" xfId="0" applyFont="1" applyFill="1" applyAlignment="1">
      <alignment horizontal="right"/>
    </xf>
    <xf numFmtId="3" fontId="2" fillId="0" borderId="0" xfId="25" applyNumberFormat="1" applyFont="1" applyFill="1" applyBorder="1" applyAlignment="1">
      <alignment horizontal="right"/>
    </xf>
    <xf numFmtId="0" fontId="2" fillId="0" borderId="0" xfId="24" applyFont="1" applyFill="1" applyAlignment="1">
      <alignment horizontal="right"/>
    </xf>
    <xf numFmtId="0" fontId="2" fillId="0" borderId="0" xfId="22" applyFont="1" applyFill="1" applyBorder="1" applyAlignment="1">
      <alignment horizontal="right"/>
    </xf>
    <xf numFmtId="166" fontId="2" fillId="0" borderId="0" xfId="22" applyNumberFormat="1" applyFont="1" applyFill="1" applyBorder="1" applyAlignment="1">
      <alignment horizontal="right"/>
    </xf>
    <xf numFmtId="1" fontId="2" fillId="0" borderId="0" xfId="31" applyNumberFormat="1" applyFont="1" applyFill="1"/>
    <xf numFmtId="167" fontId="20" fillId="0" borderId="0" xfId="31" applyNumberFormat="1" applyFont="1" applyFill="1"/>
    <xf numFmtId="179" fontId="20" fillId="0" borderId="0" xfId="31" applyNumberFormat="1" applyFont="1" applyFill="1" applyBorder="1"/>
    <xf numFmtId="179" fontId="20" fillId="0" borderId="0" xfId="31" applyNumberFormat="1" applyFont="1" applyFill="1"/>
    <xf numFmtId="0" fontId="2" fillId="2" borderId="0" xfId="0" applyFont="1" applyFill="1" applyBorder="1"/>
    <xf numFmtId="0" fontId="2" fillId="0" borderId="0" xfId="0" applyFont="1" applyFill="1"/>
    <xf numFmtId="0" fontId="35" fillId="4" borderId="1" xfId="0" applyFont="1" applyFill="1" applyBorder="1" applyAlignment="1">
      <alignment horizontal="right"/>
    </xf>
    <xf numFmtId="173" fontId="2" fillId="0" borderId="0" xfId="0" applyNumberFormat="1" applyFont="1" applyFill="1" applyAlignment="1"/>
    <xf numFmtId="166" fontId="2" fillId="0" borderId="0" xfId="31" applyNumberFormat="1" applyFont="1" applyFill="1" applyAlignment="1"/>
    <xf numFmtId="166" fontId="2" fillId="0" borderId="0" xfId="31" applyNumberFormat="1" applyFont="1" applyFill="1" applyAlignment="1">
      <alignment horizontal="right"/>
    </xf>
    <xf numFmtId="0" fontId="2" fillId="7" borderId="0" xfId="0" applyFont="1" applyFill="1"/>
    <xf numFmtId="0" fontId="2" fillId="2" borderId="0" xfId="0" applyFont="1" applyFill="1"/>
    <xf numFmtId="182" fontId="3" fillId="0" borderId="0" xfId="0" quotePrefix="1" applyNumberFormat="1" applyFont="1" applyFill="1" applyBorder="1"/>
    <xf numFmtId="166" fontId="2" fillId="0" borderId="0" xfId="31" applyNumberFormat="1" applyFont="1" applyFill="1"/>
    <xf numFmtId="41" fontId="2" fillId="0" borderId="0" xfId="0" applyNumberFormat="1" applyFont="1" applyFill="1"/>
    <xf numFmtId="182" fontId="2" fillId="7" borderId="0" xfId="0" applyNumberFormat="1" applyFont="1" applyFill="1"/>
    <xf numFmtId="1" fontId="3" fillId="7" borderId="0" xfId="31" applyNumberFormat="1" applyFont="1" applyFill="1"/>
    <xf numFmtId="0" fontId="2" fillId="0" borderId="0" xfId="29" applyFont="1" applyFill="1" applyBorder="1" applyAlignment="1" applyProtection="1">
      <alignment horizontal="left"/>
    </xf>
    <xf numFmtId="166" fontId="2" fillId="0" borderId="0" xfId="31" applyNumberFormat="1" applyFont="1" applyBorder="1" applyAlignment="1" applyProtection="1">
      <alignment horizontal="right"/>
    </xf>
    <xf numFmtId="166" fontId="2" fillId="0" borderId="0" xfId="29" applyNumberFormat="1" applyFont="1" applyBorder="1" applyAlignment="1" applyProtection="1">
      <alignment horizontal="right"/>
    </xf>
    <xf numFmtId="166" fontId="20" fillId="0" borderId="0" xfId="29" applyNumberFormat="1" applyFont="1" applyBorder="1" applyAlignment="1" applyProtection="1">
      <alignment horizontal="right"/>
    </xf>
    <xf numFmtId="2" fontId="2" fillId="0" borderId="0" xfId="0" applyNumberFormat="1" applyFont="1" applyFill="1" applyBorder="1" applyAlignment="1">
      <alignment horizontal="right"/>
    </xf>
    <xf numFmtId="8" fontId="3" fillId="0" borderId="0" xfId="29" applyNumberFormat="1" applyFont="1" applyFill="1" applyBorder="1" applyAlignment="1" applyProtection="1">
      <alignment horizontal="left"/>
    </xf>
    <xf numFmtId="8" fontId="3" fillId="0" borderId="0" xfId="29" applyNumberFormat="1" applyFont="1" applyBorder="1" applyAlignment="1" applyProtection="1">
      <alignment horizontal="right"/>
    </xf>
    <xf numFmtId="8" fontId="3" fillId="0" borderId="0" xfId="29" applyNumberFormat="1" applyFont="1" applyFill="1" applyBorder="1" applyAlignment="1" applyProtection="1">
      <alignment horizontal="right"/>
    </xf>
    <xf numFmtId="8" fontId="3" fillId="8" borderId="0" xfId="0" applyNumberFormat="1" applyFont="1" applyFill="1" applyBorder="1"/>
    <xf numFmtId="8" fontId="3" fillId="8" borderId="0" xfId="0" applyNumberFormat="1" applyFont="1" applyFill="1" applyBorder="1" applyAlignment="1"/>
    <xf numFmtId="8" fontId="3" fillId="8" borderId="0" xfId="0" applyNumberFormat="1" applyFont="1" applyFill="1" applyBorder="1" applyAlignment="1">
      <alignment horizontal="right"/>
    </xf>
    <xf numFmtId="0" fontId="35" fillId="4" borderId="0" xfId="19" applyFont="1" applyFill="1" applyBorder="1" applyAlignment="1">
      <alignment horizontal="right"/>
    </xf>
    <xf numFmtId="184" fontId="3" fillId="0" borderId="0" xfId="0" applyNumberFormat="1" applyFont="1" applyFill="1" applyBorder="1" applyAlignment="1">
      <alignment horizontal="right"/>
    </xf>
    <xf numFmtId="0" fontId="2" fillId="0" borderId="0" xfId="19" applyFont="1" applyFill="1" applyBorder="1"/>
    <xf numFmtId="41" fontId="52" fillId="0" borderId="0" xfId="0" applyNumberFormat="1" applyFont="1" applyFill="1"/>
    <xf numFmtId="192" fontId="53" fillId="7" borderId="0" xfId="31" applyNumberFormat="1" applyFont="1" applyFill="1"/>
    <xf numFmtId="192" fontId="3" fillId="0" borderId="0" xfId="29" applyNumberFormat="1" applyFont="1" applyBorder="1"/>
    <xf numFmtId="182" fontId="52" fillId="0" borderId="0" xfId="0" applyNumberFormat="1" applyFont="1" applyFill="1"/>
    <xf numFmtId="37" fontId="52" fillId="0" borderId="0" xfId="0" applyNumberFormat="1" applyFont="1" applyFill="1"/>
    <xf numFmtId="37" fontId="52" fillId="0" borderId="6" xfId="0" applyNumberFormat="1" applyFont="1" applyFill="1" applyBorder="1"/>
    <xf numFmtId="172" fontId="52" fillId="0" borderId="0" xfId="12" applyNumberFormat="1" applyFont="1" applyFill="1"/>
    <xf numFmtId="173" fontId="52" fillId="0" borderId="0" xfId="0" applyNumberFormat="1" applyFont="1" applyFill="1"/>
    <xf numFmtId="166" fontId="52" fillId="0" borderId="0" xfId="31" applyNumberFormat="1" applyFont="1" applyFill="1"/>
    <xf numFmtId="173" fontId="52" fillId="0" borderId="0" xfId="29" applyNumberFormat="1" applyFont="1" applyFill="1" applyBorder="1"/>
    <xf numFmtId="0" fontId="52" fillId="0" borderId="0" xfId="29" applyFont="1" applyFill="1" applyBorder="1" applyAlignment="1">
      <alignment horizontal="right"/>
    </xf>
    <xf numFmtId="37" fontId="52" fillId="0" borderId="0" xfId="31" applyNumberFormat="1" applyFont="1" applyFill="1"/>
    <xf numFmtId="166" fontId="52" fillId="0" borderId="0" xfId="29" quotePrefix="1" applyNumberFormat="1" applyFont="1" applyFill="1" applyBorder="1" applyAlignment="1">
      <alignment horizontal="right"/>
    </xf>
    <xf numFmtId="166" fontId="52" fillId="0" borderId="0" xfId="29" applyNumberFormat="1" applyFont="1" applyFill="1" applyBorder="1" applyAlignment="1">
      <alignment horizontal="right"/>
    </xf>
    <xf numFmtId="167" fontId="52" fillId="0" borderId="0" xfId="31" applyNumberFormat="1" applyFont="1" applyFill="1"/>
    <xf numFmtId="167" fontId="53" fillId="0" borderId="0" xfId="31" applyNumberFormat="1" applyFont="1" applyFill="1"/>
    <xf numFmtId="179" fontId="52" fillId="0" borderId="0" xfId="31" applyNumberFormat="1" applyFont="1" applyFill="1"/>
    <xf numFmtId="179" fontId="53" fillId="0" borderId="0" xfId="31" applyNumberFormat="1" applyFont="1" applyFill="1"/>
    <xf numFmtId="174" fontId="52" fillId="0" borderId="0" xfId="0" applyNumberFormat="1" applyFont="1" applyFill="1"/>
    <xf numFmtId="5" fontId="52" fillId="0" borderId="0" xfId="0" applyNumberFormat="1" applyFont="1" applyFill="1"/>
    <xf numFmtId="192" fontId="20" fillId="0" borderId="0" xfId="31" applyNumberFormat="1" applyFont="1" applyFill="1" applyBorder="1"/>
    <xf numFmtId="37" fontId="52" fillId="0" borderId="1" xfId="0" applyNumberFormat="1" applyFont="1" applyFill="1" applyBorder="1"/>
    <xf numFmtId="192" fontId="53" fillId="0" borderId="0" xfId="31" applyNumberFormat="1" applyFont="1" applyFill="1"/>
    <xf numFmtId="41" fontId="52" fillId="0" borderId="0" xfId="0" applyNumberFormat="1" applyFont="1" applyFill="1" applyBorder="1" applyAlignment="1">
      <alignment horizontal="center"/>
    </xf>
    <xf numFmtId="188" fontId="52" fillId="0" borderId="0" xfId="0" applyNumberFormat="1" applyFont="1" applyFill="1" applyBorder="1" applyAlignment="1">
      <alignment horizontal="center"/>
    </xf>
    <xf numFmtId="41" fontId="52" fillId="0" borderId="0" xfId="13" applyNumberFormat="1" applyFont="1" applyFill="1" applyBorder="1" applyAlignment="1">
      <alignment horizontal="right"/>
    </xf>
    <xf numFmtId="41" fontId="52" fillId="0" borderId="0" xfId="0" applyNumberFormat="1" applyFont="1" applyFill="1" applyBorder="1" applyAlignment="1">
      <alignment horizontal="right"/>
    </xf>
    <xf numFmtId="0" fontId="4" fillId="0" borderId="0" xfId="19" applyFont="1" applyFill="1" applyBorder="1" applyAlignment="1">
      <alignment horizontal="left" indent="1"/>
    </xf>
    <xf numFmtId="166" fontId="2" fillId="0" borderId="0" xfId="0" applyNumberFormat="1" applyFont="1" applyFill="1"/>
    <xf numFmtId="43" fontId="2" fillId="0" borderId="0" xfId="0" applyNumberFormat="1" applyFont="1" applyFill="1"/>
    <xf numFmtId="41" fontId="2" fillId="0" borderId="0" xfId="0" applyNumberFormat="1" applyFont="1" applyFill="1" applyAlignment="1">
      <alignment horizontal="right"/>
    </xf>
    <xf numFmtId="41" fontId="2" fillId="0" borderId="1" xfId="28" applyNumberFormat="1" applyFont="1" applyFill="1" applyBorder="1" applyAlignment="1" applyProtection="1">
      <alignment horizontal="right"/>
    </xf>
    <xf numFmtId="41" fontId="2" fillId="0" borderId="1" xfId="0" applyNumberFormat="1" applyFont="1" applyFill="1" applyBorder="1" applyAlignment="1">
      <alignment horizontal="right"/>
    </xf>
    <xf numFmtId="41" fontId="20" fillId="0" borderId="1" xfId="28" applyNumberFormat="1" applyFont="1" applyFill="1" applyBorder="1" applyAlignment="1" applyProtection="1">
      <alignment horizontal="right"/>
    </xf>
    <xf numFmtId="41" fontId="20" fillId="0" borderId="1" xfId="0" applyNumberFormat="1" applyFont="1" applyFill="1" applyBorder="1"/>
    <xf numFmtId="41" fontId="2" fillId="0" borderId="1" xfId="0" applyNumberFormat="1" applyFont="1" applyFill="1" applyBorder="1"/>
    <xf numFmtId="3" fontId="2" fillId="0" borderId="0" xfId="28" applyNumberFormat="1" applyFont="1" applyFill="1" applyBorder="1" applyAlignment="1" applyProtection="1">
      <alignment horizontal="right"/>
    </xf>
    <xf numFmtId="3" fontId="2" fillId="0" borderId="0" xfId="0" applyNumberFormat="1" applyFont="1" applyFill="1" applyAlignment="1">
      <alignment horizontal="right"/>
    </xf>
    <xf numFmtId="3" fontId="20" fillId="0" borderId="0" xfId="28" applyNumberFormat="1" applyFont="1" applyFill="1" applyBorder="1" applyAlignment="1" applyProtection="1">
      <alignment horizontal="right"/>
    </xf>
    <xf numFmtId="3" fontId="20" fillId="0" borderId="0" xfId="0" applyNumberFormat="1" applyFont="1" applyFill="1"/>
    <xf numFmtId="5" fontId="20" fillId="0" borderId="0" xfId="0" applyNumberFormat="1" applyFont="1" applyFill="1"/>
    <xf numFmtId="3" fontId="2" fillId="0" borderId="0" xfId="0" applyNumberFormat="1" applyFont="1" applyFill="1"/>
    <xf numFmtId="41" fontId="2" fillId="0" borderId="0" xfId="28" applyNumberFormat="1" applyFont="1" applyFill="1" applyBorder="1" applyAlignment="1" applyProtection="1"/>
    <xf numFmtId="41" fontId="20" fillId="0" borderId="0" xfId="28" applyNumberFormat="1" applyFont="1" applyFill="1" applyBorder="1" applyAlignment="1" applyProtection="1"/>
    <xf numFmtId="41" fontId="20" fillId="0" borderId="0" xfId="0" applyNumberFormat="1" applyFont="1" applyFill="1"/>
    <xf numFmtId="41" fontId="20" fillId="7" borderId="0" xfId="0" applyNumberFormat="1" applyFont="1" applyFill="1"/>
    <xf numFmtId="41" fontId="20" fillId="7" borderId="0" xfId="0" applyNumberFormat="1" applyFont="1" applyFill="1" applyBorder="1" applyAlignment="1">
      <alignment horizontal="right"/>
    </xf>
    <xf numFmtId="41" fontId="20" fillId="0" borderId="0" xfId="0" applyNumberFormat="1" applyFont="1" applyFill="1" applyBorder="1" applyAlignment="1">
      <alignment horizontal="right"/>
    </xf>
    <xf numFmtId="1" fontId="2" fillId="0" borderId="0" xfId="0" applyNumberFormat="1" applyFont="1" applyFill="1" applyAlignment="1">
      <alignment horizontal="right"/>
    </xf>
    <xf numFmtId="41" fontId="2" fillId="0" borderId="0" xfId="28" applyNumberFormat="1" applyFont="1" applyFill="1" applyBorder="1" applyAlignment="1" applyProtection="1">
      <alignment horizontal="right"/>
    </xf>
    <xf numFmtId="41" fontId="20" fillId="0" borderId="0" xfId="28" applyNumberFormat="1" applyFont="1" applyFill="1" applyBorder="1" applyAlignment="1" applyProtection="1">
      <alignment horizontal="right"/>
    </xf>
    <xf numFmtId="1" fontId="2" fillId="0" borderId="1" xfId="0" applyNumberFormat="1" applyFont="1" applyFill="1" applyBorder="1" applyAlignment="1">
      <alignment horizontal="right"/>
    </xf>
    <xf numFmtId="1" fontId="2" fillId="7" borderId="0" xfId="0" applyNumberFormat="1" applyFont="1" applyFill="1"/>
    <xf numFmtId="41" fontId="20" fillId="0" borderId="0" xfId="0" applyNumberFormat="1" applyFont="1" applyFill="1" applyAlignment="1">
      <alignment horizontal="right"/>
    </xf>
    <xf numFmtId="37" fontId="20" fillId="0" borderId="0" xfId="0" applyNumberFormat="1" applyFont="1" applyFill="1"/>
    <xf numFmtId="37" fontId="20" fillId="7" borderId="0" xfId="0" applyNumberFormat="1" applyFont="1" applyFill="1"/>
    <xf numFmtId="37" fontId="2" fillId="0" borderId="0" xfId="0" applyNumberFormat="1" applyFont="1" applyFill="1"/>
    <xf numFmtId="37" fontId="20" fillId="0" borderId="1" xfId="0" applyNumberFormat="1" applyFont="1" applyFill="1" applyBorder="1"/>
    <xf numFmtId="37" fontId="20" fillId="7" borderId="6" xfId="0" applyNumberFormat="1" applyFont="1" applyFill="1" applyBorder="1"/>
    <xf numFmtId="37" fontId="20" fillId="7" borderId="5" xfId="0" applyNumberFormat="1" applyFont="1" applyFill="1" applyBorder="1"/>
    <xf numFmtId="37" fontId="20" fillId="7" borderId="1" xfId="0" applyNumberFormat="1" applyFont="1" applyFill="1" applyBorder="1"/>
    <xf numFmtId="8" fontId="2" fillId="0" borderId="0" xfId="31" applyNumberFormat="1" applyFont="1" applyFill="1"/>
    <xf numFmtId="41" fontId="2" fillId="7" borderId="0" xfId="0" applyNumberFormat="1" applyFont="1" applyFill="1"/>
    <xf numFmtId="166" fontId="20" fillId="0" borderId="0" xfId="0" applyNumberFormat="1" applyFont="1" applyFill="1"/>
    <xf numFmtId="166" fontId="2" fillId="7" borderId="0" xfId="0" applyNumberFormat="1" applyFont="1" applyFill="1"/>
    <xf numFmtId="41" fontId="20" fillId="0" borderId="1" xfId="0" applyNumberFormat="1" applyFont="1" applyFill="1" applyBorder="1" applyAlignment="1">
      <alignment horizontal="right"/>
    </xf>
    <xf numFmtId="9" fontId="2" fillId="0" borderId="0" xfId="0" applyNumberFormat="1" applyFont="1" applyFill="1"/>
    <xf numFmtId="5" fontId="2" fillId="0" borderId="0" xfId="0" applyNumberFormat="1" applyFont="1" applyFill="1"/>
    <xf numFmtId="5" fontId="2" fillId="0" borderId="0" xfId="0" applyNumberFormat="1" applyFont="1" applyFill="1" applyAlignment="1">
      <alignment horizontal="right"/>
    </xf>
    <xf numFmtId="7" fontId="2" fillId="0" borderId="0" xfId="0" applyNumberFormat="1" applyFont="1" applyFill="1" applyAlignment="1">
      <alignment horizontal="right"/>
    </xf>
    <xf numFmtId="2" fontId="2" fillId="0" borderId="0" xfId="0" applyNumberFormat="1" applyFont="1" applyFill="1" applyAlignment="1">
      <alignment horizontal="right"/>
    </xf>
    <xf numFmtId="172" fontId="20" fillId="0" borderId="0" xfId="12" applyNumberFormat="1" applyFont="1" applyFill="1"/>
    <xf numFmtId="172" fontId="20" fillId="7" borderId="0" xfId="12" applyNumberFormat="1" applyFont="1" applyFill="1"/>
    <xf numFmtId="172" fontId="2" fillId="0" borderId="0" xfId="12" applyNumberFormat="1" applyFont="1" applyFill="1"/>
    <xf numFmtId="41" fontId="2" fillId="0" borderId="0" xfId="31" applyNumberFormat="1" applyFont="1" applyFill="1"/>
    <xf numFmtId="41" fontId="2" fillId="10" borderId="0" xfId="0" applyNumberFormat="1" applyFont="1" applyFill="1"/>
    <xf numFmtId="170" fontId="2" fillId="0" borderId="0" xfId="0" applyNumberFormat="1" applyFont="1" applyFill="1"/>
    <xf numFmtId="173" fontId="2" fillId="0" borderId="0" xfId="0" applyNumberFormat="1" applyFont="1" applyFill="1" applyBorder="1"/>
    <xf numFmtId="173" fontId="2" fillId="0" borderId="0" xfId="0" applyNumberFormat="1" applyFont="1" applyFill="1"/>
    <xf numFmtId="179" fontId="2" fillId="0" borderId="0" xfId="0" applyNumberFormat="1" applyFont="1" applyFill="1"/>
    <xf numFmtId="174" fontId="2" fillId="0" borderId="0" xfId="0" applyNumberFormat="1" applyFont="1" applyFill="1"/>
    <xf numFmtId="0" fontId="2" fillId="0" borderId="0" xfId="0" applyFont="1" applyFill="1" applyBorder="1" applyAlignment="1">
      <alignment horizontal="right"/>
    </xf>
    <xf numFmtId="169" fontId="2" fillId="0" borderId="0" xfId="0" applyNumberFormat="1" applyFont="1" applyFill="1" applyBorder="1" applyAlignment="1">
      <alignment horizontal="right"/>
    </xf>
    <xf numFmtId="167" fontId="2" fillId="0" borderId="0" xfId="0" applyNumberFormat="1" applyFont="1" applyFill="1" applyBorder="1"/>
    <xf numFmtId="182" fontId="2" fillId="0" borderId="0" xfId="0" applyNumberFormat="1" applyFont="1" applyFill="1" applyBorder="1" applyAlignment="1">
      <alignment horizontal="right"/>
    </xf>
    <xf numFmtId="182" fontId="2" fillId="0" borderId="0" xfId="0" applyNumberFormat="1" applyFont="1" applyFill="1" applyBorder="1"/>
    <xf numFmtId="182" fontId="20" fillId="0" borderId="0" xfId="0" applyNumberFormat="1" applyFont="1" applyFill="1"/>
    <xf numFmtId="182" fontId="20" fillId="7" borderId="0" xfId="0" applyNumberFormat="1" applyFont="1" applyFill="1"/>
    <xf numFmtId="182" fontId="2" fillId="0" borderId="0" xfId="28" applyNumberFormat="1" applyFont="1" applyFill="1" applyBorder="1" applyAlignment="1" applyProtection="1">
      <alignment horizontal="right"/>
    </xf>
    <xf numFmtId="182" fontId="20" fillId="0" borderId="0" xfId="28" applyNumberFormat="1" applyFont="1" applyFill="1" applyBorder="1" applyAlignment="1" applyProtection="1">
      <alignment horizontal="right"/>
    </xf>
    <xf numFmtId="182" fontId="2" fillId="0" borderId="0" xfId="0" applyNumberFormat="1" applyFont="1" applyFill="1" applyAlignment="1">
      <alignment horizontal="right"/>
    </xf>
    <xf numFmtId="182" fontId="2" fillId="0" borderId="0" xfId="28" applyNumberFormat="1" applyFont="1" applyFill="1" applyBorder="1" applyProtection="1"/>
    <xf numFmtId="182" fontId="20" fillId="0" borderId="0" xfId="0" applyNumberFormat="1" applyFont="1" applyFill="1" applyAlignment="1">
      <alignment horizontal="right"/>
    </xf>
    <xf numFmtId="182" fontId="20" fillId="0" borderId="0" xfId="28" applyNumberFormat="1" applyFont="1" applyFill="1" applyBorder="1" applyProtection="1"/>
    <xf numFmtId="175" fontId="2" fillId="0" borderId="0" xfId="0" applyNumberFormat="1" applyFont="1" applyFill="1"/>
    <xf numFmtId="175" fontId="2" fillId="7" borderId="0" xfId="0" applyNumberFormat="1" applyFont="1" applyFill="1"/>
    <xf numFmtId="187" fontId="2" fillId="0" borderId="0" xfId="0" applyNumberFormat="1" applyFont="1" applyFill="1"/>
    <xf numFmtId="8" fontId="2" fillId="0" borderId="0" xfId="0" applyNumberFormat="1" applyFont="1" applyFill="1"/>
    <xf numFmtId="182" fontId="20" fillId="0" borderId="0" xfId="0" applyNumberFormat="1" applyFont="1" applyFill="1" applyBorder="1"/>
    <xf numFmtId="182" fontId="2" fillId="0" borderId="0" xfId="31" applyNumberFormat="1" applyFont="1" applyFill="1"/>
    <xf numFmtId="182" fontId="2" fillId="7" borderId="0" xfId="31" applyNumberFormat="1" applyFont="1" applyFill="1"/>
    <xf numFmtId="179" fontId="2" fillId="0" borderId="0" xfId="0" applyNumberFormat="1" applyFont="1" applyFill="1" applyAlignment="1">
      <alignment horizontal="right"/>
    </xf>
    <xf numFmtId="179" fontId="2" fillId="0" borderId="0" xfId="28" applyNumberFormat="1" applyFont="1" applyFill="1" applyBorder="1" applyAlignment="1" applyProtection="1">
      <alignment horizontal="right"/>
    </xf>
    <xf numFmtId="179" fontId="20" fillId="0" borderId="0" xfId="28" applyNumberFormat="1" applyFont="1" applyFill="1" applyBorder="1" applyAlignment="1" applyProtection="1">
      <alignment horizontal="right"/>
    </xf>
    <xf numFmtId="179" fontId="20" fillId="0" borderId="0" xfId="0" applyNumberFormat="1" applyFont="1" applyFill="1"/>
    <xf numFmtId="7" fontId="2" fillId="0" borderId="0" xfId="0" applyNumberFormat="1" applyFont="1" applyFill="1"/>
    <xf numFmtId="195" fontId="2" fillId="0" borderId="0" xfId="0" applyNumberFormat="1" applyFont="1" applyFill="1" applyAlignment="1">
      <alignment horizontal="right"/>
    </xf>
    <xf numFmtId="195" fontId="2" fillId="0" borderId="0" xfId="0" applyNumberFormat="1" applyFont="1" applyFill="1"/>
    <xf numFmtId="192" fontId="2" fillId="0" borderId="0" xfId="0" applyNumberFormat="1" applyFont="1" applyFill="1" applyAlignment="1">
      <alignment horizontal="right"/>
    </xf>
    <xf numFmtId="192" fontId="2" fillId="0" borderId="0" xfId="0" applyNumberFormat="1" applyFont="1" applyFill="1"/>
    <xf numFmtId="0" fontId="20" fillId="0" borderId="0" xfId="0" applyFont="1" applyFill="1"/>
    <xf numFmtId="184" fontId="2" fillId="0" borderId="0" xfId="0" applyNumberFormat="1" applyFont="1" applyFill="1" applyAlignment="1">
      <alignment horizontal="right"/>
    </xf>
    <xf numFmtId="184" fontId="2" fillId="0" borderId="0" xfId="0" applyNumberFormat="1" applyFont="1" applyFill="1"/>
    <xf numFmtId="167" fontId="2" fillId="0" borderId="0" xfId="0" applyNumberFormat="1" applyFont="1" applyFill="1"/>
    <xf numFmtId="182" fontId="20" fillId="7" borderId="0" xfId="12" applyNumberFormat="1" applyFont="1" applyFill="1"/>
    <xf numFmtId="182" fontId="20" fillId="0" borderId="0" xfId="12" applyNumberFormat="1" applyFont="1" applyFill="1"/>
    <xf numFmtId="182" fontId="2" fillId="0" borderId="0" xfId="12" applyNumberFormat="1" applyFont="1" applyFill="1"/>
    <xf numFmtId="177" fontId="2" fillId="0" borderId="0" xfId="0" applyNumberFormat="1" applyFont="1" applyFill="1"/>
    <xf numFmtId="174" fontId="2" fillId="0" borderId="0" xfId="0" applyNumberFormat="1" applyFont="1" applyFill="1" applyAlignment="1">
      <alignment horizontal="right"/>
    </xf>
    <xf numFmtId="43" fontId="2" fillId="0" borderId="0" xfId="0" applyNumberFormat="1" applyFont="1" applyFill="1" applyAlignment="1">
      <alignment horizontal="right"/>
    </xf>
    <xf numFmtId="193" fontId="2" fillId="0" borderId="0" xfId="0" applyNumberFormat="1" applyFont="1" applyFill="1" applyAlignment="1">
      <alignment horizontal="right"/>
    </xf>
    <xf numFmtId="193" fontId="2" fillId="0" borderId="0" xfId="0" applyNumberFormat="1" applyFont="1" applyFill="1"/>
    <xf numFmtId="192" fontId="20" fillId="0" borderId="0" xfId="0" applyNumberFormat="1" applyFont="1" applyFill="1"/>
    <xf numFmtId="167" fontId="20" fillId="7" borderId="0" xfId="31" applyNumberFormat="1" applyFont="1" applyFill="1"/>
    <xf numFmtId="167" fontId="2" fillId="0" borderId="0" xfId="31" applyNumberFormat="1" applyFont="1" applyFill="1"/>
    <xf numFmtId="167" fontId="20" fillId="0" borderId="0" xfId="31" applyNumberFormat="1" applyFont="1" applyFill="1" applyAlignment="1">
      <alignment horizontal="right"/>
    </xf>
    <xf numFmtId="167" fontId="2" fillId="0" borderId="0" xfId="31" applyNumberFormat="1" applyFont="1" applyFill="1" applyAlignment="1">
      <alignment horizontal="right"/>
    </xf>
    <xf numFmtId="1" fontId="2" fillId="7" borderId="0" xfId="31" applyNumberFormat="1" applyFont="1" applyFill="1"/>
    <xf numFmtId="167" fontId="2" fillId="7" borderId="0" xfId="31" applyNumberFormat="1" applyFont="1" applyFill="1"/>
    <xf numFmtId="179" fontId="20" fillId="0" borderId="0" xfId="31" applyNumberFormat="1" applyFont="1" applyFill="1" applyAlignment="1">
      <alignment horizontal="right"/>
    </xf>
    <xf numFmtId="179" fontId="2" fillId="0" borderId="0" xfId="31" applyNumberFormat="1" applyFont="1" applyFill="1" applyAlignment="1">
      <alignment horizontal="right"/>
    </xf>
    <xf numFmtId="190" fontId="2" fillId="0" borderId="0" xfId="31" applyNumberFormat="1" applyFont="1" applyFill="1"/>
    <xf numFmtId="166" fontId="20" fillId="0" borderId="0" xfId="31" applyNumberFormat="1" applyFont="1" applyFill="1"/>
    <xf numFmtId="179" fontId="38" fillId="7" borderId="0" xfId="31" applyNumberFormat="1" applyFont="1" applyFill="1" applyBorder="1"/>
    <xf numFmtId="179" fontId="2" fillId="0" borderId="0" xfId="31" quotePrefix="1" applyNumberFormat="1" applyFont="1" applyFill="1" applyAlignment="1">
      <alignment horizontal="right"/>
    </xf>
    <xf numFmtId="1" fontId="2" fillId="0" borderId="0" xfId="31" quotePrefix="1" applyNumberFormat="1" applyFont="1" applyFill="1"/>
    <xf numFmtId="179" fontId="2" fillId="0" borderId="0" xfId="31" quotePrefix="1" applyNumberFormat="1" applyFont="1" applyFill="1" applyBorder="1"/>
    <xf numFmtId="179" fontId="2" fillId="7" borderId="0" xfId="31" quotePrefix="1" applyNumberFormat="1" applyFont="1" applyFill="1" applyBorder="1"/>
    <xf numFmtId="179" fontId="2" fillId="0" borderId="0" xfId="31" quotePrefix="1" applyNumberFormat="1" applyFont="1" applyFill="1" applyBorder="1" applyAlignment="1">
      <alignment horizontal="right"/>
    </xf>
    <xf numFmtId="194" fontId="2" fillId="0" borderId="0" xfId="31" applyNumberFormat="1" applyFont="1" applyFill="1"/>
    <xf numFmtId="194" fontId="2" fillId="0" borderId="0" xfId="31" applyNumberFormat="1" applyFont="1" applyFill="1" applyBorder="1"/>
    <xf numFmtId="194" fontId="20" fillId="0" borderId="0" xfId="31" applyNumberFormat="1" applyFont="1" applyFill="1"/>
    <xf numFmtId="194" fontId="2" fillId="0" borderId="0" xfId="31" quotePrefix="1" applyNumberFormat="1" applyFont="1" applyFill="1" applyAlignment="1">
      <alignment horizontal="right"/>
    </xf>
    <xf numFmtId="194" fontId="2" fillId="0" borderId="0" xfId="31" applyNumberFormat="1" applyFont="1" applyFill="1" applyAlignment="1">
      <alignment horizontal="right"/>
    </xf>
    <xf numFmtId="194" fontId="2" fillId="7" borderId="0" xfId="31" applyNumberFormat="1" applyFont="1" applyFill="1"/>
    <xf numFmtId="194" fontId="2" fillId="7" borderId="0" xfId="31" applyNumberFormat="1" applyFont="1" applyFill="1" applyBorder="1"/>
    <xf numFmtId="1" fontId="2" fillId="0" borderId="0" xfId="31" applyNumberFormat="1" applyFont="1" applyFill="1" applyAlignment="1">
      <alignment horizontal="right"/>
    </xf>
    <xf numFmtId="185" fontId="2" fillId="0" borderId="0" xfId="31" applyNumberFormat="1" applyFont="1" applyFill="1"/>
    <xf numFmtId="10" fontId="2" fillId="0" borderId="0" xfId="31" applyNumberFormat="1" applyFont="1" applyFill="1"/>
    <xf numFmtId="177" fontId="2" fillId="0" borderId="0" xfId="31" applyNumberFormat="1" applyFont="1" applyFill="1"/>
    <xf numFmtId="173" fontId="20" fillId="0" borderId="0" xfId="0" applyNumberFormat="1" applyFont="1" applyFill="1"/>
    <xf numFmtId="173" fontId="20" fillId="7" borderId="0" xfId="0" applyNumberFormat="1" applyFont="1" applyFill="1"/>
    <xf numFmtId="179" fontId="2" fillId="7" borderId="0" xfId="0" applyNumberFormat="1" applyFont="1" applyFill="1"/>
    <xf numFmtId="3" fontId="2" fillId="0" borderId="0" xfId="31" applyNumberFormat="1" applyFont="1" applyFill="1"/>
    <xf numFmtId="7" fontId="2" fillId="7" borderId="0" xfId="0" applyNumberFormat="1" applyFont="1" applyFill="1" applyBorder="1"/>
    <xf numFmtId="4" fontId="2" fillId="7" borderId="0" xfId="0" applyNumberFormat="1" applyFont="1" applyFill="1"/>
    <xf numFmtId="7" fontId="2" fillId="0" borderId="0" xfId="0" applyNumberFormat="1" applyFont="1" applyFill="1" applyBorder="1"/>
    <xf numFmtId="166" fontId="20" fillId="7" borderId="0" xfId="31" applyNumberFormat="1" applyFont="1" applyFill="1"/>
    <xf numFmtId="166" fontId="2" fillId="7" borderId="0" xfId="31" applyNumberFormat="1" applyFont="1" applyFill="1"/>
    <xf numFmtId="192" fontId="2" fillId="0" borderId="0" xfId="29" applyNumberFormat="1" applyFont="1" applyBorder="1"/>
    <xf numFmtId="192" fontId="2" fillId="0" borderId="0" xfId="31" applyNumberFormat="1" applyFont="1" applyBorder="1"/>
    <xf numFmtId="192" fontId="2" fillId="0" borderId="0" xfId="31" applyNumberFormat="1" applyFont="1" applyFill="1" applyBorder="1"/>
    <xf numFmtId="173" fontId="2" fillId="0" borderId="0" xfId="29" applyNumberFormat="1" applyFont="1" applyBorder="1"/>
    <xf numFmtId="173" fontId="20" fillId="0" borderId="0" xfId="29" applyNumberFormat="1" applyFont="1" applyBorder="1"/>
    <xf numFmtId="173" fontId="20" fillId="0" borderId="0" xfId="29" applyNumberFormat="1" applyFont="1" applyFill="1" applyBorder="1"/>
    <xf numFmtId="173" fontId="20" fillId="7" borderId="0" xfId="29" applyNumberFormat="1" applyFont="1" applyFill="1" applyBorder="1"/>
    <xf numFmtId="0" fontId="2" fillId="0" borderId="0" xfId="29" applyFont="1" applyBorder="1"/>
    <xf numFmtId="0" fontId="2" fillId="0" borderId="0" xfId="29" applyFont="1" applyFill="1" applyBorder="1"/>
    <xf numFmtId="167" fontId="2" fillId="0" borderId="0" xfId="29" quotePrefix="1" applyNumberFormat="1" applyFont="1" applyBorder="1" applyAlignment="1">
      <alignment horizontal="right"/>
    </xf>
    <xf numFmtId="0" fontId="2" fillId="0" borderId="0" xfId="29" applyFont="1" applyBorder="1" applyAlignment="1">
      <alignment horizontal="right"/>
    </xf>
    <xf numFmtId="0" fontId="20" fillId="0" borderId="0" xfId="29" applyFont="1" applyBorder="1" applyAlignment="1">
      <alignment horizontal="right"/>
    </xf>
    <xf numFmtId="0" fontId="20" fillId="0" borderId="0" xfId="29" applyFont="1" applyFill="1" applyBorder="1" applyAlignment="1">
      <alignment horizontal="right"/>
    </xf>
    <xf numFmtId="0" fontId="20" fillId="7" borderId="0" xfId="29" applyFont="1" applyFill="1" applyBorder="1" applyAlignment="1">
      <alignment horizontal="right"/>
    </xf>
    <xf numFmtId="179" fontId="2" fillId="0" borderId="0" xfId="29" quotePrefix="1" applyNumberFormat="1" applyFont="1" applyFill="1" applyBorder="1" applyAlignment="1" applyProtection="1">
      <alignment horizontal="left"/>
    </xf>
    <xf numFmtId="179" fontId="2" fillId="0" borderId="0" xfId="29" applyNumberFormat="1" applyFont="1" applyBorder="1"/>
    <xf numFmtId="179" fontId="2" fillId="0" borderId="0" xfId="29" quotePrefix="1" applyNumberFormat="1" applyFont="1" applyBorder="1" applyAlignment="1">
      <alignment horizontal="right"/>
    </xf>
    <xf numFmtId="179" fontId="2" fillId="0" borderId="0" xfId="31" applyNumberFormat="1" applyFont="1" applyBorder="1"/>
    <xf numFmtId="179" fontId="2" fillId="0" borderId="0" xfId="29" applyNumberFormat="1" applyFont="1" applyBorder="1" applyAlignment="1">
      <alignment horizontal="right"/>
    </xf>
    <xf numFmtId="179" fontId="2" fillId="0" borderId="0" xfId="29" applyNumberFormat="1" applyFont="1" applyFill="1" applyBorder="1" applyAlignment="1">
      <alignment horizontal="right"/>
    </xf>
    <xf numFmtId="167" fontId="20" fillId="0" borderId="0" xfId="29" applyNumberFormat="1" applyFont="1" applyBorder="1" applyAlignment="1">
      <alignment horizontal="right"/>
    </xf>
    <xf numFmtId="167" fontId="20" fillId="7" borderId="0" xfId="29" applyNumberFormat="1" applyFont="1" applyFill="1" applyBorder="1" applyAlignment="1">
      <alignment horizontal="right"/>
    </xf>
    <xf numFmtId="0" fontId="2" fillId="0" borderId="0" xfId="29" quotePrefix="1" applyFont="1" applyFill="1" applyBorder="1" applyAlignment="1" applyProtection="1">
      <alignment horizontal="left"/>
    </xf>
    <xf numFmtId="173" fontId="2" fillId="0" borderId="0" xfId="29" applyNumberFormat="1" applyFont="1" applyFill="1" applyBorder="1" applyAlignment="1" applyProtection="1">
      <alignment horizontal="left"/>
    </xf>
    <xf numFmtId="173" fontId="2" fillId="0" borderId="0" xfId="29" applyNumberFormat="1" applyFont="1" applyFill="1" applyBorder="1"/>
    <xf numFmtId="0" fontId="2" fillId="0" borderId="0" xfId="29" quotePrefix="1" applyFont="1" applyBorder="1" applyAlignment="1">
      <alignment horizontal="right"/>
    </xf>
    <xf numFmtId="166" fontId="20" fillId="0" borderId="0" xfId="31" applyNumberFormat="1" applyFont="1" applyBorder="1"/>
    <xf numFmtId="166" fontId="20" fillId="0" borderId="0" xfId="29" quotePrefix="1" applyNumberFormat="1" applyFont="1" applyBorder="1" applyAlignment="1">
      <alignment horizontal="right"/>
    </xf>
    <xf numFmtId="166" fontId="20" fillId="0" borderId="0" xfId="29" quotePrefix="1" applyNumberFormat="1" applyFont="1" applyFill="1" applyBorder="1" applyAlignment="1">
      <alignment horizontal="right"/>
    </xf>
    <xf numFmtId="166" fontId="20" fillId="7" borderId="0" xfId="29" quotePrefix="1" applyNumberFormat="1" applyFont="1" applyFill="1" applyBorder="1" applyAlignment="1">
      <alignment horizontal="right"/>
    </xf>
    <xf numFmtId="166" fontId="2" fillId="0" borderId="0" xfId="29" quotePrefix="1" applyNumberFormat="1" applyFont="1" applyBorder="1" applyAlignment="1">
      <alignment horizontal="right"/>
    </xf>
    <xf numFmtId="166" fontId="2" fillId="0" borderId="0" xfId="31" applyNumberFormat="1" applyFont="1" applyBorder="1"/>
    <xf numFmtId="166" fontId="20" fillId="0" borderId="0" xfId="29" applyNumberFormat="1" applyFont="1" applyBorder="1" applyAlignment="1">
      <alignment horizontal="right"/>
    </xf>
    <xf numFmtId="166" fontId="20" fillId="0" borderId="0" xfId="29" applyNumberFormat="1" applyFont="1" applyFill="1" applyBorder="1" applyAlignment="1">
      <alignment horizontal="right"/>
    </xf>
    <xf numFmtId="166" fontId="20" fillId="7" borderId="0" xfId="29" applyNumberFormat="1" applyFont="1" applyFill="1" applyBorder="1" applyAlignment="1">
      <alignment horizontal="right"/>
    </xf>
    <xf numFmtId="166" fontId="2" fillId="0" borderId="0" xfId="29" applyNumberFormat="1" applyFont="1" applyBorder="1" applyAlignment="1">
      <alignment horizontal="right"/>
    </xf>
    <xf numFmtId="166" fontId="2" fillId="0" borderId="0" xfId="31" quotePrefix="1" applyNumberFormat="1" applyFont="1" applyBorder="1"/>
    <xf numFmtId="166" fontId="2" fillId="7" borderId="0" xfId="29" quotePrefix="1" applyNumberFormat="1" applyFont="1" applyFill="1" applyBorder="1" applyAlignment="1">
      <alignment horizontal="right"/>
    </xf>
    <xf numFmtId="166" fontId="2" fillId="0" borderId="0" xfId="29" quotePrefix="1" applyNumberFormat="1" applyFont="1" applyFill="1" applyBorder="1" applyAlignment="1">
      <alignment horizontal="right"/>
    </xf>
    <xf numFmtId="4" fontId="2" fillId="0" borderId="0" xfId="29" applyNumberFormat="1" applyFont="1" applyFill="1" applyBorder="1" applyAlignment="1" applyProtection="1">
      <alignment horizontal="left"/>
    </xf>
    <xf numFmtId="4" fontId="20" fillId="0" borderId="0" xfId="29" applyNumberFormat="1" applyFont="1" applyBorder="1" applyAlignment="1" applyProtection="1">
      <alignment horizontal="right"/>
    </xf>
    <xf numFmtId="4" fontId="2" fillId="0" borderId="0" xfId="29" applyNumberFormat="1" applyFont="1" applyFill="1" applyBorder="1" applyAlignment="1" applyProtection="1">
      <alignment horizontal="right"/>
    </xf>
    <xf numFmtId="179" fontId="2" fillId="0" borderId="0" xfId="31" quotePrefix="1" applyNumberFormat="1" applyFont="1" applyBorder="1" applyAlignment="1" applyProtection="1">
      <alignment horizontal="right"/>
    </xf>
    <xf numFmtId="179" fontId="2" fillId="0" borderId="0" xfId="31" applyNumberFormat="1" applyFont="1" applyFill="1" applyBorder="1" applyAlignment="1" applyProtection="1">
      <alignment horizontal="right"/>
    </xf>
    <xf numFmtId="179" fontId="20" fillId="0" borderId="0" xfId="31" applyNumberFormat="1" applyFont="1" applyFill="1" applyBorder="1" applyAlignment="1" applyProtection="1">
      <alignment horizontal="right"/>
    </xf>
    <xf numFmtId="43" fontId="20" fillId="0" borderId="0" xfId="29" applyNumberFormat="1" applyFont="1" applyBorder="1" applyAlignment="1" applyProtection="1">
      <alignment horizontal="right"/>
    </xf>
    <xf numFmtId="43" fontId="20" fillId="0" borderId="0" xfId="29" applyNumberFormat="1" applyFont="1" applyFill="1" applyBorder="1" applyAlignment="1" applyProtection="1">
      <alignment horizontal="right"/>
    </xf>
    <xf numFmtId="43" fontId="38" fillId="0" borderId="0" xfId="29" applyNumberFormat="1" applyFont="1" applyBorder="1" applyAlignment="1" applyProtection="1">
      <alignment horizontal="right"/>
    </xf>
    <xf numFmtId="37" fontId="2" fillId="0" borderId="0" xfId="31" applyNumberFormat="1" applyFont="1" applyFill="1"/>
    <xf numFmtId="37" fontId="20" fillId="0" borderId="0" xfId="31" applyNumberFormat="1" applyFont="1" applyFill="1"/>
    <xf numFmtId="37" fontId="20" fillId="7" borderId="0" xfId="31" applyNumberFormat="1" applyFont="1" applyFill="1"/>
    <xf numFmtId="37" fontId="2" fillId="7" borderId="0" xfId="31" applyNumberFormat="1" applyFont="1" applyFill="1"/>
    <xf numFmtId="174" fontId="2" fillId="0" borderId="0" xfId="31" applyNumberFormat="1" applyFont="1" applyFill="1"/>
    <xf numFmtId="2" fontId="2" fillId="7" borderId="0" xfId="31" applyNumberFormat="1" applyFont="1" applyFill="1"/>
    <xf numFmtId="5" fontId="2" fillId="0" borderId="0" xfId="0" applyNumberFormat="1" applyFont="1" applyFill="1" applyBorder="1"/>
    <xf numFmtId="5" fontId="2" fillId="0" borderId="0" xfId="25" applyNumberFormat="1" applyFont="1" applyFill="1" applyBorder="1" applyAlignment="1">
      <alignment horizontal="center"/>
    </xf>
    <xf numFmtId="5" fontId="20" fillId="0" borderId="0" xfId="25" applyNumberFormat="1" applyFont="1" applyFill="1" applyBorder="1" applyAlignment="1">
      <alignment horizontal="center"/>
    </xf>
    <xf numFmtId="5" fontId="20" fillId="0" borderId="0" xfId="25" applyNumberFormat="1" applyFont="1" applyFill="1" applyBorder="1" applyAlignment="1">
      <alignment horizontal="right"/>
    </xf>
    <xf numFmtId="5" fontId="20" fillId="0" borderId="0" xfId="25" applyNumberFormat="1" applyFont="1" applyFill="1" applyBorder="1" applyAlignment="1"/>
    <xf numFmtId="5" fontId="20" fillId="7" borderId="0" xfId="0" applyNumberFormat="1" applyFont="1" applyFill="1"/>
    <xf numFmtId="37" fontId="2" fillId="0" borderId="0" xfId="25" applyNumberFormat="1" applyFont="1" applyFill="1" applyBorder="1" applyAlignment="1">
      <alignment horizontal="center"/>
    </xf>
    <xf numFmtId="37" fontId="2" fillId="0" borderId="0" xfId="25" applyNumberFormat="1" applyFont="1" applyFill="1" applyBorder="1" applyAlignment="1">
      <alignment horizontal="right"/>
    </xf>
    <xf numFmtId="170" fontId="20" fillId="0" borderId="0" xfId="0" applyNumberFormat="1" applyFont="1" applyFill="1"/>
    <xf numFmtId="170" fontId="2" fillId="7" borderId="0" xfId="0" applyNumberFormat="1" applyFont="1" applyFill="1"/>
    <xf numFmtId="174" fontId="2" fillId="0" borderId="0" xfId="0" applyNumberFormat="1" applyFont="1" applyFill="1" applyBorder="1"/>
    <xf numFmtId="174" fontId="2" fillId="0" borderId="0" xfId="25" applyNumberFormat="1" applyFont="1" applyFill="1" applyBorder="1" applyAlignment="1">
      <alignment horizontal="center"/>
    </xf>
    <xf numFmtId="174" fontId="20" fillId="0" borderId="0" xfId="25" applyNumberFormat="1" applyFont="1" applyFill="1" applyBorder="1" applyAlignment="1">
      <alignment horizontal="center"/>
    </xf>
    <xf numFmtId="174" fontId="20" fillId="0" borderId="0" xfId="25" applyNumberFormat="1" applyFont="1" applyFill="1" applyBorder="1" applyAlignment="1">
      <alignment horizontal="right"/>
    </xf>
    <xf numFmtId="174" fontId="20" fillId="0" borderId="0" xfId="25" applyNumberFormat="1" applyFont="1" applyFill="1" applyBorder="1" applyAlignment="1"/>
    <xf numFmtId="174" fontId="20" fillId="0" borderId="0" xfId="0" applyNumberFormat="1" applyFont="1" applyFill="1"/>
    <xf numFmtId="174" fontId="20" fillId="7" borderId="0" xfId="0" applyNumberFormat="1" applyFont="1" applyFill="1"/>
    <xf numFmtId="167" fontId="2" fillId="0" borderId="0" xfId="25" applyNumberFormat="1" applyFont="1" applyFill="1" applyBorder="1" applyAlignment="1">
      <alignment horizontal="center"/>
    </xf>
    <xf numFmtId="167" fontId="2" fillId="0" borderId="0" xfId="25" applyNumberFormat="1" applyFont="1" applyFill="1" applyBorder="1" applyAlignment="1">
      <alignment horizontal="right"/>
    </xf>
    <xf numFmtId="37" fontId="2" fillId="0" borderId="0" xfId="12" applyNumberFormat="1" applyFont="1" applyFill="1" applyBorder="1"/>
    <xf numFmtId="37" fontId="2" fillId="7" borderId="0" xfId="0" applyNumberFormat="1" applyFont="1" applyFill="1"/>
    <xf numFmtId="37" fontId="20" fillId="0" borderId="0" xfId="0" applyNumberFormat="1" applyFont="1" applyFill="1" applyBorder="1"/>
    <xf numFmtId="37" fontId="20" fillId="0" borderId="0" xfId="0" applyNumberFormat="1" applyFont="1" applyFill="1" applyBorder="1" applyAlignment="1">
      <alignment horizontal="right"/>
    </xf>
    <xf numFmtId="37" fontId="2" fillId="0" borderId="0" xfId="0" applyNumberFormat="1" applyFont="1" applyFill="1" applyAlignment="1">
      <alignment horizontal="right"/>
    </xf>
    <xf numFmtId="37" fontId="38" fillId="7" borderId="0" xfId="0" applyNumberFormat="1" applyFont="1" applyFill="1"/>
    <xf numFmtId="171" fontId="2" fillId="0" borderId="0" xfId="12" applyNumberFormat="1" applyFont="1" applyFill="1" applyBorder="1"/>
    <xf numFmtId="171" fontId="2" fillId="0" borderId="0" xfId="0" applyNumberFormat="1" applyFont="1" applyFill="1" applyBorder="1"/>
    <xf numFmtId="170" fontId="2" fillId="0" borderId="0" xfId="0" applyNumberFormat="1" applyFont="1" applyFill="1" applyBorder="1" applyAlignment="1">
      <alignment horizontal="right"/>
    </xf>
    <xf numFmtId="170" fontId="2" fillId="0" borderId="0" xfId="0" applyNumberFormat="1" applyFont="1" applyFill="1" applyAlignment="1">
      <alignment horizontal="right"/>
    </xf>
    <xf numFmtId="37" fontId="2" fillId="0" borderId="0" xfId="12" applyNumberFormat="1" applyFont="1" applyFill="1" applyBorder="1" applyAlignment="1">
      <alignment horizontal="left" indent="1"/>
    </xf>
    <xf numFmtId="37" fontId="2" fillId="0" borderId="0" xfId="12" applyNumberFormat="1" applyFont="1" applyFill="1" applyBorder="1" applyAlignment="1">
      <alignment horizontal="right" indent="1"/>
    </xf>
    <xf numFmtId="37" fontId="2" fillId="0" borderId="0" xfId="12" applyNumberFormat="1" applyFont="1" applyFill="1" applyBorder="1" applyAlignment="1">
      <alignment horizontal="right"/>
    </xf>
    <xf numFmtId="37" fontId="20" fillId="0" borderId="0" xfId="12" applyNumberFormat="1" applyFont="1" applyFill="1" applyBorder="1" applyAlignment="1">
      <alignment horizontal="right"/>
    </xf>
    <xf numFmtId="37" fontId="53" fillId="0" borderId="0" xfId="0" applyNumberFormat="1" applyFont="1" applyFill="1"/>
    <xf numFmtId="174" fontId="52" fillId="0" borderId="0" xfId="25" applyNumberFormat="1" applyFont="1" applyFill="1" applyBorder="1" applyAlignment="1">
      <alignment horizontal="right"/>
    </xf>
    <xf numFmtId="0" fontId="35" fillId="0" borderId="2" xfId="0" applyFont="1" applyFill="1" applyBorder="1" applyAlignment="1">
      <alignment horizontal="center"/>
    </xf>
    <xf numFmtId="167" fontId="52" fillId="7" borderId="0" xfId="31" applyNumberFormat="1" applyFont="1" applyFill="1"/>
    <xf numFmtId="167" fontId="53" fillId="7" borderId="0" xfId="31" applyNumberFormat="1" applyFont="1" applyFill="1"/>
    <xf numFmtId="179" fontId="52" fillId="7" borderId="0" xfId="31" applyNumberFormat="1" applyFont="1" applyFill="1"/>
    <xf numFmtId="179" fontId="2" fillId="7" borderId="0" xfId="31" applyNumberFormat="1" applyFont="1" applyFill="1" applyBorder="1"/>
    <xf numFmtId="179" fontId="53" fillId="7" borderId="0" xfId="31" applyNumberFormat="1" applyFont="1" applyFill="1"/>
    <xf numFmtId="173" fontId="52" fillId="7" borderId="0" xfId="0" applyNumberFormat="1" applyFont="1" applyFill="1"/>
    <xf numFmtId="179" fontId="2" fillId="7" borderId="0" xfId="31" applyNumberFormat="1" applyFont="1" applyFill="1"/>
    <xf numFmtId="173" fontId="52" fillId="7" borderId="0" xfId="29" applyNumberFormat="1" applyFont="1" applyFill="1" applyBorder="1"/>
    <xf numFmtId="0" fontId="52" fillId="7" borderId="0" xfId="29" applyFont="1" applyFill="1" applyBorder="1" applyAlignment="1">
      <alignment horizontal="right"/>
    </xf>
    <xf numFmtId="179" fontId="2" fillId="7" borderId="0" xfId="29" applyNumberFormat="1" applyFont="1" applyFill="1" applyBorder="1" applyAlignment="1">
      <alignment horizontal="right"/>
    </xf>
    <xf numFmtId="166" fontId="52" fillId="7" borderId="0" xfId="31" applyNumberFormat="1" applyFont="1" applyFill="1"/>
    <xf numFmtId="5" fontId="52" fillId="7" borderId="0" xfId="0" applyNumberFormat="1" applyFont="1" applyFill="1"/>
    <xf numFmtId="174" fontId="52" fillId="7" borderId="0" xfId="0" applyNumberFormat="1" applyFont="1" applyFill="1"/>
    <xf numFmtId="179" fontId="53" fillId="7" borderId="0" xfId="31" applyNumberFormat="1" applyFont="1" applyFill="1" applyBorder="1"/>
    <xf numFmtId="182" fontId="52" fillId="7" borderId="0" xfId="12" applyNumberFormat="1" applyFont="1" applyFill="1"/>
    <xf numFmtId="182" fontId="52" fillId="7" borderId="0" xfId="0" applyNumberFormat="1" applyFont="1" applyFill="1"/>
    <xf numFmtId="8" fontId="2" fillId="7" borderId="0" xfId="0" applyNumberFormat="1" applyFont="1" applyFill="1"/>
    <xf numFmtId="179" fontId="2" fillId="7" borderId="0" xfId="0" applyNumberFormat="1" applyFont="1" applyFill="1" applyAlignment="1">
      <alignment horizontal="right"/>
    </xf>
    <xf numFmtId="3" fontId="2" fillId="7" borderId="0" xfId="0" applyNumberFormat="1" applyFont="1" applyFill="1"/>
    <xf numFmtId="41" fontId="52" fillId="7" borderId="0" xfId="0" applyNumberFormat="1" applyFont="1" applyFill="1" applyBorder="1" applyAlignment="1">
      <alignment horizontal="right"/>
    </xf>
    <xf numFmtId="41" fontId="3" fillId="7" borderId="0" xfId="28" applyNumberFormat="1" applyFont="1" applyFill="1" applyBorder="1" applyAlignment="1" applyProtection="1">
      <alignment horizontal="right"/>
    </xf>
    <xf numFmtId="41" fontId="3" fillId="7" borderId="0" xfId="0" applyNumberFormat="1" applyFont="1" applyFill="1"/>
    <xf numFmtId="41" fontId="52" fillId="7" borderId="0" xfId="0" applyNumberFormat="1" applyFont="1" applyFill="1"/>
    <xf numFmtId="37" fontId="52" fillId="7" borderId="1" xfId="0" applyNumberFormat="1" applyFont="1" applyFill="1" applyBorder="1"/>
    <xf numFmtId="172" fontId="52" fillId="7" borderId="0" xfId="12" applyNumberFormat="1" applyFont="1" applyFill="1"/>
    <xf numFmtId="166" fontId="52" fillId="7" borderId="0" xfId="29" quotePrefix="1" applyNumberFormat="1" applyFont="1" applyFill="1" applyBorder="1" applyAlignment="1">
      <alignment horizontal="right"/>
    </xf>
    <xf numFmtId="166" fontId="52" fillId="7" borderId="0" xfId="29" applyNumberFormat="1" applyFont="1" applyFill="1" applyBorder="1" applyAlignment="1">
      <alignment horizontal="right"/>
    </xf>
    <xf numFmtId="37" fontId="53" fillId="7" borderId="0" xfId="0" applyNumberFormat="1" applyFont="1" applyFill="1"/>
    <xf numFmtId="174" fontId="2" fillId="0" borderId="0" xfId="0" applyNumberFormat="1" applyFont="1"/>
    <xf numFmtId="192" fontId="2" fillId="7" borderId="0" xfId="31" applyNumberFormat="1" applyFont="1" applyFill="1" applyBorder="1"/>
    <xf numFmtId="0" fontId="2" fillId="7" borderId="0" xfId="29" applyFont="1" applyFill="1" applyBorder="1"/>
    <xf numFmtId="8" fontId="2" fillId="7" borderId="0" xfId="31" applyNumberFormat="1" applyFont="1" applyFill="1"/>
    <xf numFmtId="37" fontId="52" fillId="7" borderId="0" xfId="31" applyNumberFormat="1" applyFont="1" applyFill="1"/>
    <xf numFmtId="9" fontId="2" fillId="7" borderId="0" xfId="0" applyNumberFormat="1" applyFont="1" applyFill="1"/>
    <xf numFmtId="3" fontId="52" fillId="7" borderId="0" xfId="0" applyNumberFormat="1" applyFont="1" applyFill="1"/>
    <xf numFmtId="179" fontId="3" fillId="7" borderId="0" xfId="31" applyNumberFormat="1" applyFont="1" applyFill="1" applyBorder="1"/>
    <xf numFmtId="37" fontId="3" fillId="7" borderId="0" xfId="0" applyNumberFormat="1" applyFont="1" applyFill="1"/>
    <xf numFmtId="4" fontId="3" fillId="0" borderId="0" xfId="29" applyNumberFormat="1" applyFont="1" applyBorder="1" applyAlignment="1" applyProtection="1">
      <alignment horizontal="right"/>
    </xf>
    <xf numFmtId="173" fontId="2" fillId="7" borderId="0" xfId="29" applyNumberFormat="1" applyFont="1" applyFill="1" applyBorder="1"/>
    <xf numFmtId="173" fontId="52" fillId="0" borderId="0" xfId="31" applyNumberFormat="1" applyFont="1" applyFill="1"/>
    <xf numFmtId="182" fontId="52" fillId="0" borderId="0" xfId="12" applyNumberFormat="1" applyFont="1" applyFill="1"/>
    <xf numFmtId="179" fontId="53" fillId="0" borderId="0" xfId="31" applyNumberFormat="1" applyFont="1" applyFill="1" applyBorder="1"/>
    <xf numFmtId="167" fontId="20" fillId="0" borderId="0" xfId="29" applyNumberFormat="1" applyFont="1" applyFill="1" applyBorder="1" applyAlignment="1">
      <alignment horizontal="right"/>
    </xf>
    <xf numFmtId="173" fontId="52" fillId="0" borderId="0" xfId="29" applyNumberFormat="1" applyFont="1" applyBorder="1"/>
    <xf numFmtId="196" fontId="0" fillId="0" borderId="0" xfId="0" applyNumberFormat="1"/>
    <xf numFmtId="6" fontId="0" fillId="0" borderId="0" xfId="0" applyNumberFormat="1"/>
    <xf numFmtId="188" fontId="2" fillId="0" borderId="0" xfId="0" applyNumberFormat="1" applyFont="1"/>
    <xf numFmtId="3" fontId="2" fillId="0" borderId="0" xfId="0" applyNumberFormat="1" applyFont="1" applyFill="1" applyBorder="1" applyAlignment="1">
      <alignment horizontal="right"/>
    </xf>
    <xf numFmtId="3" fontId="2" fillId="0" borderId="0" xfId="0" applyNumberFormat="1" applyFont="1" applyFill="1" applyBorder="1"/>
    <xf numFmtId="41" fontId="2" fillId="0" borderId="0" xfId="0" applyNumberFormat="1" applyFont="1" applyFill="1" applyBorder="1" applyAlignment="1"/>
    <xf numFmtId="1" fontId="2" fillId="0" borderId="0" xfId="0" applyNumberFormat="1" applyFont="1" applyFill="1" applyBorder="1" applyAlignment="1">
      <alignment horizontal="right"/>
    </xf>
    <xf numFmtId="1" fontId="2" fillId="0" borderId="0" xfId="0" applyNumberFormat="1" applyFont="1" applyFill="1" applyBorder="1"/>
    <xf numFmtId="5" fontId="2" fillId="0" borderId="0" xfId="0" applyNumberFormat="1" applyFont="1" applyFill="1" applyBorder="1" applyAlignment="1">
      <alignment horizontal="right"/>
    </xf>
    <xf numFmtId="7" fontId="2" fillId="0" borderId="0" xfId="0" applyNumberFormat="1" applyFont="1" applyFill="1" applyBorder="1" applyAlignment="1">
      <alignment horizontal="right"/>
    </xf>
    <xf numFmtId="179" fontId="2" fillId="0" borderId="0" xfId="0" applyNumberFormat="1" applyFont="1" applyFill="1" applyBorder="1"/>
    <xf numFmtId="182" fontId="52" fillId="7" borderId="0" xfId="0" applyNumberFormat="1" applyFont="1" applyFill="1" applyBorder="1"/>
    <xf numFmtId="182" fontId="52" fillId="0" borderId="0" xfId="0" applyNumberFormat="1" applyFont="1" applyFill="1" applyBorder="1"/>
    <xf numFmtId="182" fontId="2" fillId="0" borderId="0" xfId="0" applyNumberFormat="1" applyFont="1" applyFill="1" applyBorder="1" applyAlignment="1"/>
    <xf numFmtId="182" fontId="3" fillId="0" borderId="0" xfId="0" applyNumberFormat="1" applyFont="1" applyFill="1" applyBorder="1"/>
    <xf numFmtId="43" fontId="2" fillId="0" borderId="0" xfId="0" applyNumberFormat="1" applyFont="1" applyFill="1" applyBorder="1" applyAlignment="1">
      <alignment horizontal="right"/>
    </xf>
    <xf numFmtId="167" fontId="2" fillId="0" borderId="0" xfId="31" applyNumberFormat="1" applyFont="1" applyFill="1" applyBorder="1"/>
    <xf numFmtId="2" fontId="2" fillId="0" borderId="0" xfId="31" applyNumberFormat="1" applyFont="1" applyFill="1" applyBorder="1"/>
    <xf numFmtId="179" fontId="2" fillId="0" borderId="0" xfId="31" applyNumberFormat="1" applyFont="1" applyFill="1" applyBorder="1" applyAlignment="1">
      <alignment horizontal="right"/>
    </xf>
    <xf numFmtId="179" fontId="52" fillId="0" borderId="0" xfId="31" applyNumberFormat="1" applyFont="1" applyFill="1" applyBorder="1"/>
    <xf numFmtId="4" fontId="2" fillId="0" borderId="0" xfId="0" applyNumberFormat="1" applyFont="1" applyFill="1" applyBorder="1"/>
    <xf numFmtId="8" fontId="3" fillId="8" borderId="0" xfId="0" applyNumberFormat="1" applyFont="1" applyFill="1" applyAlignment="1">
      <alignment horizontal="right"/>
    </xf>
    <xf numFmtId="8" fontId="3" fillId="8" borderId="0" xfId="0" applyNumberFormat="1" applyFont="1" applyFill="1"/>
    <xf numFmtId="166" fontId="2" fillId="0" borderId="0" xfId="31" applyNumberFormat="1" applyFont="1" applyFill="1" applyBorder="1" applyAlignment="1"/>
    <xf numFmtId="166" fontId="2" fillId="0" borderId="1" xfId="0" applyNumberFormat="1" applyFont="1" applyFill="1" applyBorder="1" applyAlignment="1">
      <alignment horizontal="right"/>
    </xf>
    <xf numFmtId="166" fontId="2" fillId="0" borderId="1" xfId="0" applyNumberFormat="1" applyFont="1" applyFill="1" applyBorder="1"/>
    <xf numFmtId="166" fontId="2" fillId="7" borderId="1" xfId="0" applyNumberFormat="1" applyFont="1" applyFill="1" applyBorder="1"/>
    <xf numFmtId="166" fontId="2" fillId="0" borderId="0" xfId="0" applyNumberFormat="1" applyFont="1" applyFill="1" applyBorder="1" applyAlignment="1">
      <alignment horizontal="right"/>
    </xf>
    <xf numFmtId="43" fontId="52" fillId="0" borderId="0" xfId="29" applyNumberFormat="1" applyFont="1" applyBorder="1" applyAlignment="1" applyProtection="1">
      <alignment horizontal="right"/>
    </xf>
    <xf numFmtId="173" fontId="0" fillId="0" borderId="0" xfId="0" applyNumberFormat="1"/>
    <xf numFmtId="173" fontId="2" fillId="0" borderId="0" xfId="31" applyNumberFormat="1" applyFont="1" applyFill="1"/>
    <xf numFmtId="172" fontId="2" fillId="0" borderId="0" xfId="29" applyNumberFormat="1" applyFont="1" applyBorder="1" applyAlignment="1" applyProtection="1">
      <alignment horizontal="right"/>
    </xf>
    <xf numFmtId="166" fontId="2" fillId="0" borderId="1" xfId="31" applyNumberFormat="1" applyFont="1" applyFill="1" applyBorder="1" applyAlignment="1"/>
    <xf numFmtId="166" fontId="2" fillId="0" borderId="1" xfId="31" applyNumberFormat="1" applyFont="1" applyFill="1" applyBorder="1" applyAlignment="1">
      <alignment horizontal="right"/>
    </xf>
    <xf numFmtId="166" fontId="20" fillId="0" borderId="1" xfId="31" applyNumberFormat="1" applyFont="1" applyFill="1" applyBorder="1" applyAlignment="1">
      <alignment horizontal="right"/>
    </xf>
    <xf numFmtId="192" fontId="2" fillId="0" borderId="0" xfId="29" applyNumberFormat="1" applyFont="1" applyFill="1" applyBorder="1" applyAlignment="1" applyProtection="1">
      <alignment horizontal="left"/>
    </xf>
    <xf numFmtId="179" fontId="2" fillId="0" borderId="0" xfId="0" applyNumberFormat="1" applyFont="1"/>
    <xf numFmtId="172" fontId="2" fillId="0" borderId="0" xfId="0" applyNumberFormat="1" applyFont="1"/>
    <xf numFmtId="41" fontId="2" fillId="0" borderId="0" xfId="0" applyNumberFormat="1" applyFont="1" applyFill="1" applyAlignment="1"/>
    <xf numFmtId="41" fontId="2" fillId="0" borderId="1" xfId="0" applyNumberFormat="1" applyFont="1" applyFill="1" applyBorder="1" applyAlignment="1"/>
    <xf numFmtId="166" fontId="2" fillId="0" borderId="0" xfId="0" applyNumberFormat="1" applyFont="1" applyFill="1" applyAlignment="1">
      <alignment horizontal="right"/>
    </xf>
    <xf numFmtId="166" fontId="2" fillId="7" borderId="0" xfId="0" applyNumberFormat="1" applyFont="1" applyFill="1" applyAlignment="1">
      <alignment horizontal="right"/>
    </xf>
    <xf numFmtId="37" fontId="2" fillId="0" borderId="0" xfId="0" applyNumberFormat="1" applyFont="1" applyFill="1" applyAlignment="1"/>
    <xf numFmtId="37" fontId="2" fillId="0" borderId="0" xfId="0" applyNumberFormat="1" applyFont="1" applyAlignment="1"/>
    <xf numFmtId="37" fontId="20" fillId="0" borderId="0" xfId="0" applyNumberFormat="1" applyFont="1" applyFill="1" applyAlignment="1"/>
    <xf numFmtId="37" fontId="20" fillId="0" borderId="0" xfId="0" applyNumberFormat="1" applyFont="1" applyFill="1" applyAlignment="1">
      <alignment horizontal="right"/>
    </xf>
    <xf numFmtId="37" fontId="2" fillId="0" borderId="0" xfId="0" applyNumberFormat="1" applyFont="1" applyFill="1" applyBorder="1" applyAlignment="1"/>
    <xf numFmtId="37" fontId="2" fillId="0" borderId="1" xfId="0" applyNumberFormat="1" applyFont="1" applyFill="1" applyBorder="1" applyAlignment="1"/>
    <xf numFmtId="37" fontId="2" fillId="0" borderId="1" xfId="0" applyNumberFormat="1" applyFont="1" applyFill="1" applyBorder="1" applyAlignment="1">
      <alignment horizontal="right"/>
    </xf>
    <xf numFmtId="37" fontId="20" fillId="0" borderId="1" xfId="0" applyNumberFormat="1" applyFont="1" applyFill="1" applyBorder="1" applyAlignment="1">
      <alignment horizontal="right"/>
    </xf>
    <xf numFmtId="3" fontId="2" fillId="0" borderId="0" xfId="0" applyNumberFormat="1" applyFont="1" applyFill="1" applyAlignment="1"/>
    <xf numFmtId="166" fontId="20" fillId="0" borderId="0" xfId="0" applyNumberFormat="1" applyFont="1" applyFill="1" applyBorder="1" applyAlignment="1">
      <alignment horizontal="right"/>
    </xf>
    <xf numFmtId="3" fontId="2" fillId="0" borderId="0" xfId="0" applyNumberFormat="1" applyFont="1" applyFill="1" applyBorder="1" applyAlignment="1"/>
    <xf numFmtId="8" fontId="11" fillId="0" borderId="0" xfId="0" applyNumberFormat="1" applyFont="1"/>
    <xf numFmtId="3" fontId="2" fillId="0" borderId="0" xfId="0" quotePrefix="1" applyNumberFormat="1" applyFont="1" applyFill="1" applyAlignment="1">
      <alignment horizontal="right"/>
    </xf>
    <xf numFmtId="3" fontId="2" fillId="0" borderId="0" xfId="0" quotePrefix="1" applyNumberFormat="1" applyFont="1" applyFill="1" applyBorder="1" applyAlignment="1">
      <alignment horizontal="right"/>
    </xf>
    <xf numFmtId="166" fontId="2" fillId="0" borderId="0" xfId="0" applyNumberFormat="1" applyFont="1" applyFill="1" applyAlignment="1"/>
    <xf numFmtId="4" fontId="2" fillId="0" borderId="0" xfId="0" applyNumberFormat="1" applyFont="1" applyFill="1" applyAlignment="1">
      <alignment horizontal="right"/>
    </xf>
    <xf numFmtId="5" fontId="2" fillId="0" borderId="0" xfId="0" applyNumberFormat="1" applyFont="1" applyFill="1" applyAlignment="1"/>
    <xf numFmtId="0" fontId="2" fillId="0" borderId="0" xfId="0" applyFont="1" applyFill="1" applyAlignment="1"/>
    <xf numFmtId="4" fontId="2" fillId="0" borderId="0" xfId="0" applyNumberFormat="1" applyFont="1" applyFill="1" applyAlignment="1"/>
    <xf numFmtId="0" fontId="2" fillId="0" borderId="0" xfId="0" applyFont="1" applyFill="1" applyBorder="1" applyAlignment="1"/>
    <xf numFmtId="179" fontId="2" fillId="0" borderId="0" xfId="0" applyNumberFormat="1" applyFont="1" applyFill="1" applyBorder="1" applyAlignment="1"/>
    <xf numFmtId="166" fontId="2" fillId="0" borderId="0" xfId="0" applyNumberFormat="1" applyFont="1" applyFill="1" applyBorder="1" applyAlignment="1"/>
    <xf numFmtId="44" fontId="2" fillId="8" borderId="3" xfId="13" applyFont="1" applyFill="1" applyBorder="1" applyAlignment="1">
      <alignment horizontal="center"/>
    </xf>
    <xf numFmtId="44" fontId="20" fillId="8" borderId="3" xfId="13" applyFont="1" applyFill="1" applyBorder="1" applyAlignment="1">
      <alignment horizontal="center"/>
    </xf>
    <xf numFmtId="0" fontId="2" fillId="8" borderId="3" xfId="0" applyFont="1" applyFill="1" applyBorder="1"/>
    <xf numFmtId="0" fontId="2" fillId="8" borderId="3" xfId="0" applyFont="1" applyFill="1" applyBorder="1" applyAlignment="1">
      <alignment horizontal="right"/>
    </xf>
    <xf numFmtId="3" fontId="2" fillId="0" borderId="0" xfId="0" applyNumberFormat="1" applyFont="1" applyFill="1" applyAlignment="1">
      <alignment horizontal="center"/>
    </xf>
    <xf numFmtId="41" fontId="2" fillId="0" borderId="0" xfId="13" applyNumberFormat="1" applyFont="1" applyFill="1" applyBorder="1" applyAlignment="1"/>
    <xf numFmtId="41" fontId="2" fillId="0" borderId="0" xfId="13" applyNumberFormat="1" applyFont="1" applyFill="1" applyBorder="1" applyAlignment="1">
      <alignment horizontal="right"/>
    </xf>
    <xf numFmtId="41" fontId="14" fillId="0" borderId="0" xfId="13" applyNumberFormat="1" applyFont="1" applyFill="1" applyBorder="1" applyAlignment="1">
      <alignment horizontal="right"/>
    </xf>
    <xf numFmtId="41" fontId="2" fillId="0" borderId="0" xfId="12" applyNumberFormat="1" applyFont="1" applyFill="1" applyBorder="1" applyAlignment="1"/>
    <xf numFmtId="41" fontId="2" fillId="0" borderId="0" xfId="12" applyNumberFormat="1" applyFont="1" applyFill="1" applyBorder="1" applyAlignment="1">
      <alignment horizontal="right"/>
    </xf>
    <xf numFmtId="41" fontId="2" fillId="0" borderId="0" xfId="0" applyNumberFormat="1" applyFont="1" applyBorder="1" applyAlignment="1"/>
    <xf numFmtId="41" fontId="2" fillId="0" borderId="0" xfId="0" applyNumberFormat="1" applyFont="1" applyBorder="1" applyAlignment="1">
      <alignment horizontal="right"/>
    </xf>
    <xf numFmtId="41" fontId="14" fillId="0" borderId="0" xfId="0" applyNumberFormat="1" applyFont="1" applyBorder="1" applyAlignment="1">
      <alignment horizontal="right"/>
    </xf>
    <xf numFmtId="41" fontId="2" fillId="7" borderId="0" xfId="0" applyNumberFormat="1" applyFont="1" applyFill="1" applyBorder="1" applyAlignment="1">
      <alignment horizontal="right"/>
    </xf>
    <xf numFmtId="41" fontId="2" fillId="0" borderId="0" xfId="31" applyNumberFormat="1" applyFont="1" applyFill="1" applyAlignment="1"/>
    <xf numFmtId="166" fontId="2" fillId="0" borderId="0" xfId="31" quotePrefix="1" applyNumberFormat="1" applyFont="1" applyFill="1" applyBorder="1" applyAlignment="1">
      <alignment horizontal="right"/>
    </xf>
    <xf numFmtId="179" fontId="20" fillId="0" borderId="0" xfId="31" applyNumberFormat="1" applyFont="1" applyFill="1" applyBorder="1" applyAlignment="1">
      <alignment horizontal="right"/>
    </xf>
    <xf numFmtId="179" fontId="2" fillId="0" borderId="0" xfId="31" applyNumberFormat="1" applyFont="1" applyFill="1" applyBorder="1" applyAlignment="1"/>
    <xf numFmtId="179" fontId="20" fillId="0" borderId="0" xfId="31" applyNumberFormat="1" applyFont="1" applyFill="1" applyBorder="1" applyAlignment="1"/>
    <xf numFmtId="188" fontId="2" fillId="0" borderId="0" xfId="0" applyNumberFormat="1" applyFont="1" applyFill="1" applyBorder="1" applyAlignment="1"/>
    <xf numFmtId="43" fontId="2" fillId="0" borderId="0" xfId="0" applyNumberFormat="1" applyFont="1" applyFill="1" applyBorder="1" applyAlignment="1"/>
    <xf numFmtId="188" fontId="2" fillId="0" borderId="0" xfId="0" applyNumberFormat="1" applyFont="1" applyFill="1"/>
    <xf numFmtId="173" fontId="20" fillId="0" borderId="0" xfId="0" applyNumberFormat="1" applyFont="1" applyFill="1" applyBorder="1"/>
    <xf numFmtId="3" fontId="11" fillId="0" borderId="0" xfId="0" applyNumberFormat="1" applyFont="1"/>
    <xf numFmtId="173" fontId="11" fillId="0" borderId="0" xfId="0" applyNumberFormat="1" applyFont="1"/>
    <xf numFmtId="165" fontId="20" fillId="0" borderId="0" xfId="29" applyNumberFormat="1" applyFont="1" applyBorder="1" applyAlignment="1" applyProtection="1">
      <alignment horizontal="right"/>
    </xf>
    <xf numFmtId="165" fontId="2" fillId="0" borderId="0" xfId="29" applyNumberFormat="1" applyFont="1" applyBorder="1" applyAlignment="1" applyProtection="1">
      <alignment horizontal="right"/>
    </xf>
    <xf numFmtId="166" fontId="2" fillId="7" borderId="0" xfId="31" applyNumberFormat="1" applyFont="1" applyFill="1" applyBorder="1"/>
    <xf numFmtId="192" fontId="20" fillId="0" borderId="0" xfId="31" applyNumberFormat="1" applyFont="1" applyBorder="1"/>
    <xf numFmtId="192" fontId="20" fillId="7" borderId="0" xfId="31" applyNumberFormat="1" applyFont="1" applyFill="1" applyBorder="1"/>
    <xf numFmtId="192" fontId="52" fillId="0" borderId="0" xfId="31" applyNumberFormat="1" applyFont="1" applyFill="1" applyBorder="1"/>
    <xf numFmtId="192" fontId="2" fillId="0" borderId="0" xfId="29" quotePrefix="1" applyNumberFormat="1" applyFont="1" applyFill="1" applyBorder="1" applyAlignment="1" applyProtection="1">
      <alignment horizontal="left"/>
    </xf>
    <xf numFmtId="192" fontId="20" fillId="0" borderId="0" xfId="31" applyNumberFormat="1" applyFont="1" applyBorder="1" applyAlignment="1">
      <alignment horizontal="right"/>
    </xf>
    <xf numFmtId="192" fontId="20" fillId="0" borderId="0" xfId="31" quotePrefix="1" applyNumberFormat="1" applyFont="1" applyBorder="1" applyAlignment="1">
      <alignment horizontal="right"/>
    </xf>
    <xf numFmtId="173" fontId="2" fillId="0" borderId="0" xfId="29" applyNumberFormat="1" applyFont="1" applyBorder="1" applyAlignment="1" applyProtection="1">
      <alignment horizontal="right"/>
    </xf>
    <xf numFmtId="7" fontId="20" fillId="0" borderId="0" xfId="29" applyNumberFormat="1" applyFont="1" applyBorder="1" applyAlignment="1" applyProtection="1">
      <alignment horizontal="right"/>
    </xf>
    <xf numFmtId="188" fontId="2" fillId="0" borderId="0" xfId="29" applyNumberFormat="1" applyFont="1" applyBorder="1" applyAlignment="1" applyProtection="1">
      <alignment horizontal="right"/>
    </xf>
    <xf numFmtId="7" fontId="2" fillId="0" borderId="0" xfId="29" applyNumberFormat="1" applyFont="1" applyBorder="1" applyAlignment="1" applyProtection="1">
      <alignment horizontal="right"/>
    </xf>
    <xf numFmtId="179" fontId="20" fillId="0" borderId="0" xfId="31" applyNumberFormat="1" applyFont="1" applyBorder="1" applyAlignment="1" applyProtection="1">
      <alignment horizontal="right"/>
    </xf>
    <xf numFmtId="43" fontId="20" fillId="0" borderId="0" xfId="29" applyNumberFormat="1" applyFont="1" applyBorder="1" applyAlignment="1">
      <alignment horizontal="right"/>
    </xf>
    <xf numFmtId="173" fontId="20" fillId="0" borderId="0" xfId="25" applyNumberFormat="1" applyFont="1" applyFill="1" applyBorder="1" applyAlignment="1">
      <alignment horizontal="right"/>
    </xf>
    <xf numFmtId="3" fontId="20" fillId="0" borderId="0" xfId="25" applyNumberFormat="1" applyFont="1" applyFill="1" applyBorder="1" applyAlignment="1">
      <alignment horizontal="right"/>
    </xf>
    <xf numFmtId="174" fontId="2" fillId="0" borderId="0" xfId="25" applyNumberFormat="1" applyFont="1" applyFill="1" applyBorder="1" applyAlignment="1">
      <alignment horizontal="right"/>
    </xf>
    <xf numFmtId="172" fontId="2" fillId="0" borderId="0" xfId="0" applyNumberFormat="1" applyFont="1" applyFill="1" applyBorder="1"/>
    <xf numFmtId="172" fontId="2" fillId="0" borderId="0" xfId="12" applyNumberFormat="1" applyFont="1" applyFill="1" applyBorder="1" applyAlignment="1">
      <alignment horizontal="right"/>
    </xf>
    <xf numFmtId="172" fontId="20" fillId="0" borderId="0" xfId="0" applyNumberFormat="1" applyFont="1" applyFill="1" applyBorder="1" applyAlignment="1">
      <alignment horizontal="right"/>
    </xf>
    <xf numFmtId="172" fontId="2" fillId="0" borderId="0" xfId="0" applyNumberFormat="1" applyFont="1" applyFill="1" applyBorder="1" applyAlignment="1">
      <alignment horizontal="right"/>
    </xf>
    <xf numFmtId="172" fontId="2" fillId="0" borderId="0" xfId="0" applyNumberFormat="1" applyFont="1" applyFill="1" applyBorder="1" applyAlignment="1">
      <alignment horizontal="left" indent="1"/>
    </xf>
    <xf numFmtId="171" fontId="20" fillId="0" borderId="0" xfId="12" applyNumberFormat="1" applyFont="1" applyFill="1" applyBorder="1" applyAlignment="1">
      <alignment horizontal="right"/>
    </xf>
    <xf numFmtId="172" fontId="20" fillId="0" borderId="0" xfId="12" applyNumberFormat="1" applyFont="1" applyFill="1" applyBorder="1" applyAlignment="1">
      <alignment horizontal="right"/>
    </xf>
    <xf numFmtId="172" fontId="20" fillId="0" borderId="0" xfId="12" applyNumberFormat="1" applyFont="1" applyFill="1" applyBorder="1" applyAlignment="1">
      <alignment horizontal="right" indent="1"/>
    </xf>
    <xf numFmtId="172" fontId="2" fillId="0" borderId="0" xfId="12" applyNumberFormat="1" applyFont="1" applyFill="1" applyBorder="1" applyAlignment="1">
      <alignment horizontal="right" indent="1"/>
    </xf>
    <xf numFmtId="171" fontId="2" fillId="0" borderId="0" xfId="12" applyNumberFormat="1" applyFont="1" applyFill="1" applyBorder="1" applyAlignment="1">
      <alignment horizontal="right"/>
    </xf>
    <xf numFmtId="0" fontId="2" fillId="0" borderId="0" xfId="0" applyFont="1" applyBorder="1" applyAlignment="1">
      <alignment horizontal="right"/>
    </xf>
    <xf numFmtId="167" fontId="2" fillId="0" borderId="0" xfId="0" applyNumberFormat="1" applyFont="1" applyFill="1" applyBorder="1" applyAlignment="1">
      <alignment horizontal="right"/>
    </xf>
    <xf numFmtId="0" fontId="2" fillId="0" borderId="0" xfId="0" applyFont="1" applyFill="1" applyBorder="1" applyAlignment="1">
      <alignment horizontal="left" indent="1"/>
    </xf>
    <xf numFmtId="167" fontId="20" fillId="0" borderId="0" xfId="0" applyNumberFormat="1" applyFont="1" applyFill="1" applyBorder="1" applyAlignment="1">
      <alignment horizontal="right"/>
    </xf>
    <xf numFmtId="2" fontId="2" fillId="0" borderId="0" xfId="0" applyNumberFormat="1" applyFont="1" applyFill="1" applyBorder="1"/>
    <xf numFmtId="43" fontId="20" fillId="0" borderId="0" xfId="0" applyNumberFormat="1" applyFont="1" applyFill="1" applyBorder="1" applyAlignment="1">
      <alignment horizontal="right"/>
    </xf>
    <xf numFmtId="167" fontId="20" fillId="0" borderId="0" xfId="25" applyNumberFormat="1" applyFont="1" applyFill="1" applyBorder="1" applyAlignment="1">
      <alignment horizontal="right"/>
    </xf>
    <xf numFmtId="41" fontId="20" fillId="0" borderId="0" xfId="0" applyNumberFormat="1" applyFont="1" applyFill="1" applyBorder="1"/>
    <xf numFmtId="2" fontId="20" fillId="0" borderId="0" xfId="25" applyNumberFormat="1" applyFont="1" applyFill="1" applyBorder="1" applyAlignment="1">
      <alignment horizontal="right"/>
    </xf>
    <xf numFmtId="175" fontId="2" fillId="0" borderId="0" xfId="0" applyNumberFormat="1" applyFont="1" applyFill="1" applyBorder="1"/>
    <xf numFmtId="175" fontId="2" fillId="0" borderId="0" xfId="0" applyNumberFormat="1" applyFont="1" applyFill="1" applyBorder="1" applyAlignment="1">
      <alignment horizontal="right"/>
    </xf>
    <xf numFmtId="7" fontId="20" fillId="0" borderId="0" xfId="31" applyNumberFormat="1" applyFont="1" applyFill="1" applyBorder="1"/>
    <xf numFmtId="5" fontId="20" fillId="0" borderId="0" xfId="31" applyNumberFormat="1" applyFont="1" applyFill="1" applyBorder="1"/>
    <xf numFmtId="174" fontId="20" fillId="0" borderId="0" xfId="0" applyNumberFormat="1" applyFont="1" applyFill="1" applyAlignment="1">
      <alignment horizontal="right"/>
    </xf>
    <xf numFmtId="4" fontId="20" fillId="0" borderId="0" xfId="0" applyNumberFormat="1" applyFont="1" applyFill="1" applyAlignment="1">
      <alignment horizontal="right"/>
    </xf>
    <xf numFmtId="38" fontId="2" fillId="0" borderId="0" xfId="12" applyNumberFormat="1" applyFont="1" applyFill="1"/>
    <xf numFmtId="38" fontId="2" fillId="0" borderId="0" xfId="12" applyNumberFormat="1" applyFont="1" applyFill="1" applyAlignment="1">
      <alignment horizontal="center"/>
    </xf>
    <xf numFmtId="186" fontId="20" fillId="0" borderId="0" xfId="12" applyNumberFormat="1" applyFont="1" applyFill="1" applyBorder="1" applyAlignment="1">
      <alignment horizontal="right"/>
    </xf>
    <xf numFmtId="37" fontId="20" fillId="5" borderId="0" xfId="12" applyNumberFormat="1" applyFont="1" applyFill="1" applyBorder="1" applyAlignment="1">
      <alignment horizontal="right"/>
    </xf>
    <xf numFmtId="37" fontId="2" fillId="0" borderId="0" xfId="0" applyNumberFormat="1" applyFont="1" applyAlignment="1">
      <alignment horizontal="right"/>
    </xf>
    <xf numFmtId="40" fontId="2" fillId="0" borderId="0" xfId="12" applyNumberFormat="1" applyFont="1" applyFill="1"/>
    <xf numFmtId="10" fontId="20" fillId="0" borderId="0" xfId="0" applyNumberFormat="1" applyFont="1" applyFill="1" applyAlignment="1">
      <alignment horizontal="center"/>
    </xf>
    <xf numFmtId="10" fontId="20" fillId="0" borderId="0" xfId="0" applyNumberFormat="1" applyFont="1" applyFill="1" applyAlignment="1">
      <alignment horizontal="right"/>
    </xf>
    <xf numFmtId="166" fontId="20" fillId="0" borderId="0" xfId="0" applyNumberFormat="1" applyFont="1" applyFill="1" applyAlignment="1">
      <alignment horizontal="right"/>
    </xf>
    <xf numFmtId="38" fontId="2" fillId="0" borderId="0" xfId="12" applyNumberFormat="1" applyFont="1" applyFill="1" applyAlignment="1">
      <alignment horizontal="right"/>
    </xf>
    <xf numFmtId="38" fontId="2" fillId="0" borderId="0" xfId="12" applyNumberFormat="1" applyFont="1" applyFill="1" applyBorder="1" applyAlignment="1">
      <alignment horizontal="right"/>
    </xf>
    <xf numFmtId="38" fontId="20" fillId="0" borderId="0" xfId="12" applyNumberFormat="1" applyFont="1" applyFill="1" applyAlignment="1">
      <alignment horizontal="right"/>
    </xf>
    <xf numFmtId="38" fontId="20" fillId="0" borderId="0" xfId="12" applyNumberFormat="1" applyFont="1" applyFill="1" applyBorder="1" applyAlignment="1">
      <alignment horizontal="right"/>
    </xf>
    <xf numFmtId="9" fontId="2" fillId="0" borderId="0" xfId="31" applyFont="1" applyFill="1" applyBorder="1" applyAlignment="1">
      <alignment horizontal="right"/>
    </xf>
    <xf numFmtId="9" fontId="2" fillId="0" borderId="0" xfId="31" applyNumberFormat="1" applyFont="1" applyFill="1" applyBorder="1" applyAlignment="1">
      <alignment horizontal="right"/>
    </xf>
    <xf numFmtId="180" fontId="2" fillId="0" borderId="0" xfId="0" applyNumberFormat="1" applyFont="1" applyFill="1" applyBorder="1" applyAlignment="1">
      <alignment horizontal="right"/>
    </xf>
    <xf numFmtId="180" fontId="2" fillId="8" borderId="3" xfId="0" applyNumberFormat="1" applyFont="1" applyFill="1" applyBorder="1" applyAlignment="1">
      <alignment horizontal="right"/>
    </xf>
    <xf numFmtId="0" fontId="2" fillId="9" borderId="0" xfId="0" applyFont="1" applyFill="1" applyBorder="1"/>
    <xf numFmtId="10" fontId="2" fillId="9" borderId="0" xfId="31" applyNumberFormat="1" applyFont="1" applyFill="1" applyBorder="1"/>
    <xf numFmtId="2" fontId="2" fillId="9" borderId="0" xfId="31" applyNumberFormat="1" applyFont="1" applyFill="1" applyBorder="1"/>
    <xf numFmtId="2" fontId="2" fillId="9" borderId="0" xfId="31" applyNumberFormat="1" applyFont="1" applyFill="1" applyBorder="1" applyAlignment="1">
      <alignment horizontal="right"/>
    </xf>
    <xf numFmtId="10" fontId="2" fillId="0" borderId="0" xfId="31" applyNumberFormat="1" applyFont="1" applyFill="1" applyBorder="1"/>
    <xf numFmtId="167" fontId="20" fillId="0" borderId="0" xfId="31" applyNumberFormat="1" applyFont="1" applyFill="1" applyBorder="1"/>
    <xf numFmtId="10" fontId="20" fillId="0" borderId="0" xfId="0" applyNumberFormat="1" applyFont="1" applyFill="1"/>
    <xf numFmtId="10" fontId="20" fillId="0" borderId="0" xfId="0" applyNumberFormat="1" applyFont="1" applyFill="1" applyBorder="1"/>
    <xf numFmtId="10" fontId="20" fillId="0" borderId="0" xfId="0" applyNumberFormat="1" applyFont="1" applyFill="1" applyBorder="1" applyAlignment="1">
      <alignment horizontal="right"/>
    </xf>
    <xf numFmtId="0" fontId="20" fillId="0" borderId="0" xfId="0" applyFont="1" applyFill="1" applyBorder="1" applyAlignment="1">
      <alignment horizontal="right"/>
    </xf>
    <xf numFmtId="41" fontId="52" fillId="0" borderId="0" xfId="0" applyNumberFormat="1" applyFont="1" applyFill="1" applyBorder="1"/>
    <xf numFmtId="37" fontId="2" fillId="0" borderId="1" xfId="0" applyNumberFormat="1" applyFont="1" applyFill="1" applyBorder="1"/>
    <xf numFmtId="10" fontId="11" fillId="0" borderId="0" xfId="0" applyNumberFormat="1" applyFont="1"/>
    <xf numFmtId="10" fontId="54" fillId="0" borderId="0" xfId="0" applyNumberFormat="1" applyFont="1"/>
    <xf numFmtId="179" fontId="21" fillId="0" borderId="0" xfId="27" applyNumberFormat="1" applyFont="1" applyBorder="1"/>
    <xf numFmtId="179" fontId="52" fillId="0" borderId="0" xfId="0" applyNumberFormat="1" applyFont="1" applyFill="1" applyBorder="1" applyAlignment="1"/>
    <xf numFmtId="192" fontId="52" fillId="0" borderId="0" xfId="0" applyNumberFormat="1" applyFont="1" applyFill="1"/>
    <xf numFmtId="4" fontId="2" fillId="0" borderId="0" xfId="0" applyNumberFormat="1" applyFont="1" applyFill="1" applyBorder="1" applyAlignment="1"/>
    <xf numFmtId="41" fontId="52" fillId="0" borderId="0" xfId="0" applyNumberFormat="1" applyFont="1" applyFill="1" applyBorder="1" applyAlignment="1"/>
    <xf numFmtId="179" fontId="2" fillId="0" borderId="0" xfId="0" applyNumberFormat="1" applyFont="1" applyBorder="1"/>
    <xf numFmtId="179" fontId="20" fillId="0" borderId="0" xfId="0" applyNumberFormat="1" applyFont="1" applyBorder="1"/>
    <xf numFmtId="179" fontId="53" fillId="0" borderId="0" xfId="0" applyNumberFormat="1" applyFont="1" applyFill="1"/>
    <xf numFmtId="173" fontId="2" fillId="0" borderId="0" xfId="0" applyNumberFormat="1" applyFont="1" applyFill="1" applyBorder="1" applyAlignment="1"/>
    <xf numFmtId="173" fontId="2" fillId="0" borderId="0" xfId="0" applyNumberFormat="1" applyFont="1" applyFill="1" applyAlignment="1">
      <alignment horizontal="right"/>
    </xf>
    <xf numFmtId="43" fontId="11" fillId="0" borderId="0" xfId="0" applyNumberFormat="1" applyFont="1"/>
    <xf numFmtId="173" fontId="18" fillId="0" borderId="0" xfId="0" applyNumberFormat="1" applyFont="1"/>
    <xf numFmtId="8" fontId="18" fillId="0" borderId="0" xfId="0" applyNumberFormat="1" applyFont="1"/>
    <xf numFmtId="0" fontId="18" fillId="0" borderId="0" xfId="0" applyFont="1"/>
    <xf numFmtId="0" fontId="55" fillId="0" borderId="0" xfId="0" applyFont="1"/>
    <xf numFmtId="173" fontId="45" fillId="0" borderId="0" xfId="0" applyNumberFormat="1" applyFont="1"/>
    <xf numFmtId="166" fontId="20" fillId="7" borderId="0" xfId="31" applyNumberFormat="1" applyFont="1" applyFill="1" applyBorder="1"/>
    <xf numFmtId="167" fontId="20" fillId="7" borderId="0" xfId="25" applyNumberFormat="1" applyFont="1" applyFill="1" applyBorder="1" applyAlignment="1">
      <alignment horizontal="right"/>
    </xf>
    <xf numFmtId="2" fontId="20" fillId="7" borderId="0" xfId="25" applyNumberFormat="1" applyFont="1" applyFill="1" applyBorder="1" applyAlignment="1">
      <alignment horizontal="right"/>
    </xf>
    <xf numFmtId="172" fontId="2" fillId="7" borderId="0" xfId="0" applyNumberFormat="1" applyFont="1" applyFill="1" applyBorder="1"/>
    <xf numFmtId="166" fontId="20" fillId="7" borderId="0" xfId="31" applyNumberFormat="1" applyFont="1" applyFill="1" applyBorder="1" applyAlignment="1">
      <alignment horizontal="right"/>
    </xf>
    <xf numFmtId="4" fontId="2" fillId="0" borderId="0" xfId="0" applyNumberFormat="1" applyFont="1" applyAlignment="1">
      <alignment horizontal="right"/>
    </xf>
    <xf numFmtId="4" fontId="52" fillId="0" borderId="0" xfId="0" applyNumberFormat="1" applyFont="1" applyAlignment="1">
      <alignment horizontal="right"/>
    </xf>
    <xf numFmtId="10" fontId="20" fillId="7" borderId="0" xfId="25" applyNumberFormat="1" applyFont="1" applyFill="1" applyBorder="1" applyAlignment="1">
      <alignment horizontal="right"/>
    </xf>
    <xf numFmtId="172" fontId="4" fillId="0" borderId="1" xfId="0" applyNumberFormat="1" applyFont="1" applyFill="1" applyBorder="1" applyAlignment="1">
      <alignment horizontal="right"/>
    </xf>
    <xf numFmtId="4" fontId="2" fillId="0" borderId="0" xfId="0" quotePrefix="1" applyNumberFormat="1" applyFont="1" applyFill="1" applyBorder="1"/>
    <xf numFmtId="172" fontId="52" fillId="0" borderId="0" xfId="0" applyNumberFormat="1" applyFont="1" applyFill="1" applyBorder="1" applyAlignment="1">
      <alignment horizontal="right"/>
    </xf>
    <xf numFmtId="172" fontId="52" fillId="0" borderId="0" xfId="12" applyNumberFormat="1" applyFont="1" applyFill="1" applyBorder="1" applyAlignment="1">
      <alignment horizontal="right" indent="1"/>
    </xf>
    <xf numFmtId="41" fontId="52" fillId="0" borderId="0" xfId="0" applyNumberFormat="1" applyFont="1" applyFill="1" applyAlignment="1">
      <alignment horizontal="right"/>
    </xf>
    <xf numFmtId="5" fontId="2" fillId="0" borderId="0" xfId="0" applyNumberFormat="1" applyFont="1"/>
    <xf numFmtId="4" fontId="11" fillId="0" borderId="0" xfId="0" applyNumberFormat="1" applyFont="1"/>
    <xf numFmtId="172" fontId="2" fillId="7" borderId="0" xfId="29" applyNumberFormat="1" applyFont="1" applyFill="1" applyBorder="1"/>
    <xf numFmtId="10" fontId="2" fillId="5" borderId="0" xfId="31" applyNumberFormat="1" applyFont="1" applyFill="1" applyBorder="1"/>
    <xf numFmtId="2" fontId="2" fillId="5" borderId="0" xfId="31" applyNumberFormat="1" applyFont="1" applyFill="1" applyBorder="1"/>
    <xf numFmtId="2" fontId="2" fillId="5" borderId="0" xfId="31" applyNumberFormat="1" applyFont="1" applyFill="1" applyBorder="1" applyAlignment="1">
      <alignment horizontal="right"/>
    </xf>
    <xf numFmtId="37" fontId="52" fillId="7" borderId="0" xfId="0" applyNumberFormat="1" applyFont="1" applyFill="1"/>
    <xf numFmtId="179" fontId="44" fillId="7" borderId="0" xfId="31" applyNumberFormat="1" applyFont="1" applyFill="1" applyBorder="1"/>
    <xf numFmtId="179" fontId="23" fillId="0" borderId="0" xfId="0" applyNumberFormat="1" applyFont="1" applyFill="1"/>
    <xf numFmtId="9" fontId="11" fillId="0" borderId="0" xfId="0" applyNumberFormat="1" applyFont="1"/>
    <xf numFmtId="166" fontId="3" fillId="0" borderId="0" xfId="29" applyNumberFormat="1" applyFont="1" applyBorder="1"/>
    <xf numFmtId="0" fontId="19" fillId="0" borderId="0" xfId="0" applyFont="1" applyBorder="1"/>
    <xf numFmtId="0" fontId="35" fillId="4" borderId="0" xfId="0" applyFont="1" applyFill="1" applyBorder="1"/>
    <xf numFmtId="0" fontId="2" fillId="0" borderId="0" xfId="0" applyNumberFormat="1" applyFont="1" applyFill="1" applyBorder="1"/>
    <xf numFmtId="0" fontId="3" fillId="0" borderId="0" xfId="0" applyNumberFormat="1" applyFont="1" applyFill="1" applyBorder="1"/>
    <xf numFmtId="1" fontId="3" fillId="0" borderId="0" xfId="0" applyNumberFormat="1" applyFont="1" applyFill="1" applyBorder="1"/>
    <xf numFmtId="0" fontId="2" fillId="0" borderId="0" xfId="23" applyFont="1" applyFill="1" applyBorder="1"/>
    <xf numFmtId="182" fontId="2" fillId="0" borderId="0" xfId="0" quotePrefix="1" applyNumberFormat="1" applyFont="1" applyFill="1" applyBorder="1"/>
    <xf numFmtId="3" fontId="2" fillId="0" borderId="0" xfId="0" quotePrefix="1" applyNumberFormat="1" applyFont="1" applyFill="1" applyBorder="1"/>
    <xf numFmtId="175" fontId="3" fillId="0" borderId="0" xfId="0" applyNumberFormat="1" applyFont="1" applyFill="1" applyBorder="1"/>
    <xf numFmtId="0" fontId="26" fillId="0" borderId="0" xfId="0" applyFont="1" applyFill="1" applyBorder="1"/>
    <xf numFmtId="175" fontId="2" fillId="0" borderId="0" xfId="0" quotePrefix="1" applyNumberFormat="1" applyFont="1" applyFill="1" applyBorder="1"/>
    <xf numFmtId="179" fontId="3" fillId="0" borderId="0" xfId="0" applyNumberFormat="1" applyFont="1" applyFill="1" applyBorder="1"/>
    <xf numFmtId="179" fontId="2" fillId="0" borderId="0" xfId="0" quotePrefix="1" applyNumberFormat="1" applyFont="1" applyFill="1" applyBorder="1"/>
    <xf numFmtId="195" fontId="3" fillId="0" borderId="0" xfId="0" applyNumberFormat="1" applyFont="1" applyFill="1" applyBorder="1"/>
    <xf numFmtId="192" fontId="3" fillId="0" borderId="0" xfId="0" quotePrefix="1" applyNumberFormat="1" applyFont="1" applyFill="1" applyBorder="1"/>
    <xf numFmtId="0" fontId="2" fillId="0" borderId="0" xfId="0" quotePrefix="1" applyFont="1" applyFill="1" applyBorder="1"/>
    <xf numFmtId="174" fontId="2" fillId="0" borderId="0" xfId="0" quotePrefix="1" applyNumberFormat="1" applyFont="1" applyFill="1" applyBorder="1"/>
    <xf numFmtId="193" fontId="2" fillId="0" borderId="0" xfId="0" quotePrefix="1" applyNumberFormat="1" applyFont="1" applyFill="1" applyBorder="1"/>
    <xf numFmtId="194" fontId="2" fillId="0" borderId="0" xfId="0" quotePrefix="1" applyNumberFormat="1" applyFont="1" applyFill="1" applyBorder="1"/>
    <xf numFmtId="192" fontId="2" fillId="0" borderId="0" xfId="0" quotePrefix="1" applyNumberFormat="1" applyFont="1" applyFill="1" applyBorder="1"/>
    <xf numFmtId="1" fontId="2" fillId="0" borderId="0" xfId="31" applyNumberFormat="1" applyFont="1" applyFill="1" applyBorder="1"/>
    <xf numFmtId="1" fontId="2" fillId="0" borderId="0" xfId="31" quotePrefix="1" applyNumberFormat="1" applyFont="1" applyFill="1" applyBorder="1"/>
    <xf numFmtId="194" fontId="2" fillId="0" borderId="0" xfId="31" quotePrefix="1" applyNumberFormat="1" applyFont="1" applyFill="1" applyBorder="1"/>
    <xf numFmtId="175" fontId="4" fillId="0" borderId="0" xfId="27" applyNumberFormat="1" applyFont="1" applyBorder="1" applyAlignment="1" applyProtection="1">
      <alignment horizontal="left"/>
    </xf>
    <xf numFmtId="175" fontId="3" fillId="0" borderId="0" xfId="27" applyNumberFormat="1" applyFont="1" applyBorder="1" applyAlignment="1" applyProtection="1">
      <alignment horizontal="left"/>
    </xf>
    <xf numFmtId="175" fontId="4" fillId="0" borderId="0" xfId="26" applyNumberFormat="1" applyFont="1" applyBorder="1"/>
    <xf numFmtId="168" fontId="8" fillId="0" borderId="0" xfId="27" applyFont="1" applyBorder="1" applyAlignment="1" applyProtection="1">
      <alignment horizontal="left"/>
    </xf>
    <xf numFmtId="1" fontId="2" fillId="0" borderId="0" xfId="0" quotePrefix="1" applyNumberFormat="1" applyFont="1" applyFill="1" applyBorder="1"/>
    <xf numFmtId="4" fontId="3" fillId="0" borderId="0" xfId="0" applyNumberFormat="1" applyFont="1" applyFill="1" applyBorder="1"/>
    <xf numFmtId="166" fontId="2" fillId="0" borderId="0" xfId="31" quotePrefix="1" applyNumberFormat="1" applyFont="1" applyFill="1" applyBorder="1"/>
    <xf numFmtId="166" fontId="26" fillId="0" borderId="0" xfId="31" applyNumberFormat="1" applyFont="1" applyFill="1" applyBorder="1"/>
    <xf numFmtId="4" fontId="2" fillId="0" borderId="0" xfId="29" applyNumberFormat="1" applyFont="1" applyFill="1" applyBorder="1" applyAlignment="1" applyProtection="1">
      <alignment horizontal="left" indent="1"/>
    </xf>
    <xf numFmtId="0" fontId="2" fillId="0" borderId="0" xfId="29" applyFont="1" applyFill="1" applyBorder="1" applyAlignment="1" applyProtection="1">
      <alignment horizontal="left" indent="1"/>
    </xf>
    <xf numFmtId="8" fontId="3" fillId="0" borderId="0" xfId="29" applyNumberFormat="1" applyFont="1" applyFill="1" applyBorder="1" applyAlignment="1" applyProtection="1">
      <alignment horizontal="left" indent="1"/>
    </xf>
    <xf numFmtId="166" fontId="3" fillId="0" borderId="0" xfId="31" applyNumberFormat="1" applyFont="1" applyFill="1" applyBorder="1"/>
    <xf numFmtId="37" fontId="2" fillId="0" borderId="0" xfId="31" quotePrefix="1" applyNumberFormat="1" applyFont="1" applyFill="1" applyBorder="1"/>
    <xf numFmtId="37" fontId="3" fillId="0" borderId="0" xfId="31" applyNumberFormat="1" applyFont="1" applyFill="1" applyBorder="1"/>
    <xf numFmtId="174" fontId="2" fillId="0" borderId="0" xfId="31" quotePrefix="1" applyNumberFormat="1" applyFont="1" applyFill="1" applyBorder="1"/>
    <xf numFmtId="5" fontId="2" fillId="0" borderId="0" xfId="23" applyNumberFormat="1" applyFont="1" applyFill="1" applyBorder="1"/>
    <xf numFmtId="37" fontId="2" fillId="0" borderId="0" xfId="23" applyNumberFormat="1" applyFont="1" applyFill="1" applyBorder="1"/>
    <xf numFmtId="174" fontId="2" fillId="0" borderId="0" xfId="23" applyNumberFormat="1" applyFont="1" applyFill="1" applyBorder="1"/>
    <xf numFmtId="175" fontId="22" fillId="0" borderId="0" xfId="0" applyNumberFormat="1" applyFont="1" applyFill="1" applyBorder="1"/>
    <xf numFmtId="0" fontId="22" fillId="0" borderId="0" xfId="0" applyFont="1" applyFill="1" applyBorder="1"/>
    <xf numFmtId="3" fontId="22" fillId="0" borderId="0" xfId="0" applyNumberFormat="1" applyFont="1" applyFill="1" applyBorder="1"/>
    <xf numFmtId="0" fontId="22" fillId="0" borderId="0" xfId="0" applyFont="1" applyFill="1" applyBorder="1" applyAlignment="1">
      <alignment horizontal="left" indent="1"/>
    </xf>
    <xf numFmtId="0" fontId="2" fillId="0" borderId="0" xfId="23" quotePrefix="1" applyFont="1" applyFill="1" applyBorder="1"/>
    <xf numFmtId="0" fontId="2" fillId="0" borderId="0" xfId="0" applyFont="1" applyFill="1" applyBorder="1" applyAlignment="1">
      <alignment horizontal="left"/>
    </xf>
    <xf numFmtId="0" fontId="2" fillId="9" borderId="0" xfId="23" applyFont="1" applyFill="1" applyBorder="1"/>
    <xf numFmtId="0" fontId="2" fillId="5" borderId="0" xfId="23" applyFont="1" applyFill="1" applyBorder="1"/>
    <xf numFmtId="0" fontId="35" fillId="4" borderId="0" xfId="0" applyFont="1" applyFill="1" applyBorder="1" applyAlignment="1">
      <alignment horizontal="right"/>
    </xf>
    <xf numFmtId="0" fontId="35" fillId="4" borderId="0" xfId="19" applyFont="1" applyFill="1" applyBorder="1" applyAlignment="1"/>
    <xf numFmtId="3" fontId="2" fillId="11" borderId="0" xfId="0" applyNumberFormat="1" applyFont="1" applyFill="1"/>
    <xf numFmtId="37" fontId="3" fillId="0" borderId="0" xfId="0" applyNumberFormat="1" applyFont="1" applyFill="1" applyAlignment="1"/>
    <xf numFmtId="37" fontId="3" fillId="0" borderId="0" xfId="0" applyNumberFormat="1" applyFont="1" applyFill="1" applyAlignment="1">
      <alignment horizontal="right"/>
    </xf>
    <xf numFmtId="3" fontId="3" fillId="7" borderId="0" xfId="0" applyNumberFormat="1" applyFont="1" applyFill="1"/>
    <xf numFmtId="10" fontId="20" fillId="0" borderId="0" xfId="31" applyNumberFormat="1" applyFont="1" applyFill="1" applyAlignment="1">
      <alignment horizontal="right"/>
    </xf>
    <xf numFmtId="4" fontId="4" fillId="0" borderId="0" xfId="0" applyNumberFormat="1" applyFont="1" applyBorder="1" applyAlignment="1">
      <alignment horizontal="right"/>
    </xf>
    <xf numFmtId="9" fontId="2" fillId="0" borderId="0" xfId="0" applyNumberFormat="1" applyFont="1" applyFill="1" applyBorder="1" applyAlignment="1">
      <alignment horizontal="right"/>
    </xf>
    <xf numFmtId="9" fontId="4" fillId="0" borderId="0" xfId="0" applyNumberFormat="1" applyFont="1" applyBorder="1" applyAlignment="1">
      <alignment horizontal="right"/>
    </xf>
    <xf numFmtId="4" fontId="2" fillId="7" borderId="0" xfId="31" applyNumberFormat="1" applyFont="1" applyFill="1"/>
    <xf numFmtId="4" fontId="2" fillId="0" borderId="0" xfId="31" applyNumberFormat="1" applyFont="1" applyFill="1"/>
    <xf numFmtId="9" fontId="2" fillId="0" borderId="0" xfId="31" applyNumberFormat="1" applyFont="1" applyFill="1"/>
    <xf numFmtId="41" fontId="58" fillId="0" borderId="0" xfId="13" applyNumberFormat="1" applyFont="1" applyFill="1" applyBorder="1" applyAlignment="1">
      <alignment horizontal="right"/>
    </xf>
    <xf numFmtId="182" fontId="58" fillId="11" borderId="0" xfId="0" applyNumberFormat="1" applyFont="1" applyFill="1"/>
    <xf numFmtId="166" fontId="58" fillId="11" borderId="0" xfId="31" applyNumberFormat="1" applyFont="1" applyFill="1"/>
    <xf numFmtId="166" fontId="2" fillId="11" borderId="0" xfId="31" applyNumberFormat="1" applyFont="1" applyFill="1"/>
    <xf numFmtId="166" fontId="57" fillId="11" borderId="0" xfId="31" applyNumberFormat="1" applyFont="1" applyFill="1"/>
    <xf numFmtId="173" fontId="58" fillId="11" borderId="0" xfId="0" applyNumberFormat="1" applyFont="1" applyFill="1"/>
    <xf numFmtId="0" fontId="2" fillId="11" borderId="0" xfId="0" applyFont="1" applyFill="1"/>
    <xf numFmtId="192" fontId="2" fillId="11" borderId="0" xfId="31" applyNumberFormat="1" applyFont="1" applyFill="1" applyBorder="1"/>
    <xf numFmtId="173" fontId="58" fillId="11" borderId="0" xfId="29" applyNumberFormat="1" applyFont="1" applyFill="1" applyBorder="1"/>
    <xf numFmtId="166" fontId="2" fillId="11" borderId="0" xfId="31" applyNumberFormat="1" applyFont="1" applyFill="1" applyBorder="1"/>
    <xf numFmtId="192" fontId="58" fillId="11" borderId="0" xfId="31" applyNumberFormat="1" applyFont="1" applyFill="1" applyBorder="1"/>
    <xf numFmtId="0" fontId="2" fillId="11" borderId="0" xfId="29" applyFont="1" applyFill="1" applyBorder="1"/>
    <xf numFmtId="179" fontId="2" fillId="11" borderId="0" xfId="29" applyNumberFormat="1" applyFont="1" applyFill="1" applyBorder="1" applyAlignment="1">
      <alignment horizontal="right"/>
    </xf>
    <xf numFmtId="173" fontId="2" fillId="11" borderId="0" xfId="29" applyNumberFormat="1" applyFont="1" applyFill="1" applyBorder="1"/>
    <xf numFmtId="166" fontId="3" fillId="11" borderId="0" xfId="29" applyNumberFormat="1" applyFont="1" applyFill="1" applyBorder="1"/>
    <xf numFmtId="166" fontId="58" fillId="11" borderId="0" xfId="29" quotePrefix="1" applyNumberFormat="1" applyFont="1" applyFill="1" applyBorder="1" applyAlignment="1">
      <alignment horizontal="right"/>
    </xf>
    <xf numFmtId="166" fontId="58" fillId="11" borderId="0" xfId="29" applyNumberFormat="1" applyFont="1" applyFill="1" applyBorder="1" applyAlignment="1">
      <alignment horizontal="right"/>
    </xf>
    <xf numFmtId="166" fontId="2" fillId="11" borderId="0" xfId="29" quotePrefix="1" applyNumberFormat="1" applyFont="1" applyFill="1" applyBorder="1" applyAlignment="1">
      <alignment horizontal="right"/>
    </xf>
    <xf numFmtId="173" fontId="58" fillId="11" borderId="0" xfId="31" applyNumberFormat="1" applyFont="1" applyFill="1"/>
    <xf numFmtId="1" fontId="2" fillId="11" borderId="0" xfId="31" applyNumberFormat="1" applyFont="1" applyFill="1"/>
    <xf numFmtId="167" fontId="2" fillId="11" borderId="0" xfId="31" applyNumberFormat="1" applyFont="1" applyFill="1"/>
    <xf numFmtId="167" fontId="57" fillId="11" borderId="0" xfId="31" applyNumberFormat="1" applyFont="1" applyFill="1"/>
    <xf numFmtId="167" fontId="58" fillId="11" borderId="0" xfId="31" applyNumberFormat="1" applyFont="1" applyFill="1"/>
    <xf numFmtId="4" fontId="2" fillId="11" borderId="0" xfId="31" applyNumberFormat="1" applyFont="1" applyFill="1"/>
    <xf numFmtId="179" fontId="2" fillId="11" borderId="0" xfId="31" applyNumberFormat="1" applyFont="1" applyFill="1"/>
    <xf numFmtId="179" fontId="2" fillId="11" borderId="0" xfId="31" applyNumberFormat="1" applyFont="1" applyFill="1" applyBorder="1"/>
    <xf numFmtId="179" fontId="57" fillId="11" borderId="0" xfId="31" applyNumberFormat="1" applyFont="1" applyFill="1"/>
    <xf numFmtId="179" fontId="2" fillId="11" borderId="0" xfId="31" quotePrefix="1" applyNumberFormat="1" applyFont="1" applyFill="1" applyBorder="1"/>
    <xf numFmtId="194" fontId="2" fillId="11" borderId="0" xfId="31" applyNumberFormat="1" applyFont="1" applyFill="1" applyBorder="1"/>
    <xf numFmtId="194" fontId="2" fillId="11" borderId="0" xfId="31" applyNumberFormat="1" applyFont="1" applyFill="1"/>
    <xf numFmtId="1" fontId="3" fillId="11" borderId="0" xfId="31" applyNumberFormat="1" applyFont="1" applyFill="1"/>
    <xf numFmtId="192" fontId="57" fillId="11" borderId="0" xfId="31" applyNumberFormat="1" applyFont="1" applyFill="1"/>
    <xf numFmtId="182" fontId="2" fillId="11" borderId="0" xfId="0" applyNumberFormat="1" applyFont="1" applyFill="1"/>
    <xf numFmtId="182" fontId="3" fillId="11" borderId="0" xfId="0" applyNumberFormat="1" applyFont="1" applyFill="1"/>
    <xf numFmtId="175" fontId="2" fillId="11" borderId="0" xfId="0" applyNumberFormat="1" applyFont="1" applyFill="1"/>
    <xf numFmtId="8" fontId="2" fillId="11" borderId="0" xfId="0" applyNumberFormat="1" applyFont="1" applyFill="1"/>
    <xf numFmtId="182" fontId="2" fillId="11" borderId="0" xfId="31" applyNumberFormat="1" applyFont="1" applyFill="1"/>
    <xf numFmtId="41" fontId="58" fillId="11" borderId="0" xfId="0" applyNumberFormat="1" applyFont="1" applyFill="1" applyBorder="1" applyAlignment="1"/>
    <xf numFmtId="166" fontId="2" fillId="11" borderId="0" xfId="0" applyNumberFormat="1" applyFont="1" applyFill="1"/>
    <xf numFmtId="1" fontId="2" fillId="11" borderId="0" xfId="0" applyNumberFormat="1" applyFont="1" applyFill="1"/>
    <xf numFmtId="41" fontId="3" fillId="11" borderId="0" xfId="28" applyNumberFormat="1" applyFont="1" applyFill="1" applyBorder="1" applyAlignment="1" applyProtection="1">
      <alignment horizontal="right"/>
    </xf>
    <xf numFmtId="166" fontId="2" fillId="11" borderId="0" xfId="0" applyNumberFormat="1" applyFont="1" applyFill="1" applyAlignment="1">
      <alignment horizontal="right"/>
    </xf>
    <xf numFmtId="41" fontId="2" fillId="11" borderId="0" xfId="0" applyNumberFormat="1" applyFont="1" applyFill="1"/>
    <xf numFmtId="166" fontId="2" fillId="11" borderId="1" xfId="0" applyNumberFormat="1" applyFont="1" applyFill="1" applyBorder="1"/>
    <xf numFmtId="41" fontId="3" fillId="11" borderId="0" xfId="0" applyNumberFormat="1" applyFont="1" applyFill="1"/>
    <xf numFmtId="41" fontId="58" fillId="11" borderId="0" xfId="0" applyNumberFormat="1" applyFont="1" applyFill="1"/>
    <xf numFmtId="37" fontId="58" fillId="11" borderId="0" xfId="0" applyNumberFormat="1" applyFont="1" applyFill="1"/>
    <xf numFmtId="37" fontId="3" fillId="11" borderId="0" xfId="0" applyNumberFormat="1" applyFont="1" applyFill="1"/>
    <xf numFmtId="37" fontId="2" fillId="11" borderId="0" xfId="0" applyNumberFormat="1" applyFont="1" applyFill="1"/>
    <xf numFmtId="172" fontId="58" fillId="11" borderId="0" xfId="0" applyNumberFormat="1" applyFont="1" applyFill="1"/>
    <xf numFmtId="37" fontId="58" fillId="11" borderId="1" xfId="0" applyNumberFormat="1" applyFont="1" applyFill="1" applyBorder="1"/>
    <xf numFmtId="41" fontId="3" fillId="11" borderId="0" xfId="0" applyNumberFormat="1" applyFont="1" applyFill="1" applyAlignment="1">
      <alignment horizontal="right"/>
    </xf>
    <xf numFmtId="1" fontId="3" fillId="11" borderId="0" xfId="0" applyNumberFormat="1" applyFont="1" applyFill="1"/>
    <xf numFmtId="172" fontId="58" fillId="11" borderId="0" xfId="12" applyNumberFormat="1" applyFont="1" applyFill="1"/>
    <xf numFmtId="37" fontId="2" fillId="11" borderId="0" xfId="31" applyNumberFormat="1" applyFont="1" applyFill="1"/>
    <xf numFmtId="37" fontId="58" fillId="11" borderId="0" xfId="31" applyNumberFormat="1" applyFont="1" applyFill="1"/>
    <xf numFmtId="174" fontId="2" fillId="11" borderId="0" xfId="31" applyNumberFormat="1" applyFont="1" applyFill="1"/>
    <xf numFmtId="2" fontId="2" fillId="11" borderId="0" xfId="31" applyNumberFormat="1" applyFont="1" applyFill="1"/>
    <xf numFmtId="5" fontId="58" fillId="11" borderId="0" xfId="0" applyNumberFormat="1" applyFont="1" applyFill="1"/>
    <xf numFmtId="170" fontId="2" fillId="11" borderId="0" xfId="0" applyNumberFormat="1" applyFont="1" applyFill="1"/>
    <xf numFmtId="174" fontId="58" fillId="11" borderId="0" xfId="0" applyNumberFormat="1" applyFont="1" applyFill="1"/>
    <xf numFmtId="8" fontId="2" fillId="0" borderId="0" xfId="0" applyNumberFormat="1" applyFont="1" applyFill="1" applyAlignment="1"/>
    <xf numFmtId="174" fontId="20" fillId="11" borderId="0" xfId="25" applyNumberFormat="1" applyFont="1" applyFill="1" applyBorder="1" applyAlignment="1">
      <alignment horizontal="right"/>
    </xf>
    <xf numFmtId="179" fontId="58" fillId="0" borderId="0" xfId="31" applyNumberFormat="1" applyFont="1" applyFill="1"/>
    <xf numFmtId="179" fontId="11" fillId="0" borderId="0" xfId="0" applyNumberFormat="1" applyFont="1"/>
    <xf numFmtId="8" fontId="11" fillId="0" borderId="0" xfId="0" applyNumberFormat="1" applyFont="1" applyAlignment="1">
      <alignment horizontal="right"/>
    </xf>
    <xf numFmtId="189" fontId="11" fillId="0" borderId="0" xfId="0" applyNumberFormat="1" applyFont="1"/>
    <xf numFmtId="37" fontId="20" fillId="11" borderId="0" xfId="12" applyNumberFormat="1" applyFont="1" applyFill="1" applyBorder="1" applyAlignment="1">
      <alignment horizontal="right"/>
    </xf>
    <xf numFmtId="41" fontId="58" fillId="11" borderId="0" xfId="13" applyNumberFormat="1" applyFont="1" applyFill="1" applyBorder="1" applyAlignment="1">
      <alignment horizontal="right"/>
    </xf>
    <xf numFmtId="41" fontId="58" fillId="0" borderId="0" xfId="0" applyNumberFormat="1" applyFont="1" applyFill="1" applyBorder="1" applyAlignment="1">
      <alignment horizontal="right"/>
    </xf>
    <xf numFmtId="167" fontId="20" fillId="11" borderId="0" xfId="31" applyNumberFormat="1" applyFont="1" applyFill="1"/>
    <xf numFmtId="179" fontId="53" fillId="11" borderId="0" xfId="31" applyNumberFormat="1" applyFont="1" applyFill="1"/>
    <xf numFmtId="179" fontId="3" fillId="11" borderId="0" xfId="31" applyNumberFormat="1" applyFont="1" applyFill="1" applyBorder="1"/>
    <xf numFmtId="179" fontId="57" fillId="11" borderId="0" xfId="31" applyNumberFormat="1" applyFont="1" applyFill="1" applyBorder="1"/>
    <xf numFmtId="41" fontId="58" fillId="11" borderId="0" xfId="0" applyNumberFormat="1" applyFont="1" applyFill="1" applyBorder="1" applyAlignment="1">
      <alignment horizontal="right"/>
    </xf>
    <xf numFmtId="41" fontId="2" fillId="11" borderId="0" xfId="0" applyNumberFormat="1" applyFont="1" applyFill="1" applyBorder="1"/>
    <xf numFmtId="182" fontId="58" fillId="11" borderId="0" xfId="12" applyNumberFormat="1" applyFont="1" applyFill="1"/>
    <xf numFmtId="0" fontId="58" fillId="11" borderId="0" xfId="29" applyFont="1" applyFill="1" applyBorder="1" applyAlignment="1">
      <alignment horizontal="right"/>
    </xf>
    <xf numFmtId="166" fontId="20" fillId="11" borderId="0" xfId="29" quotePrefix="1" applyNumberFormat="1" applyFont="1" applyFill="1" applyBorder="1" applyAlignment="1">
      <alignment horizontal="right"/>
    </xf>
    <xf numFmtId="166" fontId="20" fillId="11" borderId="0" xfId="29" applyNumberFormat="1" applyFont="1" applyFill="1" applyBorder="1" applyAlignment="1">
      <alignment horizontal="right"/>
    </xf>
    <xf numFmtId="179" fontId="58" fillId="0" borderId="0" xfId="0" applyNumberFormat="1" applyFont="1" applyBorder="1"/>
    <xf numFmtId="1" fontId="58" fillId="0" borderId="0" xfId="0" applyNumberFormat="1" applyFont="1" applyBorder="1" applyAlignment="1">
      <alignment horizontal="right"/>
    </xf>
    <xf numFmtId="37" fontId="2" fillId="11" borderId="0" xfId="0" applyNumberFormat="1" applyFont="1" applyFill="1" applyAlignment="1">
      <alignment horizontal="right"/>
    </xf>
    <xf numFmtId="181" fontId="2" fillId="0" borderId="0" xfId="0" applyNumberFormat="1" applyFont="1" applyFill="1"/>
    <xf numFmtId="167" fontId="2" fillId="11" borderId="0" xfId="0" applyNumberFormat="1" applyFont="1" applyFill="1"/>
    <xf numFmtId="173" fontId="2" fillId="11" borderId="0" xfId="0" applyNumberFormat="1" applyFont="1" applyFill="1"/>
    <xf numFmtId="179" fontId="2" fillId="11" borderId="0" xfId="0" applyNumberFormat="1" applyFont="1" applyFill="1"/>
    <xf numFmtId="179" fontId="2" fillId="11" borderId="0" xfId="0" applyNumberFormat="1" applyFont="1" applyFill="1" applyAlignment="1">
      <alignment horizontal="right"/>
    </xf>
    <xf numFmtId="185" fontId="2" fillId="0" borderId="0" xfId="0" applyNumberFormat="1" applyFont="1"/>
    <xf numFmtId="4" fontId="3" fillId="11" borderId="0" xfId="31" applyNumberFormat="1" applyFont="1" applyFill="1" applyBorder="1"/>
    <xf numFmtId="172" fontId="2" fillId="0" borderId="0" xfId="0" applyNumberFormat="1" applyFont="1" applyFill="1"/>
    <xf numFmtId="175" fontId="3" fillId="11" borderId="0" xfId="0" applyNumberFormat="1" applyFont="1" applyFill="1"/>
    <xf numFmtId="1" fontId="58" fillId="11" borderId="0" xfId="31" applyNumberFormat="1" applyFont="1" applyFill="1"/>
    <xf numFmtId="197" fontId="2" fillId="0" borderId="0" xfId="0" applyNumberFormat="1" applyFont="1" applyFill="1"/>
    <xf numFmtId="41" fontId="58" fillId="0" borderId="0" xfId="0" applyNumberFormat="1" applyFont="1" applyFill="1"/>
    <xf numFmtId="37" fontId="58" fillId="0" borderId="1" xfId="0" applyNumberFormat="1" applyFont="1" applyFill="1" applyBorder="1"/>
    <xf numFmtId="41" fontId="57" fillId="0" borderId="0" xfId="0" applyNumberFormat="1" applyFont="1" applyFill="1"/>
    <xf numFmtId="0" fontId="1" fillId="0" borderId="0" xfId="1"/>
    <xf numFmtId="166" fontId="58" fillId="11" borderId="0" xfId="0" applyNumberFormat="1" applyFont="1" applyFill="1"/>
    <xf numFmtId="167" fontId="2" fillId="11" borderId="0" xfId="25" applyNumberFormat="1" applyFont="1" applyFill="1" applyBorder="1" applyAlignment="1">
      <alignment horizontal="right"/>
    </xf>
    <xf numFmtId="174" fontId="58" fillId="11" borderId="0" xfId="25" applyNumberFormat="1" applyFont="1" applyFill="1" applyBorder="1" applyAlignment="1">
      <alignment horizontal="right"/>
    </xf>
    <xf numFmtId="172" fontId="2" fillId="11" borderId="0" xfId="0" applyNumberFormat="1" applyFont="1" applyFill="1" applyBorder="1"/>
    <xf numFmtId="0" fontId="1" fillId="12" borderId="0" xfId="42" applyFont="1" applyFill="1" applyAlignment="1">
      <alignment vertical="top"/>
    </xf>
    <xf numFmtId="0" fontId="1" fillId="12" borderId="0" xfId="1" applyFill="1" applyAlignment="1">
      <alignment vertical="top"/>
    </xf>
    <xf numFmtId="0" fontId="1" fillId="12" borderId="0" xfId="1" applyFill="1"/>
    <xf numFmtId="0" fontId="30" fillId="12" borderId="0" xfId="42" applyFont="1" applyFill="1" applyAlignment="1">
      <alignment horizontal="left" vertical="top"/>
    </xf>
    <xf numFmtId="0" fontId="1" fillId="12" borderId="0" xfId="1" applyFont="1" applyFill="1" applyAlignment="1">
      <alignment vertical="top"/>
    </xf>
    <xf numFmtId="0" fontId="17" fillId="12" borderId="0" xfId="42" applyFont="1" applyFill="1" applyAlignment="1">
      <alignment vertical="top"/>
    </xf>
    <xf numFmtId="0" fontId="0" fillId="12" borderId="0" xfId="0" applyFill="1" applyAlignment="1">
      <alignment vertical="top"/>
    </xf>
    <xf numFmtId="0" fontId="60" fillId="12" borderId="0" xfId="0" applyFont="1" applyFill="1" applyAlignment="1">
      <alignment vertical="top"/>
    </xf>
    <xf numFmtId="0" fontId="61" fillId="12" borderId="0" xfId="0" applyFont="1" applyFill="1" applyAlignment="1">
      <alignment vertical="top"/>
    </xf>
    <xf numFmtId="0" fontId="60" fillId="12" borderId="7" xfId="0" applyFont="1" applyFill="1" applyBorder="1" applyAlignment="1">
      <alignment vertical="top"/>
    </xf>
    <xf numFmtId="9" fontId="60" fillId="12" borderId="7" xfId="0" applyNumberFormat="1" applyFont="1" applyFill="1" applyBorder="1" applyAlignment="1">
      <alignment vertical="top"/>
    </xf>
    <xf numFmtId="3" fontId="60" fillId="12" borderId="7" xfId="0" applyNumberFormat="1" applyFont="1" applyFill="1" applyBorder="1" applyAlignment="1">
      <alignment vertical="top"/>
    </xf>
    <xf numFmtId="2" fontId="1" fillId="0" borderId="0" xfId="1" applyNumberFormat="1" applyAlignment="1">
      <alignment horizontal="left"/>
    </xf>
    <xf numFmtId="0" fontId="1" fillId="0" borderId="0" xfId="1" applyNumberFormat="1" applyAlignment="1">
      <alignment horizontal="left"/>
    </xf>
    <xf numFmtId="1" fontId="1" fillId="0" borderId="0" xfId="1" applyNumberFormat="1" applyAlignment="1">
      <alignment horizontal="left"/>
    </xf>
    <xf numFmtId="0" fontId="1" fillId="0" borderId="0" xfId="1" applyFont="1"/>
    <xf numFmtId="198" fontId="1" fillId="0" borderId="0" xfId="1" applyNumberFormat="1" applyAlignment="1">
      <alignment horizontal="left"/>
    </xf>
    <xf numFmtId="49" fontId="1" fillId="0" borderId="0" xfId="1" applyNumberFormat="1"/>
    <xf numFmtId="0" fontId="62" fillId="0" borderId="0" xfId="1" applyFont="1" applyAlignment="1">
      <alignment wrapText="1"/>
    </xf>
    <xf numFmtId="0" fontId="62" fillId="0" borderId="0" xfId="1" applyFont="1" applyAlignment="1">
      <alignment horizontal="left" wrapText="1" indent="3"/>
    </xf>
    <xf numFmtId="0" fontId="62" fillId="0" borderId="0" xfId="1" applyFont="1" applyAlignment="1">
      <alignment horizontal="left" wrapText="1" indent="1"/>
    </xf>
    <xf numFmtId="0" fontId="64" fillId="0" borderId="0" xfId="1" applyFont="1" applyAlignment="1">
      <alignment wrapText="1"/>
    </xf>
    <xf numFmtId="0" fontId="0" fillId="12" borderId="12" xfId="0" applyFill="1" applyBorder="1" applyAlignment="1">
      <alignment vertical="top"/>
    </xf>
    <xf numFmtId="0" fontId="60" fillId="12" borderId="0" xfId="0" applyFont="1" applyFill="1" applyAlignment="1">
      <alignment vertical="top"/>
    </xf>
    <xf numFmtId="0" fontId="60" fillId="12" borderId="8" xfId="0" applyFont="1" applyFill="1" applyBorder="1" applyAlignment="1">
      <alignment vertical="top"/>
    </xf>
    <xf numFmtId="0" fontId="60" fillId="12" borderId="9" xfId="0" applyFont="1" applyFill="1" applyBorder="1" applyAlignment="1">
      <alignment vertical="top"/>
    </xf>
    <xf numFmtId="0" fontId="60" fillId="12" borderId="10" xfId="0" applyFont="1" applyFill="1" applyBorder="1" applyAlignment="1">
      <alignment vertical="top"/>
    </xf>
    <xf numFmtId="0" fontId="61" fillId="12" borderId="0" xfId="0" applyFont="1" applyFill="1" applyAlignment="1">
      <alignment vertical="top"/>
    </xf>
    <xf numFmtId="0" fontId="0" fillId="12" borderId="0" xfId="0" applyFill="1" applyAlignment="1">
      <alignment vertical="top"/>
    </xf>
    <xf numFmtId="0" fontId="0" fillId="12" borderId="11" xfId="0" applyFill="1" applyBorder="1" applyAlignment="1">
      <alignment vertical="top"/>
    </xf>
  </cellXfs>
  <cellStyles count="43">
    <cellStyle name=" 1" xfId="2"/>
    <cellStyle name=" 1 2" xfId="3"/>
    <cellStyle name="_RRS1_IMT_Model WIP POST RIGHTS OLD " xfId="4"/>
    <cellStyle name="_SUMMARY " xfId="6"/>
    <cellStyle name="0_Capex &amp; Depreciation " xfId="7"/>
    <cellStyle name="0_Valuing BP " xfId="8"/>
    <cellStyle name="A¨­￠￢￠O [0]_C¡IAo_AoAUAy¡ÆeC¡I " xfId="9"/>
    <cellStyle name="A¨­￠￢￠O_AoAUAy¡ÆeC¡I " xfId="10"/>
    <cellStyle name="c_HardInc " xfId="11"/>
    <cellStyle name="Comma" xfId="12" builtinId="3"/>
    <cellStyle name="Currency" xfId="13" builtinId="4"/>
    <cellStyle name="Currency 2" xfId="41"/>
    <cellStyle name="Hyperlink" xfId="14" builtinId="8"/>
    <cellStyle name="Normal" xfId="0" builtinId="0"/>
    <cellStyle name="Normal 2" xfId="15"/>
    <cellStyle name="Normal 3" xfId="16"/>
    <cellStyle name="Normal 4" xfId="1"/>
    <cellStyle name="Normal 8" xfId="17"/>
    <cellStyle name="Normal_ASD6" xfId="18"/>
    <cellStyle name="Normal_Balance" xfId="19"/>
    <cellStyle name="Normal_Cash Flow" xfId="20"/>
    <cellStyle name="Normal_DisclaimerSheet Samples" xfId="42"/>
    <cellStyle name="Normal_HON" xfId="21"/>
    <cellStyle name="Normal_HSY_EM07-010507" xfId="22"/>
    <cellStyle name="Normal_Income" xfId="23"/>
    <cellStyle name="Normal_IS" xfId="24"/>
    <cellStyle name="Normal_MO10yeardatasheetupdate" xfId="25"/>
    <cellStyle name="Normal_Mo2003-4" xfId="26"/>
    <cellStyle name="Normal_MOCF" xfId="27"/>
    <cellStyle name="Normal_MOQUARCF" xfId="28"/>
    <cellStyle name="Normal_UST_CURRENT" xfId="29"/>
    <cellStyle name="p " xfId="30"/>
    <cellStyle name="Percent" xfId="31" builtinId="5"/>
    <cellStyle name="Percent 2" xfId="32"/>
    <cellStyle name="Percent 3" xfId="33"/>
    <cellStyle name="RRSInstruction" xfId="5"/>
    <cellStyle name="s_HardInc " xfId="34"/>
    <cellStyle name="s_Valuation " xfId="35"/>
    <cellStyle name="ssp " xfId="36"/>
    <cellStyle name="Style 1" xfId="37"/>
    <cellStyle name="콤마 [0]_ 2팀층별 " xfId="38"/>
    <cellStyle name="콤마_ 2팀층별 " xfId="39"/>
    <cellStyle name="표준_0N-HANDLING " xfId="4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32C464"/>
      <rgbColor rgb="00CCFFFF"/>
      <rgbColor rgb="00660066"/>
      <rgbColor rgb="00F37B53"/>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3399FF"/>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theme/theme1.xml" Type="http://schemas.openxmlformats.org/officeDocument/2006/relationships/theme"/>
<Relationship Id="rId12" Target="styles.xml" Type="http://schemas.openxmlformats.org/officeDocument/2006/relationships/styles"/>
<Relationship Id="rId13" Target="sharedStrings.xml" Type="http://schemas.openxmlformats.org/officeDocument/2006/relationships/sharedStrings"/>
<Relationship Id="rId14" Target="calcChain.xml" Type="http://schemas.openxmlformats.org/officeDocument/2006/relationships/calcChain"/>
<Relationship Id="rId15" Target="../customXml/item1.xml" Type="http://schemas.openxmlformats.org/officeDocument/2006/relationships/customXml"/>
<Relationship Id="rId16" Target="../customXml/item2.xml" Type="http://schemas.openxmlformats.org/officeDocument/2006/relationships/customXml"/>
<Relationship Id="rId17" Target="vbaProject.bin" Type="http://schemas.microsoft.com/office/2006/relationships/vbaProjec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_rels/drawing2.xml.rels><?xml version="1.0" encoding="UTF-8" standalone="yes"?>
<Relationships xmlns="http://schemas.openxmlformats.org/package/2006/relationships">
<Relationship Id="rId1" Target="../media/image4.png" Type="http://schemas.openxmlformats.org/officeDocument/2006/relationships/image"/>
</Relationships>

</file>

<file path=xl/drawings/_rels/drawing3.xml.rels><?xml version="1.0" encoding="UTF-8" standalone="yes"?>
<Relationships xmlns="http://schemas.openxmlformats.org/package/2006/relationships">
<Relationship Id="rId1" Target="../media/image4.png" Type="http://schemas.openxmlformats.org/officeDocument/2006/relationships/image"/>
</Relationships>

</file>

<file path=xl/drawings/_rels/drawing4.xml.rels><?xml version="1.0" encoding="UTF-8" standalone="yes"?>
<Relationships xmlns="http://schemas.openxmlformats.org/package/2006/relationships">
<Relationship Id="rId1" Target="../media/image4.png"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174</xdr:row>
      <xdr:rowOff>0</xdr:rowOff>
    </xdr:from>
    <xdr:to>
      <xdr:col>7</xdr:col>
      <xdr:colOff>390525</xdr:colOff>
      <xdr:row>197</xdr:row>
      <xdr:rowOff>104775</xdr:rowOff>
    </xdr:to>
    <xdr:pic>
      <xdr:nvPicPr>
        <xdr:cNvPr id="11338753" name="Picture 1" descr="C:\Users\pamelk\AppData\Local\Temp\MercuryPriceRatingHistoryChart\MO.N_2018_04_18_00_10_38.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6803350"/>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0</xdr:col>
      <xdr:colOff>752475</xdr:colOff>
      <xdr:row>3</xdr:row>
      <xdr:rowOff>133350</xdr:rowOff>
    </xdr:to>
    <xdr:pic>
      <xdr:nvPicPr>
        <xdr:cNvPr id="11215767" name="Picture 9050" descr="Altria_logo_sml"/>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6194" t="11852" b="11852"/>
        <a:stretch>
          <a:fillRect/>
        </a:stretch>
      </xdr:blipFill>
      <xdr:spPr bwMode="auto">
        <a:xfrm>
          <a:off x="0" y="361950"/>
          <a:ext cx="752475"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47625</xdr:colOff>
      <xdr:row>2</xdr:row>
      <xdr:rowOff>0</xdr:rowOff>
    </xdr:from>
    <xdr:to>
      <xdr:col>1</xdr:col>
      <xdr:colOff>619125</xdr:colOff>
      <xdr:row>3</xdr:row>
      <xdr:rowOff>152400</xdr:rowOff>
    </xdr:to>
    <xdr:pic>
      <xdr:nvPicPr>
        <xdr:cNvPr id="11216811" name="Picture 11278" descr="Altria_logo_sml"/>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6194" t="11852" b="11852"/>
        <a:stretch>
          <a:fillRect/>
        </a:stretch>
      </xdr:blipFill>
      <xdr:spPr bwMode="auto">
        <a:xfrm>
          <a:off x="47625" y="361950"/>
          <a:ext cx="752475"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xdr:colOff>
      <xdr:row>2</xdr:row>
      <xdr:rowOff>0</xdr:rowOff>
    </xdr:from>
    <xdr:to>
      <xdr:col>1</xdr:col>
      <xdr:colOff>619125</xdr:colOff>
      <xdr:row>3</xdr:row>
      <xdr:rowOff>152400</xdr:rowOff>
    </xdr:to>
    <xdr:pic>
      <xdr:nvPicPr>
        <xdr:cNvPr id="12298950" name="Picture 6145" descr="Altria_logo_sml"/>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6194" t="11852" b="11852"/>
        <a:stretch>
          <a:fillRect/>
        </a:stretch>
      </xdr:blipFill>
      <xdr:spPr bwMode="auto">
        <a:xfrm>
          <a:off x="47625" y="361950"/>
          <a:ext cx="752475"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 Id="rId2" Target="../drawings/drawing1.xml" Type="http://schemas.openxmlformats.org/officeDocument/2006/relationships/drawing"/>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 Id="rId2" Target="../drawings/drawing2.xml" Type="http://schemas.openxmlformats.org/officeDocument/2006/relationships/drawing"/>
<Relationship Id="rId3" Target="../drawings/vmlDrawing1.vml" Type="http://schemas.openxmlformats.org/officeDocument/2006/relationships/vmlDrawing"/>
<Relationship Id="rId4" Target="../comments1.xml" Type="http://schemas.openxmlformats.org/officeDocument/2006/relationships/comments"/>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 Id="rId2" Target="../drawings/drawing3.xml" Type="http://schemas.openxmlformats.org/officeDocument/2006/relationships/drawing"/>
<Relationship Id="rId3" Target="../drawings/vmlDrawing2.vml" Type="http://schemas.openxmlformats.org/officeDocument/2006/relationships/vmlDrawing"/>
<Relationship Id="rId4" Target="../comments2.xml" Type="http://schemas.openxmlformats.org/officeDocument/2006/relationships/comments"/>
</Relationships>

</file>

<file path=xl/worksheets/_rels/sheet7.xml.rels><?xml version="1.0" encoding="UTF-8" standalone="yes"?>
<Relationships xmlns="http://schemas.openxmlformats.org/package/2006/relationships">
<Relationship Id="rId1" Target="../printerSettings/printerSettings7.bin" Type="http://schemas.openxmlformats.org/officeDocument/2006/relationships/printerSettings"/>
<Relationship Id="rId2" Target="../drawings/drawing4.xml" Type="http://schemas.openxmlformats.org/officeDocument/2006/relationships/drawing"/>
<Relationship Id="rId3" Target="../drawings/vmlDrawing3.vml" Type="http://schemas.openxmlformats.org/officeDocument/2006/relationships/vmlDrawing"/>
<Relationship Id="rId4" Target="../comments3.xml" Type="http://schemas.openxmlformats.org/officeDocument/2006/relationships/comments"/>
</Relationships>

</file>

<file path=xl/worksheets/_rels/sheet8.xml.rels><?xml version="1.0" encoding="UTF-8" standalone="yes"?>
<Relationships xmlns="http://schemas.openxmlformats.org/package/2006/relationships">
<Relationship Id="rId1" Target="../printerSettings/printerSettings8.bin" Type="http://schemas.openxmlformats.org/officeDocument/2006/relationships/printerSettings"/>
</Relationships>

</file>

<file path=xl/worksheets/_rels/sheet10.xml.rels><?xml version="1.0" encoding="UTF-8" standalone="yes"?>
<Relationships xmlns="http://schemas.openxmlformats.org/package/2006/relationships">
<Relationship Id="rId1" Target="../printerSettings/printerSettings9.bin" Type="http://schemas.openxmlformats.org/officeDocument/2006/relationships/printerSettings"/>
<Relationship Id="rId2" Target="../drawings/vmlDrawing4.vml" Type="http://schemas.openxmlformats.org/officeDocument/2006/relationships/vmlDrawing"/>
<Relationship Id="rId3" Target="../comments4.xml" Type="http://schemas.openxmlformats.org/officeDocument/2006/relationships/comment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
  <sheetViews>
    <sheetView workbookViewId="0"/>
  </sheetViews>
  <sheetFormatPr defaultRowHeight="12.75"/>
  <sheetData>
    <row r="1" spans="1:1">
      <c r="A1" s="327" t="s">
        <v>148</v>
      </c>
    </row>
  </sheetData>
  <phoneticPr fontId="2" type="noConversion"/>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CP2"/>
  <sheetViews>
    <sheetView workbookViewId="0"/>
  </sheetViews>
  <sheetFormatPr defaultRowHeight="12.75"/>
  <sheetData>
    <row r="1" spans="1:94">
      <c r="A1" t="s">
        <v>69</v>
      </c>
    </row>
    <row r="2" spans="1:94">
      <c r="A2" s="29" t="s">
        <v>103</v>
      </c>
      <c r="B2" s="29" t="s">
        <v>104</v>
      </c>
      <c r="C2" s="29" t="s">
        <v>530</v>
      </c>
      <c r="D2" s="29" t="s">
        <v>424</v>
      </c>
      <c r="E2" s="29" t="s">
        <v>623</v>
      </c>
      <c r="F2" s="29" t="s">
        <v>539</v>
      </c>
      <c r="G2" s="29" t="s">
        <v>78</v>
      </c>
      <c r="H2" s="29" t="s">
        <v>77</v>
      </c>
      <c r="I2" s="29" t="s">
        <v>165</v>
      </c>
      <c r="J2" s="29" t="s">
        <v>540</v>
      </c>
      <c r="K2" s="29" t="s">
        <v>427</v>
      </c>
      <c r="L2" s="29" t="s">
        <v>326</v>
      </c>
      <c r="M2" s="29" t="s">
        <v>99</v>
      </c>
      <c r="N2" s="29" t="s">
        <v>74</v>
      </c>
      <c r="O2" s="29" t="s">
        <v>285</v>
      </c>
      <c r="P2" s="29" t="s">
        <v>74</v>
      </c>
      <c r="Q2" s="29" t="s">
        <v>534</v>
      </c>
      <c r="R2" s="29" t="s">
        <v>538</v>
      </c>
      <c r="S2" s="29" t="s">
        <v>268</v>
      </c>
      <c r="T2" s="29" t="s">
        <v>287</v>
      </c>
      <c r="U2" s="29" t="s">
        <v>195</v>
      </c>
      <c r="V2" s="29" t="s">
        <v>620</v>
      </c>
      <c r="W2" s="29" t="s">
        <v>389</v>
      </c>
      <c r="X2" s="29" t="s">
        <v>624</v>
      </c>
      <c r="Y2" s="29" t="s">
        <v>385</v>
      </c>
      <c r="Z2" s="29" t="s">
        <v>74</v>
      </c>
      <c r="AA2" s="29" t="s">
        <v>532</v>
      </c>
      <c r="AB2" s="29" t="s">
        <v>416</v>
      </c>
      <c r="AC2" s="29" t="s">
        <v>68</v>
      </c>
      <c r="AD2" s="29" t="s">
        <v>74</v>
      </c>
      <c r="AE2" s="29" t="s">
        <v>512</v>
      </c>
      <c r="AF2" s="29" t="s">
        <v>74</v>
      </c>
      <c r="AG2" s="29" t="s">
        <v>134</v>
      </c>
      <c r="AH2" s="29" t="s">
        <v>331</v>
      </c>
      <c r="AI2" s="29" t="s">
        <v>286</v>
      </c>
      <c r="AJ2" s="29" t="s">
        <v>287</v>
      </c>
      <c r="AK2" s="29" t="s">
        <v>188</v>
      </c>
      <c r="AL2" s="29" t="s">
        <v>287</v>
      </c>
      <c r="AM2" s="29" t="s">
        <v>131</v>
      </c>
      <c r="AN2" s="29" t="s">
        <v>132</v>
      </c>
      <c r="AO2" s="29" t="s">
        <v>118</v>
      </c>
      <c r="AP2" s="29" t="s">
        <v>706</v>
      </c>
      <c r="AQ2" s="29" t="s">
        <v>330</v>
      </c>
      <c r="AR2" s="29" t="s">
        <v>405</v>
      </c>
      <c r="AS2" s="29" t="s">
        <v>549</v>
      </c>
      <c r="AT2" s="29" t="s">
        <v>74</v>
      </c>
      <c r="AU2" s="29" t="s">
        <v>547</v>
      </c>
      <c r="AV2" s="29" t="s">
        <v>287</v>
      </c>
      <c r="AW2" s="29" t="s">
        <v>189</v>
      </c>
      <c r="AX2" s="29" t="s">
        <v>74</v>
      </c>
      <c r="AY2" s="29" t="s">
        <v>625</v>
      </c>
      <c r="AZ2" s="29" t="s">
        <v>538</v>
      </c>
      <c r="BA2" s="29" t="s">
        <v>71</v>
      </c>
      <c r="BB2" s="29" t="s">
        <v>425</v>
      </c>
      <c r="BC2" s="29" t="s">
        <v>267</v>
      </c>
      <c r="BD2" s="29" t="s">
        <v>287</v>
      </c>
      <c r="BE2" s="29" t="s">
        <v>76</v>
      </c>
      <c r="BF2" s="29" t="s">
        <v>77</v>
      </c>
      <c r="BG2" s="29" t="s">
        <v>89</v>
      </c>
      <c r="BH2" s="29" t="s">
        <v>70</v>
      </c>
      <c r="BI2" s="29" t="s">
        <v>621</v>
      </c>
      <c r="BJ2" s="29" t="s">
        <v>529</v>
      </c>
      <c r="BK2" s="29" t="s">
        <v>531</v>
      </c>
      <c r="BL2" s="29" t="s">
        <v>423</v>
      </c>
      <c r="BM2" s="29" t="s">
        <v>548</v>
      </c>
      <c r="BN2" s="29" t="s">
        <v>74</v>
      </c>
      <c r="BO2" s="29" t="s">
        <v>546</v>
      </c>
      <c r="BP2" s="29" t="s">
        <v>287</v>
      </c>
      <c r="BQ2" s="29" t="s">
        <v>388</v>
      </c>
      <c r="BR2" s="29" t="s">
        <v>74</v>
      </c>
      <c r="BS2" s="29" t="s">
        <v>64</v>
      </c>
      <c r="BT2" s="29" t="s">
        <v>74</v>
      </c>
      <c r="BU2" s="29" t="s">
        <v>622</v>
      </c>
      <c r="BV2" s="29" t="s">
        <v>90</v>
      </c>
      <c r="BW2" s="29" t="s">
        <v>100</v>
      </c>
      <c r="BX2" s="29" t="s">
        <v>287</v>
      </c>
      <c r="BY2" s="29" t="s">
        <v>426</v>
      </c>
      <c r="BZ2" s="29" t="s">
        <v>401</v>
      </c>
      <c r="CA2" s="29" t="s">
        <v>133</v>
      </c>
      <c r="CB2" s="29" t="s">
        <v>102</v>
      </c>
      <c r="CC2" s="29" t="s">
        <v>387</v>
      </c>
      <c r="CD2" s="29" t="s">
        <v>74</v>
      </c>
      <c r="CE2" s="29" t="s">
        <v>626</v>
      </c>
      <c r="CF2" s="29" t="s">
        <v>540</v>
      </c>
      <c r="CG2" s="29" t="s">
        <v>619</v>
      </c>
      <c r="CH2" s="29" t="s">
        <v>422</v>
      </c>
      <c r="CI2" s="29" t="s">
        <v>536</v>
      </c>
      <c r="CJ2" s="29" t="s">
        <v>74</v>
      </c>
      <c r="CK2" s="29" t="s">
        <v>105</v>
      </c>
      <c r="CL2" s="29" t="s">
        <v>529</v>
      </c>
      <c r="CM2" s="29" t="s">
        <v>386</v>
      </c>
      <c r="CN2" s="29" t="s">
        <v>74</v>
      </c>
      <c r="CO2" s="29" t="s">
        <v>319</v>
      </c>
      <c r="CP2" s="29" t="s">
        <v>539</v>
      </c>
    </row>
  </sheetData>
  <phoneticPr fontId="2" type="noConversion"/>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391"/>
  <sheetViews>
    <sheetView showGridLines="0" tabSelected="1" workbookViewId="0">
      <selection activeCell="B52" sqref="B52"/>
    </sheetView>
  </sheetViews>
  <sheetFormatPr defaultRowHeight="12.75"/>
  <cols>
    <col min="1" max="1" width="25.7109375" style="1092" customWidth="1"/>
    <col min="2" max="5" width="9.140625" style="1092"/>
    <col min="6" max="6" width="18.7109375" style="1092" customWidth="1"/>
    <col min="7" max="256" width="9.140625" style="1092"/>
    <col min="257" max="257" width="100.7109375" style="1092" customWidth="1"/>
    <col min="258" max="512" width="9.140625" style="1092"/>
    <col min="513" max="513" width="100.7109375" style="1092" customWidth="1"/>
    <col min="514" max="768" width="9.140625" style="1092"/>
    <col min="769" max="769" width="100.7109375" style="1092" customWidth="1"/>
    <col min="770" max="1024" width="9.140625" style="1092"/>
    <col min="1025" max="1025" width="100.7109375" style="1092" customWidth="1"/>
    <col min="1026" max="1280" width="9.140625" style="1092"/>
    <col min="1281" max="1281" width="100.7109375" style="1092" customWidth="1"/>
    <col min="1282" max="1536" width="9.140625" style="1092"/>
    <col min="1537" max="1537" width="100.7109375" style="1092" customWidth="1"/>
    <col min="1538" max="1792" width="9.140625" style="1092"/>
    <col min="1793" max="1793" width="100.7109375" style="1092" customWidth="1"/>
    <col min="1794" max="2048" width="9.140625" style="1092"/>
    <col min="2049" max="2049" width="100.7109375" style="1092" customWidth="1"/>
    <col min="2050" max="2304" width="9.140625" style="1092"/>
    <col min="2305" max="2305" width="100.7109375" style="1092" customWidth="1"/>
    <col min="2306" max="2560" width="9.140625" style="1092"/>
    <col min="2561" max="2561" width="100.7109375" style="1092" customWidth="1"/>
    <col min="2562" max="2816" width="9.140625" style="1092"/>
    <col min="2817" max="2817" width="100.7109375" style="1092" customWidth="1"/>
    <col min="2818" max="3072" width="9.140625" style="1092"/>
    <col min="3073" max="3073" width="100.7109375" style="1092" customWidth="1"/>
    <col min="3074" max="3328" width="9.140625" style="1092"/>
    <col min="3329" max="3329" width="100.7109375" style="1092" customWidth="1"/>
    <col min="3330" max="3584" width="9.140625" style="1092"/>
    <col min="3585" max="3585" width="100.7109375" style="1092" customWidth="1"/>
    <col min="3586" max="3840" width="9.140625" style="1092"/>
    <col min="3841" max="3841" width="100.7109375" style="1092" customWidth="1"/>
    <col min="3842" max="4096" width="9.140625" style="1092"/>
    <col min="4097" max="4097" width="100.7109375" style="1092" customWidth="1"/>
    <col min="4098" max="4352" width="9.140625" style="1092"/>
    <col min="4353" max="4353" width="100.7109375" style="1092" customWidth="1"/>
    <col min="4354" max="4608" width="9.140625" style="1092"/>
    <col min="4609" max="4609" width="100.7109375" style="1092" customWidth="1"/>
    <col min="4610" max="4864" width="9.140625" style="1092"/>
    <col min="4865" max="4865" width="100.7109375" style="1092" customWidth="1"/>
    <col min="4866" max="5120" width="9.140625" style="1092"/>
    <col min="5121" max="5121" width="100.7109375" style="1092" customWidth="1"/>
    <col min="5122" max="5376" width="9.140625" style="1092"/>
    <col min="5377" max="5377" width="100.7109375" style="1092" customWidth="1"/>
    <col min="5378" max="5632" width="9.140625" style="1092"/>
    <col min="5633" max="5633" width="100.7109375" style="1092" customWidth="1"/>
    <col min="5634" max="5888" width="9.140625" style="1092"/>
    <col min="5889" max="5889" width="100.7109375" style="1092" customWidth="1"/>
    <col min="5890" max="6144" width="9.140625" style="1092"/>
    <col min="6145" max="6145" width="100.7109375" style="1092" customWidth="1"/>
    <col min="6146" max="6400" width="9.140625" style="1092"/>
    <col min="6401" max="6401" width="100.7109375" style="1092" customWidth="1"/>
    <col min="6402" max="6656" width="9.140625" style="1092"/>
    <col min="6657" max="6657" width="100.7109375" style="1092" customWidth="1"/>
    <col min="6658" max="6912" width="9.140625" style="1092"/>
    <col min="6913" max="6913" width="100.7109375" style="1092" customWidth="1"/>
    <col min="6914" max="7168" width="9.140625" style="1092"/>
    <col min="7169" max="7169" width="100.7109375" style="1092" customWidth="1"/>
    <col min="7170" max="7424" width="9.140625" style="1092"/>
    <col min="7425" max="7425" width="100.7109375" style="1092" customWidth="1"/>
    <col min="7426" max="7680" width="9.140625" style="1092"/>
    <col min="7681" max="7681" width="100.7109375" style="1092" customWidth="1"/>
    <col min="7682" max="7936" width="9.140625" style="1092"/>
    <col min="7937" max="7937" width="100.7109375" style="1092" customWidth="1"/>
    <col min="7938" max="8192" width="9.140625" style="1092"/>
    <col min="8193" max="8193" width="100.7109375" style="1092" customWidth="1"/>
    <col min="8194" max="8448" width="9.140625" style="1092"/>
    <col min="8449" max="8449" width="100.7109375" style="1092" customWidth="1"/>
    <col min="8450" max="8704" width="9.140625" style="1092"/>
    <col min="8705" max="8705" width="100.7109375" style="1092" customWidth="1"/>
    <col min="8706" max="8960" width="9.140625" style="1092"/>
    <col min="8961" max="8961" width="100.7109375" style="1092" customWidth="1"/>
    <col min="8962" max="9216" width="9.140625" style="1092"/>
    <col min="9217" max="9217" width="100.7109375" style="1092" customWidth="1"/>
    <col min="9218" max="9472" width="9.140625" style="1092"/>
    <col min="9473" max="9473" width="100.7109375" style="1092" customWidth="1"/>
    <col min="9474" max="9728" width="9.140625" style="1092"/>
    <col min="9729" max="9729" width="100.7109375" style="1092" customWidth="1"/>
    <col min="9730" max="9984" width="9.140625" style="1092"/>
    <col min="9985" max="9985" width="100.7109375" style="1092" customWidth="1"/>
    <col min="9986" max="10240" width="9.140625" style="1092"/>
    <col min="10241" max="10241" width="100.7109375" style="1092" customWidth="1"/>
    <col min="10242" max="10496" width="9.140625" style="1092"/>
    <col min="10497" max="10497" width="100.7109375" style="1092" customWidth="1"/>
    <col min="10498" max="10752" width="9.140625" style="1092"/>
    <col min="10753" max="10753" width="100.7109375" style="1092" customWidth="1"/>
    <col min="10754" max="11008" width="9.140625" style="1092"/>
    <col min="11009" max="11009" width="100.7109375" style="1092" customWidth="1"/>
    <col min="11010" max="11264" width="9.140625" style="1092"/>
    <col min="11265" max="11265" width="100.7109375" style="1092" customWidth="1"/>
    <col min="11266" max="11520" width="9.140625" style="1092"/>
    <col min="11521" max="11521" width="100.7109375" style="1092" customWidth="1"/>
    <col min="11522" max="11776" width="9.140625" style="1092"/>
    <col min="11777" max="11777" width="100.7109375" style="1092" customWidth="1"/>
    <col min="11778" max="12032" width="9.140625" style="1092"/>
    <col min="12033" max="12033" width="100.7109375" style="1092" customWidth="1"/>
    <col min="12034" max="12288" width="9.140625" style="1092"/>
    <col min="12289" max="12289" width="100.7109375" style="1092" customWidth="1"/>
    <col min="12290" max="12544" width="9.140625" style="1092"/>
    <col min="12545" max="12545" width="100.7109375" style="1092" customWidth="1"/>
    <col min="12546" max="12800" width="9.140625" style="1092"/>
    <col min="12801" max="12801" width="100.7109375" style="1092" customWidth="1"/>
    <col min="12802" max="13056" width="9.140625" style="1092"/>
    <col min="13057" max="13057" width="100.7109375" style="1092" customWidth="1"/>
    <col min="13058" max="13312" width="9.140625" style="1092"/>
    <col min="13313" max="13313" width="100.7109375" style="1092" customWidth="1"/>
    <col min="13314" max="13568" width="9.140625" style="1092"/>
    <col min="13569" max="13569" width="100.7109375" style="1092" customWidth="1"/>
    <col min="13570" max="13824" width="9.140625" style="1092"/>
    <col min="13825" max="13825" width="100.7109375" style="1092" customWidth="1"/>
    <col min="13826" max="14080" width="9.140625" style="1092"/>
    <col min="14081" max="14081" width="100.7109375" style="1092" customWidth="1"/>
    <col min="14082" max="14336" width="9.140625" style="1092"/>
    <col min="14337" max="14337" width="100.7109375" style="1092" customWidth="1"/>
    <col min="14338" max="14592" width="9.140625" style="1092"/>
    <col min="14593" max="14593" width="100.7109375" style="1092" customWidth="1"/>
    <col min="14594" max="14848" width="9.140625" style="1092"/>
    <col min="14849" max="14849" width="100.7109375" style="1092" customWidth="1"/>
    <col min="14850" max="15104" width="9.140625" style="1092"/>
    <col min="15105" max="15105" width="100.7109375" style="1092" customWidth="1"/>
    <col min="15106" max="15360" width="9.140625" style="1092"/>
    <col min="15361" max="15361" width="100.7109375" style="1092" customWidth="1"/>
    <col min="15362" max="15616" width="9.140625" style="1092"/>
    <col min="15617" max="15617" width="100.7109375" style="1092" customWidth="1"/>
    <col min="15618" max="15872" width="9.140625" style="1092"/>
    <col min="15873" max="15873" width="100.7109375" style="1092" customWidth="1"/>
    <col min="15874" max="16128" width="9.140625" style="1092"/>
    <col min="16129" max="16129" width="100.7109375" style="1092" customWidth="1"/>
    <col min="16130" max="16384" width="9.140625" style="1092"/>
  </cols>
  <sheetData>
    <row r="1" spans="1:8" ht="30" customHeight="1">
      <c r="A1" s="1090"/>
      <c r="B1" s="1091"/>
      <c r="C1" s="1091"/>
      <c r="D1" s="1091"/>
      <c r="E1" s="1091"/>
      <c r="F1" s="1091"/>
      <c r="G1" s="1091"/>
      <c r="H1" s="1091"/>
    </row>
    <row r="2" spans="1:8" ht="14.25">
      <c r="A2" s="1093" t="s">
        <v>713</v>
      </c>
      <c r="B2" s="1091"/>
      <c r="C2" s="1091"/>
      <c r="D2" s="1091"/>
      <c r="E2" s="1091"/>
      <c r="F2" s="1091"/>
      <c r="G2" s="1091"/>
      <c r="H2" s="1091"/>
    </row>
    <row r="3" spans="1:8" ht="14.25">
      <c r="A3" s="1093" t="s">
        <v>714</v>
      </c>
      <c r="B3" s="1091"/>
      <c r="C3" s="1091"/>
      <c r="D3" s="1091"/>
      <c r="E3" s="1091"/>
      <c r="F3" s="1091"/>
      <c r="G3" s="1091"/>
      <c r="H3" s="1091"/>
    </row>
    <row r="4" spans="1:8" ht="14.25">
      <c r="A4" s="1093" t="s">
        <v>715</v>
      </c>
      <c r="B4" s="1091"/>
      <c r="C4" s="1091"/>
      <c r="D4" s="1091"/>
      <c r="E4" s="1091"/>
      <c r="F4" s="1091"/>
      <c r="G4" s="1091"/>
      <c r="H4" s="1091"/>
    </row>
    <row r="5" spans="1:8" ht="14.25">
      <c r="A5" s="1093" t="s">
        <v>716</v>
      </c>
      <c r="B5" s="1091"/>
      <c r="C5" s="1091"/>
      <c r="D5" s="1091"/>
      <c r="E5" s="1091"/>
      <c r="F5" s="1091"/>
      <c r="G5" s="1091"/>
      <c r="H5" s="1091"/>
    </row>
    <row r="6" spans="1:8" ht="14.25">
      <c r="A6" s="1093"/>
      <c r="B6" s="1091"/>
      <c r="C6" s="1091"/>
      <c r="D6" s="1091"/>
      <c r="E6" s="1091"/>
      <c r="F6" s="1091"/>
      <c r="G6" s="1091"/>
      <c r="H6" s="1091"/>
    </row>
    <row r="7" spans="1:8">
      <c r="A7" s="1090" t="s">
        <v>717</v>
      </c>
      <c r="B7" s="1091"/>
      <c r="C7" s="1091"/>
      <c r="D7" s="1091"/>
      <c r="E7" s="1091"/>
      <c r="F7" s="1091"/>
      <c r="G7" s="1091"/>
      <c r="H7" s="1091"/>
    </row>
    <row r="8" spans="1:8">
      <c r="A8" s="1090" t="s">
        <v>718</v>
      </c>
      <c r="B8" s="1091"/>
      <c r="C8" s="1091"/>
      <c r="D8" s="1091"/>
      <c r="E8" s="1091"/>
      <c r="F8" s="1091"/>
      <c r="G8" s="1091"/>
      <c r="H8" s="1091"/>
    </row>
    <row r="9" spans="1:8">
      <c r="A9" s="1090"/>
      <c r="B9" s="1091"/>
      <c r="C9" s="1091"/>
      <c r="D9" s="1091"/>
      <c r="E9" s="1091"/>
      <c r="F9" s="1091"/>
      <c r="G9" s="1091"/>
      <c r="H9" s="1091"/>
    </row>
    <row r="10" spans="1:8">
      <c r="A10" s="1094" t="s">
        <v>719</v>
      </c>
      <c r="B10" s="1091"/>
      <c r="C10" s="1091"/>
      <c r="D10" s="1091"/>
      <c r="E10" s="1091"/>
      <c r="F10" s="1091"/>
      <c r="G10" s="1091"/>
      <c r="H10" s="1091"/>
    </row>
    <row r="11" spans="1:8">
      <c r="A11" s="1094" t="s">
        <v>720</v>
      </c>
      <c r="B11" s="1091"/>
      <c r="C11" s="1091"/>
      <c r="D11" s="1091"/>
      <c r="E11" s="1091"/>
      <c r="F11" s="1091"/>
      <c r="G11" s="1091"/>
      <c r="H11" s="1091"/>
    </row>
    <row r="12" spans="1:8">
      <c r="A12" s="1094" t="s">
        <v>721</v>
      </c>
      <c r="B12" s="1091"/>
      <c r="C12" s="1091"/>
      <c r="D12" s="1091"/>
      <c r="E12" s="1091"/>
      <c r="F12" s="1091"/>
      <c r="G12" s="1091"/>
      <c r="H12" s="1091"/>
    </row>
    <row r="13" spans="1:8">
      <c r="A13" s="1094" t="s">
        <v>722</v>
      </c>
      <c r="B13" s="1091"/>
      <c r="C13" s="1091"/>
      <c r="D13" s="1091"/>
      <c r="E13" s="1091"/>
      <c r="F13" s="1091"/>
      <c r="G13" s="1091"/>
      <c r="H13" s="1091"/>
    </row>
    <row r="14" spans="1:8">
      <c r="A14" s="1094" t="s">
        <v>723</v>
      </c>
      <c r="B14" s="1091"/>
      <c r="C14" s="1091"/>
      <c r="D14" s="1091"/>
      <c r="E14" s="1091"/>
      <c r="F14" s="1091"/>
      <c r="G14" s="1091"/>
      <c r="H14" s="1091"/>
    </row>
    <row r="15" spans="1:8">
      <c r="A15" s="1094" t="s">
        <v>724</v>
      </c>
      <c r="B15" s="1091"/>
      <c r="C15" s="1091"/>
      <c r="D15" s="1091"/>
      <c r="E15" s="1091"/>
      <c r="F15" s="1091"/>
      <c r="G15" s="1091"/>
      <c r="H15" s="1091"/>
    </row>
    <row r="16" spans="1:8">
      <c r="A16" s="1094"/>
      <c r="B16" s="1091"/>
      <c r="C16" s="1091"/>
      <c r="D16" s="1091"/>
      <c r="E16" s="1091"/>
      <c r="F16" s="1091"/>
      <c r="G16" s="1091"/>
      <c r="H16" s="1091"/>
    </row>
    <row r="17" spans="1:8">
      <c r="A17" s="1094" t="s">
        <v>710</v>
      </c>
      <c r="B17" s="1091"/>
      <c r="C17" s="1091"/>
      <c r="D17" s="1091"/>
      <c r="E17" s="1091"/>
      <c r="F17" s="1091"/>
      <c r="G17" s="1091"/>
      <c r="H17" s="1091"/>
    </row>
    <row r="18" spans="1:8">
      <c r="A18" s="1094"/>
      <c r="B18" s="1091"/>
      <c r="C18" s="1091"/>
      <c r="D18" s="1091"/>
      <c r="E18" s="1091"/>
      <c r="F18" s="1091"/>
      <c r="G18" s="1091"/>
      <c r="H18" s="1091"/>
    </row>
    <row r="19" spans="1:8">
      <c r="A19" s="1094" t="s">
        <v>711</v>
      </c>
      <c r="B19" s="1091"/>
      <c r="C19" s="1091"/>
      <c r="D19" s="1091"/>
      <c r="E19" s="1091"/>
      <c r="F19" s="1091"/>
      <c r="G19" s="1091"/>
      <c r="H19" s="1091"/>
    </row>
    <row r="20" spans="1:8">
      <c r="A20" s="1090"/>
      <c r="B20" s="1091"/>
      <c r="C20" s="1091"/>
      <c r="D20" s="1091"/>
      <c r="E20" s="1091"/>
      <c r="F20" s="1091"/>
      <c r="G20" s="1091"/>
      <c r="H20" s="1091"/>
    </row>
    <row r="21" spans="1:8">
      <c r="A21" s="1095" t="s">
        <v>712</v>
      </c>
      <c r="B21" s="1091"/>
      <c r="C21" s="1091"/>
      <c r="D21" s="1091"/>
      <c r="E21" s="1091"/>
      <c r="F21" s="1091"/>
      <c r="G21" s="1091"/>
      <c r="H21" s="1091"/>
    </row>
    <row r="22" spans="1:8">
      <c r="A22" s="1096"/>
      <c r="B22" s="1096"/>
      <c r="C22" s="1096"/>
      <c r="D22" s="1096"/>
      <c r="E22" s="1096"/>
      <c r="F22" s="1096"/>
      <c r="G22" s="1096"/>
      <c r="H22" s="1096"/>
    </row>
    <row r="23" spans="1:8">
      <c r="A23" s="1097" t="s">
        <v>1002</v>
      </c>
      <c r="B23" s="1096"/>
      <c r="C23" s="1096"/>
      <c r="D23" s="1096"/>
      <c r="E23" s="1096"/>
      <c r="F23" s="1096"/>
      <c r="G23" s="1096"/>
      <c r="H23" s="1096"/>
    </row>
    <row r="24" spans="1:8">
      <c r="A24" s="1097" t="s">
        <v>1003</v>
      </c>
      <c r="B24" s="1096"/>
      <c r="C24" s="1096"/>
      <c r="D24" s="1096"/>
      <c r="E24" s="1096"/>
      <c r="F24" s="1096"/>
      <c r="G24" s="1096"/>
      <c r="H24" s="1096"/>
    </row>
    <row r="25" spans="1:8">
      <c r="A25" s="1097" t="s">
        <v>1004</v>
      </c>
      <c r="B25" s="1096"/>
      <c r="C25" s="1096"/>
      <c r="D25" s="1096"/>
      <c r="E25" s="1096"/>
      <c r="F25" s="1096"/>
      <c r="G25" s="1096"/>
      <c r="H25" s="1096"/>
    </row>
    <row r="26" spans="1:8">
      <c r="A26" s="1097" t="s">
        <v>1005</v>
      </c>
      <c r="B26" s="1096"/>
      <c r="C26" s="1096"/>
      <c r="D26" s="1096"/>
      <c r="E26" s="1096"/>
      <c r="F26" s="1096"/>
      <c r="G26" s="1096"/>
      <c r="H26" s="1096"/>
    </row>
    <row r="27" spans="1:8">
      <c r="A27" s="1096"/>
      <c r="B27" s="1096"/>
      <c r="C27" s="1096"/>
      <c r="D27" s="1096"/>
      <c r="E27" s="1096"/>
      <c r="F27" s="1096"/>
      <c r="G27" s="1096"/>
      <c r="H27" s="1096"/>
    </row>
    <row r="28" spans="1:8">
      <c r="A28" s="1096"/>
      <c r="B28" s="1096"/>
      <c r="C28" s="1096"/>
      <c r="D28" s="1096"/>
      <c r="E28" s="1096"/>
      <c r="F28" s="1096"/>
      <c r="G28" s="1096"/>
      <c r="H28" s="1096"/>
    </row>
    <row r="29" spans="1:8">
      <c r="A29" s="1097" t="s">
        <v>997</v>
      </c>
      <c r="B29" s="1096"/>
      <c r="C29" s="1096"/>
      <c r="D29" s="1096"/>
      <c r="E29" s="1096"/>
      <c r="F29" s="1096"/>
      <c r="G29" s="1096"/>
      <c r="H29" s="1096"/>
    </row>
    <row r="30" spans="1:8">
      <c r="A30" s="1097" t="s">
        <v>998</v>
      </c>
      <c r="B30" s="1096"/>
      <c r="C30" s="1096"/>
      <c r="D30" s="1096"/>
      <c r="E30" s="1096"/>
      <c r="F30" s="1096"/>
      <c r="G30" s="1096"/>
      <c r="H30" s="1096"/>
    </row>
    <row r="31" spans="1:8">
      <c r="A31" s="1097" t="s">
        <v>999</v>
      </c>
      <c r="B31" s="1096"/>
      <c r="C31" s="1096"/>
      <c r="D31" s="1096"/>
      <c r="E31" s="1096"/>
      <c r="F31" s="1096"/>
      <c r="G31" s="1096"/>
      <c r="H31" s="1096"/>
    </row>
    <row r="32" spans="1:8">
      <c r="A32" s="1097" t="s">
        <v>1000</v>
      </c>
      <c r="B32" s="1096"/>
      <c r="C32" s="1096"/>
      <c r="D32" s="1096"/>
      <c r="E32" s="1096"/>
      <c r="F32" s="1096"/>
      <c r="G32" s="1096"/>
      <c r="H32" s="1096"/>
    </row>
    <row r="33" spans="1:8">
      <c r="A33" s="1097" t="s">
        <v>1001</v>
      </c>
      <c r="B33" s="1096"/>
      <c r="C33" s="1096"/>
      <c r="D33" s="1096"/>
      <c r="E33" s="1096"/>
      <c r="F33" s="1096"/>
      <c r="G33" s="1096"/>
      <c r="H33" s="1096"/>
    </row>
    <row r="34" spans="1:8">
      <c r="A34" s="1096"/>
      <c r="B34" s="1096"/>
      <c r="C34" s="1096"/>
      <c r="D34" s="1096"/>
      <c r="E34" s="1096"/>
      <c r="F34" s="1096"/>
      <c r="G34" s="1096"/>
      <c r="H34" s="1096"/>
    </row>
    <row r="35" spans="1:8">
      <c r="A35" s="1097" t="s">
        <v>993</v>
      </c>
      <c r="B35" s="1096"/>
      <c r="C35" s="1096"/>
      <c r="D35" s="1096"/>
      <c r="E35" s="1096"/>
      <c r="F35" s="1096"/>
      <c r="G35" s="1096"/>
      <c r="H35" s="1096"/>
    </row>
    <row r="36" spans="1:8">
      <c r="A36" s="1097" t="s">
        <v>994</v>
      </c>
      <c r="B36" s="1096"/>
      <c r="C36" s="1096"/>
      <c r="D36" s="1096"/>
      <c r="E36" s="1096"/>
      <c r="F36" s="1096"/>
      <c r="G36" s="1096"/>
      <c r="H36" s="1096"/>
    </row>
    <row r="37" spans="1:8">
      <c r="A37" s="1097" t="s">
        <v>995</v>
      </c>
      <c r="B37" s="1096"/>
      <c r="C37" s="1096"/>
      <c r="D37" s="1096"/>
      <c r="E37" s="1096"/>
      <c r="F37" s="1096"/>
      <c r="G37" s="1096"/>
      <c r="H37" s="1096"/>
    </row>
    <row r="38" spans="1:8">
      <c r="A38" s="1097" t="s">
        <v>996</v>
      </c>
      <c r="B38" s="1096"/>
      <c r="C38" s="1096"/>
      <c r="D38" s="1096"/>
      <c r="E38" s="1096"/>
      <c r="F38" s="1096"/>
      <c r="G38" s="1096"/>
      <c r="H38" s="1096"/>
    </row>
    <row r="39" spans="1:8">
      <c r="A39" s="1096"/>
      <c r="B39" s="1096"/>
      <c r="C39" s="1096"/>
      <c r="D39" s="1096"/>
      <c r="E39" s="1096"/>
      <c r="F39" s="1096"/>
      <c r="G39" s="1096"/>
      <c r="H39" s="1096"/>
    </row>
    <row r="40" spans="1:8">
      <c r="A40" s="1097" t="s">
        <v>987</v>
      </c>
      <c r="B40" s="1096"/>
      <c r="C40" s="1096"/>
      <c r="D40" s="1096"/>
      <c r="E40" s="1096"/>
      <c r="F40" s="1096"/>
      <c r="G40" s="1096"/>
      <c r="H40" s="1096"/>
    </row>
    <row r="41" spans="1:8">
      <c r="A41" s="1097" t="s">
        <v>988</v>
      </c>
      <c r="B41" s="1096"/>
      <c r="C41" s="1096"/>
      <c r="D41" s="1096"/>
      <c r="E41" s="1096"/>
      <c r="F41" s="1096"/>
      <c r="G41" s="1096"/>
      <c r="H41" s="1096"/>
    </row>
    <row r="42" spans="1:8">
      <c r="A42" s="1097" t="s">
        <v>989</v>
      </c>
      <c r="B42" s="1096"/>
      <c r="C42" s="1096"/>
      <c r="D42" s="1096"/>
      <c r="E42" s="1096"/>
      <c r="F42" s="1096"/>
      <c r="G42" s="1096"/>
      <c r="H42" s="1096"/>
    </row>
    <row r="43" spans="1:8">
      <c r="A43" s="1097" t="s">
        <v>990</v>
      </c>
      <c r="B43" s="1096"/>
      <c r="C43" s="1096"/>
      <c r="D43" s="1096"/>
      <c r="E43" s="1096"/>
      <c r="F43" s="1096"/>
      <c r="G43" s="1096"/>
      <c r="H43" s="1096"/>
    </row>
    <row r="44" spans="1:8">
      <c r="A44" s="1097" t="s">
        <v>991</v>
      </c>
      <c r="B44" s="1096"/>
      <c r="C44" s="1096"/>
      <c r="D44" s="1096"/>
      <c r="E44" s="1096"/>
      <c r="F44" s="1096"/>
      <c r="G44" s="1096"/>
      <c r="H44" s="1096"/>
    </row>
    <row r="45" spans="1:8">
      <c r="A45" s="1097" t="s">
        <v>992</v>
      </c>
      <c r="B45" s="1096"/>
      <c r="C45" s="1096"/>
      <c r="D45" s="1096"/>
      <c r="E45" s="1096"/>
      <c r="F45" s="1096"/>
      <c r="G45" s="1096"/>
      <c r="H45" s="1096"/>
    </row>
    <row r="46" spans="1:8">
      <c r="A46" s="1096"/>
      <c r="B46" s="1096"/>
      <c r="C46" s="1096"/>
      <c r="D46" s="1096"/>
      <c r="E46" s="1096"/>
      <c r="F46" s="1096"/>
      <c r="G46" s="1096"/>
      <c r="H46" s="1096"/>
    </row>
    <row r="47" spans="1:8" ht="15.75">
      <c r="A47" s="1098" t="s">
        <v>725</v>
      </c>
      <c r="B47" s="1096"/>
      <c r="C47" s="1096"/>
      <c r="D47" s="1096"/>
      <c r="E47" s="1096"/>
      <c r="F47" s="1096"/>
      <c r="G47" s="1096"/>
      <c r="H47" s="1096"/>
    </row>
    <row r="48" spans="1:8">
      <c r="A48" s="1096"/>
      <c r="B48" s="1096"/>
      <c r="C48" s="1096"/>
      <c r="D48" s="1096"/>
      <c r="E48" s="1096"/>
      <c r="F48" s="1096"/>
      <c r="G48" s="1096"/>
      <c r="H48" s="1096"/>
    </row>
    <row r="49" spans="1:8">
      <c r="A49" s="1097" t="s">
        <v>983</v>
      </c>
      <c r="B49" s="1096"/>
      <c r="C49" s="1096"/>
      <c r="D49" s="1096"/>
      <c r="E49" s="1096"/>
      <c r="F49" s="1096"/>
      <c r="G49" s="1096"/>
      <c r="H49" s="1096"/>
    </row>
    <row r="50" spans="1:8">
      <c r="A50" s="1097" t="s">
        <v>984</v>
      </c>
      <c r="B50" s="1096"/>
      <c r="C50" s="1096"/>
      <c r="D50" s="1096"/>
      <c r="E50" s="1096"/>
      <c r="F50" s="1096"/>
      <c r="G50" s="1096"/>
      <c r="H50" s="1096"/>
    </row>
    <row r="51" spans="1:8">
      <c r="A51" s="1097" t="s">
        <v>985</v>
      </c>
      <c r="B51" s="1096"/>
      <c r="C51" s="1096"/>
      <c r="D51" s="1096"/>
      <c r="E51" s="1096"/>
      <c r="F51" s="1096"/>
      <c r="G51" s="1096"/>
      <c r="H51" s="1096"/>
    </row>
    <row r="52" spans="1:8">
      <c r="A52" s="1097" t="s">
        <v>986</v>
      </c>
      <c r="B52" s="1096"/>
      <c r="C52" s="1096"/>
      <c r="D52" s="1096"/>
      <c r="E52" s="1096"/>
      <c r="F52" s="1096"/>
      <c r="G52" s="1096"/>
      <c r="H52" s="1096"/>
    </row>
    <row r="53" spans="1:8">
      <c r="A53" s="1096"/>
      <c r="B53" s="1096"/>
      <c r="C53" s="1096"/>
      <c r="D53" s="1096"/>
      <c r="E53" s="1096"/>
      <c r="F53" s="1096"/>
      <c r="G53" s="1096"/>
      <c r="H53" s="1096"/>
    </row>
    <row r="54" spans="1:8">
      <c r="A54" s="1097" t="s">
        <v>726</v>
      </c>
      <c r="B54" s="1096"/>
      <c r="C54" s="1096"/>
      <c r="D54" s="1096"/>
      <c r="E54" s="1096"/>
      <c r="F54" s="1096"/>
      <c r="G54" s="1096"/>
      <c r="H54" s="1096"/>
    </row>
    <row r="55" spans="1:8">
      <c r="A55" s="1096"/>
      <c r="B55" s="1096"/>
      <c r="C55" s="1096"/>
      <c r="D55" s="1096"/>
      <c r="E55" s="1096"/>
      <c r="F55" s="1096"/>
      <c r="G55" s="1096"/>
      <c r="H55" s="1096"/>
    </row>
    <row r="56" spans="1:8" ht="15.75">
      <c r="A56" s="1098" t="s">
        <v>727</v>
      </c>
      <c r="B56" s="1096"/>
      <c r="C56" s="1096"/>
      <c r="D56" s="1096"/>
      <c r="E56" s="1096"/>
      <c r="F56" s="1096"/>
      <c r="G56" s="1096"/>
      <c r="H56" s="1096"/>
    </row>
    <row r="57" spans="1:8">
      <c r="A57" s="1096"/>
      <c r="B57" s="1096"/>
      <c r="C57" s="1096"/>
      <c r="D57" s="1096"/>
      <c r="E57" s="1096"/>
      <c r="F57" s="1096"/>
      <c r="G57" s="1096"/>
      <c r="H57" s="1096"/>
    </row>
    <row r="58" spans="1:8">
      <c r="A58" s="1097" t="s">
        <v>981</v>
      </c>
      <c r="B58" s="1096"/>
      <c r="C58" s="1096"/>
      <c r="D58" s="1096"/>
      <c r="E58" s="1096"/>
      <c r="F58" s="1096"/>
      <c r="G58" s="1096"/>
      <c r="H58" s="1096"/>
    </row>
    <row r="59" spans="1:8">
      <c r="A59" s="1097" t="s">
        <v>982</v>
      </c>
      <c r="B59" s="1096"/>
      <c r="C59" s="1096"/>
      <c r="D59" s="1096"/>
      <c r="E59" s="1096"/>
      <c r="F59" s="1096"/>
      <c r="G59" s="1096"/>
      <c r="H59" s="1096"/>
    </row>
    <row r="60" spans="1:8">
      <c r="A60" s="1096"/>
      <c r="B60" s="1096"/>
      <c r="C60" s="1096"/>
      <c r="D60" s="1096"/>
      <c r="E60" s="1096"/>
      <c r="F60" s="1096"/>
      <c r="G60" s="1096"/>
      <c r="H60" s="1096"/>
    </row>
    <row r="61" spans="1:8" ht="15.75">
      <c r="A61" s="1098" t="s">
        <v>728</v>
      </c>
      <c r="B61" s="1096"/>
      <c r="C61" s="1096"/>
      <c r="D61" s="1096"/>
      <c r="E61" s="1096"/>
      <c r="F61" s="1096"/>
      <c r="G61" s="1096"/>
      <c r="H61" s="1096"/>
    </row>
    <row r="62" spans="1:8">
      <c r="A62" s="1096"/>
      <c r="B62" s="1096"/>
      <c r="C62" s="1096"/>
      <c r="D62" s="1096"/>
      <c r="E62" s="1096"/>
      <c r="F62" s="1096"/>
      <c r="G62" s="1096"/>
      <c r="H62" s="1096"/>
    </row>
    <row r="63" spans="1:8">
      <c r="A63" s="1097" t="s">
        <v>979</v>
      </c>
      <c r="B63" s="1096"/>
      <c r="C63" s="1096"/>
      <c r="D63" s="1096"/>
      <c r="E63" s="1096"/>
      <c r="F63" s="1096"/>
      <c r="G63" s="1096"/>
      <c r="H63" s="1096"/>
    </row>
    <row r="64" spans="1:8">
      <c r="A64" s="1097" t="s">
        <v>980</v>
      </c>
      <c r="B64" s="1096"/>
      <c r="C64" s="1096"/>
      <c r="D64" s="1096"/>
      <c r="E64" s="1096"/>
      <c r="F64" s="1096"/>
      <c r="G64" s="1096"/>
      <c r="H64" s="1096"/>
    </row>
    <row r="65" spans="1:8">
      <c r="A65" s="1096"/>
      <c r="B65" s="1096"/>
      <c r="C65" s="1096"/>
      <c r="D65" s="1096"/>
      <c r="E65" s="1096"/>
      <c r="F65" s="1096"/>
      <c r="G65" s="1096"/>
      <c r="H65" s="1096"/>
    </row>
    <row r="66" spans="1:8">
      <c r="A66" s="1097" t="s">
        <v>977</v>
      </c>
      <c r="B66" s="1096"/>
      <c r="C66" s="1096"/>
      <c r="D66" s="1096"/>
      <c r="E66" s="1096"/>
      <c r="F66" s="1096"/>
      <c r="G66" s="1096"/>
      <c r="H66" s="1096"/>
    </row>
    <row r="67" spans="1:8">
      <c r="A67" s="1097" t="s">
        <v>978</v>
      </c>
      <c r="B67" s="1096"/>
      <c r="C67" s="1096"/>
      <c r="D67" s="1096"/>
      <c r="E67" s="1096"/>
      <c r="F67" s="1096"/>
      <c r="G67" s="1096"/>
      <c r="H67" s="1096"/>
    </row>
    <row r="68" spans="1:8">
      <c r="A68" s="1096"/>
      <c r="B68" s="1096"/>
      <c r="C68" s="1096"/>
      <c r="D68" s="1096"/>
      <c r="E68" s="1096"/>
      <c r="F68" s="1096"/>
      <c r="G68" s="1096"/>
      <c r="H68" s="1096"/>
    </row>
    <row r="69" spans="1:8">
      <c r="A69" s="1097" t="s">
        <v>975</v>
      </c>
      <c r="B69" s="1096"/>
      <c r="C69" s="1096"/>
      <c r="D69" s="1096"/>
      <c r="E69" s="1096"/>
      <c r="F69" s="1096"/>
      <c r="G69" s="1096"/>
      <c r="H69" s="1096"/>
    </row>
    <row r="70" spans="1:8">
      <c r="A70" s="1097" t="s">
        <v>976</v>
      </c>
      <c r="B70" s="1096"/>
      <c r="C70" s="1096"/>
      <c r="D70" s="1096"/>
      <c r="E70" s="1096"/>
      <c r="F70" s="1096"/>
      <c r="G70" s="1096"/>
      <c r="H70" s="1096"/>
    </row>
    <row r="71" spans="1:8">
      <c r="A71" s="1096"/>
      <c r="B71" s="1096"/>
      <c r="C71" s="1096"/>
      <c r="D71" s="1096"/>
      <c r="E71" s="1096"/>
      <c r="F71" s="1096"/>
      <c r="G71" s="1096"/>
      <c r="H71" s="1096"/>
    </row>
    <row r="72" spans="1:8">
      <c r="A72" s="1097" t="s">
        <v>972</v>
      </c>
      <c r="B72" s="1096"/>
      <c r="C72" s="1096"/>
      <c r="D72" s="1096"/>
      <c r="E72" s="1096"/>
      <c r="F72" s="1096"/>
      <c r="G72" s="1096"/>
      <c r="H72" s="1096"/>
    </row>
    <row r="73" spans="1:8">
      <c r="A73" s="1097" t="s">
        <v>973</v>
      </c>
      <c r="B73" s="1096"/>
      <c r="C73" s="1096"/>
      <c r="D73" s="1096"/>
      <c r="E73" s="1096"/>
      <c r="F73" s="1096"/>
      <c r="G73" s="1096"/>
      <c r="H73" s="1096"/>
    </row>
    <row r="74" spans="1:8">
      <c r="A74" s="1097" t="s">
        <v>974</v>
      </c>
      <c r="B74" s="1096"/>
      <c r="C74" s="1096"/>
      <c r="D74" s="1096"/>
      <c r="E74" s="1096"/>
      <c r="F74" s="1096"/>
      <c r="G74" s="1096"/>
      <c r="H74" s="1096"/>
    </row>
    <row r="75" spans="1:8">
      <c r="A75" s="1096"/>
      <c r="B75" s="1096"/>
      <c r="C75" s="1096"/>
      <c r="D75" s="1096"/>
      <c r="E75" s="1096"/>
      <c r="F75" s="1096"/>
      <c r="G75" s="1096"/>
      <c r="H75" s="1096"/>
    </row>
    <row r="76" spans="1:8">
      <c r="A76" s="1097" t="s">
        <v>729</v>
      </c>
      <c r="B76" s="1096"/>
      <c r="C76" s="1096"/>
      <c r="D76" s="1096"/>
      <c r="E76" s="1096"/>
      <c r="F76" s="1096"/>
      <c r="G76" s="1096"/>
      <c r="H76" s="1096"/>
    </row>
    <row r="77" spans="1:8">
      <c r="A77" s="1096"/>
      <c r="B77" s="1096"/>
      <c r="C77" s="1096"/>
      <c r="D77" s="1096"/>
      <c r="E77" s="1096"/>
      <c r="F77" s="1096"/>
      <c r="G77" s="1096"/>
      <c r="H77" s="1096"/>
    </row>
    <row r="78" spans="1:8">
      <c r="A78" s="1097" t="s">
        <v>967</v>
      </c>
      <c r="B78" s="1096"/>
      <c r="C78" s="1096"/>
      <c r="D78" s="1096"/>
      <c r="E78" s="1096"/>
      <c r="F78" s="1096"/>
      <c r="G78" s="1096"/>
      <c r="H78" s="1096"/>
    </row>
    <row r="79" spans="1:8">
      <c r="A79" s="1097" t="s">
        <v>968</v>
      </c>
      <c r="B79" s="1096"/>
      <c r="C79" s="1096"/>
      <c r="D79" s="1096"/>
      <c r="E79" s="1096"/>
      <c r="F79" s="1096"/>
      <c r="G79" s="1096"/>
      <c r="H79" s="1096"/>
    </row>
    <row r="80" spans="1:8">
      <c r="A80" s="1097" t="s">
        <v>969</v>
      </c>
      <c r="B80" s="1096"/>
      <c r="C80" s="1096"/>
      <c r="D80" s="1096"/>
      <c r="E80" s="1096"/>
      <c r="F80" s="1096"/>
      <c r="G80" s="1096"/>
      <c r="H80" s="1096"/>
    </row>
    <row r="81" spans="1:8">
      <c r="A81" s="1097" t="s">
        <v>970</v>
      </c>
      <c r="B81" s="1096"/>
      <c r="C81" s="1096"/>
      <c r="D81" s="1096"/>
      <c r="E81" s="1096"/>
      <c r="F81" s="1096"/>
      <c r="G81" s="1096"/>
      <c r="H81" s="1096"/>
    </row>
    <row r="82" spans="1:8">
      <c r="A82" s="1097" t="s">
        <v>971</v>
      </c>
      <c r="B82" s="1096"/>
      <c r="C82" s="1096"/>
      <c r="D82" s="1096"/>
      <c r="E82" s="1096"/>
      <c r="F82" s="1096"/>
      <c r="G82" s="1096"/>
      <c r="H82" s="1096"/>
    </row>
    <row r="83" spans="1:8">
      <c r="A83" s="1097" t="s">
        <v>854</v>
      </c>
      <c r="B83" s="1096"/>
      <c r="C83" s="1096"/>
      <c r="D83" s="1096"/>
      <c r="E83" s="1096"/>
      <c r="F83" s="1096"/>
      <c r="G83" s="1096"/>
      <c r="H83" s="1096"/>
    </row>
    <row r="84" spans="1:8">
      <c r="A84" s="1096"/>
      <c r="B84" s="1096"/>
      <c r="C84" s="1096"/>
      <c r="D84" s="1096"/>
      <c r="E84" s="1096"/>
      <c r="F84" s="1096"/>
      <c r="G84" s="1096"/>
      <c r="H84" s="1096"/>
    </row>
    <row r="85" spans="1:8">
      <c r="A85" s="1097" t="s">
        <v>960</v>
      </c>
      <c r="B85" s="1096"/>
      <c r="C85" s="1096"/>
      <c r="D85" s="1096"/>
      <c r="E85" s="1096"/>
      <c r="F85" s="1096"/>
      <c r="G85" s="1096"/>
      <c r="H85" s="1096"/>
    </row>
    <row r="86" spans="1:8">
      <c r="A86" s="1097" t="s">
        <v>961</v>
      </c>
      <c r="B86" s="1096"/>
      <c r="C86" s="1096"/>
      <c r="D86" s="1096"/>
      <c r="E86" s="1096"/>
      <c r="F86" s="1096"/>
      <c r="G86" s="1096"/>
      <c r="H86" s="1096"/>
    </row>
    <row r="87" spans="1:8">
      <c r="A87" s="1097" t="s">
        <v>962</v>
      </c>
      <c r="B87" s="1096"/>
      <c r="C87" s="1096"/>
      <c r="D87" s="1096"/>
      <c r="E87" s="1096"/>
      <c r="F87" s="1096"/>
      <c r="G87" s="1096"/>
      <c r="H87" s="1096"/>
    </row>
    <row r="88" spans="1:8">
      <c r="A88" s="1097" t="s">
        <v>963</v>
      </c>
      <c r="B88" s="1096"/>
      <c r="C88" s="1096"/>
      <c r="D88" s="1096"/>
      <c r="E88" s="1096"/>
      <c r="F88" s="1096"/>
      <c r="G88" s="1096"/>
      <c r="H88" s="1096"/>
    </row>
    <row r="89" spans="1:8">
      <c r="A89" s="1097" t="s">
        <v>964</v>
      </c>
      <c r="B89" s="1096"/>
      <c r="C89" s="1096"/>
      <c r="D89" s="1096"/>
      <c r="E89" s="1096"/>
      <c r="F89" s="1096"/>
      <c r="G89" s="1096"/>
      <c r="H89" s="1096"/>
    </row>
    <row r="90" spans="1:8">
      <c r="A90" s="1097" t="s">
        <v>965</v>
      </c>
      <c r="B90" s="1096"/>
      <c r="C90" s="1096"/>
      <c r="D90" s="1096"/>
      <c r="E90" s="1096"/>
      <c r="F90" s="1096"/>
      <c r="G90" s="1096"/>
      <c r="H90" s="1096"/>
    </row>
    <row r="91" spans="1:8">
      <c r="A91" s="1097" t="s">
        <v>966</v>
      </c>
      <c r="B91" s="1096"/>
      <c r="C91" s="1096"/>
      <c r="D91" s="1096"/>
      <c r="E91" s="1096"/>
      <c r="F91" s="1096"/>
      <c r="G91" s="1096"/>
      <c r="H91" s="1096"/>
    </row>
    <row r="92" spans="1:8">
      <c r="A92" s="1096"/>
      <c r="B92" s="1096"/>
      <c r="C92" s="1096"/>
      <c r="D92" s="1096"/>
      <c r="E92" s="1096"/>
      <c r="F92" s="1096"/>
      <c r="G92" s="1096"/>
      <c r="H92" s="1096"/>
    </row>
    <row r="93" spans="1:8">
      <c r="A93" s="1097" t="s">
        <v>958</v>
      </c>
      <c r="B93" s="1096"/>
      <c r="C93" s="1096"/>
      <c r="D93" s="1096"/>
      <c r="E93" s="1096"/>
      <c r="F93" s="1096"/>
      <c r="G93" s="1096"/>
      <c r="H93" s="1096"/>
    </row>
    <row r="94" spans="1:8">
      <c r="A94" s="1097" t="s">
        <v>959</v>
      </c>
      <c r="B94" s="1096"/>
      <c r="C94" s="1096"/>
      <c r="D94" s="1096"/>
      <c r="E94" s="1096"/>
      <c r="F94" s="1096"/>
      <c r="G94" s="1096"/>
      <c r="H94" s="1096"/>
    </row>
    <row r="95" spans="1:8">
      <c r="A95" s="1096"/>
      <c r="B95" s="1096"/>
      <c r="C95" s="1096"/>
      <c r="D95" s="1096"/>
      <c r="E95" s="1096"/>
      <c r="F95" s="1096"/>
      <c r="G95" s="1096"/>
      <c r="H95" s="1096"/>
    </row>
    <row r="96" spans="1:8" ht="15.75">
      <c r="A96" s="1098" t="s">
        <v>730</v>
      </c>
      <c r="B96" s="1096"/>
      <c r="C96" s="1096"/>
      <c r="D96" s="1096"/>
      <c r="E96" s="1096"/>
      <c r="F96" s="1096"/>
      <c r="G96" s="1096"/>
      <c r="H96" s="1096"/>
    </row>
    <row r="97" spans="1:8">
      <c r="A97" s="1096"/>
      <c r="B97" s="1096"/>
      <c r="C97" s="1096"/>
      <c r="D97" s="1096"/>
      <c r="E97" s="1096"/>
      <c r="F97" s="1096"/>
      <c r="G97" s="1096"/>
      <c r="H97" s="1096"/>
    </row>
    <row r="98" spans="1:8">
      <c r="A98" s="1097" t="s">
        <v>949</v>
      </c>
      <c r="B98" s="1096"/>
      <c r="C98" s="1096"/>
      <c r="D98" s="1096"/>
      <c r="E98" s="1096"/>
      <c r="F98" s="1096"/>
      <c r="G98" s="1096"/>
      <c r="H98" s="1096"/>
    </row>
    <row r="99" spans="1:8">
      <c r="A99" s="1097" t="s">
        <v>950</v>
      </c>
      <c r="B99" s="1096"/>
      <c r="C99" s="1096"/>
      <c r="D99" s="1096"/>
      <c r="E99" s="1096"/>
      <c r="F99" s="1096"/>
      <c r="G99" s="1096"/>
      <c r="H99" s="1096"/>
    </row>
    <row r="100" spans="1:8">
      <c r="A100" s="1097" t="s">
        <v>951</v>
      </c>
      <c r="B100" s="1096"/>
      <c r="C100" s="1096"/>
      <c r="D100" s="1096"/>
      <c r="E100" s="1096"/>
      <c r="F100" s="1096"/>
      <c r="G100" s="1096"/>
      <c r="H100" s="1096"/>
    </row>
    <row r="101" spans="1:8">
      <c r="A101" s="1097" t="s">
        <v>952</v>
      </c>
      <c r="B101" s="1096"/>
      <c r="C101" s="1096"/>
      <c r="D101" s="1096"/>
      <c r="E101" s="1096"/>
      <c r="F101" s="1096"/>
      <c r="G101" s="1096"/>
      <c r="H101" s="1096"/>
    </row>
    <row r="102" spans="1:8">
      <c r="A102" s="1097" t="s">
        <v>953</v>
      </c>
      <c r="B102" s="1096"/>
      <c r="C102" s="1096"/>
      <c r="D102" s="1096"/>
      <c r="E102" s="1096"/>
      <c r="F102" s="1096"/>
      <c r="G102" s="1096"/>
      <c r="H102" s="1096"/>
    </row>
    <row r="103" spans="1:8">
      <c r="A103" s="1097" t="s">
        <v>954</v>
      </c>
      <c r="B103" s="1096"/>
      <c r="C103" s="1096"/>
      <c r="D103" s="1096"/>
      <c r="E103" s="1096"/>
      <c r="F103" s="1096"/>
      <c r="G103" s="1096"/>
      <c r="H103" s="1096"/>
    </row>
    <row r="104" spans="1:8">
      <c r="A104" s="1097" t="s">
        <v>955</v>
      </c>
      <c r="B104" s="1096"/>
      <c r="C104" s="1096"/>
      <c r="D104" s="1096"/>
      <c r="E104" s="1096"/>
      <c r="F104" s="1096"/>
      <c r="G104" s="1096"/>
      <c r="H104" s="1096"/>
    </row>
    <row r="105" spans="1:8">
      <c r="A105" s="1097" t="s">
        <v>956</v>
      </c>
      <c r="B105" s="1096"/>
      <c r="C105" s="1096"/>
      <c r="D105" s="1096"/>
      <c r="E105" s="1096"/>
      <c r="F105" s="1096"/>
      <c r="G105" s="1096"/>
      <c r="H105" s="1096"/>
    </row>
    <row r="106" spans="1:8">
      <c r="A106" s="1097" t="s">
        <v>957</v>
      </c>
      <c r="B106" s="1096"/>
      <c r="C106" s="1096"/>
      <c r="D106" s="1096"/>
      <c r="E106" s="1096"/>
      <c r="F106" s="1096"/>
      <c r="G106" s="1096"/>
      <c r="H106" s="1096"/>
    </row>
    <row r="107" spans="1:8">
      <c r="A107" s="1096"/>
      <c r="B107" s="1096"/>
      <c r="C107" s="1096"/>
      <c r="D107" s="1096"/>
      <c r="E107" s="1096"/>
      <c r="F107" s="1096"/>
      <c r="G107" s="1096"/>
      <c r="H107" s="1096"/>
    </row>
    <row r="108" spans="1:8" ht="15.75">
      <c r="A108" s="1117" t="s">
        <v>731</v>
      </c>
      <c r="B108" s="1117"/>
      <c r="C108" s="1117"/>
      <c r="D108" s="1117"/>
      <c r="E108" s="1117"/>
      <c r="F108" s="1117"/>
      <c r="G108" s="1117"/>
      <c r="H108" s="1117"/>
    </row>
    <row r="109" spans="1:8">
      <c r="A109" s="1113" t="s">
        <v>732</v>
      </c>
      <c r="B109" s="1113"/>
      <c r="C109" s="1113"/>
      <c r="D109" s="1113"/>
      <c r="E109" s="1113"/>
      <c r="F109" s="1113"/>
      <c r="G109" s="1113"/>
      <c r="H109" s="1113"/>
    </row>
    <row r="110" spans="1:8">
      <c r="A110" s="1118"/>
      <c r="B110" s="1118"/>
      <c r="C110" s="1118"/>
      <c r="D110" s="1118"/>
      <c r="E110" s="1118"/>
      <c r="F110" s="1118"/>
      <c r="G110" s="1118"/>
      <c r="H110" s="1118"/>
    </row>
    <row r="111" spans="1:8">
      <c r="A111" s="1113" t="s">
        <v>947</v>
      </c>
      <c r="B111" s="1113"/>
      <c r="C111" s="1113"/>
      <c r="D111" s="1113"/>
      <c r="E111" s="1113"/>
      <c r="F111" s="1113"/>
      <c r="G111" s="1113"/>
      <c r="H111" s="1113"/>
    </row>
    <row r="112" spans="1:8">
      <c r="A112" s="1097" t="s">
        <v>948</v>
      </c>
      <c r="B112" s="1097"/>
      <c r="C112" s="1097"/>
      <c r="D112" s="1097"/>
      <c r="E112" s="1097"/>
      <c r="F112" s="1097"/>
      <c r="G112" s="1097"/>
      <c r="H112" s="1097"/>
    </row>
    <row r="113" spans="1:8">
      <c r="A113" s="1118"/>
      <c r="B113" s="1118"/>
      <c r="C113" s="1118"/>
      <c r="D113" s="1118"/>
      <c r="E113" s="1118"/>
      <c r="F113" s="1118"/>
      <c r="G113" s="1118"/>
      <c r="H113" s="1118"/>
    </row>
    <row r="114" spans="1:8">
      <c r="A114" s="1113" t="s">
        <v>940</v>
      </c>
      <c r="B114" s="1113"/>
      <c r="C114" s="1113"/>
      <c r="D114" s="1113"/>
      <c r="E114" s="1113"/>
      <c r="F114" s="1113"/>
      <c r="G114" s="1113"/>
      <c r="H114" s="1113"/>
    </row>
    <row r="115" spans="1:8">
      <c r="A115" s="1097" t="s">
        <v>941</v>
      </c>
      <c r="B115" s="1097"/>
      <c r="C115" s="1097"/>
      <c r="D115" s="1097"/>
      <c r="E115" s="1097"/>
      <c r="F115" s="1097"/>
      <c r="G115" s="1097"/>
      <c r="H115" s="1097"/>
    </row>
    <row r="116" spans="1:8">
      <c r="A116" s="1097" t="s">
        <v>942</v>
      </c>
      <c r="B116" s="1097"/>
      <c r="C116" s="1097"/>
      <c r="D116" s="1097"/>
      <c r="E116" s="1097"/>
      <c r="F116" s="1097"/>
      <c r="G116" s="1097"/>
      <c r="H116" s="1097"/>
    </row>
    <row r="117" spans="1:8">
      <c r="A117" s="1097" t="s">
        <v>943</v>
      </c>
      <c r="B117" s="1097"/>
      <c r="C117" s="1097"/>
      <c r="D117" s="1097"/>
      <c r="E117" s="1097"/>
      <c r="F117" s="1097"/>
      <c r="G117" s="1097"/>
      <c r="H117" s="1097"/>
    </row>
    <row r="118" spans="1:8">
      <c r="A118" s="1097" t="s">
        <v>944</v>
      </c>
      <c r="B118" s="1097"/>
      <c r="C118" s="1097"/>
      <c r="D118" s="1097"/>
      <c r="E118" s="1097"/>
      <c r="F118" s="1097"/>
      <c r="G118" s="1097"/>
      <c r="H118" s="1097"/>
    </row>
    <row r="119" spans="1:8">
      <c r="A119" s="1097" t="s">
        <v>945</v>
      </c>
      <c r="B119" s="1097"/>
      <c r="C119" s="1097"/>
      <c r="D119" s="1097"/>
      <c r="E119" s="1097"/>
      <c r="F119" s="1097"/>
      <c r="G119" s="1097"/>
      <c r="H119" s="1097"/>
    </row>
    <row r="120" spans="1:8">
      <c r="A120" s="1097" t="s">
        <v>946</v>
      </c>
      <c r="B120" s="1097"/>
      <c r="C120" s="1097"/>
      <c r="D120" s="1097"/>
      <c r="E120" s="1097"/>
      <c r="F120" s="1097"/>
      <c r="G120" s="1097"/>
      <c r="H120" s="1097"/>
    </row>
    <row r="121" spans="1:8">
      <c r="A121" s="1119"/>
      <c r="B121" s="1119"/>
      <c r="C121" s="1119"/>
      <c r="D121" s="1119"/>
      <c r="E121" s="1119"/>
      <c r="F121" s="1119"/>
      <c r="G121" s="1119"/>
      <c r="H121" s="1119"/>
    </row>
    <row r="122" spans="1:8">
      <c r="A122" s="1099"/>
      <c r="B122" s="1114" t="s">
        <v>733</v>
      </c>
      <c r="C122" s="1115"/>
      <c r="D122" s="1114" t="s">
        <v>734</v>
      </c>
      <c r="E122" s="1116"/>
      <c r="F122" s="1115"/>
      <c r="G122" s="1114" t="s">
        <v>735</v>
      </c>
      <c r="H122" s="1115"/>
    </row>
    <row r="123" spans="1:8">
      <c r="A123" s="1099" t="s">
        <v>736</v>
      </c>
      <c r="B123" s="1099" t="s">
        <v>187</v>
      </c>
      <c r="C123" s="1099" t="s">
        <v>737</v>
      </c>
      <c r="D123" s="1099" t="s">
        <v>187</v>
      </c>
      <c r="E123" s="1099" t="s">
        <v>738</v>
      </c>
      <c r="F123" s="1099" t="s">
        <v>739</v>
      </c>
      <c r="G123" s="1099" t="s">
        <v>187</v>
      </c>
      <c r="H123" s="1099" t="s">
        <v>740</v>
      </c>
    </row>
    <row r="124" spans="1:8">
      <c r="A124" s="1099" t="s">
        <v>741</v>
      </c>
      <c r="B124" s="1099">
        <v>1189</v>
      </c>
      <c r="C124" s="1100">
        <v>0.38</v>
      </c>
      <c r="D124" s="1099">
        <v>315</v>
      </c>
      <c r="E124" s="1100">
        <v>0.41</v>
      </c>
      <c r="F124" s="1100">
        <v>0.26</v>
      </c>
      <c r="G124" s="1099">
        <v>555</v>
      </c>
      <c r="H124" s="1100">
        <v>0.39</v>
      </c>
    </row>
    <row r="125" spans="1:8">
      <c r="A125" s="1099" t="s">
        <v>742</v>
      </c>
      <c r="B125" s="1099">
        <v>1355</v>
      </c>
      <c r="C125" s="1100">
        <v>0.43</v>
      </c>
      <c r="D125" s="1099">
        <v>364</v>
      </c>
      <c r="E125" s="1100">
        <v>0.47</v>
      </c>
      <c r="F125" s="1100">
        <v>0.27</v>
      </c>
      <c r="G125" s="1099">
        <v>644</v>
      </c>
      <c r="H125" s="1100">
        <v>0.45</v>
      </c>
    </row>
    <row r="126" spans="1:8">
      <c r="A126" s="1099" t="s">
        <v>743</v>
      </c>
      <c r="B126" s="1099">
        <v>53</v>
      </c>
      <c r="C126" s="1100">
        <v>0.02</v>
      </c>
      <c r="D126" s="1099">
        <v>4</v>
      </c>
      <c r="E126" s="1100">
        <v>0.01</v>
      </c>
      <c r="F126" s="1100">
        <v>0.08</v>
      </c>
      <c r="G126" s="1099">
        <v>7</v>
      </c>
      <c r="H126" s="1100">
        <v>0</v>
      </c>
    </row>
    <row r="127" spans="1:8">
      <c r="A127" s="1099" t="s">
        <v>744</v>
      </c>
      <c r="B127" s="1099">
        <v>545</v>
      </c>
      <c r="C127" s="1100">
        <v>0.17</v>
      </c>
      <c r="D127" s="1099">
        <v>84</v>
      </c>
      <c r="E127" s="1100">
        <v>0.11</v>
      </c>
      <c r="F127" s="1100">
        <v>0.15</v>
      </c>
      <c r="G127" s="1099">
        <v>214</v>
      </c>
      <c r="H127" s="1100">
        <v>0.15</v>
      </c>
    </row>
    <row r="128" spans="1:8">
      <c r="A128" s="1099" t="s">
        <v>73</v>
      </c>
      <c r="B128" s="1101">
        <v>3142</v>
      </c>
      <c r="C128" s="1099"/>
      <c r="D128" s="1099">
        <v>767</v>
      </c>
      <c r="E128" s="1099"/>
      <c r="F128" s="1099"/>
      <c r="G128" s="1099">
        <v>1420</v>
      </c>
      <c r="H128" s="1099"/>
    </row>
    <row r="129" spans="1:8">
      <c r="A129" s="1112"/>
      <c r="B129" s="1112"/>
      <c r="C129" s="1112"/>
      <c r="D129" s="1112"/>
      <c r="E129" s="1112"/>
      <c r="F129" s="1112"/>
      <c r="G129" s="1112"/>
      <c r="H129" s="1112"/>
    </row>
    <row r="130" spans="1:8">
      <c r="A130" s="1113" t="s">
        <v>936</v>
      </c>
      <c r="B130" s="1113"/>
      <c r="C130" s="1113"/>
      <c r="D130" s="1113"/>
      <c r="E130" s="1113"/>
      <c r="F130" s="1113"/>
      <c r="G130" s="1113"/>
      <c r="H130" s="1113"/>
    </row>
    <row r="131" spans="1:8">
      <c r="A131" s="1097" t="s">
        <v>937</v>
      </c>
      <c r="B131" s="1097"/>
      <c r="C131" s="1097"/>
      <c r="D131" s="1097"/>
      <c r="E131" s="1097"/>
      <c r="F131" s="1097"/>
      <c r="G131" s="1097"/>
      <c r="H131" s="1097"/>
    </row>
    <row r="132" spans="1:8">
      <c r="A132" s="1097" t="s">
        <v>938</v>
      </c>
      <c r="B132" s="1097"/>
      <c r="C132" s="1097"/>
      <c r="D132" s="1097"/>
      <c r="E132" s="1097"/>
      <c r="F132" s="1097"/>
      <c r="G132" s="1097"/>
      <c r="H132" s="1097"/>
    </row>
    <row r="133" spans="1:8">
      <c r="A133" s="1097" t="s">
        <v>939</v>
      </c>
      <c r="B133" s="1097"/>
      <c r="C133" s="1097"/>
      <c r="D133" s="1097"/>
      <c r="E133" s="1097"/>
      <c r="F133" s="1097"/>
      <c r="G133" s="1097"/>
      <c r="H133" s="1097"/>
    </row>
    <row r="134" spans="1:8">
      <c r="A134" s="1096"/>
      <c r="B134" s="1096"/>
      <c r="C134" s="1096"/>
      <c r="D134" s="1096"/>
      <c r="E134" s="1096"/>
      <c r="F134" s="1096"/>
      <c r="G134" s="1096"/>
      <c r="H134" s="1096"/>
    </row>
    <row r="135" spans="1:8" ht="15.75">
      <c r="A135" s="1098" t="s">
        <v>745</v>
      </c>
      <c r="B135" s="1096"/>
      <c r="C135" s="1096"/>
      <c r="D135" s="1096"/>
      <c r="E135" s="1096"/>
      <c r="F135" s="1096"/>
      <c r="G135" s="1096"/>
      <c r="H135" s="1096"/>
    </row>
    <row r="136" spans="1:8">
      <c r="A136" s="1096"/>
      <c r="B136" s="1096"/>
      <c r="C136" s="1096"/>
      <c r="D136" s="1096"/>
      <c r="E136" s="1096"/>
      <c r="F136" s="1096"/>
      <c r="G136" s="1096"/>
      <c r="H136" s="1096"/>
    </row>
    <row r="137" spans="1:8">
      <c r="A137" s="1097" t="s">
        <v>934</v>
      </c>
      <c r="B137" s="1096"/>
      <c r="C137" s="1096"/>
      <c r="D137" s="1096"/>
      <c r="E137" s="1096"/>
      <c r="F137" s="1096"/>
      <c r="G137" s="1096"/>
      <c r="H137" s="1096"/>
    </row>
    <row r="138" spans="1:8">
      <c r="A138" s="1097" t="s">
        <v>935</v>
      </c>
      <c r="B138" s="1096"/>
      <c r="C138" s="1096"/>
      <c r="D138" s="1096"/>
      <c r="E138" s="1096"/>
      <c r="F138" s="1096"/>
      <c r="G138" s="1096"/>
      <c r="H138" s="1096"/>
    </row>
    <row r="139" spans="1:8">
      <c r="A139" s="1096"/>
      <c r="B139" s="1096"/>
      <c r="C139" s="1096"/>
      <c r="D139" s="1096"/>
      <c r="E139" s="1096"/>
      <c r="F139" s="1096"/>
      <c r="G139" s="1096"/>
      <c r="H139" s="1096"/>
    </row>
    <row r="140" spans="1:8">
      <c r="A140" s="1097" t="s">
        <v>931</v>
      </c>
      <c r="B140" s="1096"/>
      <c r="C140" s="1096"/>
      <c r="D140" s="1096"/>
      <c r="E140" s="1096"/>
      <c r="F140" s="1096"/>
      <c r="G140" s="1096"/>
      <c r="H140" s="1096"/>
    </row>
    <row r="141" spans="1:8">
      <c r="A141" s="1097" t="s">
        <v>932</v>
      </c>
      <c r="B141" s="1096"/>
      <c r="C141" s="1096"/>
      <c r="D141" s="1096"/>
      <c r="E141" s="1096"/>
      <c r="F141" s="1096"/>
      <c r="G141" s="1096"/>
      <c r="H141" s="1096"/>
    </row>
    <row r="142" spans="1:8">
      <c r="A142" s="1097" t="s">
        <v>933</v>
      </c>
      <c r="B142" s="1096"/>
      <c r="C142" s="1096"/>
      <c r="D142" s="1096"/>
      <c r="E142" s="1096"/>
      <c r="F142" s="1096"/>
      <c r="G142" s="1096"/>
      <c r="H142" s="1096"/>
    </row>
    <row r="143" spans="1:8">
      <c r="A143" s="1096"/>
      <c r="B143" s="1096"/>
      <c r="C143" s="1096"/>
      <c r="D143" s="1096"/>
      <c r="E143" s="1096"/>
      <c r="F143" s="1096"/>
      <c r="G143" s="1096"/>
      <c r="H143" s="1096"/>
    </row>
    <row r="144" spans="1:8">
      <c r="A144" s="1097" t="s">
        <v>928</v>
      </c>
      <c r="B144" s="1096"/>
      <c r="C144" s="1096"/>
      <c r="D144" s="1096"/>
      <c r="E144" s="1096"/>
      <c r="F144" s="1096"/>
      <c r="G144" s="1096"/>
      <c r="H144" s="1096"/>
    </row>
    <row r="145" spans="1:8">
      <c r="A145" s="1097" t="s">
        <v>929</v>
      </c>
      <c r="B145" s="1096"/>
      <c r="C145" s="1096"/>
      <c r="D145" s="1096"/>
      <c r="E145" s="1096"/>
      <c r="F145" s="1096"/>
      <c r="G145" s="1096"/>
      <c r="H145" s="1096"/>
    </row>
    <row r="146" spans="1:8">
      <c r="A146" s="1097" t="s">
        <v>930</v>
      </c>
      <c r="B146" s="1096"/>
      <c r="C146" s="1096"/>
      <c r="D146" s="1096"/>
      <c r="E146" s="1096"/>
      <c r="F146" s="1096"/>
      <c r="G146" s="1096"/>
      <c r="H146" s="1096"/>
    </row>
    <row r="147" spans="1:8">
      <c r="A147" s="1096"/>
      <c r="B147" s="1096"/>
      <c r="C147" s="1096"/>
      <c r="D147" s="1096"/>
      <c r="E147" s="1096"/>
      <c r="F147" s="1096"/>
      <c r="G147" s="1096"/>
      <c r="H147" s="1096"/>
    </row>
    <row r="148" spans="1:8">
      <c r="A148" s="1097" t="s">
        <v>925</v>
      </c>
      <c r="B148" s="1096"/>
      <c r="C148" s="1096"/>
      <c r="D148" s="1096"/>
      <c r="E148" s="1096"/>
      <c r="F148" s="1096"/>
      <c r="G148" s="1096"/>
      <c r="H148" s="1096"/>
    </row>
    <row r="149" spans="1:8">
      <c r="A149" s="1097" t="s">
        <v>926</v>
      </c>
      <c r="B149" s="1096"/>
      <c r="C149" s="1096"/>
      <c r="D149" s="1096"/>
      <c r="E149" s="1096"/>
      <c r="F149" s="1096"/>
      <c r="G149" s="1096"/>
      <c r="H149" s="1096"/>
    </row>
    <row r="150" spans="1:8">
      <c r="A150" s="1097" t="s">
        <v>927</v>
      </c>
      <c r="B150" s="1096"/>
      <c r="C150" s="1096"/>
      <c r="D150" s="1096"/>
      <c r="E150" s="1096"/>
      <c r="F150" s="1096"/>
      <c r="G150" s="1096"/>
      <c r="H150" s="1096"/>
    </row>
    <row r="151" spans="1:8">
      <c r="A151" s="1096"/>
      <c r="B151" s="1096"/>
      <c r="C151" s="1096"/>
      <c r="D151" s="1096"/>
      <c r="E151" s="1096"/>
      <c r="F151" s="1096"/>
      <c r="G151" s="1096"/>
      <c r="H151" s="1096"/>
    </row>
    <row r="152" spans="1:8">
      <c r="A152" s="1097" t="s">
        <v>923</v>
      </c>
      <c r="B152" s="1096"/>
      <c r="C152" s="1096"/>
      <c r="D152" s="1096"/>
      <c r="E152" s="1096"/>
      <c r="F152" s="1096"/>
      <c r="G152" s="1096"/>
      <c r="H152" s="1096"/>
    </row>
    <row r="153" spans="1:8">
      <c r="A153" s="1097" t="s">
        <v>924</v>
      </c>
      <c r="B153" s="1096"/>
      <c r="C153" s="1096"/>
      <c r="D153" s="1096"/>
      <c r="E153" s="1096"/>
      <c r="F153" s="1096"/>
      <c r="G153" s="1096"/>
      <c r="H153" s="1096"/>
    </row>
    <row r="154" spans="1:8">
      <c r="A154" s="1096"/>
      <c r="B154" s="1096"/>
      <c r="C154" s="1096"/>
      <c r="D154" s="1096"/>
      <c r="E154" s="1096"/>
      <c r="F154" s="1096"/>
      <c r="G154" s="1096"/>
      <c r="H154" s="1096"/>
    </row>
    <row r="155" spans="1:8" ht="15.75">
      <c r="A155" s="1098" t="s">
        <v>746</v>
      </c>
      <c r="B155" s="1096"/>
      <c r="C155" s="1096"/>
      <c r="D155" s="1096"/>
      <c r="E155" s="1096"/>
      <c r="F155" s="1096"/>
      <c r="G155" s="1096"/>
      <c r="H155" s="1096"/>
    </row>
    <row r="156" spans="1:8">
      <c r="A156" s="1096"/>
      <c r="B156" s="1096"/>
      <c r="C156" s="1096"/>
      <c r="D156" s="1096"/>
      <c r="E156" s="1096"/>
      <c r="F156" s="1096"/>
      <c r="G156" s="1096"/>
      <c r="H156" s="1096"/>
    </row>
    <row r="157" spans="1:8">
      <c r="A157" s="1097" t="s">
        <v>921</v>
      </c>
      <c r="B157" s="1096"/>
      <c r="C157" s="1096"/>
      <c r="D157" s="1096"/>
      <c r="E157" s="1096"/>
      <c r="F157" s="1096"/>
      <c r="G157" s="1096"/>
      <c r="H157" s="1096"/>
    </row>
    <row r="158" spans="1:8">
      <c r="A158" s="1097" t="s">
        <v>922</v>
      </c>
      <c r="B158" s="1096"/>
      <c r="C158" s="1096"/>
      <c r="D158" s="1096"/>
      <c r="E158" s="1096"/>
      <c r="F158" s="1096"/>
      <c r="G158" s="1096"/>
      <c r="H158" s="1096"/>
    </row>
    <row r="159" spans="1:8">
      <c r="A159" s="1096"/>
      <c r="B159" s="1096"/>
      <c r="C159" s="1096"/>
      <c r="D159" s="1096"/>
      <c r="E159" s="1096"/>
      <c r="F159" s="1096"/>
      <c r="G159" s="1096"/>
      <c r="H159" s="1096"/>
    </row>
    <row r="160" spans="1:8">
      <c r="A160" s="1097" t="s">
        <v>919</v>
      </c>
      <c r="B160" s="1096"/>
      <c r="C160" s="1096"/>
      <c r="D160" s="1096"/>
      <c r="E160" s="1096"/>
      <c r="F160" s="1096"/>
      <c r="G160" s="1096"/>
      <c r="H160" s="1096"/>
    </row>
    <row r="161" spans="1:8">
      <c r="A161" s="1097" t="s">
        <v>920</v>
      </c>
      <c r="B161" s="1096"/>
      <c r="C161" s="1096"/>
      <c r="D161" s="1096"/>
      <c r="E161" s="1096"/>
      <c r="F161" s="1096"/>
      <c r="G161" s="1096"/>
      <c r="H161" s="1096"/>
    </row>
    <row r="162" spans="1:8">
      <c r="A162" s="1096"/>
      <c r="B162" s="1096"/>
      <c r="C162" s="1096"/>
      <c r="D162" s="1096"/>
      <c r="E162" s="1096"/>
      <c r="F162" s="1096"/>
      <c r="G162" s="1096"/>
      <c r="H162" s="1096"/>
    </row>
    <row r="163" spans="1:8">
      <c r="A163" s="1097" t="s">
        <v>917</v>
      </c>
      <c r="B163" s="1096"/>
      <c r="C163" s="1096"/>
      <c r="D163" s="1096"/>
      <c r="E163" s="1096"/>
      <c r="F163" s="1096"/>
      <c r="G163" s="1096"/>
      <c r="H163" s="1096"/>
    </row>
    <row r="164" spans="1:8">
      <c r="A164" s="1097" t="s">
        <v>918</v>
      </c>
      <c r="B164" s="1096"/>
      <c r="C164" s="1096"/>
      <c r="D164" s="1096"/>
      <c r="E164" s="1096"/>
      <c r="F164" s="1096"/>
      <c r="G164" s="1096"/>
      <c r="H164" s="1096"/>
    </row>
    <row r="165" spans="1:8">
      <c r="A165" s="1096"/>
      <c r="B165" s="1096"/>
      <c r="C165" s="1096"/>
      <c r="D165" s="1096"/>
      <c r="E165" s="1096"/>
      <c r="F165" s="1096"/>
      <c r="G165" s="1096"/>
      <c r="H165" s="1096"/>
    </row>
    <row r="166" spans="1:8">
      <c r="A166" s="1097" t="s">
        <v>914</v>
      </c>
      <c r="B166" s="1096"/>
      <c r="C166" s="1096"/>
      <c r="D166" s="1096"/>
      <c r="E166" s="1096"/>
      <c r="F166" s="1096"/>
      <c r="G166" s="1096"/>
      <c r="H166" s="1096"/>
    </row>
    <row r="167" spans="1:8">
      <c r="A167" s="1097" t="s">
        <v>915</v>
      </c>
      <c r="B167" s="1096"/>
      <c r="C167" s="1096"/>
      <c r="D167" s="1096"/>
      <c r="E167" s="1096"/>
      <c r="F167" s="1096"/>
      <c r="G167" s="1096"/>
      <c r="H167" s="1096"/>
    </row>
    <row r="168" spans="1:8">
      <c r="A168" s="1097" t="s">
        <v>916</v>
      </c>
      <c r="B168" s="1096"/>
      <c r="C168" s="1096"/>
      <c r="D168" s="1096"/>
      <c r="E168" s="1096"/>
      <c r="F168" s="1096"/>
      <c r="G168" s="1096"/>
      <c r="H168" s="1096"/>
    </row>
    <row r="169" spans="1:8">
      <c r="A169" s="1096"/>
      <c r="B169" s="1096"/>
      <c r="C169" s="1096"/>
      <c r="D169" s="1096"/>
      <c r="E169" s="1096"/>
      <c r="F169" s="1096"/>
      <c r="G169" s="1096"/>
      <c r="H169" s="1096"/>
    </row>
    <row r="170" spans="1:8">
      <c r="A170" s="1096"/>
      <c r="B170" s="1096"/>
      <c r="C170" s="1096"/>
      <c r="D170" s="1096"/>
      <c r="E170" s="1096"/>
      <c r="F170" s="1096"/>
      <c r="G170" s="1096"/>
      <c r="H170" s="1096"/>
    </row>
    <row r="171" spans="1:8">
      <c r="A171" s="1097" t="s">
        <v>558</v>
      </c>
      <c r="B171" s="1096"/>
      <c r="C171" s="1096"/>
      <c r="D171" s="1096"/>
      <c r="E171" s="1096"/>
      <c r="F171" s="1096"/>
      <c r="G171" s="1096"/>
      <c r="H171" s="1096"/>
    </row>
    <row r="172" spans="1:8">
      <c r="A172" s="1096"/>
      <c r="B172" s="1096"/>
      <c r="C172" s="1096"/>
      <c r="D172" s="1096"/>
      <c r="E172" s="1096"/>
      <c r="F172" s="1096"/>
      <c r="G172" s="1096"/>
      <c r="H172" s="1096"/>
    </row>
    <row r="173" spans="1:8" ht="15.75">
      <c r="A173" s="1098" t="s">
        <v>747</v>
      </c>
      <c r="B173" s="1096"/>
      <c r="C173" s="1096"/>
      <c r="D173" s="1096"/>
      <c r="E173" s="1096"/>
      <c r="F173" s="1096"/>
      <c r="G173" s="1096"/>
      <c r="H173" s="1096"/>
    </row>
    <row r="174" spans="1:8">
      <c r="A174" s="1096"/>
      <c r="B174" s="1096"/>
      <c r="C174" s="1096"/>
      <c r="D174" s="1096"/>
      <c r="E174" s="1096"/>
      <c r="F174" s="1096"/>
      <c r="G174" s="1096"/>
      <c r="H174" s="1096"/>
    </row>
    <row r="175" spans="1:8">
      <c r="A175" s="1096"/>
      <c r="B175" s="1096"/>
      <c r="C175" s="1096"/>
      <c r="D175" s="1096"/>
      <c r="E175" s="1096"/>
      <c r="F175" s="1096"/>
      <c r="G175" s="1096"/>
      <c r="H175" s="1096"/>
    </row>
    <row r="176" spans="1:8">
      <c r="A176" s="1096"/>
      <c r="B176" s="1096"/>
      <c r="C176" s="1096"/>
      <c r="D176" s="1096"/>
      <c r="E176" s="1096"/>
      <c r="F176" s="1096"/>
      <c r="G176" s="1096"/>
      <c r="H176" s="1096"/>
    </row>
    <row r="177" spans="1:8">
      <c r="A177" s="1096"/>
      <c r="B177" s="1096"/>
      <c r="C177" s="1096"/>
      <c r="D177" s="1096"/>
      <c r="E177" s="1096"/>
      <c r="F177" s="1096"/>
      <c r="G177" s="1096"/>
      <c r="H177" s="1096"/>
    </row>
    <row r="178" spans="1:8">
      <c r="A178" s="1096"/>
      <c r="B178" s="1096"/>
      <c r="C178" s="1096"/>
      <c r="D178" s="1096"/>
      <c r="E178" s="1096"/>
      <c r="F178" s="1096"/>
      <c r="G178" s="1096"/>
      <c r="H178" s="1096"/>
    </row>
    <row r="179" spans="1:8">
      <c r="A179" s="1096"/>
      <c r="B179" s="1096"/>
      <c r="C179" s="1096"/>
      <c r="D179" s="1096"/>
      <c r="E179" s="1096"/>
      <c r="F179" s="1096"/>
      <c r="G179" s="1096"/>
      <c r="H179" s="1096"/>
    </row>
    <row r="180" spans="1:8">
      <c r="A180" s="1096"/>
      <c r="B180" s="1096"/>
      <c r="C180" s="1096"/>
      <c r="D180" s="1096"/>
      <c r="E180" s="1096"/>
      <c r="F180" s="1096"/>
      <c r="G180" s="1096"/>
      <c r="H180" s="1096"/>
    </row>
    <row r="181" spans="1:8">
      <c r="A181" s="1096"/>
      <c r="B181" s="1096"/>
      <c r="C181" s="1096"/>
      <c r="D181" s="1096"/>
      <c r="E181" s="1096"/>
      <c r="F181" s="1096"/>
      <c r="G181" s="1096"/>
      <c r="H181" s="1096"/>
    </row>
    <row r="182" spans="1:8">
      <c r="A182" s="1096"/>
      <c r="B182" s="1096"/>
      <c r="C182" s="1096"/>
      <c r="D182" s="1096"/>
      <c r="E182" s="1096"/>
      <c r="F182" s="1096"/>
      <c r="G182" s="1096"/>
      <c r="H182" s="1096"/>
    </row>
    <row r="183" spans="1:8">
      <c r="A183" s="1096"/>
      <c r="B183" s="1096"/>
      <c r="C183" s="1096"/>
      <c r="D183" s="1096"/>
      <c r="E183" s="1096"/>
      <c r="F183" s="1096"/>
      <c r="G183" s="1096"/>
      <c r="H183" s="1096"/>
    </row>
    <row r="184" spans="1:8">
      <c r="A184" s="1096"/>
      <c r="B184" s="1096"/>
      <c r="C184" s="1096"/>
      <c r="D184" s="1096"/>
      <c r="E184" s="1096"/>
      <c r="F184" s="1096"/>
      <c r="G184" s="1096"/>
      <c r="H184" s="1096"/>
    </row>
    <row r="185" spans="1:8">
      <c r="A185" s="1096"/>
      <c r="B185" s="1096"/>
      <c r="C185" s="1096"/>
      <c r="D185" s="1096"/>
      <c r="E185" s="1096"/>
      <c r="F185" s="1096"/>
      <c r="G185" s="1096"/>
      <c r="H185" s="1096"/>
    </row>
    <row r="186" spans="1:8">
      <c r="A186" s="1096"/>
      <c r="B186" s="1096"/>
      <c r="C186" s="1096"/>
      <c r="D186" s="1096"/>
      <c r="E186" s="1096"/>
      <c r="F186" s="1096"/>
      <c r="G186" s="1096"/>
      <c r="H186" s="1096"/>
    </row>
    <row r="187" spans="1:8">
      <c r="A187" s="1096"/>
      <c r="B187" s="1096"/>
      <c r="C187" s="1096"/>
      <c r="D187" s="1096"/>
      <c r="E187" s="1096"/>
      <c r="F187" s="1096"/>
      <c r="G187" s="1096"/>
      <c r="H187" s="1096"/>
    </row>
    <row r="188" spans="1:8">
      <c r="A188" s="1096"/>
      <c r="B188" s="1096"/>
      <c r="C188" s="1096"/>
      <c r="D188" s="1096"/>
      <c r="E188" s="1096"/>
      <c r="F188" s="1096"/>
      <c r="G188" s="1096"/>
      <c r="H188" s="1096"/>
    </row>
    <row r="189" spans="1:8">
      <c r="A189" s="1096"/>
      <c r="B189" s="1096"/>
      <c r="C189" s="1096"/>
      <c r="D189" s="1096"/>
      <c r="E189" s="1096"/>
      <c r="F189" s="1096"/>
      <c r="G189" s="1096"/>
      <c r="H189" s="1096"/>
    </row>
    <row r="190" spans="1:8">
      <c r="A190" s="1096"/>
      <c r="B190" s="1096"/>
      <c r="C190" s="1096"/>
      <c r="D190" s="1096"/>
      <c r="E190" s="1096"/>
      <c r="F190" s="1096"/>
      <c r="G190" s="1096"/>
      <c r="H190" s="1096"/>
    </row>
    <row r="191" spans="1:8">
      <c r="A191" s="1096"/>
      <c r="B191" s="1096"/>
      <c r="C191" s="1096"/>
      <c r="D191" s="1096"/>
      <c r="E191" s="1096"/>
      <c r="F191" s="1096"/>
      <c r="G191" s="1096"/>
      <c r="H191" s="1096"/>
    </row>
    <row r="192" spans="1:8">
      <c r="A192" s="1096"/>
      <c r="B192" s="1096"/>
      <c r="C192" s="1096"/>
      <c r="D192" s="1096"/>
      <c r="E192" s="1096"/>
      <c r="F192" s="1096"/>
      <c r="G192" s="1096"/>
      <c r="H192" s="1096"/>
    </row>
    <row r="193" spans="1:8">
      <c r="A193" s="1096"/>
      <c r="B193" s="1096"/>
      <c r="C193" s="1096"/>
      <c r="D193" s="1096"/>
      <c r="E193" s="1096"/>
      <c r="F193" s="1096"/>
      <c r="G193" s="1096"/>
      <c r="H193" s="1096"/>
    </row>
    <row r="194" spans="1:8">
      <c r="A194" s="1096"/>
      <c r="B194" s="1096"/>
      <c r="C194" s="1096"/>
      <c r="D194" s="1096"/>
      <c r="E194" s="1096"/>
      <c r="F194" s="1096"/>
      <c r="G194" s="1096"/>
      <c r="H194" s="1096"/>
    </row>
    <row r="195" spans="1:8">
      <c r="A195" s="1096"/>
      <c r="B195" s="1096"/>
      <c r="C195" s="1096"/>
      <c r="D195" s="1096"/>
      <c r="E195" s="1096"/>
      <c r="F195" s="1096"/>
      <c r="G195" s="1096"/>
      <c r="H195" s="1096"/>
    </row>
    <row r="196" spans="1:8">
      <c r="A196" s="1096"/>
      <c r="B196" s="1096"/>
      <c r="C196" s="1096"/>
      <c r="D196" s="1096"/>
      <c r="E196" s="1096"/>
      <c r="F196" s="1096"/>
      <c r="G196" s="1096"/>
      <c r="H196" s="1096"/>
    </row>
    <row r="197" spans="1:8">
      <c r="A197" s="1096"/>
      <c r="B197" s="1096"/>
      <c r="C197" s="1096"/>
      <c r="D197" s="1096"/>
      <c r="E197" s="1096"/>
      <c r="F197" s="1096"/>
      <c r="G197" s="1096"/>
      <c r="H197" s="1096"/>
    </row>
    <row r="198" spans="1:8">
      <c r="A198" s="1096"/>
      <c r="B198" s="1096"/>
      <c r="C198" s="1096"/>
      <c r="D198" s="1096"/>
      <c r="E198" s="1096"/>
      <c r="F198" s="1096"/>
      <c r="G198" s="1096"/>
      <c r="H198" s="1096"/>
    </row>
    <row r="199" spans="1:8">
      <c r="A199" s="1096"/>
      <c r="B199" s="1096"/>
      <c r="C199" s="1096"/>
      <c r="D199" s="1096"/>
      <c r="E199" s="1096"/>
      <c r="F199" s="1096"/>
      <c r="G199" s="1096"/>
      <c r="H199" s="1096"/>
    </row>
    <row r="200" spans="1:8" ht="15.75">
      <c r="A200" s="1098" t="s">
        <v>748</v>
      </c>
      <c r="B200" s="1096"/>
      <c r="C200" s="1096"/>
      <c r="D200" s="1096"/>
      <c r="E200" s="1096"/>
      <c r="F200" s="1096"/>
      <c r="G200" s="1096"/>
      <c r="H200" s="1096"/>
    </row>
    <row r="201" spans="1:8">
      <c r="A201" s="1096"/>
      <c r="B201" s="1096"/>
      <c r="C201" s="1096"/>
      <c r="D201" s="1096"/>
      <c r="E201" s="1096"/>
      <c r="F201" s="1096"/>
      <c r="G201" s="1096"/>
      <c r="H201" s="1096"/>
    </row>
    <row r="202" spans="1:8">
      <c r="A202" s="1097" t="s">
        <v>909</v>
      </c>
      <c r="B202" s="1096"/>
      <c r="C202" s="1096"/>
      <c r="D202" s="1096"/>
      <c r="E202" s="1096"/>
      <c r="F202" s="1096"/>
      <c r="G202" s="1096"/>
      <c r="H202" s="1096"/>
    </row>
    <row r="203" spans="1:8">
      <c r="A203" s="1097" t="s">
        <v>910</v>
      </c>
      <c r="B203" s="1096"/>
      <c r="C203" s="1096"/>
      <c r="D203" s="1096"/>
      <c r="E203" s="1096"/>
      <c r="F203" s="1096"/>
      <c r="G203" s="1096"/>
      <c r="H203" s="1096"/>
    </row>
    <row r="204" spans="1:8">
      <c r="A204" s="1097" t="s">
        <v>911</v>
      </c>
      <c r="B204" s="1096"/>
      <c r="C204" s="1096"/>
      <c r="D204" s="1096"/>
      <c r="E204" s="1096"/>
      <c r="F204" s="1096"/>
      <c r="G204" s="1096"/>
      <c r="H204" s="1096"/>
    </row>
    <row r="205" spans="1:8">
      <c r="A205" s="1097" t="s">
        <v>912</v>
      </c>
      <c r="B205" s="1096"/>
      <c r="C205" s="1096"/>
      <c r="D205" s="1096"/>
      <c r="E205" s="1096"/>
      <c r="F205" s="1096"/>
      <c r="G205" s="1096"/>
      <c r="H205" s="1096"/>
    </row>
    <row r="206" spans="1:8">
      <c r="A206" s="1097" t="s">
        <v>913</v>
      </c>
      <c r="B206" s="1096"/>
      <c r="C206" s="1096"/>
      <c r="D206" s="1096"/>
      <c r="E206" s="1096"/>
      <c r="F206" s="1096"/>
      <c r="G206" s="1096"/>
      <c r="H206" s="1096"/>
    </row>
    <row r="207" spans="1:8">
      <c r="A207" s="1096"/>
      <c r="B207" s="1096"/>
      <c r="C207" s="1096"/>
      <c r="D207" s="1096"/>
      <c r="E207" s="1096"/>
      <c r="F207" s="1096"/>
      <c r="G207" s="1096"/>
      <c r="H207" s="1096"/>
    </row>
    <row r="208" spans="1:8">
      <c r="A208" s="1097" t="s">
        <v>906</v>
      </c>
      <c r="B208" s="1096"/>
      <c r="C208" s="1096"/>
      <c r="D208" s="1096"/>
      <c r="E208" s="1096"/>
      <c r="F208" s="1096"/>
      <c r="G208" s="1096"/>
      <c r="H208" s="1096"/>
    </row>
    <row r="209" spans="1:8">
      <c r="A209" s="1097" t="s">
        <v>907</v>
      </c>
      <c r="B209" s="1096"/>
      <c r="C209" s="1096"/>
      <c r="D209" s="1096"/>
      <c r="E209" s="1096"/>
      <c r="F209" s="1096"/>
      <c r="G209" s="1096"/>
      <c r="H209" s="1096"/>
    </row>
    <row r="210" spans="1:8">
      <c r="A210" s="1097" t="s">
        <v>908</v>
      </c>
      <c r="B210" s="1096"/>
      <c r="C210" s="1096"/>
      <c r="D210" s="1096"/>
      <c r="E210" s="1096"/>
      <c r="F210" s="1096"/>
      <c r="G210" s="1096"/>
      <c r="H210" s="1096"/>
    </row>
    <row r="211" spans="1:8" ht="15.75">
      <c r="A211" s="1098" t="s">
        <v>749</v>
      </c>
      <c r="B211" s="1096"/>
      <c r="C211" s="1096"/>
      <c r="D211" s="1096"/>
      <c r="E211" s="1096"/>
      <c r="F211" s="1096"/>
      <c r="G211" s="1096"/>
      <c r="H211" s="1096"/>
    </row>
    <row r="212" spans="1:8">
      <c r="A212" s="1096"/>
      <c r="B212" s="1096"/>
      <c r="C212" s="1096"/>
      <c r="D212" s="1096"/>
      <c r="E212" s="1096"/>
      <c r="F212" s="1096"/>
      <c r="G212" s="1096"/>
      <c r="H212" s="1096"/>
    </row>
    <row r="213" spans="1:8">
      <c r="A213" s="1097" t="s">
        <v>904</v>
      </c>
      <c r="B213" s="1096"/>
      <c r="C213" s="1096"/>
      <c r="D213" s="1096"/>
      <c r="E213" s="1096"/>
      <c r="F213" s="1096"/>
      <c r="G213" s="1096"/>
      <c r="H213" s="1096"/>
    </row>
    <row r="214" spans="1:8">
      <c r="A214" s="1097" t="s">
        <v>905</v>
      </c>
      <c r="B214" s="1096"/>
      <c r="C214" s="1096"/>
      <c r="D214" s="1096"/>
      <c r="E214" s="1096"/>
      <c r="F214" s="1096"/>
      <c r="G214" s="1096"/>
      <c r="H214" s="1096"/>
    </row>
    <row r="215" spans="1:8">
      <c r="A215" s="1096"/>
      <c r="B215" s="1096"/>
      <c r="C215" s="1096"/>
      <c r="D215" s="1096"/>
      <c r="E215" s="1096"/>
      <c r="F215" s="1096"/>
      <c r="G215" s="1096"/>
      <c r="H215" s="1096"/>
    </row>
    <row r="216" spans="1:8">
      <c r="A216" s="1097" t="s">
        <v>897</v>
      </c>
      <c r="B216" s="1096"/>
      <c r="C216" s="1096"/>
      <c r="D216" s="1096"/>
      <c r="E216" s="1096"/>
      <c r="F216" s="1096"/>
      <c r="G216" s="1096"/>
      <c r="H216" s="1096"/>
    </row>
    <row r="217" spans="1:8">
      <c r="A217" s="1097" t="s">
        <v>898</v>
      </c>
      <c r="B217" s="1096"/>
      <c r="C217" s="1096"/>
      <c r="D217" s="1096"/>
      <c r="E217" s="1096"/>
      <c r="F217" s="1096"/>
      <c r="G217" s="1096"/>
      <c r="H217" s="1096"/>
    </row>
    <row r="218" spans="1:8">
      <c r="A218" s="1097" t="s">
        <v>899</v>
      </c>
      <c r="B218" s="1096"/>
      <c r="C218" s="1096"/>
      <c r="D218" s="1096"/>
      <c r="E218" s="1096"/>
      <c r="F218" s="1096"/>
      <c r="G218" s="1096"/>
      <c r="H218" s="1096"/>
    </row>
    <row r="219" spans="1:8">
      <c r="A219" s="1097" t="s">
        <v>900</v>
      </c>
      <c r="B219" s="1096"/>
      <c r="C219" s="1096"/>
      <c r="D219" s="1096"/>
      <c r="E219" s="1096"/>
      <c r="F219" s="1096"/>
      <c r="G219" s="1096"/>
      <c r="H219" s="1096"/>
    </row>
    <row r="220" spans="1:8">
      <c r="A220" s="1097" t="s">
        <v>901</v>
      </c>
      <c r="B220" s="1096"/>
      <c r="C220" s="1096"/>
      <c r="D220" s="1096"/>
      <c r="E220" s="1096"/>
      <c r="F220" s="1096"/>
      <c r="G220" s="1096"/>
      <c r="H220" s="1096"/>
    </row>
    <row r="221" spans="1:8">
      <c r="A221" s="1097" t="s">
        <v>902</v>
      </c>
      <c r="B221" s="1096"/>
      <c r="C221" s="1096"/>
      <c r="D221" s="1096"/>
      <c r="E221" s="1096"/>
      <c r="F221" s="1096"/>
      <c r="G221" s="1096"/>
      <c r="H221" s="1096"/>
    </row>
    <row r="222" spans="1:8">
      <c r="A222" s="1097" t="s">
        <v>903</v>
      </c>
      <c r="B222" s="1096"/>
      <c r="C222" s="1096"/>
      <c r="D222" s="1096"/>
      <c r="E222" s="1096"/>
      <c r="F222" s="1096"/>
      <c r="G222" s="1096"/>
      <c r="H222" s="1096"/>
    </row>
    <row r="223" spans="1:8">
      <c r="A223" s="1096"/>
      <c r="B223" s="1096"/>
      <c r="C223" s="1096"/>
      <c r="D223" s="1096"/>
      <c r="E223" s="1096"/>
      <c r="F223" s="1096"/>
      <c r="G223" s="1096"/>
      <c r="H223" s="1096"/>
    </row>
    <row r="224" spans="1:8">
      <c r="A224" s="1097" t="s">
        <v>894</v>
      </c>
      <c r="B224" s="1096"/>
      <c r="C224" s="1096"/>
      <c r="D224" s="1096"/>
      <c r="E224" s="1096"/>
      <c r="F224" s="1096"/>
      <c r="G224" s="1096"/>
      <c r="H224" s="1096"/>
    </row>
    <row r="225" spans="1:8">
      <c r="A225" s="1097" t="s">
        <v>895</v>
      </c>
      <c r="B225" s="1096"/>
      <c r="C225" s="1096"/>
      <c r="D225" s="1096"/>
      <c r="E225" s="1096"/>
      <c r="F225" s="1096"/>
      <c r="G225" s="1096"/>
      <c r="H225" s="1096"/>
    </row>
    <row r="226" spans="1:8">
      <c r="A226" s="1097" t="s">
        <v>896</v>
      </c>
      <c r="B226" s="1096"/>
      <c r="C226" s="1096"/>
      <c r="D226" s="1096"/>
      <c r="E226" s="1096"/>
      <c r="F226" s="1096"/>
      <c r="G226" s="1096"/>
      <c r="H226" s="1096"/>
    </row>
    <row r="227" spans="1:8">
      <c r="A227" s="1096"/>
      <c r="B227" s="1096"/>
      <c r="C227" s="1096"/>
      <c r="D227" s="1096"/>
      <c r="E227" s="1096"/>
      <c r="F227" s="1096"/>
      <c r="G227" s="1096"/>
      <c r="H227" s="1096"/>
    </row>
    <row r="228" spans="1:8">
      <c r="A228" s="1097" t="s">
        <v>889</v>
      </c>
      <c r="B228" s="1096"/>
      <c r="C228" s="1096"/>
      <c r="D228" s="1096"/>
      <c r="E228" s="1096"/>
      <c r="F228" s="1096"/>
      <c r="G228" s="1096"/>
      <c r="H228" s="1096"/>
    </row>
    <row r="229" spans="1:8">
      <c r="A229" s="1097" t="s">
        <v>890</v>
      </c>
      <c r="B229" s="1096"/>
      <c r="C229" s="1096"/>
      <c r="D229" s="1096"/>
      <c r="E229" s="1096"/>
      <c r="F229" s="1096"/>
      <c r="G229" s="1096"/>
      <c r="H229" s="1096"/>
    </row>
    <row r="230" spans="1:8">
      <c r="A230" s="1097" t="s">
        <v>891</v>
      </c>
      <c r="B230" s="1096"/>
      <c r="C230" s="1096"/>
      <c r="D230" s="1096"/>
      <c r="E230" s="1096"/>
      <c r="F230" s="1096"/>
      <c r="G230" s="1096"/>
      <c r="H230" s="1096"/>
    </row>
    <row r="231" spans="1:8">
      <c r="A231" s="1097" t="s">
        <v>892</v>
      </c>
      <c r="B231" s="1096"/>
      <c r="C231" s="1096"/>
      <c r="D231" s="1096"/>
      <c r="E231" s="1096"/>
      <c r="F231" s="1096"/>
      <c r="G231" s="1096"/>
      <c r="H231" s="1096"/>
    </row>
    <row r="232" spans="1:8">
      <c r="A232" s="1097" t="s">
        <v>893</v>
      </c>
      <c r="B232" s="1096"/>
      <c r="C232" s="1096"/>
      <c r="D232" s="1096"/>
      <c r="E232" s="1096"/>
      <c r="F232" s="1096"/>
      <c r="G232" s="1096"/>
      <c r="H232" s="1096"/>
    </row>
    <row r="233" spans="1:8">
      <c r="A233" s="1096"/>
      <c r="B233" s="1096"/>
      <c r="C233" s="1096"/>
      <c r="D233" s="1096"/>
      <c r="E233" s="1096"/>
      <c r="F233" s="1096"/>
      <c r="G233" s="1096"/>
      <c r="H233" s="1096"/>
    </row>
    <row r="234" spans="1:8">
      <c r="A234" s="1097" t="s">
        <v>883</v>
      </c>
      <c r="B234" s="1096"/>
      <c r="C234" s="1096"/>
      <c r="D234" s="1096"/>
      <c r="E234" s="1096"/>
      <c r="F234" s="1096"/>
      <c r="G234" s="1096"/>
      <c r="H234" s="1096"/>
    </row>
    <row r="235" spans="1:8">
      <c r="A235" s="1097" t="s">
        <v>884</v>
      </c>
      <c r="B235" s="1096"/>
      <c r="C235" s="1096"/>
      <c r="D235" s="1096"/>
      <c r="E235" s="1096"/>
      <c r="F235" s="1096"/>
      <c r="G235" s="1096"/>
      <c r="H235" s="1096"/>
    </row>
    <row r="236" spans="1:8">
      <c r="A236" s="1097" t="s">
        <v>885</v>
      </c>
      <c r="B236" s="1096"/>
      <c r="C236" s="1096"/>
      <c r="D236" s="1096"/>
      <c r="E236" s="1096"/>
      <c r="F236" s="1096"/>
      <c r="G236" s="1096"/>
      <c r="H236" s="1096"/>
    </row>
    <row r="237" spans="1:8">
      <c r="A237" s="1097" t="s">
        <v>886</v>
      </c>
      <c r="B237" s="1096"/>
      <c r="C237" s="1096"/>
      <c r="D237" s="1096"/>
      <c r="E237" s="1096"/>
      <c r="F237" s="1096"/>
      <c r="G237" s="1096"/>
      <c r="H237" s="1096"/>
    </row>
    <row r="238" spans="1:8">
      <c r="A238" s="1097" t="s">
        <v>887</v>
      </c>
      <c r="B238" s="1096"/>
      <c r="C238" s="1096"/>
      <c r="D238" s="1096"/>
      <c r="E238" s="1096"/>
      <c r="F238" s="1096"/>
      <c r="G238" s="1096"/>
      <c r="H238" s="1096"/>
    </row>
    <row r="239" spans="1:8">
      <c r="A239" s="1097" t="s">
        <v>888</v>
      </c>
      <c r="B239" s="1096"/>
      <c r="C239" s="1096"/>
      <c r="D239" s="1096"/>
      <c r="E239" s="1096"/>
      <c r="F239" s="1096"/>
      <c r="G239" s="1096"/>
      <c r="H239" s="1096"/>
    </row>
    <row r="240" spans="1:8">
      <c r="A240" s="1096"/>
      <c r="B240" s="1096"/>
      <c r="C240" s="1096"/>
      <c r="D240" s="1096"/>
      <c r="E240" s="1096"/>
      <c r="F240" s="1096"/>
      <c r="G240" s="1096"/>
      <c r="H240" s="1096"/>
    </row>
    <row r="241" spans="1:8">
      <c r="A241" s="1097" t="s">
        <v>873</v>
      </c>
      <c r="B241" s="1096"/>
      <c r="C241" s="1096"/>
      <c r="D241" s="1096"/>
      <c r="E241" s="1096"/>
      <c r="F241" s="1096"/>
      <c r="G241" s="1096"/>
      <c r="H241" s="1096"/>
    </row>
    <row r="242" spans="1:8">
      <c r="A242" s="1097" t="s">
        <v>874</v>
      </c>
      <c r="B242" s="1096"/>
      <c r="C242" s="1096"/>
      <c r="D242" s="1096"/>
      <c r="E242" s="1096"/>
      <c r="F242" s="1096"/>
      <c r="G242" s="1096"/>
      <c r="H242" s="1096"/>
    </row>
    <row r="243" spans="1:8">
      <c r="A243" s="1097" t="s">
        <v>875</v>
      </c>
      <c r="B243" s="1096"/>
      <c r="C243" s="1096"/>
      <c r="D243" s="1096"/>
      <c r="E243" s="1096"/>
      <c r="F243" s="1096"/>
      <c r="G243" s="1096"/>
      <c r="H243" s="1096"/>
    </row>
    <row r="244" spans="1:8">
      <c r="A244" s="1097" t="s">
        <v>876</v>
      </c>
      <c r="B244" s="1096"/>
      <c r="C244" s="1096"/>
      <c r="D244" s="1096"/>
      <c r="E244" s="1096"/>
      <c r="F244" s="1096"/>
      <c r="G244" s="1096"/>
      <c r="H244" s="1096"/>
    </row>
    <row r="245" spans="1:8">
      <c r="A245" s="1097" t="s">
        <v>877</v>
      </c>
      <c r="B245" s="1096"/>
      <c r="C245" s="1096"/>
      <c r="D245" s="1096"/>
      <c r="E245" s="1096"/>
      <c r="F245" s="1096"/>
      <c r="G245" s="1096"/>
      <c r="H245" s="1096"/>
    </row>
    <row r="246" spans="1:8">
      <c r="A246" s="1097" t="s">
        <v>878</v>
      </c>
      <c r="B246" s="1096"/>
      <c r="C246" s="1096"/>
      <c r="D246" s="1096"/>
      <c r="E246" s="1096"/>
      <c r="F246" s="1096"/>
      <c r="G246" s="1096"/>
      <c r="H246" s="1096"/>
    </row>
    <row r="247" spans="1:8">
      <c r="A247" s="1097" t="s">
        <v>879</v>
      </c>
      <c r="B247" s="1096"/>
      <c r="C247" s="1096"/>
      <c r="D247" s="1096"/>
      <c r="E247" s="1096"/>
      <c r="F247" s="1096"/>
      <c r="G247" s="1096"/>
      <c r="H247" s="1096"/>
    </row>
    <row r="248" spans="1:8">
      <c r="A248" s="1097" t="s">
        <v>880</v>
      </c>
      <c r="B248" s="1096"/>
      <c r="C248" s="1096"/>
      <c r="D248" s="1096"/>
      <c r="E248" s="1096"/>
      <c r="F248" s="1096"/>
      <c r="G248" s="1096"/>
      <c r="H248" s="1096"/>
    </row>
    <row r="249" spans="1:8">
      <c r="A249" s="1097" t="s">
        <v>881</v>
      </c>
      <c r="B249" s="1096"/>
      <c r="C249" s="1096"/>
      <c r="D249" s="1096"/>
      <c r="E249" s="1096"/>
      <c r="F249" s="1096"/>
      <c r="G249" s="1096"/>
      <c r="H249" s="1096"/>
    </row>
    <row r="250" spans="1:8">
      <c r="A250" s="1097" t="s">
        <v>882</v>
      </c>
      <c r="B250" s="1096"/>
      <c r="C250" s="1096"/>
      <c r="D250" s="1096"/>
      <c r="E250" s="1096"/>
      <c r="F250" s="1096"/>
      <c r="G250" s="1096"/>
      <c r="H250" s="1096"/>
    </row>
    <row r="251" spans="1:8">
      <c r="A251" s="1096"/>
      <c r="B251" s="1096"/>
      <c r="C251" s="1096"/>
      <c r="D251" s="1096"/>
      <c r="E251" s="1096"/>
      <c r="F251" s="1096"/>
      <c r="G251" s="1096"/>
      <c r="H251" s="1096"/>
    </row>
    <row r="252" spans="1:8">
      <c r="A252" s="1097" t="s">
        <v>871</v>
      </c>
      <c r="B252" s="1096"/>
      <c r="C252" s="1096"/>
      <c r="D252" s="1096"/>
      <c r="E252" s="1096"/>
      <c r="F252" s="1096"/>
      <c r="G252" s="1096"/>
      <c r="H252" s="1096"/>
    </row>
    <row r="253" spans="1:8">
      <c r="A253" s="1097" t="s">
        <v>872</v>
      </c>
      <c r="B253" s="1096"/>
      <c r="C253" s="1096"/>
      <c r="D253" s="1096"/>
      <c r="E253" s="1096"/>
      <c r="F253" s="1096"/>
      <c r="G253" s="1096"/>
      <c r="H253" s="1096"/>
    </row>
    <row r="254" spans="1:8">
      <c r="A254" s="1096"/>
      <c r="B254" s="1096"/>
      <c r="C254" s="1096"/>
      <c r="D254" s="1096"/>
      <c r="E254" s="1096"/>
      <c r="F254" s="1096"/>
      <c r="G254" s="1096"/>
      <c r="H254" s="1096"/>
    </row>
    <row r="255" spans="1:8">
      <c r="A255" s="1097" t="s">
        <v>855</v>
      </c>
      <c r="B255" s="1096"/>
      <c r="C255" s="1096"/>
      <c r="D255" s="1096"/>
      <c r="E255" s="1096"/>
      <c r="F255" s="1096"/>
      <c r="G255" s="1096"/>
      <c r="H255" s="1096"/>
    </row>
    <row r="256" spans="1:8">
      <c r="A256" s="1097" t="s">
        <v>856</v>
      </c>
      <c r="B256" s="1096"/>
      <c r="C256" s="1096"/>
      <c r="D256" s="1096"/>
      <c r="E256" s="1096"/>
      <c r="F256" s="1096"/>
      <c r="G256" s="1096"/>
      <c r="H256" s="1096"/>
    </row>
    <row r="257" spans="1:8">
      <c r="A257" s="1097" t="s">
        <v>857</v>
      </c>
      <c r="B257" s="1096"/>
      <c r="C257" s="1096"/>
      <c r="D257" s="1096"/>
      <c r="E257" s="1096"/>
      <c r="F257" s="1096"/>
      <c r="G257" s="1096"/>
      <c r="H257" s="1096"/>
    </row>
    <row r="258" spans="1:8">
      <c r="A258" s="1097" t="s">
        <v>858</v>
      </c>
      <c r="B258" s="1096"/>
      <c r="C258" s="1096"/>
      <c r="D258" s="1096"/>
      <c r="E258" s="1096"/>
      <c r="F258" s="1096"/>
      <c r="G258" s="1096"/>
      <c r="H258" s="1096"/>
    </row>
    <row r="259" spans="1:8">
      <c r="A259" s="1097" t="s">
        <v>859</v>
      </c>
      <c r="B259" s="1096"/>
      <c r="C259" s="1096"/>
      <c r="D259" s="1096"/>
      <c r="E259" s="1096"/>
      <c r="F259" s="1096"/>
      <c r="G259" s="1096"/>
      <c r="H259" s="1096"/>
    </row>
    <row r="260" spans="1:8">
      <c r="A260" s="1097" t="s">
        <v>860</v>
      </c>
      <c r="B260" s="1096"/>
      <c r="C260" s="1096"/>
      <c r="D260" s="1096"/>
      <c r="E260" s="1096"/>
      <c r="F260" s="1096"/>
      <c r="G260" s="1096"/>
      <c r="H260" s="1096"/>
    </row>
    <row r="261" spans="1:8">
      <c r="A261" s="1097" t="s">
        <v>861</v>
      </c>
      <c r="B261" s="1096"/>
      <c r="C261" s="1096"/>
      <c r="D261" s="1096"/>
      <c r="E261" s="1096"/>
      <c r="F261" s="1096"/>
      <c r="G261" s="1096"/>
      <c r="H261" s="1096"/>
    </row>
    <row r="262" spans="1:8">
      <c r="A262" s="1097" t="s">
        <v>862</v>
      </c>
      <c r="B262" s="1096"/>
      <c r="C262" s="1096"/>
      <c r="D262" s="1096"/>
      <c r="E262" s="1096"/>
      <c r="F262" s="1096"/>
      <c r="G262" s="1096"/>
      <c r="H262" s="1096"/>
    </row>
    <row r="263" spans="1:8">
      <c r="A263" s="1097" t="s">
        <v>863</v>
      </c>
      <c r="B263" s="1096"/>
      <c r="C263" s="1096"/>
      <c r="D263" s="1096"/>
      <c r="E263" s="1096"/>
      <c r="F263" s="1096"/>
      <c r="G263" s="1096"/>
      <c r="H263" s="1096"/>
    </row>
    <row r="264" spans="1:8">
      <c r="A264" s="1097" t="s">
        <v>864</v>
      </c>
      <c r="B264" s="1096"/>
      <c r="C264" s="1096"/>
      <c r="D264" s="1096"/>
      <c r="E264" s="1096"/>
      <c r="F264" s="1096"/>
      <c r="G264" s="1096"/>
      <c r="H264" s="1096"/>
    </row>
    <row r="265" spans="1:8">
      <c r="A265" s="1097" t="s">
        <v>865</v>
      </c>
      <c r="B265" s="1096"/>
      <c r="C265" s="1096"/>
      <c r="D265" s="1096"/>
      <c r="E265" s="1096"/>
      <c r="F265" s="1096"/>
      <c r="G265" s="1096"/>
      <c r="H265" s="1096"/>
    </row>
    <row r="266" spans="1:8">
      <c r="A266" s="1097" t="s">
        <v>866</v>
      </c>
      <c r="B266" s="1096"/>
      <c r="C266" s="1096"/>
      <c r="D266" s="1096"/>
      <c r="E266" s="1096"/>
      <c r="F266" s="1096"/>
      <c r="G266" s="1096"/>
      <c r="H266" s="1096"/>
    </row>
    <row r="267" spans="1:8">
      <c r="A267" s="1097" t="s">
        <v>867</v>
      </c>
      <c r="B267" s="1096"/>
      <c r="C267" s="1096"/>
      <c r="D267" s="1096"/>
      <c r="E267" s="1096"/>
      <c r="F267" s="1096"/>
      <c r="G267" s="1096"/>
      <c r="H267" s="1096"/>
    </row>
    <row r="268" spans="1:8">
      <c r="A268" s="1097" t="s">
        <v>868</v>
      </c>
      <c r="B268" s="1096"/>
      <c r="C268" s="1096"/>
      <c r="D268" s="1096"/>
      <c r="E268" s="1096"/>
      <c r="F268" s="1096"/>
      <c r="G268" s="1096"/>
      <c r="H268" s="1096"/>
    </row>
    <row r="269" spans="1:8">
      <c r="A269" s="1097" t="s">
        <v>869</v>
      </c>
      <c r="B269" s="1096"/>
      <c r="C269" s="1096"/>
      <c r="D269" s="1096"/>
      <c r="E269" s="1096"/>
      <c r="F269" s="1096"/>
      <c r="G269" s="1096"/>
      <c r="H269" s="1096"/>
    </row>
    <row r="270" spans="1:8">
      <c r="A270" s="1097" t="s">
        <v>870</v>
      </c>
      <c r="B270" s="1096"/>
      <c r="C270" s="1096"/>
      <c r="D270" s="1096"/>
      <c r="E270" s="1096"/>
      <c r="F270" s="1096"/>
      <c r="G270" s="1096"/>
      <c r="H270" s="1096"/>
    </row>
    <row r="271" spans="1:8">
      <c r="A271" s="1096"/>
      <c r="B271" s="1096"/>
      <c r="C271" s="1096"/>
      <c r="D271" s="1096"/>
      <c r="E271" s="1096"/>
      <c r="F271" s="1096"/>
      <c r="G271" s="1096"/>
      <c r="H271" s="1096"/>
    </row>
    <row r="272" spans="1:8">
      <c r="A272" s="1097" t="s">
        <v>848</v>
      </c>
      <c r="B272" s="1096"/>
      <c r="C272" s="1096"/>
      <c r="D272" s="1096"/>
      <c r="E272" s="1096"/>
      <c r="F272" s="1096"/>
      <c r="G272" s="1096"/>
      <c r="H272" s="1096"/>
    </row>
    <row r="273" spans="1:8">
      <c r="A273" s="1097" t="s">
        <v>849</v>
      </c>
      <c r="B273" s="1096"/>
      <c r="C273" s="1096"/>
      <c r="D273" s="1096"/>
      <c r="E273" s="1096"/>
      <c r="F273" s="1096"/>
      <c r="G273" s="1096"/>
      <c r="H273" s="1096"/>
    </row>
    <row r="274" spans="1:8">
      <c r="A274" s="1097" t="s">
        <v>850</v>
      </c>
      <c r="B274" s="1096"/>
      <c r="C274" s="1096"/>
      <c r="D274" s="1096"/>
      <c r="E274" s="1096"/>
      <c r="F274" s="1096"/>
      <c r="G274" s="1096"/>
      <c r="H274" s="1096"/>
    </row>
    <row r="275" spans="1:8">
      <c r="A275" s="1097" t="s">
        <v>851</v>
      </c>
      <c r="B275" s="1096"/>
      <c r="C275" s="1096"/>
      <c r="D275" s="1096"/>
      <c r="E275" s="1096"/>
      <c r="F275" s="1096"/>
      <c r="G275" s="1096"/>
      <c r="H275" s="1096"/>
    </row>
    <row r="276" spans="1:8">
      <c r="A276" s="1097" t="s">
        <v>852</v>
      </c>
      <c r="B276" s="1096"/>
      <c r="C276" s="1096"/>
      <c r="D276" s="1096"/>
      <c r="E276" s="1096"/>
      <c r="F276" s="1096"/>
      <c r="G276" s="1096"/>
      <c r="H276" s="1096"/>
    </row>
    <row r="277" spans="1:8">
      <c r="A277" s="1097" t="s">
        <v>853</v>
      </c>
      <c r="B277" s="1096"/>
      <c r="C277" s="1096"/>
      <c r="D277" s="1096"/>
      <c r="E277" s="1096"/>
      <c r="F277" s="1096"/>
      <c r="G277" s="1096"/>
      <c r="H277" s="1096"/>
    </row>
    <row r="278" spans="1:8">
      <c r="A278" s="1097" t="s">
        <v>854</v>
      </c>
      <c r="B278" s="1096"/>
      <c r="C278" s="1096"/>
      <c r="D278" s="1096"/>
      <c r="E278" s="1096"/>
      <c r="F278" s="1096"/>
      <c r="G278" s="1096"/>
      <c r="H278" s="1096"/>
    </row>
    <row r="279" spans="1:8">
      <c r="A279" s="1096"/>
      <c r="B279" s="1096"/>
      <c r="C279" s="1096"/>
      <c r="D279" s="1096"/>
      <c r="E279" s="1096"/>
      <c r="F279" s="1096"/>
      <c r="G279" s="1096"/>
      <c r="H279" s="1096"/>
    </row>
    <row r="280" spans="1:8">
      <c r="A280" s="1097" t="s">
        <v>839</v>
      </c>
      <c r="B280" s="1096"/>
      <c r="C280" s="1096"/>
      <c r="D280" s="1096"/>
      <c r="E280" s="1096"/>
      <c r="F280" s="1096"/>
      <c r="G280" s="1096"/>
      <c r="H280" s="1096"/>
    </row>
    <row r="281" spans="1:8">
      <c r="A281" s="1097" t="s">
        <v>840</v>
      </c>
      <c r="B281" s="1096"/>
      <c r="C281" s="1096"/>
      <c r="D281" s="1096"/>
      <c r="E281" s="1096"/>
      <c r="F281" s="1096"/>
      <c r="G281" s="1096"/>
      <c r="H281" s="1096"/>
    </row>
    <row r="282" spans="1:8">
      <c r="A282" s="1097" t="s">
        <v>841</v>
      </c>
      <c r="B282" s="1096"/>
      <c r="C282" s="1096"/>
      <c r="D282" s="1096"/>
      <c r="E282" s="1096"/>
      <c r="F282" s="1096"/>
      <c r="G282" s="1096"/>
      <c r="H282" s="1096"/>
    </row>
    <row r="283" spans="1:8">
      <c r="A283" s="1097" t="s">
        <v>842</v>
      </c>
      <c r="B283" s="1096"/>
      <c r="C283" s="1096"/>
      <c r="D283" s="1096"/>
      <c r="E283" s="1096"/>
      <c r="F283" s="1096"/>
      <c r="G283" s="1096"/>
      <c r="H283" s="1096"/>
    </row>
    <row r="284" spans="1:8">
      <c r="A284" s="1097" t="s">
        <v>843</v>
      </c>
      <c r="B284" s="1096"/>
      <c r="C284" s="1096"/>
      <c r="D284" s="1096"/>
      <c r="E284" s="1096"/>
      <c r="F284" s="1096"/>
      <c r="G284" s="1096"/>
      <c r="H284" s="1096"/>
    </row>
    <row r="285" spans="1:8">
      <c r="A285" s="1097" t="s">
        <v>844</v>
      </c>
      <c r="B285" s="1096"/>
      <c r="C285" s="1096"/>
      <c r="D285" s="1096"/>
      <c r="E285" s="1096"/>
      <c r="F285" s="1096"/>
      <c r="G285" s="1096"/>
      <c r="H285" s="1096"/>
    </row>
    <row r="286" spans="1:8">
      <c r="A286" s="1097" t="s">
        <v>845</v>
      </c>
      <c r="B286" s="1096"/>
      <c r="C286" s="1096"/>
      <c r="D286" s="1096"/>
      <c r="E286" s="1096"/>
      <c r="F286" s="1096"/>
      <c r="G286" s="1096"/>
      <c r="H286" s="1096"/>
    </row>
    <row r="287" spans="1:8">
      <c r="A287" s="1097" t="s">
        <v>846</v>
      </c>
      <c r="B287" s="1096"/>
      <c r="C287" s="1096"/>
      <c r="D287" s="1096"/>
      <c r="E287" s="1096"/>
      <c r="F287" s="1096"/>
      <c r="G287" s="1096"/>
      <c r="H287" s="1096"/>
    </row>
    <row r="288" spans="1:8">
      <c r="A288" s="1097" t="s">
        <v>847</v>
      </c>
      <c r="B288" s="1096"/>
      <c r="C288" s="1096"/>
      <c r="D288" s="1096"/>
      <c r="E288" s="1096"/>
      <c r="F288" s="1096"/>
      <c r="G288" s="1096"/>
      <c r="H288" s="1096"/>
    </row>
    <row r="289" spans="1:8">
      <c r="A289" s="1096"/>
      <c r="B289" s="1096"/>
      <c r="C289" s="1096"/>
      <c r="D289" s="1096"/>
      <c r="E289" s="1096"/>
      <c r="F289" s="1096"/>
      <c r="G289" s="1096"/>
      <c r="H289" s="1096"/>
    </row>
    <row r="290" spans="1:8">
      <c r="A290" s="1097" t="s">
        <v>832</v>
      </c>
      <c r="B290" s="1096"/>
      <c r="C290" s="1096"/>
      <c r="D290" s="1096"/>
      <c r="E290" s="1096"/>
      <c r="F290" s="1096"/>
      <c r="G290" s="1096"/>
      <c r="H290" s="1096"/>
    </row>
    <row r="291" spans="1:8">
      <c r="A291" s="1097" t="s">
        <v>833</v>
      </c>
      <c r="B291" s="1096"/>
      <c r="C291" s="1096"/>
      <c r="D291" s="1096"/>
      <c r="E291" s="1096"/>
      <c r="F291" s="1096"/>
      <c r="G291" s="1096"/>
      <c r="H291" s="1096"/>
    </row>
    <row r="292" spans="1:8">
      <c r="A292" s="1097" t="s">
        <v>834</v>
      </c>
      <c r="B292" s="1096"/>
      <c r="C292" s="1096"/>
      <c r="D292" s="1096"/>
      <c r="E292" s="1096"/>
      <c r="F292" s="1096"/>
      <c r="G292" s="1096"/>
      <c r="H292" s="1096"/>
    </row>
    <row r="293" spans="1:8">
      <c r="A293" s="1097" t="s">
        <v>835</v>
      </c>
      <c r="B293" s="1096"/>
      <c r="C293" s="1096"/>
      <c r="D293" s="1096"/>
      <c r="E293" s="1096"/>
      <c r="F293" s="1096"/>
      <c r="G293" s="1096"/>
      <c r="H293" s="1096"/>
    </row>
    <row r="294" spans="1:8">
      <c r="A294" s="1097" t="s">
        <v>836</v>
      </c>
      <c r="B294" s="1096"/>
      <c r="C294" s="1096"/>
      <c r="D294" s="1096"/>
      <c r="E294" s="1096"/>
      <c r="F294" s="1096"/>
      <c r="G294" s="1096"/>
      <c r="H294" s="1096"/>
    </row>
    <row r="295" spans="1:8">
      <c r="A295" s="1097" t="s">
        <v>837</v>
      </c>
      <c r="B295" s="1096"/>
      <c r="C295" s="1096"/>
      <c r="D295" s="1096"/>
      <c r="E295" s="1096"/>
      <c r="F295" s="1096"/>
      <c r="G295" s="1096"/>
      <c r="H295" s="1096"/>
    </row>
    <row r="296" spans="1:8">
      <c r="A296" s="1097" t="s">
        <v>838</v>
      </c>
      <c r="B296" s="1096"/>
      <c r="C296" s="1096"/>
      <c r="D296" s="1096"/>
      <c r="E296" s="1096"/>
      <c r="F296" s="1096"/>
      <c r="G296" s="1096"/>
      <c r="H296" s="1096"/>
    </row>
    <row r="297" spans="1:8">
      <c r="A297" s="1096"/>
      <c r="B297" s="1096"/>
      <c r="C297" s="1096"/>
      <c r="D297" s="1096"/>
      <c r="E297" s="1096"/>
      <c r="F297" s="1096"/>
      <c r="G297" s="1096"/>
      <c r="H297" s="1096"/>
    </row>
    <row r="298" spans="1:8">
      <c r="A298" s="1097" t="s">
        <v>829</v>
      </c>
      <c r="B298" s="1096"/>
      <c r="C298" s="1096"/>
      <c r="D298" s="1096"/>
      <c r="E298" s="1096"/>
      <c r="F298" s="1096"/>
      <c r="G298" s="1096"/>
      <c r="H298" s="1096"/>
    </row>
    <row r="299" spans="1:8">
      <c r="A299" s="1097" t="s">
        <v>830</v>
      </c>
      <c r="B299" s="1096"/>
      <c r="C299" s="1096"/>
      <c r="D299" s="1096"/>
      <c r="E299" s="1096"/>
      <c r="F299" s="1096"/>
      <c r="G299" s="1096"/>
      <c r="H299" s="1096"/>
    </row>
    <row r="300" spans="1:8">
      <c r="A300" s="1097" t="s">
        <v>831</v>
      </c>
      <c r="B300" s="1096"/>
      <c r="C300" s="1096"/>
      <c r="D300" s="1096"/>
      <c r="E300" s="1096"/>
      <c r="F300" s="1096"/>
      <c r="G300" s="1096"/>
      <c r="H300" s="1096"/>
    </row>
    <row r="301" spans="1:8">
      <c r="A301" s="1096"/>
      <c r="B301" s="1096"/>
      <c r="C301" s="1096"/>
      <c r="D301" s="1096"/>
      <c r="E301" s="1096"/>
      <c r="F301" s="1096"/>
      <c r="G301" s="1096"/>
      <c r="H301" s="1096"/>
    </row>
    <row r="302" spans="1:8">
      <c r="A302" s="1097" t="s">
        <v>827</v>
      </c>
      <c r="B302" s="1096"/>
      <c r="C302" s="1096"/>
      <c r="D302" s="1096"/>
      <c r="E302" s="1096"/>
      <c r="F302" s="1096"/>
      <c r="G302" s="1096"/>
      <c r="H302" s="1096"/>
    </row>
    <row r="303" spans="1:8">
      <c r="A303" s="1097" t="s">
        <v>828</v>
      </c>
      <c r="B303" s="1096"/>
      <c r="C303" s="1096"/>
      <c r="D303" s="1096"/>
      <c r="E303" s="1096"/>
      <c r="F303" s="1096"/>
      <c r="G303" s="1096"/>
      <c r="H303" s="1096"/>
    </row>
    <row r="304" spans="1:8">
      <c r="A304" s="1096"/>
      <c r="B304" s="1096"/>
      <c r="C304" s="1096"/>
      <c r="D304" s="1096"/>
      <c r="E304" s="1096"/>
      <c r="F304" s="1096"/>
      <c r="G304" s="1096"/>
      <c r="H304" s="1096"/>
    </row>
    <row r="305" spans="1:8">
      <c r="A305" s="1097" t="s">
        <v>814</v>
      </c>
      <c r="B305" s="1096"/>
      <c r="C305" s="1096"/>
      <c r="D305" s="1096"/>
      <c r="E305" s="1096"/>
      <c r="F305" s="1096"/>
      <c r="G305" s="1096"/>
      <c r="H305" s="1096"/>
    </row>
    <row r="306" spans="1:8">
      <c r="A306" s="1097" t="s">
        <v>815</v>
      </c>
      <c r="B306" s="1096"/>
      <c r="C306" s="1096"/>
      <c r="D306" s="1096"/>
      <c r="E306" s="1096"/>
      <c r="F306" s="1096"/>
      <c r="G306" s="1096"/>
      <c r="H306" s="1096"/>
    </row>
    <row r="307" spans="1:8">
      <c r="A307" s="1097" t="s">
        <v>816</v>
      </c>
      <c r="B307" s="1096"/>
      <c r="C307" s="1096"/>
      <c r="D307" s="1096"/>
      <c r="E307" s="1096"/>
      <c r="F307" s="1096"/>
      <c r="G307" s="1096"/>
      <c r="H307" s="1096"/>
    </row>
    <row r="308" spans="1:8">
      <c r="A308" s="1097" t="s">
        <v>817</v>
      </c>
      <c r="B308" s="1096"/>
      <c r="C308" s="1096"/>
      <c r="D308" s="1096"/>
      <c r="E308" s="1096"/>
      <c r="F308" s="1096"/>
      <c r="G308" s="1096"/>
      <c r="H308" s="1096"/>
    </row>
    <row r="309" spans="1:8">
      <c r="A309" s="1097" t="s">
        <v>818</v>
      </c>
      <c r="B309" s="1096"/>
      <c r="C309" s="1096"/>
      <c r="D309" s="1096"/>
      <c r="E309" s="1096"/>
      <c r="F309" s="1096"/>
      <c r="G309" s="1096"/>
      <c r="H309" s="1096"/>
    </row>
    <row r="310" spans="1:8">
      <c r="A310" s="1097" t="s">
        <v>819</v>
      </c>
      <c r="B310" s="1096"/>
      <c r="C310" s="1096"/>
      <c r="D310" s="1096"/>
      <c r="E310" s="1096"/>
      <c r="F310" s="1096"/>
      <c r="G310" s="1096"/>
      <c r="H310" s="1096"/>
    </row>
    <row r="311" spans="1:8">
      <c r="A311" s="1097" t="s">
        <v>820</v>
      </c>
      <c r="B311" s="1096"/>
      <c r="C311" s="1096"/>
      <c r="D311" s="1096"/>
      <c r="E311" s="1096"/>
      <c r="F311" s="1096"/>
      <c r="G311" s="1096"/>
      <c r="H311" s="1096"/>
    </row>
    <row r="312" spans="1:8">
      <c r="A312" s="1097" t="s">
        <v>821</v>
      </c>
      <c r="B312" s="1096"/>
      <c r="C312" s="1096"/>
      <c r="D312" s="1096"/>
      <c r="E312" s="1096"/>
      <c r="F312" s="1096"/>
      <c r="G312" s="1096"/>
      <c r="H312" s="1096"/>
    </row>
    <row r="313" spans="1:8">
      <c r="A313" s="1097" t="s">
        <v>822</v>
      </c>
      <c r="B313" s="1096"/>
      <c r="C313" s="1096"/>
      <c r="D313" s="1096"/>
      <c r="E313" s="1096"/>
      <c r="F313" s="1096"/>
      <c r="G313" s="1096"/>
      <c r="H313" s="1096"/>
    </row>
    <row r="314" spans="1:8">
      <c r="A314" s="1097" t="s">
        <v>823</v>
      </c>
      <c r="B314" s="1096"/>
      <c r="C314" s="1096"/>
      <c r="D314" s="1096"/>
      <c r="E314" s="1096"/>
      <c r="F314" s="1096"/>
      <c r="G314" s="1096"/>
      <c r="H314" s="1096"/>
    </row>
    <row r="315" spans="1:8">
      <c r="A315" s="1097" t="s">
        <v>824</v>
      </c>
      <c r="B315" s="1096"/>
      <c r="C315" s="1096"/>
      <c r="D315" s="1096"/>
      <c r="E315" s="1096"/>
      <c r="F315" s="1096"/>
      <c r="G315" s="1096"/>
      <c r="H315" s="1096"/>
    </row>
    <row r="316" spans="1:8">
      <c r="A316" s="1097" t="s">
        <v>825</v>
      </c>
      <c r="B316" s="1096"/>
      <c r="C316" s="1096"/>
      <c r="D316" s="1096"/>
      <c r="E316" s="1096"/>
      <c r="F316" s="1096"/>
      <c r="G316" s="1096"/>
      <c r="H316" s="1096"/>
    </row>
    <row r="317" spans="1:8">
      <c r="A317" s="1097" t="s">
        <v>826</v>
      </c>
      <c r="B317" s="1096"/>
      <c r="C317" s="1096"/>
      <c r="D317" s="1096"/>
      <c r="E317" s="1096"/>
      <c r="F317" s="1096"/>
      <c r="G317" s="1096"/>
      <c r="H317" s="1096"/>
    </row>
    <row r="318" spans="1:8">
      <c r="A318" s="1096"/>
      <c r="B318" s="1096"/>
      <c r="C318" s="1096"/>
      <c r="D318" s="1096"/>
      <c r="E318" s="1096"/>
      <c r="F318" s="1096"/>
      <c r="G318" s="1096"/>
      <c r="H318" s="1096"/>
    </row>
    <row r="319" spans="1:8">
      <c r="A319" s="1097" t="s">
        <v>806</v>
      </c>
      <c r="B319" s="1096"/>
      <c r="C319" s="1096"/>
      <c r="D319" s="1096"/>
      <c r="E319" s="1096"/>
      <c r="F319" s="1096"/>
      <c r="G319" s="1096"/>
      <c r="H319" s="1096"/>
    </row>
    <row r="320" spans="1:8">
      <c r="A320" s="1097" t="s">
        <v>807</v>
      </c>
      <c r="B320" s="1096"/>
      <c r="C320" s="1096"/>
      <c r="D320" s="1096"/>
      <c r="E320" s="1096"/>
      <c r="F320" s="1096"/>
      <c r="G320" s="1096"/>
      <c r="H320" s="1096"/>
    </row>
    <row r="321" spans="1:8">
      <c r="A321" s="1097" t="s">
        <v>808</v>
      </c>
      <c r="B321" s="1096"/>
      <c r="C321" s="1096"/>
      <c r="D321" s="1096"/>
      <c r="E321" s="1096"/>
      <c r="F321" s="1096"/>
      <c r="G321" s="1096"/>
      <c r="H321" s="1096"/>
    </row>
    <row r="322" spans="1:8">
      <c r="A322" s="1097" t="s">
        <v>809</v>
      </c>
      <c r="B322" s="1096"/>
      <c r="C322" s="1096"/>
      <c r="D322" s="1096"/>
      <c r="E322" s="1096"/>
      <c r="F322" s="1096"/>
      <c r="G322" s="1096"/>
      <c r="H322" s="1096"/>
    </row>
    <row r="323" spans="1:8">
      <c r="A323" s="1097" t="s">
        <v>810</v>
      </c>
      <c r="B323" s="1096"/>
      <c r="C323" s="1096"/>
      <c r="D323" s="1096"/>
      <c r="E323" s="1096"/>
      <c r="F323" s="1096"/>
      <c r="G323" s="1096"/>
      <c r="H323" s="1096"/>
    </row>
    <row r="324" spans="1:8">
      <c r="A324" s="1097" t="s">
        <v>811</v>
      </c>
      <c r="B324" s="1096"/>
      <c r="C324" s="1096"/>
      <c r="D324" s="1096"/>
      <c r="E324" s="1096"/>
      <c r="F324" s="1096"/>
      <c r="G324" s="1096"/>
      <c r="H324" s="1096"/>
    </row>
    <row r="325" spans="1:8">
      <c r="A325" s="1097" t="s">
        <v>812</v>
      </c>
      <c r="B325" s="1096"/>
      <c r="C325" s="1096"/>
      <c r="D325" s="1096"/>
      <c r="E325" s="1096"/>
      <c r="F325" s="1096"/>
      <c r="G325" s="1096"/>
      <c r="H325" s="1096"/>
    </row>
    <row r="326" spans="1:8">
      <c r="A326" s="1097" t="s">
        <v>813</v>
      </c>
      <c r="B326" s="1096"/>
      <c r="C326" s="1096"/>
      <c r="D326" s="1096"/>
      <c r="E326" s="1096"/>
      <c r="F326" s="1096"/>
      <c r="G326" s="1096"/>
      <c r="H326" s="1096"/>
    </row>
    <row r="327" spans="1:8">
      <c r="A327" s="1096"/>
      <c r="B327" s="1096"/>
      <c r="C327" s="1096"/>
      <c r="D327" s="1096"/>
      <c r="E327" s="1096"/>
      <c r="F327" s="1096"/>
      <c r="G327" s="1096"/>
      <c r="H327" s="1096"/>
    </row>
    <row r="328" spans="1:8">
      <c r="A328" s="1097" t="s">
        <v>771</v>
      </c>
      <c r="B328" s="1096"/>
      <c r="C328" s="1096"/>
      <c r="D328" s="1096"/>
      <c r="E328" s="1096"/>
      <c r="F328" s="1096"/>
      <c r="G328" s="1096"/>
      <c r="H328" s="1096"/>
    </row>
    <row r="329" spans="1:8">
      <c r="A329" s="1097" t="s">
        <v>772</v>
      </c>
      <c r="B329" s="1096"/>
      <c r="C329" s="1096"/>
      <c r="D329" s="1096"/>
      <c r="E329" s="1096"/>
      <c r="F329" s="1096"/>
      <c r="G329" s="1096"/>
      <c r="H329" s="1096"/>
    </row>
    <row r="330" spans="1:8">
      <c r="A330" s="1097" t="s">
        <v>773</v>
      </c>
      <c r="B330" s="1096"/>
      <c r="C330" s="1096"/>
      <c r="D330" s="1096"/>
      <c r="E330" s="1096"/>
      <c r="F330" s="1096"/>
      <c r="G330" s="1096"/>
      <c r="H330" s="1096"/>
    </row>
    <row r="331" spans="1:8">
      <c r="A331" s="1097" t="s">
        <v>774</v>
      </c>
      <c r="B331" s="1096"/>
      <c r="C331" s="1096"/>
      <c r="D331" s="1096"/>
      <c r="E331" s="1096"/>
      <c r="F331" s="1096"/>
      <c r="G331" s="1096"/>
      <c r="H331" s="1096"/>
    </row>
    <row r="332" spans="1:8">
      <c r="A332" s="1097" t="s">
        <v>775</v>
      </c>
      <c r="B332" s="1096"/>
      <c r="C332" s="1096"/>
      <c r="D332" s="1096"/>
      <c r="E332" s="1096"/>
      <c r="F332" s="1096"/>
      <c r="G332" s="1096"/>
      <c r="H332" s="1096"/>
    </row>
    <row r="333" spans="1:8">
      <c r="A333" s="1097" t="s">
        <v>776</v>
      </c>
      <c r="B333" s="1096"/>
      <c r="C333" s="1096"/>
      <c r="D333" s="1096"/>
      <c r="E333" s="1096"/>
      <c r="F333" s="1096"/>
      <c r="G333" s="1096"/>
      <c r="H333" s="1096"/>
    </row>
    <row r="334" spans="1:8">
      <c r="A334" s="1097" t="s">
        <v>777</v>
      </c>
      <c r="B334" s="1096"/>
      <c r="C334" s="1096"/>
      <c r="D334" s="1096"/>
      <c r="E334" s="1096"/>
      <c r="F334" s="1096"/>
      <c r="G334" s="1096"/>
      <c r="H334" s="1096"/>
    </row>
    <row r="335" spans="1:8">
      <c r="A335" s="1097" t="s">
        <v>778</v>
      </c>
      <c r="B335" s="1096"/>
      <c r="C335" s="1096"/>
      <c r="D335" s="1096"/>
      <c r="E335" s="1096"/>
      <c r="F335" s="1096"/>
      <c r="G335" s="1096"/>
      <c r="H335" s="1096"/>
    </row>
    <row r="336" spans="1:8">
      <c r="A336" s="1097" t="s">
        <v>779</v>
      </c>
      <c r="B336" s="1096"/>
      <c r="C336" s="1096"/>
      <c r="D336" s="1096"/>
      <c r="E336" s="1096"/>
      <c r="F336" s="1096"/>
      <c r="G336" s="1096"/>
      <c r="H336" s="1096"/>
    </row>
    <row r="337" spans="1:8">
      <c r="A337" s="1097" t="s">
        <v>780</v>
      </c>
      <c r="B337" s="1096"/>
      <c r="C337" s="1096"/>
      <c r="D337" s="1096"/>
      <c r="E337" s="1096"/>
      <c r="F337" s="1096"/>
      <c r="G337" s="1096"/>
      <c r="H337" s="1096"/>
    </row>
    <row r="338" spans="1:8">
      <c r="A338" s="1097" t="s">
        <v>781</v>
      </c>
      <c r="B338" s="1096"/>
      <c r="C338" s="1096"/>
      <c r="D338" s="1096"/>
      <c r="E338" s="1096"/>
      <c r="F338" s="1096"/>
      <c r="G338" s="1096"/>
      <c r="H338" s="1096"/>
    </row>
    <row r="339" spans="1:8">
      <c r="A339" s="1097" t="s">
        <v>782</v>
      </c>
      <c r="B339" s="1096"/>
      <c r="C339" s="1096"/>
      <c r="D339" s="1096"/>
      <c r="E339" s="1096"/>
      <c r="F339" s="1096"/>
      <c r="G339" s="1096"/>
      <c r="H339" s="1096"/>
    </row>
    <row r="340" spans="1:8">
      <c r="A340" s="1097" t="s">
        <v>783</v>
      </c>
      <c r="B340" s="1096"/>
      <c r="C340" s="1096"/>
      <c r="D340" s="1096"/>
      <c r="E340" s="1096"/>
      <c r="F340" s="1096"/>
      <c r="G340" s="1096"/>
      <c r="H340" s="1096"/>
    </row>
    <row r="341" spans="1:8">
      <c r="A341" s="1097" t="s">
        <v>784</v>
      </c>
      <c r="B341" s="1096"/>
      <c r="C341" s="1096"/>
      <c r="D341" s="1096"/>
      <c r="E341" s="1096"/>
      <c r="F341" s="1096"/>
      <c r="G341" s="1096"/>
      <c r="H341" s="1096"/>
    </row>
    <row r="342" spans="1:8">
      <c r="A342" s="1097" t="s">
        <v>785</v>
      </c>
      <c r="B342" s="1096"/>
      <c r="C342" s="1096"/>
      <c r="D342" s="1096"/>
      <c r="E342" s="1096"/>
      <c r="F342" s="1096"/>
      <c r="G342" s="1096"/>
      <c r="H342" s="1096"/>
    </row>
    <row r="343" spans="1:8">
      <c r="A343" s="1097" t="s">
        <v>786</v>
      </c>
      <c r="B343" s="1096"/>
      <c r="C343" s="1096"/>
      <c r="D343" s="1096"/>
      <c r="E343" s="1096"/>
      <c r="F343" s="1096"/>
      <c r="G343" s="1096"/>
      <c r="H343" s="1096"/>
    </row>
    <row r="344" spans="1:8">
      <c r="A344" s="1097" t="s">
        <v>787</v>
      </c>
      <c r="B344" s="1096"/>
      <c r="C344" s="1096"/>
      <c r="D344" s="1096"/>
      <c r="E344" s="1096"/>
      <c r="F344" s="1096"/>
      <c r="G344" s="1096"/>
      <c r="H344" s="1096"/>
    </row>
    <row r="345" spans="1:8">
      <c r="A345" s="1097" t="s">
        <v>788</v>
      </c>
      <c r="B345" s="1096"/>
      <c r="C345" s="1096"/>
      <c r="D345" s="1096"/>
      <c r="E345" s="1096"/>
      <c r="F345" s="1096"/>
      <c r="G345" s="1096"/>
      <c r="H345" s="1096"/>
    </row>
    <row r="346" spans="1:8">
      <c r="A346" s="1097" t="s">
        <v>789</v>
      </c>
      <c r="B346" s="1096"/>
      <c r="C346" s="1096"/>
      <c r="D346" s="1096"/>
      <c r="E346" s="1096"/>
      <c r="F346" s="1096"/>
      <c r="G346" s="1096"/>
      <c r="H346" s="1096"/>
    </row>
    <row r="347" spans="1:8">
      <c r="A347" s="1097" t="s">
        <v>790</v>
      </c>
      <c r="B347" s="1096"/>
      <c r="C347" s="1096"/>
      <c r="D347" s="1096"/>
      <c r="E347" s="1096"/>
      <c r="F347" s="1096"/>
      <c r="G347" s="1096"/>
      <c r="H347" s="1096"/>
    </row>
    <row r="348" spans="1:8">
      <c r="A348" s="1097" t="s">
        <v>791</v>
      </c>
      <c r="B348" s="1096"/>
      <c r="C348" s="1096"/>
      <c r="D348" s="1096"/>
      <c r="E348" s="1096"/>
      <c r="F348" s="1096"/>
      <c r="G348" s="1096"/>
      <c r="H348" s="1096"/>
    </row>
    <row r="349" spans="1:8">
      <c r="A349" s="1097" t="s">
        <v>792</v>
      </c>
      <c r="B349" s="1096"/>
      <c r="C349" s="1096"/>
      <c r="D349" s="1096"/>
      <c r="E349" s="1096"/>
      <c r="F349" s="1096"/>
      <c r="G349" s="1096"/>
      <c r="H349" s="1096"/>
    </row>
    <row r="350" spans="1:8">
      <c r="A350" s="1097" t="s">
        <v>793</v>
      </c>
      <c r="B350" s="1096"/>
      <c r="C350" s="1096"/>
      <c r="D350" s="1096"/>
      <c r="E350" s="1096"/>
      <c r="F350" s="1096"/>
      <c r="G350" s="1096"/>
      <c r="H350" s="1096"/>
    </row>
    <row r="351" spans="1:8">
      <c r="A351" s="1097" t="s">
        <v>794</v>
      </c>
      <c r="B351" s="1096"/>
      <c r="C351" s="1096"/>
      <c r="D351" s="1096"/>
      <c r="E351" s="1096"/>
      <c r="F351" s="1096"/>
      <c r="G351" s="1096"/>
      <c r="H351" s="1096"/>
    </row>
    <row r="352" spans="1:8">
      <c r="A352" s="1097" t="s">
        <v>795</v>
      </c>
      <c r="B352" s="1096"/>
      <c r="C352" s="1096"/>
      <c r="D352" s="1096"/>
      <c r="E352" s="1096"/>
      <c r="F352" s="1096"/>
      <c r="G352" s="1096"/>
      <c r="H352" s="1096"/>
    </row>
    <row r="353" spans="1:8">
      <c r="A353" s="1097" t="s">
        <v>796</v>
      </c>
      <c r="B353" s="1096"/>
      <c r="C353" s="1096"/>
      <c r="D353" s="1096"/>
      <c r="E353" s="1096"/>
      <c r="F353" s="1096"/>
      <c r="G353" s="1096"/>
      <c r="H353" s="1096"/>
    </row>
    <row r="354" spans="1:8">
      <c r="A354" s="1097" t="s">
        <v>797</v>
      </c>
      <c r="B354" s="1096"/>
      <c r="C354" s="1096"/>
      <c r="D354" s="1096"/>
      <c r="E354" s="1096"/>
      <c r="F354" s="1096"/>
      <c r="G354" s="1096"/>
      <c r="H354" s="1096"/>
    </row>
    <row r="355" spans="1:8">
      <c r="A355" s="1097" t="s">
        <v>798</v>
      </c>
      <c r="B355" s="1096"/>
      <c r="C355" s="1096"/>
      <c r="D355" s="1096"/>
      <c r="E355" s="1096"/>
      <c r="F355" s="1096"/>
      <c r="G355" s="1096"/>
      <c r="H355" s="1096"/>
    </row>
    <row r="356" spans="1:8">
      <c r="A356" s="1097" t="s">
        <v>799</v>
      </c>
      <c r="B356" s="1096"/>
      <c r="C356" s="1096"/>
      <c r="D356" s="1096"/>
      <c r="E356" s="1096"/>
      <c r="F356" s="1096"/>
      <c r="G356" s="1096"/>
      <c r="H356" s="1096"/>
    </row>
    <row r="357" spans="1:8">
      <c r="A357" s="1097" t="s">
        <v>800</v>
      </c>
      <c r="B357" s="1096"/>
      <c r="C357" s="1096"/>
      <c r="D357" s="1096"/>
      <c r="E357" s="1096"/>
      <c r="F357" s="1096"/>
      <c r="G357" s="1096"/>
      <c r="H357" s="1096"/>
    </row>
    <row r="358" spans="1:8">
      <c r="A358" s="1097" t="s">
        <v>801</v>
      </c>
      <c r="B358" s="1096"/>
      <c r="C358" s="1096"/>
      <c r="D358" s="1096"/>
      <c r="E358" s="1096"/>
      <c r="F358" s="1096"/>
      <c r="G358" s="1096"/>
      <c r="H358" s="1096"/>
    </row>
    <row r="359" spans="1:8">
      <c r="A359" s="1097" t="s">
        <v>802</v>
      </c>
      <c r="B359" s="1096"/>
      <c r="C359" s="1096"/>
      <c r="D359" s="1096"/>
      <c r="E359" s="1096"/>
      <c r="F359" s="1096"/>
      <c r="G359" s="1096"/>
      <c r="H359" s="1096"/>
    </row>
    <row r="360" spans="1:8">
      <c r="A360" s="1097" t="s">
        <v>803</v>
      </c>
      <c r="B360" s="1096"/>
      <c r="C360" s="1096"/>
      <c r="D360" s="1096"/>
      <c r="E360" s="1096"/>
      <c r="F360" s="1096"/>
      <c r="G360" s="1096"/>
      <c r="H360" s="1096"/>
    </row>
    <row r="361" spans="1:8">
      <c r="A361" s="1097" t="s">
        <v>804</v>
      </c>
      <c r="B361" s="1096"/>
      <c r="C361" s="1096"/>
      <c r="D361" s="1096"/>
      <c r="E361" s="1096"/>
      <c r="F361" s="1096"/>
      <c r="G361" s="1096"/>
      <c r="H361" s="1096"/>
    </row>
    <row r="362" spans="1:8">
      <c r="A362" s="1097" t="s">
        <v>805</v>
      </c>
      <c r="B362" s="1096"/>
      <c r="C362" s="1096"/>
      <c r="D362" s="1096"/>
      <c r="E362" s="1096"/>
      <c r="F362" s="1096"/>
      <c r="G362" s="1096"/>
      <c r="H362" s="1096"/>
    </row>
    <row r="363" spans="1:8">
      <c r="A363" s="1096"/>
      <c r="B363" s="1096"/>
      <c r="C363" s="1096"/>
      <c r="D363" s="1096"/>
      <c r="E363" s="1096"/>
      <c r="F363" s="1096"/>
      <c r="G363" s="1096"/>
      <c r="H363" s="1096"/>
    </row>
    <row r="364" spans="1:8">
      <c r="A364" s="1097" t="s">
        <v>763</v>
      </c>
      <c r="B364" s="1096"/>
      <c r="C364" s="1096"/>
      <c r="D364" s="1096"/>
      <c r="E364" s="1096"/>
      <c r="F364" s="1096"/>
      <c r="G364" s="1096"/>
      <c r="H364" s="1096"/>
    </row>
    <row r="365" spans="1:8">
      <c r="A365" s="1097" t="s">
        <v>767</v>
      </c>
      <c r="B365" s="1096"/>
      <c r="C365" s="1096"/>
      <c r="D365" s="1096"/>
      <c r="E365" s="1096"/>
      <c r="F365" s="1096"/>
      <c r="G365" s="1096"/>
      <c r="H365" s="1096"/>
    </row>
    <row r="366" spans="1:8">
      <c r="A366" s="1097" t="s">
        <v>768</v>
      </c>
      <c r="B366" s="1096"/>
      <c r="C366" s="1096"/>
      <c r="D366" s="1096"/>
      <c r="E366" s="1096"/>
      <c r="F366" s="1096"/>
      <c r="G366" s="1096"/>
      <c r="H366" s="1096"/>
    </row>
    <row r="367" spans="1:8">
      <c r="A367" s="1097" t="s">
        <v>769</v>
      </c>
      <c r="B367" s="1096"/>
      <c r="C367" s="1096"/>
      <c r="D367" s="1096"/>
      <c r="E367" s="1096"/>
      <c r="F367" s="1096"/>
      <c r="G367" s="1096"/>
      <c r="H367" s="1096"/>
    </row>
    <row r="368" spans="1:8">
      <c r="A368" s="1097" t="s">
        <v>770</v>
      </c>
      <c r="B368" s="1096"/>
      <c r="C368" s="1096"/>
      <c r="D368" s="1096"/>
      <c r="E368" s="1096"/>
      <c r="F368" s="1096"/>
      <c r="G368" s="1096"/>
      <c r="H368" s="1096"/>
    </row>
    <row r="369" spans="1:8">
      <c r="A369" s="1096"/>
      <c r="B369" s="1096"/>
      <c r="C369" s="1096"/>
      <c r="D369" s="1096"/>
      <c r="E369" s="1096"/>
      <c r="F369" s="1096"/>
      <c r="G369" s="1096"/>
      <c r="H369" s="1096"/>
    </row>
    <row r="370" spans="1:8">
      <c r="A370" s="1097" t="s">
        <v>763</v>
      </c>
      <c r="B370" s="1096"/>
      <c r="C370" s="1096"/>
      <c r="D370" s="1096"/>
      <c r="E370" s="1096"/>
      <c r="F370" s="1096"/>
      <c r="G370" s="1096"/>
      <c r="H370" s="1096"/>
    </row>
    <row r="371" spans="1:8">
      <c r="A371" s="1097" t="s">
        <v>764</v>
      </c>
      <c r="B371" s="1096"/>
      <c r="C371" s="1096"/>
      <c r="D371" s="1096"/>
      <c r="E371" s="1096"/>
      <c r="F371" s="1096"/>
      <c r="G371" s="1096"/>
      <c r="H371" s="1096"/>
    </row>
    <row r="372" spans="1:8">
      <c r="A372" s="1097" t="s">
        <v>765</v>
      </c>
      <c r="B372" s="1096"/>
      <c r="C372" s="1096"/>
      <c r="D372" s="1096"/>
      <c r="E372" s="1096"/>
      <c r="F372" s="1096"/>
      <c r="G372" s="1096"/>
      <c r="H372" s="1096"/>
    </row>
    <row r="373" spans="1:8">
      <c r="A373" s="1097" t="s">
        <v>766</v>
      </c>
      <c r="B373" s="1096"/>
      <c r="C373" s="1096"/>
      <c r="D373" s="1096"/>
      <c r="E373" s="1096"/>
      <c r="F373" s="1096"/>
      <c r="G373" s="1096"/>
      <c r="H373" s="1096"/>
    </row>
    <row r="374" spans="1:8">
      <c r="A374" s="1096"/>
      <c r="B374" s="1096"/>
      <c r="C374" s="1096"/>
      <c r="D374" s="1096"/>
      <c r="E374" s="1096"/>
      <c r="F374" s="1096"/>
      <c r="G374" s="1096"/>
      <c r="H374" s="1096"/>
    </row>
    <row r="375" spans="1:8">
      <c r="A375" s="1097" t="s">
        <v>757</v>
      </c>
      <c r="B375" s="1096"/>
      <c r="C375" s="1096"/>
      <c r="D375" s="1096"/>
      <c r="E375" s="1096"/>
      <c r="F375" s="1096"/>
      <c r="G375" s="1096"/>
      <c r="H375" s="1096"/>
    </row>
    <row r="376" spans="1:8">
      <c r="A376" s="1097" t="s">
        <v>758</v>
      </c>
      <c r="B376" s="1096"/>
      <c r="C376" s="1096"/>
      <c r="D376" s="1096"/>
      <c r="E376" s="1096"/>
      <c r="F376" s="1096"/>
      <c r="G376" s="1096"/>
      <c r="H376" s="1096"/>
    </row>
    <row r="377" spans="1:8">
      <c r="A377" s="1097" t="s">
        <v>759</v>
      </c>
      <c r="B377" s="1096"/>
      <c r="C377" s="1096"/>
      <c r="D377" s="1096"/>
      <c r="E377" s="1096"/>
      <c r="F377" s="1096"/>
      <c r="G377" s="1096"/>
      <c r="H377" s="1096"/>
    </row>
    <row r="378" spans="1:8">
      <c r="A378" s="1097" t="s">
        <v>760</v>
      </c>
      <c r="B378" s="1096"/>
      <c r="C378" s="1096"/>
      <c r="D378" s="1096"/>
      <c r="E378" s="1096"/>
      <c r="F378" s="1096"/>
      <c r="G378" s="1096"/>
      <c r="H378" s="1096"/>
    </row>
    <row r="379" spans="1:8">
      <c r="A379" s="1097" t="s">
        <v>761</v>
      </c>
      <c r="B379" s="1096"/>
      <c r="C379" s="1096"/>
      <c r="D379" s="1096"/>
      <c r="E379" s="1096"/>
      <c r="F379" s="1096"/>
      <c r="G379" s="1096"/>
      <c r="H379" s="1096"/>
    </row>
    <row r="380" spans="1:8">
      <c r="A380" s="1097" t="s">
        <v>762</v>
      </c>
      <c r="B380" s="1096"/>
      <c r="C380" s="1096"/>
      <c r="D380" s="1096"/>
      <c r="E380" s="1096"/>
      <c r="F380" s="1096"/>
      <c r="G380" s="1096"/>
      <c r="H380" s="1096"/>
    </row>
    <row r="381" spans="1:8">
      <c r="A381" s="1096"/>
      <c r="B381" s="1096"/>
      <c r="C381" s="1096"/>
      <c r="D381" s="1096"/>
      <c r="E381" s="1096"/>
      <c r="F381" s="1096"/>
      <c r="G381" s="1096"/>
      <c r="H381" s="1096"/>
    </row>
    <row r="382" spans="1:8">
      <c r="A382" s="1097" t="s">
        <v>752</v>
      </c>
      <c r="B382" s="1096"/>
      <c r="C382" s="1096"/>
      <c r="D382" s="1096"/>
      <c r="E382" s="1096"/>
      <c r="F382" s="1096"/>
      <c r="G382" s="1096"/>
      <c r="H382" s="1096"/>
    </row>
    <row r="383" spans="1:8">
      <c r="A383" s="1097" t="s">
        <v>753</v>
      </c>
      <c r="B383" s="1096"/>
      <c r="C383" s="1096"/>
      <c r="D383" s="1096"/>
      <c r="E383" s="1096"/>
      <c r="F383" s="1096"/>
      <c r="G383" s="1096"/>
      <c r="H383" s="1096"/>
    </row>
    <row r="384" spans="1:8">
      <c r="A384" s="1097" t="s">
        <v>754</v>
      </c>
      <c r="B384" s="1096"/>
      <c r="C384" s="1096"/>
      <c r="D384" s="1096"/>
      <c r="E384" s="1096"/>
      <c r="F384" s="1096"/>
      <c r="G384" s="1096"/>
      <c r="H384" s="1096"/>
    </row>
    <row r="385" spans="1:8">
      <c r="A385" s="1097" t="s">
        <v>755</v>
      </c>
      <c r="B385" s="1096"/>
      <c r="C385" s="1096"/>
      <c r="D385" s="1096"/>
      <c r="E385" s="1096"/>
      <c r="F385" s="1096"/>
      <c r="G385" s="1096"/>
      <c r="H385" s="1096"/>
    </row>
    <row r="386" spans="1:8">
      <c r="A386" s="1097" t="s">
        <v>756</v>
      </c>
      <c r="B386" s="1096"/>
      <c r="C386" s="1096"/>
      <c r="D386" s="1096"/>
      <c r="E386" s="1096"/>
      <c r="F386" s="1096"/>
      <c r="G386" s="1096"/>
      <c r="H386" s="1096"/>
    </row>
    <row r="387" spans="1:8">
      <c r="A387" s="1096"/>
      <c r="B387" s="1096"/>
      <c r="C387" s="1096"/>
      <c r="D387" s="1096"/>
      <c r="E387" s="1096"/>
      <c r="F387" s="1096"/>
      <c r="G387" s="1096"/>
      <c r="H387" s="1096"/>
    </row>
    <row r="388" spans="1:8">
      <c r="A388" s="1097" t="s">
        <v>750</v>
      </c>
      <c r="B388" s="1096"/>
      <c r="C388" s="1096"/>
      <c r="D388" s="1096"/>
      <c r="E388" s="1096"/>
      <c r="F388" s="1096"/>
      <c r="G388" s="1096"/>
      <c r="H388" s="1096"/>
    </row>
    <row r="389" spans="1:8">
      <c r="A389" s="1097" t="s">
        <v>751</v>
      </c>
      <c r="B389" s="1096"/>
      <c r="C389" s="1096"/>
      <c r="D389" s="1096"/>
      <c r="E389" s="1096"/>
      <c r="F389" s="1096"/>
      <c r="G389" s="1096"/>
      <c r="H389" s="1096"/>
    </row>
    <row r="391" spans="1:8">
      <c r="A391" s="1092" t="s">
        <v>1006</v>
      </c>
    </row>
  </sheetData>
  <mergeCells count="12">
    <mergeCell ref="A114:H114"/>
    <mergeCell ref="A121:H121"/>
    <mergeCell ref="A108:H108"/>
    <mergeCell ref="A109:H109"/>
    <mergeCell ref="A110:H110"/>
    <mergeCell ref="A111:H111"/>
    <mergeCell ref="A113:H113"/>
    <mergeCell ref="A129:H129"/>
    <mergeCell ref="A130:H130"/>
    <mergeCell ref="B122:C122"/>
    <mergeCell ref="D122:F122"/>
    <mergeCell ref="G122:H122"/>
  </mergeCells>
  <pageMargins left="0.5" right="0.5" top="0.5" bottom="0.5" header="0.5" footer="0.5"/>
  <pageSetup orientation="portrait" horizontalDpi="300" verticalDpi="0"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B11"/>
  <sheetViews>
    <sheetView showGridLines="0" showRowColHeaders="0" workbookViewId="0">
      <selection activeCell="N1" sqref="N1"/>
    </sheetView>
  </sheetViews>
  <sheetFormatPr defaultRowHeight="12.75"/>
  <cols>
    <col min="1" max="1" width="9.140625" style="1085"/>
    <col min="2" max="2" width="88.28515625" style="1085" customWidth="1"/>
    <col min="3" max="257" width="9.140625" style="1085"/>
    <col min="258" max="258" width="88.28515625" style="1085" customWidth="1"/>
    <col min="259" max="513" width="9.140625" style="1085"/>
    <col min="514" max="514" width="88.28515625" style="1085" customWidth="1"/>
    <col min="515" max="769" width="9.140625" style="1085"/>
    <col min="770" max="770" width="88.28515625" style="1085" customWidth="1"/>
    <col min="771" max="1025" width="9.140625" style="1085"/>
    <col min="1026" max="1026" width="88.28515625" style="1085" customWidth="1"/>
    <col min="1027" max="1281" width="9.140625" style="1085"/>
    <col min="1282" max="1282" width="88.28515625" style="1085" customWidth="1"/>
    <col min="1283" max="1537" width="9.140625" style="1085"/>
    <col min="1538" max="1538" width="88.28515625" style="1085" customWidth="1"/>
    <col min="1539" max="1793" width="9.140625" style="1085"/>
    <col min="1794" max="1794" width="88.28515625" style="1085" customWidth="1"/>
    <col min="1795" max="2049" width="9.140625" style="1085"/>
    <col min="2050" max="2050" width="88.28515625" style="1085" customWidth="1"/>
    <col min="2051" max="2305" width="9.140625" style="1085"/>
    <col min="2306" max="2306" width="88.28515625" style="1085" customWidth="1"/>
    <col min="2307" max="2561" width="9.140625" style="1085"/>
    <col min="2562" max="2562" width="88.28515625" style="1085" customWidth="1"/>
    <col min="2563" max="2817" width="9.140625" style="1085"/>
    <col min="2818" max="2818" width="88.28515625" style="1085" customWidth="1"/>
    <col min="2819" max="3073" width="9.140625" style="1085"/>
    <col min="3074" max="3074" width="88.28515625" style="1085" customWidth="1"/>
    <col min="3075" max="3329" width="9.140625" style="1085"/>
    <col min="3330" max="3330" width="88.28515625" style="1085" customWidth="1"/>
    <col min="3331" max="3585" width="9.140625" style="1085"/>
    <col min="3586" max="3586" width="88.28515625" style="1085" customWidth="1"/>
    <col min="3587" max="3841" width="9.140625" style="1085"/>
    <col min="3842" max="3842" width="88.28515625" style="1085" customWidth="1"/>
    <col min="3843" max="4097" width="9.140625" style="1085"/>
    <col min="4098" max="4098" width="88.28515625" style="1085" customWidth="1"/>
    <col min="4099" max="4353" width="9.140625" style="1085"/>
    <col min="4354" max="4354" width="88.28515625" style="1085" customWidth="1"/>
    <col min="4355" max="4609" width="9.140625" style="1085"/>
    <col min="4610" max="4610" width="88.28515625" style="1085" customWidth="1"/>
    <col min="4611" max="4865" width="9.140625" style="1085"/>
    <col min="4866" max="4866" width="88.28515625" style="1085" customWidth="1"/>
    <col min="4867" max="5121" width="9.140625" style="1085"/>
    <col min="5122" max="5122" width="88.28515625" style="1085" customWidth="1"/>
    <col min="5123" max="5377" width="9.140625" style="1085"/>
    <col min="5378" max="5378" width="88.28515625" style="1085" customWidth="1"/>
    <col min="5379" max="5633" width="9.140625" style="1085"/>
    <col min="5634" max="5634" width="88.28515625" style="1085" customWidth="1"/>
    <col min="5635" max="5889" width="9.140625" style="1085"/>
    <col min="5890" max="5890" width="88.28515625" style="1085" customWidth="1"/>
    <col min="5891" max="6145" width="9.140625" style="1085"/>
    <col min="6146" max="6146" width="88.28515625" style="1085" customWidth="1"/>
    <col min="6147" max="6401" width="9.140625" style="1085"/>
    <col min="6402" max="6402" width="88.28515625" style="1085" customWidth="1"/>
    <col min="6403" max="6657" width="9.140625" style="1085"/>
    <col min="6658" max="6658" width="88.28515625" style="1085" customWidth="1"/>
    <col min="6659" max="6913" width="9.140625" style="1085"/>
    <col min="6914" max="6914" width="88.28515625" style="1085" customWidth="1"/>
    <col min="6915" max="7169" width="9.140625" style="1085"/>
    <col min="7170" max="7170" width="88.28515625" style="1085" customWidth="1"/>
    <col min="7171" max="7425" width="9.140625" style="1085"/>
    <col min="7426" max="7426" width="88.28515625" style="1085" customWidth="1"/>
    <col min="7427" max="7681" width="9.140625" style="1085"/>
    <col min="7682" max="7682" width="88.28515625" style="1085" customWidth="1"/>
    <col min="7683" max="7937" width="9.140625" style="1085"/>
    <col min="7938" max="7938" width="88.28515625" style="1085" customWidth="1"/>
    <col min="7939" max="8193" width="9.140625" style="1085"/>
    <col min="8194" max="8194" width="88.28515625" style="1085" customWidth="1"/>
    <col min="8195" max="8449" width="9.140625" style="1085"/>
    <col min="8450" max="8450" width="88.28515625" style="1085" customWidth="1"/>
    <col min="8451" max="8705" width="9.140625" style="1085"/>
    <col min="8706" max="8706" width="88.28515625" style="1085" customWidth="1"/>
    <col min="8707" max="8961" width="9.140625" style="1085"/>
    <col min="8962" max="8962" width="88.28515625" style="1085" customWidth="1"/>
    <col min="8963" max="9217" width="9.140625" style="1085"/>
    <col min="9218" max="9218" width="88.28515625" style="1085" customWidth="1"/>
    <col min="9219" max="9473" width="9.140625" style="1085"/>
    <col min="9474" max="9474" width="88.28515625" style="1085" customWidth="1"/>
    <col min="9475" max="9729" width="9.140625" style="1085"/>
    <col min="9730" max="9730" width="88.28515625" style="1085" customWidth="1"/>
    <col min="9731" max="9985" width="9.140625" style="1085"/>
    <col min="9986" max="9986" width="88.28515625" style="1085" customWidth="1"/>
    <col min="9987" max="10241" width="9.140625" style="1085"/>
    <col min="10242" max="10242" width="88.28515625" style="1085" customWidth="1"/>
    <col min="10243" max="10497" width="9.140625" style="1085"/>
    <col min="10498" max="10498" width="88.28515625" style="1085" customWidth="1"/>
    <col min="10499" max="10753" width="9.140625" style="1085"/>
    <col min="10754" max="10754" width="88.28515625" style="1085" customWidth="1"/>
    <col min="10755" max="11009" width="9.140625" style="1085"/>
    <col min="11010" max="11010" width="88.28515625" style="1085" customWidth="1"/>
    <col min="11011" max="11265" width="9.140625" style="1085"/>
    <col min="11266" max="11266" width="88.28515625" style="1085" customWidth="1"/>
    <col min="11267" max="11521" width="9.140625" style="1085"/>
    <col min="11522" max="11522" width="88.28515625" style="1085" customWidth="1"/>
    <col min="11523" max="11777" width="9.140625" style="1085"/>
    <col min="11778" max="11778" width="88.28515625" style="1085" customWidth="1"/>
    <col min="11779" max="12033" width="9.140625" style="1085"/>
    <col min="12034" max="12034" width="88.28515625" style="1085" customWidth="1"/>
    <col min="12035" max="12289" width="9.140625" style="1085"/>
    <col min="12290" max="12290" width="88.28515625" style="1085" customWidth="1"/>
    <col min="12291" max="12545" width="9.140625" style="1085"/>
    <col min="12546" max="12546" width="88.28515625" style="1085" customWidth="1"/>
    <col min="12547" max="12801" width="9.140625" style="1085"/>
    <col min="12802" max="12802" width="88.28515625" style="1085" customWidth="1"/>
    <col min="12803" max="13057" width="9.140625" style="1085"/>
    <col min="13058" max="13058" width="88.28515625" style="1085" customWidth="1"/>
    <col min="13059" max="13313" width="9.140625" style="1085"/>
    <col min="13314" max="13314" width="88.28515625" style="1085" customWidth="1"/>
    <col min="13315" max="13569" width="9.140625" style="1085"/>
    <col min="13570" max="13570" width="88.28515625" style="1085" customWidth="1"/>
    <col min="13571" max="13825" width="9.140625" style="1085"/>
    <col min="13826" max="13826" width="88.28515625" style="1085" customWidth="1"/>
    <col min="13827" max="14081" width="9.140625" style="1085"/>
    <col min="14082" max="14082" width="88.28515625" style="1085" customWidth="1"/>
    <col min="14083" max="14337" width="9.140625" style="1085"/>
    <col min="14338" max="14338" width="88.28515625" style="1085" customWidth="1"/>
    <col min="14339" max="14593" width="9.140625" style="1085"/>
    <col min="14594" max="14594" width="88.28515625" style="1085" customWidth="1"/>
    <col min="14595" max="14849" width="9.140625" style="1085"/>
    <col min="14850" max="14850" width="88.28515625" style="1085" customWidth="1"/>
    <col min="14851" max="15105" width="9.140625" style="1085"/>
    <col min="15106" max="15106" width="88.28515625" style="1085" customWidth="1"/>
    <col min="15107" max="15361" width="9.140625" style="1085"/>
    <col min="15362" max="15362" width="88.28515625" style="1085" customWidth="1"/>
    <col min="15363" max="15617" width="9.140625" style="1085"/>
    <col min="15618" max="15618" width="88.28515625" style="1085" customWidth="1"/>
    <col min="15619" max="15873" width="9.140625" style="1085"/>
    <col min="15874" max="15874" width="88.28515625" style="1085" customWidth="1"/>
    <col min="15875" max="16129" width="9.140625" style="1085"/>
    <col min="16130" max="16130" width="88.28515625" style="1085" customWidth="1"/>
    <col min="16131" max="16384" width="9.140625" style="1085"/>
  </cols>
  <sheetData>
    <row r="1" spans="2:2" ht="32.25" customHeight="1"/>
    <row r="2" spans="2:2" ht="72" hidden="1">
      <c r="B2" s="1108" t="s">
        <v>1074</v>
      </c>
    </row>
    <row r="3" spans="2:2" ht="72">
      <c r="B3" s="1108" t="s">
        <v>1075</v>
      </c>
    </row>
    <row r="4" spans="2:2" ht="18" hidden="1">
      <c r="B4" s="1108"/>
    </row>
    <row r="5" spans="2:2" ht="54" hidden="1">
      <c r="B5" s="1108" t="s">
        <v>1076</v>
      </c>
    </row>
    <row r="6" spans="2:2" ht="7.5" customHeight="1">
      <c r="B6" s="1108"/>
    </row>
    <row r="7" spans="2:2" ht="18">
      <c r="B7" s="1109" t="s">
        <v>1077</v>
      </c>
    </row>
    <row r="8" spans="2:2" ht="18">
      <c r="B8" s="1109" t="s">
        <v>1079</v>
      </c>
    </row>
    <row r="9" spans="2:2" ht="18">
      <c r="B9" s="1109" t="s">
        <v>1080</v>
      </c>
    </row>
    <row r="10" spans="2:2" ht="18">
      <c r="B10" s="1110"/>
    </row>
    <row r="11" spans="2:2" ht="54">
      <c r="B11" s="1111" t="s">
        <v>1078</v>
      </c>
    </row>
  </sheetData>
  <dataConsolidate/>
  <pageMargins left="0.75" right="0.75" top="1" bottom="1" header="0.5" footer="0.5"/>
  <pageSetup orientation="portrait" horizontalDpi="300"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0000FF"/>
    <pageSetUpPr fitToPage="1"/>
  </sheetPr>
  <dimension ref="A1:HM582"/>
  <sheetViews>
    <sheetView showGridLines="0" zoomScaleNormal="100" workbookViewId="0">
      <pane xSplit="1" ySplit="6" topLeftCell="Q7" activePane="bottomRight" state="frozen"/>
      <selection pane="topRight" activeCell="B1" sqref="B1"/>
      <selection pane="bottomLeft" activeCell="A7" sqref="A7"/>
      <selection pane="bottomRight" activeCell="DM13" sqref="DM13"/>
    </sheetView>
  </sheetViews>
  <sheetFormatPr defaultRowHeight="12.75" outlineLevelRow="1" outlineLevelCol="2"/>
  <cols>
    <col min="1" max="1" width="30.5703125" style="300" customWidth="1"/>
    <col min="2" max="15" width="9.140625" style="3" hidden="1" customWidth="1" outlineLevel="1"/>
    <col min="16" max="16" width="9.140625" style="3" hidden="1" customWidth="1" outlineLevel="1" collapsed="1"/>
    <col min="17" max="17" width="9.140625" style="3" collapsed="1"/>
    <col min="18" max="23" width="9.140625" style="3" customWidth="1"/>
    <col min="24" max="28" width="9.140625" style="3" hidden="1" customWidth="1" outlineLevel="1"/>
    <col min="29" max="29" width="2.7109375" style="3" customWidth="1" collapsed="1"/>
    <col min="30" max="89" width="9.140625" style="6" hidden="1" customWidth="1" outlineLevel="2"/>
    <col min="90" max="90" width="9.140625" style="6" hidden="1" customWidth="1" outlineLevel="2" collapsed="1"/>
    <col min="91" max="93" width="9.140625" style="6" hidden="1" customWidth="1" outlineLevel="2"/>
    <col min="94" max="94" width="9.140625" style="6" hidden="1" customWidth="1" outlineLevel="2" collapsed="1"/>
    <col min="95" max="97" width="9.140625" style="6" hidden="1" customWidth="1" outlineLevel="2"/>
    <col min="98" max="98" width="9.140625" style="6" hidden="1" customWidth="1" outlineLevel="2" collapsed="1"/>
    <col min="99" max="101" width="9.140625" style="6" hidden="1" customWidth="1" outlineLevel="2"/>
    <col min="102" max="102" width="9.140625" style="6" hidden="1" customWidth="1" outlineLevel="1" collapsed="1"/>
    <col min="103" max="105" width="9.140625" style="6" hidden="1" customWidth="1" outlineLevel="1"/>
    <col min="106" max="106" width="9.140625" style="6" customWidth="1" collapsed="1"/>
    <col min="107" max="113" width="9.140625" style="6" customWidth="1"/>
    <col min="114" max="114" width="9.140625" style="3"/>
    <col min="115" max="120" width="9.140625" style="6"/>
    <col min="127" max="16384" width="9.140625" style="6"/>
  </cols>
  <sheetData>
    <row r="1" spans="1:221" ht="15.75">
      <c r="A1" s="926" t="s">
        <v>431</v>
      </c>
      <c r="R1" s="18"/>
      <c r="S1" s="18"/>
      <c r="T1" s="1053"/>
      <c r="U1" s="1053"/>
      <c r="V1" s="776"/>
      <c r="W1" s="776"/>
      <c r="BJ1" s="404"/>
      <c r="BK1" s="404"/>
      <c r="BL1" s="404"/>
      <c r="BM1" s="404"/>
      <c r="BN1" s="404"/>
      <c r="BO1" s="404"/>
      <c r="BP1" s="404"/>
      <c r="BQ1" s="404"/>
      <c r="CS1" s="181"/>
      <c r="DI1" s="396" t="s">
        <v>555</v>
      </c>
    </row>
    <row r="2" spans="1:221">
      <c r="A2" s="20" t="s">
        <v>373</v>
      </c>
      <c r="S2" s="896"/>
      <c r="T2" s="776"/>
      <c r="U2" s="17"/>
      <c r="V2" s="896"/>
      <c r="W2" s="1052"/>
      <c r="X2" s="1052"/>
      <c r="Y2" s="1052"/>
      <c r="Z2" s="1052"/>
      <c r="AA2" s="1052"/>
      <c r="BA2" s="404"/>
      <c r="BB2" s="404"/>
      <c r="BC2" s="404"/>
      <c r="BD2" s="404"/>
      <c r="BE2" s="404"/>
      <c r="BF2" s="404"/>
      <c r="BG2" s="404"/>
      <c r="BH2" s="404"/>
      <c r="BI2" s="404"/>
      <c r="BJ2" s="404"/>
      <c r="BK2" s="404"/>
      <c r="BL2" s="404"/>
      <c r="BM2" s="404"/>
      <c r="BN2" s="404"/>
      <c r="BO2" s="404"/>
      <c r="BP2" s="404"/>
      <c r="BQ2" s="404"/>
      <c r="BR2" s="404"/>
      <c r="BS2" s="404"/>
      <c r="BT2" s="404"/>
      <c r="BU2" s="404"/>
      <c r="BV2" s="404"/>
      <c r="BW2" s="404"/>
      <c r="BX2" s="404"/>
      <c r="BY2" s="404"/>
      <c r="BZ2" s="404"/>
      <c r="CA2" s="404"/>
      <c r="CB2" s="404"/>
      <c r="CC2" s="404"/>
      <c r="CD2" s="404"/>
      <c r="CE2" s="412"/>
      <c r="CF2" s="404"/>
      <c r="CG2" s="404"/>
      <c r="CH2" s="404"/>
      <c r="CI2" s="404"/>
      <c r="CJ2" s="11"/>
      <c r="CK2" s="404"/>
      <c r="CL2" s="404"/>
      <c r="CM2" s="404"/>
      <c r="CN2" s="373"/>
      <c r="CO2" s="404"/>
      <c r="CP2" s="458"/>
      <c r="CQ2" s="458"/>
      <c r="CR2" s="459"/>
      <c r="CS2" s="459"/>
      <c r="CT2" s="366"/>
      <c r="CU2" s="404"/>
      <c r="CV2" s="404"/>
      <c r="CW2" s="404"/>
      <c r="CX2" s="527"/>
      <c r="CY2" s="527"/>
      <c r="CZ2" s="527"/>
      <c r="DB2" s="404"/>
      <c r="DC2" s="404"/>
      <c r="DD2" s="404"/>
      <c r="DF2" s="404"/>
      <c r="DG2" s="404"/>
      <c r="DH2" s="404"/>
      <c r="DI2" s="397" t="s">
        <v>556</v>
      </c>
    </row>
    <row r="3" spans="1:221" s="3" customFormat="1">
      <c r="A3" s="15"/>
      <c r="S3" s="776"/>
      <c r="T3" s="1049"/>
      <c r="U3" s="1049"/>
      <c r="V3" s="1049"/>
      <c r="W3" s="1049"/>
      <c r="X3" s="1049"/>
      <c r="Y3" s="1049"/>
      <c r="Z3" s="1049"/>
      <c r="AA3" s="776"/>
      <c r="AB3" s="77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404"/>
      <c r="BK3" s="404"/>
      <c r="BL3" s="404"/>
      <c r="BM3" s="404"/>
      <c r="BN3" s="404"/>
      <c r="BO3" s="404"/>
      <c r="BP3" s="404"/>
      <c r="BQ3" s="404"/>
      <c r="BR3" s="6"/>
      <c r="BS3" s="6"/>
      <c r="BT3" s="6"/>
      <c r="BU3" s="6"/>
      <c r="BV3" s="6"/>
      <c r="BW3" s="6"/>
      <c r="BX3" s="6"/>
      <c r="BY3" s="6"/>
      <c r="BZ3" s="6"/>
      <c r="CA3" s="6"/>
      <c r="CB3" s="6"/>
      <c r="CC3" s="6"/>
      <c r="CD3" s="6"/>
      <c r="CE3" s="6"/>
      <c r="CF3" s="6"/>
      <c r="CG3" s="6"/>
      <c r="CH3" s="759"/>
      <c r="CI3" s="6"/>
      <c r="CJ3" s="6"/>
      <c r="CK3" s="11"/>
      <c r="CL3" s="760"/>
      <c r="CM3" s="760"/>
      <c r="CN3" s="760"/>
      <c r="CO3" s="760"/>
      <c r="CP3" s="6"/>
      <c r="CQ3" s="6"/>
      <c r="CR3" s="6"/>
      <c r="CS3" s="6"/>
      <c r="CT3" s="707"/>
      <c r="CU3" s="707"/>
      <c r="CV3" s="707"/>
      <c r="CW3" s="707"/>
      <c r="CX3" s="6"/>
      <c r="CY3" s="6"/>
      <c r="CZ3" s="6"/>
      <c r="DB3" s="360"/>
      <c r="DC3" s="360"/>
      <c r="DD3" s="360"/>
      <c r="DF3" s="360"/>
      <c r="DG3" s="360"/>
      <c r="DH3" s="360"/>
      <c r="DI3" s="396" t="s">
        <v>557</v>
      </c>
      <c r="DQ3"/>
      <c r="DR3"/>
      <c r="DS3"/>
      <c r="DT3"/>
      <c r="DU3"/>
      <c r="DV3"/>
    </row>
    <row r="4" spans="1:221" s="3" customFormat="1">
      <c r="A4" s="300"/>
      <c r="R4" s="896"/>
      <c r="T4" s="23"/>
      <c r="U4" s="23"/>
      <c r="V4" s="23"/>
      <c r="W4" s="23"/>
      <c r="X4" s="23"/>
      <c r="Y4" s="23"/>
      <c r="Z4" s="23"/>
      <c r="AA4" s="23"/>
      <c r="AB4" s="23"/>
      <c r="AD4" s="333"/>
      <c r="AE4" s="333"/>
      <c r="AF4" s="333"/>
      <c r="AG4" s="333"/>
      <c r="AH4" s="333"/>
      <c r="AI4" s="333"/>
      <c r="AJ4" s="333"/>
      <c r="AK4" s="333"/>
      <c r="AL4" s="333"/>
      <c r="AM4" s="333"/>
      <c r="AN4" s="333"/>
      <c r="AO4" s="333"/>
      <c r="AP4" s="333"/>
      <c r="AQ4" s="333"/>
      <c r="AR4" s="333"/>
      <c r="AS4" s="333"/>
      <c r="AT4" s="333"/>
      <c r="AU4" s="333"/>
      <c r="AV4" s="333"/>
      <c r="AW4" s="333"/>
      <c r="AX4" s="334"/>
      <c r="AY4" s="333"/>
      <c r="AZ4" s="333"/>
      <c r="BA4" s="333"/>
      <c r="BB4" s="335"/>
      <c r="BC4" s="333"/>
      <c r="BD4" s="333"/>
      <c r="BE4" s="333"/>
      <c r="BF4" s="333"/>
      <c r="BG4" s="333"/>
      <c r="BH4" s="333"/>
      <c r="BI4" s="333"/>
      <c r="BJ4" s="333"/>
      <c r="BK4" s="348"/>
      <c r="BL4" s="348"/>
      <c r="BM4" s="348"/>
      <c r="BN4" s="348"/>
      <c r="BO4" s="338"/>
      <c r="BP4" s="338"/>
      <c r="BQ4" s="338"/>
      <c r="BR4" s="338"/>
      <c r="BS4" s="338"/>
      <c r="BT4" s="338"/>
      <c r="BU4" s="338"/>
      <c r="BV4" s="338"/>
      <c r="BW4" s="338"/>
      <c r="BX4" s="338"/>
      <c r="BY4" s="338"/>
      <c r="BZ4" s="338"/>
      <c r="CA4" s="338"/>
      <c r="CB4" s="338"/>
      <c r="CC4" s="338"/>
      <c r="CD4" s="338"/>
      <c r="CE4" s="338"/>
      <c r="CF4" s="338"/>
      <c r="CG4" s="338"/>
      <c r="CH4" s="338"/>
      <c r="CI4" s="333"/>
      <c r="CJ4" s="333"/>
      <c r="CK4" s="332"/>
      <c r="CL4" s="356"/>
      <c r="CM4" s="357"/>
      <c r="CN4" s="356"/>
      <c r="CO4" s="332"/>
      <c r="CP4" s="707"/>
      <c r="CQ4" s="707"/>
      <c r="CR4" s="707"/>
      <c r="CS4" s="707"/>
      <c r="CT4" s="707"/>
      <c r="CU4" s="707"/>
      <c r="CV4" s="707"/>
      <c r="CW4" s="707"/>
      <c r="CX4" s="707"/>
      <c r="CY4" s="707"/>
      <c r="CZ4" s="707"/>
      <c r="DA4" s="707"/>
      <c r="DB4" s="366"/>
      <c r="DC4" s="1071"/>
      <c r="DD4" s="373"/>
      <c r="DE4" s="1049"/>
      <c r="DF4" s="366"/>
      <c r="DG4" s="373"/>
      <c r="DH4" s="373"/>
      <c r="DI4" s="366"/>
      <c r="DQ4"/>
      <c r="DR4"/>
      <c r="DS4"/>
      <c r="DT4"/>
      <c r="DU4"/>
      <c r="DV4"/>
      <c r="HM4" s="707"/>
    </row>
    <row r="5" spans="1:221" customFormat="1" hidden="1" outlineLevel="1"/>
    <row r="6" spans="1:221" collapsed="1">
      <c r="A6" s="927" t="s">
        <v>412</v>
      </c>
      <c r="B6" s="1">
        <v>1999</v>
      </c>
      <c r="C6" s="1">
        <v>2000</v>
      </c>
      <c r="D6" s="1">
        <v>2001</v>
      </c>
      <c r="E6" s="1">
        <v>2002</v>
      </c>
      <c r="F6" s="1">
        <v>2003</v>
      </c>
      <c r="G6" s="1">
        <v>2004</v>
      </c>
      <c r="H6" s="1">
        <v>2005</v>
      </c>
      <c r="I6" s="1">
        <v>2006</v>
      </c>
      <c r="J6" s="1">
        <v>2007</v>
      </c>
      <c r="K6" s="1">
        <v>2008</v>
      </c>
      <c r="L6" s="1">
        <v>2009</v>
      </c>
      <c r="M6" s="1">
        <v>2010</v>
      </c>
      <c r="N6" s="975">
        <v>2011</v>
      </c>
      <c r="O6" s="975">
        <v>2012</v>
      </c>
      <c r="P6" s="975">
        <v>2013</v>
      </c>
      <c r="Q6" s="975">
        <v>2014</v>
      </c>
      <c r="R6" s="975">
        <v>2015</v>
      </c>
      <c r="S6" s="975">
        <v>2016</v>
      </c>
      <c r="T6" s="975">
        <v>2017</v>
      </c>
      <c r="U6" s="975" t="s">
        <v>217</v>
      </c>
      <c r="V6" s="975" t="s">
        <v>218</v>
      </c>
      <c r="W6" s="975" t="s">
        <v>219</v>
      </c>
      <c r="X6" s="282" t="s">
        <v>687</v>
      </c>
      <c r="Y6" s="282" t="s">
        <v>688</v>
      </c>
      <c r="Z6" s="282" t="s">
        <v>689</v>
      </c>
      <c r="AA6" s="282" t="s">
        <v>690</v>
      </c>
      <c r="AB6" s="282" t="s">
        <v>691</v>
      </c>
      <c r="AD6" s="323" t="s">
        <v>306</v>
      </c>
      <c r="AE6" s="323" t="s">
        <v>435</v>
      </c>
      <c r="AF6" s="323" t="s">
        <v>436</v>
      </c>
      <c r="AG6" s="323" t="s">
        <v>43</v>
      </c>
      <c r="AH6" s="323" t="s">
        <v>44</v>
      </c>
      <c r="AI6" s="323" t="s">
        <v>45</v>
      </c>
      <c r="AJ6" s="323" t="s">
        <v>46</v>
      </c>
      <c r="AK6" s="323" t="s">
        <v>49</v>
      </c>
      <c r="AL6" s="323" t="s">
        <v>1</v>
      </c>
      <c r="AM6" s="323" t="s">
        <v>2</v>
      </c>
      <c r="AN6" s="323" t="s">
        <v>3</v>
      </c>
      <c r="AO6" s="323" t="s">
        <v>284</v>
      </c>
      <c r="AP6" s="323" t="s">
        <v>430</v>
      </c>
      <c r="AQ6" s="323" t="s">
        <v>392</v>
      </c>
      <c r="AR6" s="323" t="s">
        <v>351</v>
      </c>
      <c r="AS6" s="323" t="s">
        <v>352</v>
      </c>
      <c r="AT6" s="323" t="s">
        <v>353</v>
      </c>
      <c r="AU6" s="323" t="s">
        <v>354</v>
      </c>
      <c r="AV6" s="323" t="s">
        <v>355</v>
      </c>
      <c r="AW6" s="323" t="s">
        <v>356</v>
      </c>
      <c r="AX6" s="323" t="s">
        <v>357</v>
      </c>
      <c r="AY6" s="323" t="s">
        <v>358</v>
      </c>
      <c r="AZ6" s="323" t="s">
        <v>434</v>
      </c>
      <c r="BA6" s="323" t="s">
        <v>428</v>
      </c>
      <c r="BB6" s="323" t="s">
        <v>396</v>
      </c>
      <c r="BC6" s="323" t="s">
        <v>47</v>
      </c>
      <c r="BD6" s="323" t="s">
        <v>154</v>
      </c>
      <c r="BE6" s="323" t="s">
        <v>141</v>
      </c>
      <c r="BF6" s="323" t="s">
        <v>516</v>
      </c>
      <c r="BG6" s="323" t="s">
        <v>486</v>
      </c>
      <c r="BH6" s="323" t="s">
        <v>487</v>
      </c>
      <c r="BI6" s="323" t="s">
        <v>572</v>
      </c>
      <c r="BJ6" s="323" t="s">
        <v>398</v>
      </c>
      <c r="BK6" s="323" t="s">
        <v>345</v>
      </c>
      <c r="BL6" s="323" t="s">
        <v>346</v>
      </c>
      <c r="BM6" s="323" t="s">
        <v>347</v>
      </c>
      <c r="BN6" s="323" t="s">
        <v>264</v>
      </c>
      <c r="BO6" s="323" t="s">
        <v>635</v>
      </c>
      <c r="BP6" s="323" t="s">
        <v>526</v>
      </c>
      <c r="BQ6" s="323" t="s">
        <v>404</v>
      </c>
      <c r="BR6" s="323" t="s">
        <v>173</v>
      </c>
      <c r="BS6" s="323" t="s">
        <v>174</v>
      </c>
      <c r="BT6" s="323" t="s">
        <v>313</v>
      </c>
      <c r="BU6" s="323" t="s">
        <v>518</v>
      </c>
      <c r="BV6" s="323" t="s">
        <v>32</v>
      </c>
      <c r="BW6" s="323" t="s">
        <v>33</v>
      </c>
      <c r="BX6" s="323" t="s">
        <v>494</v>
      </c>
      <c r="BY6" s="323" t="s">
        <v>215</v>
      </c>
      <c r="BZ6" s="323" t="s">
        <v>460</v>
      </c>
      <c r="CA6" s="323" t="s">
        <v>461</v>
      </c>
      <c r="CB6" s="323" t="s">
        <v>350</v>
      </c>
      <c r="CC6" s="323" t="s">
        <v>8</v>
      </c>
      <c r="CD6" s="323" t="s">
        <v>84</v>
      </c>
      <c r="CE6" s="323" t="s">
        <v>302</v>
      </c>
      <c r="CF6" s="323" t="s">
        <v>303</v>
      </c>
      <c r="CG6" s="323" t="s">
        <v>395</v>
      </c>
      <c r="CH6" s="323" t="s">
        <v>30</v>
      </c>
      <c r="CI6" s="323" t="s">
        <v>115</v>
      </c>
      <c r="CJ6" s="323" t="s">
        <v>593</v>
      </c>
      <c r="CK6" s="323" t="s">
        <v>241</v>
      </c>
      <c r="CL6" s="323" t="s">
        <v>609</v>
      </c>
      <c r="CM6" s="323" t="s">
        <v>281</v>
      </c>
      <c r="CN6" s="323" t="s">
        <v>304</v>
      </c>
      <c r="CO6" s="323" t="s">
        <v>205</v>
      </c>
      <c r="CP6" s="405" t="s">
        <v>127</v>
      </c>
      <c r="CQ6" s="405" t="s">
        <v>474</v>
      </c>
      <c r="CR6" s="405" t="s">
        <v>157</v>
      </c>
      <c r="CS6" s="405" t="s">
        <v>650</v>
      </c>
      <c r="CT6" s="405" t="s">
        <v>653</v>
      </c>
      <c r="CU6" s="405" t="s">
        <v>654</v>
      </c>
      <c r="CV6" s="405" t="s">
        <v>655</v>
      </c>
      <c r="CW6" s="405" t="s">
        <v>656</v>
      </c>
      <c r="CX6" s="405" t="s">
        <v>657</v>
      </c>
      <c r="CY6" s="405" t="s">
        <v>658</v>
      </c>
      <c r="CZ6" s="405" t="s">
        <v>686</v>
      </c>
      <c r="DA6" s="405" t="s">
        <v>692</v>
      </c>
      <c r="DB6" s="405" t="s">
        <v>693</v>
      </c>
      <c r="DC6" s="405" t="s">
        <v>694</v>
      </c>
      <c r="DD6" s="405" t="s">
        <v>704</v>
      </c>
      <c r="DE6" s="405" t="s">
        <v>705</v>
      </c>
      <c r="DF6" s="405" t="s">
        <v>660</v>
      </c>
      <c r="DG6" s="405" t="s">
        <v>661</v>
      </c>
      <c r="DH6" s="405" t="s">
        <v>662</v>
      </c>
      <c r="DI6" s="405" t="s">
        <v>663</v>
      </c>
      <c r="DL6" s="1076"/>
      <c r="DM6" s="1076"/>
    </row>
    <row r="7" spans="1:221">
      <c r="A7" s="35"/>
      <c r="AD7" s="190"/>
      <c r="AE7" s="190"/>
      <c r="AF7" s="190"/>
      <c r="AG7" s="190"/>
      <c r="AH7" s="190"/>
      <c r="AI7" s="190"/>
      <c r="AJ7" s="190"/>
      <c r="AK7" s="190"/>
      <c r="AL7" s="190"/>
      <c r="AM7" s="190"/>
      <c r="AN7" s="190"/>
      <c r="AO7" s="190"/>
      <c r="AP7" s="190"/>
      <c r="AQ7" s="190"/>
      <c r="AR7" s="190"/>
      <c r="AS7" s="190"/>
      <c r="AT7" s="190"/>
      <c r="AU7" s="190"/>
      <c r="AV7" s="190"/>
      <c r="AW7" s="190"/>
      <c r="AX7" s="190"/>
      <c r="AY7" s="190"/>
      <c r="AZ7" s="190"/>
      <c r="BA7" s="190"/>
      <c r="BB7" s="190"/>
      <c r="BC7" s="190"/>
      <c r="BD7" s="190"/>
      <c r="BE7" s="190"/>
      <c r="BF7" s="190"/>
      <c r="BG7" s="190"/>
      <c r="BH7" s="190"/>
      <c r="BI7" s="190"/>
      <c r="BJ7" s="190"/>
      <c r="BK7" s="190"/>
      <c r="BL7" s="190"/>
      <c r="BM7" s="190"/>
      <c r="BN7" s="190"/>
      <c r="BO7" s="190"/>
      <c r="BP7" s="190"/>
      <c r="BQ7" s="190"/>
      <c r="BR7" s="190"/>
      <c r="BS7" s="190"/>
      <c r="BT7" s="190"/>
      <c r="BU7" s="190"/>
      <c r="BV7" s="190"/>
      <c r="BW7" s="190"/>
      <c r="BX7" s="190"/>
      <c r="BY7" s="190"/>
      <c r="BZ7" s="190"/>
      <c r="CA7" s="190"/>
      <c r="CB7" s="190"/>
      <c r="CC7" s="190"/>
      <c r="CD7" s="190"/>
      <c r="CE7" s="190"/>
      <c r="CF7" s="190"/>
      <c r="CG7" s="190"/>
      <c r="CH7" s="404"/>
      <c r="CI7" s="404"/>
      <c r="CJ7" s="404"/>
      <c r="CK7" s="404"/>
      <c r="CL7" s="678"/>
      <c r="CM7" s="404"/>
      <c r="CN7" s="404"/>
      <c r="CO7" s="404"/>
      <c r="CP7" s="404"/>
      <c r="CQ7" s="404"/>
      <c r="CR7" s="404"/>
      <c r="CS7" s="404"/>
      <c r="CT7" s="404"/>
      <c r="CU7" s="404"/>
      <c r="CV7" s="404"/>
      <c r="CW7" s="404"/>
      <c r="CX7" s="404"/>
      <c r="CY7" s="404"/>
      <c r="CZ7" s="404"/>
      <c r="DA7" s="404"/>
      <c r="DB7" s="404"/>
      <c r="DC7" s="404"/>
      <c r="DD7" s="404"/>
      <c r="DE7" s="404"/>
      <c r="DF7" s="404"/>
      <c r="DG7" s="404"/>
      <c r="DH7" s="404"/>
      <c r="DI7" s="404"/>
    </row>
    <row r="8" spans="1:221">
      <c r="A8" s="928" t="s">
        <v>163</v>
      </c>
      <c r="B8" s="761">
        <f t="shared" ref="B8:W8" si="0">B142</f>
        <v>78415</v>
      </c>
      <c r="C8" s="761">
        <f t="shared" si="0"/>
        <v>74425</v>
      </c>
      <c r="D8" s="761">
        <f t="shared" si="0"/>
        <v>81674</v>
      </c>
      <c r="E8" s="761">
        <f t="shared" si="0"/>
        <v>81122</v>
      </c>
      <c r="F8" s="761">
        <f t="shared" si="0"/>
        <v>81832</v>
      </c>
      <c r="G8" s="761">
        <f t="shared" si="0"/>
        <v>89955</v>
      </c>
      <c r="H8" s="761">
        <f t="shared" si="0"/>
        <v>97860</v>
      </c>
      <c r="I8" s="761">
        <f t="shared" si="0"/>
        <v>101407</v>
      </c>
      <c r="J8" s="761">
        <f t="shared" si="0"/>
        <v>18664</v>
      </c>
      <c r="K8" s="761">
        <f t="shared" si="0"/>
        <v>19058</v>
      </c>
      <c r="L8" s="761">
        <f t="shared" si="0"/>
        <v>23556</v>
      </c>
      <c r="M8" s="761">
        <f t="shared" si="0"/>
        <v>24363</v>
      </c>
      <c r="N8" s="761">
        <f t="shared" si="0"/>
        <v>24254</v>
      </c>
      <c r="O8" s="761">
        <f t="shared" si="0"/>
        <v>24618</v>
      </c>
      <c r="P8" s="761">
        <f t="shared" si="0"/>
        <v>24466</v>
      </c>
      <c r="Q8" s="761">
        <f t="shared" si="0"/>
        <v>24522</v>
      </c>
      <c r="R8" s="761">
        <f t="shared" si="0"/>
        <v>25402.945937500001</v>
      </c>
      <c r="S8" s="761">
        <f t="shared" si="0"/>
        <v>25744</v>
      </c>
      <c r="T8" s="761">
        <f t="shared" si="0"/>
        <v>25576</v>
      </c>
      <c r="U8" s="761">
        <f t="shared" si="0"/>
        <v>25442.114999134024</v>
      </c>
      <c r="V8" s="761">
        <f t="shared" si="0"/>
        <v>25512.806525931552</v>
      </c>
      <c r="W8" s="761">
        <f t="shared" si="0"/>
        <v>25670.811767699674</v>
      </c>
      <c r="X8" s="761">
        <f>X142</f>
        <v>25887.518509703594</v>
      </c>
      <c r="Y8" s="761">
        <f>Y142</f>
        <v>26124.965890087235</v>
      </c>
      <c r="Z8" s="761">
        <f>Z142</f>
        <v>26383.801567384064</v>
      </c>
      <c r="AA8" s="761">
        <f>AA142</f>
        <v>26664.726365234652</v>
      </c>
      <c r="AB8" s="761">
        <f>AB142</f>
        <v>26968.49686969402</v>
      </c>
      <c r="AD8" s="460">
        <f t="shared" ref="AD8:CC8" si="1">AD140</f>
        <v>18318</v>
      </c>
      <c r="AE8" s="460">
        <f t="shared" si="1"/>
        <v>18904</v>
      </c>
      <c r="AF8" s="460">
        <f t="shared" si="1"/>
        <v>18518</v>
      </c>
      <c r="AG8" s="460">
        <f t="shared" si="1"/>
        <v>18373</v>
      </c>
      <c r="AH8" s="460">
        <f t="shared" si="1"/>
        <v>19424</v>
      </c>
      <c r="AI8" s="460">
        <f t="shared" si="1"/>
        <v>19713</v>
      </c>
      <c r="AJ8" s="460">
        <f t="shared" si="1"/>
        <v>19789</v>
      </c>
      <c r="AK8" s="460">
        <f t="shared" si="1"/>
        <v>19005</v>
      </c>
      <c r="AL8" s="460">
        <f t="shared" si="1"/>
        <v>20124</v>
      </c>
      <c r="AM8" s="460">
        <f t="shared" si="1"/>
        <v>20691</v>
      </c>
      <c r="AN8" s="460">
        <f t="shared" si="1"/>
        <v>19907</v>
      </c>
      <c r="AO8" s="460">
        <f t="shared" si="1"/>
        <v>19177</v>
      </c>
      <c r="AP8" s="460">
        <f t="shared" si="1"/>
        <v>19839</v>
      </c>
      <c r="AQ8" s="460">
        <f t="shared" si="1"/>
        <v>20801</v>
      </c>
      <c r="AR8" s="460">
        <f t="shared" si="1"/>
        <v>20191</v>
      </c>
      <c r="AS8" s="460">
        <f t="shared" si="1"/>
        <v>19823</v>
      </c>
      <c r="AT8" s="460">
        <f t="shared" si="1"/>
        <v>20418</v>
      </c>
      <c r="AU8" s="460">
        <f t="shared" si="1"/>
        <v>20955</v>
      </c>
      <c r="AV8" s="460">
        <f t="shared" si="1"/>
        <v>20182</v>
      </c>
      <c r="AW8" s="460">
        <f t="shared" si="1"/>
        <v>18644</v>
      </c>
      <c r="AX8" s="460">
        <f t="shared" si="1"/>
        <v>19255</v>
      </c>
      <c r="AY8" s="460">
        <f t="shared" si="1"/>
        <v>20726.900000000001</v>
      </c>
      <c r="AZ8" s="460">
        <f t="shared" si="1"/>
        <v>20832</v>
      </c>
      <c r="BA8" s="460">
        <f t="shared" si="1"/>
        <v>20586</v>
      </c>
      <c r="BB8" s="460">
        <f t="shared" si="1"/>
        <v>21740</v>
      </c>
      <c r="BC8" s="460">
        <f t="shared" si="1"/>
        <v>22851</v>
      </c>
      <c r="BD8" s="460">
        <f t="shared" si="1"/>
        <v>22652</v>
      </c>
      <c r="BE8" s="460">
        <f t="shared" si="1"/>
        <v>22317</v>
      </c>
      <c r="BF8" s="460">
        <f t="shared" si="1"/>
        <v>23550</v>
      </c>
      <c r="BG8" s="460">
        <f t="shared" si="1"/>
        <v>24689</v>
      </c>
      <c r="BH8" s="460">
        <f t="shared" si="1"/>
        <v>24863</v>
      </c>
      <c r="BI8" s="460">
        <f t="shared" si="1"/>
        <v>24433</v>
      </c>
      <c r="BJ8" s="460">
        <f t="shared" si="1"/>
        <v>24247</v>
      </c>
      <c r="BK8" s="460">
        <f t="shared" si="1"/>
        <v>25714</v>
      </c>
      <c r="BL8" s="460">
        <f t="shared" si="1"/>
        <v>25776</v>
      </c>
      <c r="BM8" s="460">
        <f t="shared" si="1"/>
        <v>25353</v>
      </c>
      <c r="BN8" s="460">
        <f t="shared" si="1"/>
        <v>4245</v>
      </c>
      <c r="BO8" s="460">
        <f t="shared" si="1"/>
        <v>4809</v>
      </c>
      <c r="BP8" s="460">
        <f t="shared" si="1"/>
        <v>4944</v>
      </c>
      <c r="BQ8" s="460">
        <f t="shared" si="1"/>
        <v>4487</v>
      </c>
      <c r="BR8" s="460">
        <f t="shared" si="1"/>
        <v>4407</v>
      </c>
      <c r="BS8" s="460">
        <f t="shared" si="1"/>
        <v>4947</v>
      </c>
      <c r="BT8" s="460">
        <f t="shared" si="1"/>
        <v>5141</v>
      </c>
      <c r="BU8" s="460">
        <f t="shared" si="1"/>
        <v>4563</v>
      </c>
      <c r="BV8" s="460">
        <f t="shared" si="1"/>
        <v>4523</v>
      </c>
      <c r="BW8" s="460">
        <f t="shared" si="1"/>
        <v>6719</v>
      </c>
      <c r="BX8" s="460">
        <f t="shared" si="1"/>
        <v>6300</v>
      </c>
      <c r="BY8" s="460">
        <f t="shared" si="1"/>
        <v>6014</v>
      </c>
      <c r="BZ8" s="460">
        <f t="shared" si="1"/>
        <v>5760</v>
      </c>
      <c r="CA8" s="460">
        <f t="shared" si="1"/>
        <v>6274</v>
      </c>
      <c r="CB8" s="460">
        <f t="shared" si="1"/>
        <v>6402</v>
      </c>
      <c r="CC8" s="460">
        <f t="shared" si="1"/>
        <v>5927</v>
      </c>
      <c r="CD8" s="460">
        <f t="shared" ref="CD8:CW8" si="2">CD140</f>
        <v>5643</v>
      </c>
      <c r="CE8" s="460">
        <f t="shared" si="2"/>
        <v>6410</v>
      </c>
      <c r="CF8" s="460">
        <f t="shared" si="2"/>
        <v>6109</v>
      </c>
      <c r="CG8" s="460">
        <f t="shared" si="2"/>
        <v>6092</v>
      </c>
      <c r="CH8" s="460">
        <f t="shared" si="2"/>
        <v>5647</v>
      </c>
      <c r="CI8" s="460">
        <f t="shared" si="2"/>
        <v>6487</v>
      </c>
      <c r="CJ8" s="460">
        <f t="shared" si="2"/>
        <v>6242</v>
      </c>
      <c r="CK8" s="460">
        <f t="shared" si="2"/>
        <v>6242</v>
      </c>
      <c r="CL8" s="311">
        <f t="shared" si="2"/>
        <v>5528</v>
      </c>
      <c r="CM8" s="460">
        <f t="shared" si="2"/>
        <v>6305</v>
      </c>
      <c r="CN8" s="460">
        <f t="shared" si="2"/>
        <v>6553</v>
      </c>
      <c r="CO8" s="460">
        <f t="shared" si="2"/>
        <v>6080</v>
      </c>
      <c r="CP8" s="460">
        <f t="shared" si="2"/>
        <v>5517</v>
      </c>
      <c r="CQ8" s="460">
        <f t="shared" si="2"/>
        <v>6256</v>
      </c>
      <c r="CR8" s="460">
        <f t="shared" si="2"/>
        <v>6491</v>
      </c>
      <c r="CS8" s="460">
        <f t="shared" si="2"/>
        <v>6258</v>
      </c>
      <c r="CT8" s="460">
        <f t="shared" si="2"/>
        <v>5804</v>
      </c>
      <c r="CU8" s="460">
        <f t="shared" si="2"/>
        <v>6613</v>
      </c>
      <c r="CV8" s="460">
        <f t="shared" si="2"/>
        <v>6699</v>
      </c>
      <c r="CW8" s="460">
        <f t="shared" si="2"/>
        <v>6286.9459374999997</v>
      </c>
      <c r="CX8" s="460">
        <f t="shared" ref="CX8:DE8" si="3">CX140</f>
        <v>6066</v>
      </c>
      <c r="CY8" s="460">
        <f t="shared" si="3"/>
        <v>6521</v>
      </c>
      <c r="CZ8" s="460">
        <f t="shared" si="3"/>
        <v>6905</v>
      </c>
      <c r="DA8" s="460">
        <f t="shared" si="3"/>
        <v>6252</v>
      </c>
      <c r="DB8" s="460">
        <f t="shared" si="3"/>
        <v>6083</v>
      </c>
      <c r="DC8" s="460">
        <f t="shared" si="3"/>
        <v>6663</v>
      </c>
      <c r="DD8" s="460">
        <f t="shared" si="3"/>
        <v>6729</v>
      </c>
      <c r="DE8" s="460">
        <f t="shared" si="3"/>
        <v>6101</v>
      </c>
      <c r="DF8" s="460">
        <f t="shared" ref="DF8:DI8" si="4">DF140</f>
        <v>5962.6593793290567</v>
      </c>
      <c r="DG8" s="460">
        <f t="shared" si="4"/>
        <v>6583.6188712537887</v>
      </c>
      <c r="DH8" s="460">
        <f t="shared" si="4"/>
        <v>6721.5546608572695</v>
      </c>
      <c r="DI8" s="460">
        <f t="shared" si="4"/>
        <v>6174.2820876939113</v>
      </c>
    </row>
    <row r="9" spans="1:221">
      <c r="A9" s="928" t="s">
        <v>607</v>
      </c>
      <c r="B9" s="762">
        <f t="shared" ref="B9:W9" si="5">B154</f>
        <v>16845</v>
      </c>
      <c r="C9" s="762">
        <f t="shared" si="5"/>
        <v>17270</v>
      </c>
      <c r="D9" s="762">
        <f t="shared" si="5"/>
        <v>17209</v>
      </c>
      <c r="E9" s="762">
        <f t="shared" si="5"/>
        <v>18226</v>
      </c>
      <c r="F9" s="762">
        <f t="shared" si="5"/>
        <v>21128</v>
      </c>
      <c r="G9" s="762">
        <f t="shared" si="5"/>
        <v>25647</v>
      </c>
      <c r="H9" s="762">
        <f t="shared" si="5"/>
        <v>28934</v>
      </c>
      <c r="I9" s="762">
        <f t="shared" si="5"/>
        <v>31083</v>
      </c>
      <c r="J9" s="762">
        <f t="shared" si="5"/>
        <v>3452</v>
      </c>
      <c r="K9" s="762">
        <f t="shared" si="5"/>
        <v>3399</v>
      </c>
      <c r="L9" s="762">
        <f t="shared" si="5"/>
        <v>6732</v>
      </c>
      <c r="M9" s="762">
        <f t="shared" si="5"/>
        <v>7471</v>
      </c>
      <c r="N9" s="762">
        <f t="shared" si="5"/>
        <v>7181</v>
      </c>
      <c r="O9" s="762">
        <f t="shared" si="5"/>
        <v>7118</v>
      </c>
      <c r="P9" s="762">
        <f t="shared" si="5"/>
        <v>6803</v>
      </c>
      <c r="Q9" s="762">
        <f t="shared" si="5"/>
        <v>6576.6626696534458</v>
      </c>
      <c r="R9" s="762">
        <f t="shared" si="5"/>
        <v>6579.9836138773908</v>
      </c>
      <c r="S9" s="762">
        <f t="shared" si="5"/>
        <v>6407</v>
      </c>
      <c r="T9" s="762">
        <f t="shared" si="5"/>
        <v>6082</v>
      </c>
      <c r="U9" s="762">
        <f t="shared" si="5"/>
        <v>5851.6747043889827</v>
      </c>
      <c r="V9" s="762">
        <f t="shared" si="5"/>
        <v>5643.2955665373711</v>
      </c>
      <c r="W9" s="762">
        <f t="shared" si="5"/>
        <v>5456.6324497083506</v>
      </c>
      <c r="X9" s="762">
        <f>X154</f>
        <v>5294.9125729997613</v>
      </c>
      <c r="Y9" s="762">
        <f>Y154</f>
        <v>5138.8772058886025</v>
      </c>
      <c r="Z9" s="762">
        <f>Z154</f>
        <v>4988.3582539813488</v>
      </c>
      <c r="AA9" s="762">
        <f>AA154</f>
        <v>4843.1936159001207</v>
      </c>
      <c r="AB9" s="762">
        <f>AB154</f>
        <v>4703.2270117694961</v>
      </c>
      <c r="AD9" s="206"/>
      <c r="AE9" s="206"/>
      <c r="AF9" s="206"/>
      <c r="AG9" s="206"/>
      <c r="AH9" s="206"/>
      <c r="AI9" s="206"/>
      <c r="AJ9" s="206"/>
      <c r="AK9" s="206"/>
      <c r="AL9" s="206"/>
      <c r="AM9" s="206"/>
      <c r="AN9" s="206"/>
      <c r="AO9" s="206"/>
      <c r="AP9" s="461">
        <v>4433</v>
      </c>
      <c r="AQ9" s="461">
        <v>4377</v>
      </c>
      <c r="AR9" s="461">
        <v>4350</v>
      </c>
      <c r="AS9" s="461">
        <v>4049</v>
      </c>
      <c r="AT9" s="461">
        <v>4575</v>
      </c>
      <c r="AU9" s="461">
        <v>4583</v>
      </c>
      <c r="AV9" s="461">
        <v>4758</v>
      </c>
      <c r="AW9" s="461">
        <v>4310</v>
      </c>
      <c r="AX9" s="462">
        <v>4887</v>
      </c>
      <c r="AY9" s="462">
        <v>5344</v>
      </c>
      <c r="AZ9" s="462">
        <v>5637</v>
      </c>
      <c r="BA9" s="462">
        <v>5260</v>
      </c>
      <c r="BB9" s="461">
        <v>6317</v>
      </c>
      <c r="BC9" s="463">
        <v>6563</v>
      </c>
      <c r="BD9" s="463">
        <v>6751</v>
      </c>
      <c r="BE9" s="463">
        <v>6016</v>
      </c>
      <c r="BF9" s="464">
        <f>6311+845</f>
        <v>7156</v>
      </c>
      <c r="BG9" s="464">
        <v>7459</v>
      </c>
      <c r="BH9" s="464">
        <v>7656</v>
      </c>
      <c r="BI9" s="464">
        <v>6663</v>
      </c>
      <c r="BJ9" s="464">
        <v>7546</v>
      </c>
      <c r="BK9" s="464">
        <v>7895</v>
      </c>
      <c r="BL9" s="464">
        <v>8229</v>
      </c>
      <c r="BM9" s="464">
        <v>7413</v>
      </c>
      <c r="BN9" s="464">
        <f>8519*0+800</f>
        <v>800</v>
      </c>
      <c r="BO9" s="464">
        <f>9012*0+899</f>
        <v>899</v>
      </c>
      <c r="BP9" s="464">
        <f>(927+8316)*0+927</f>
        <v>927</v>
      </c>
      <c r="BQ9" s="464">
        <f>8976*0+826</f>
        <v>826</v>
      </c>
      <c r="BR9" s="464">
        <v>806</v>
      </c>
      <c r="BS9" s="464">
        <v>875</v>
      </c>
      <c r="BT9" s="464">
        <v>897</v>
      </c>
      <c r="BU9" s="464">
        <v>821</v>
      </c>
      <c r="BV9" s="465">
        <f t="shared" ref="BV9:CO9" si="6">BV154</f>
        <v>711</v>
      </c>
      <c r="BW9" s="465">
        <f t="shared" si="6"/>
        <v>2125</v>
      </c>
      <c r="BX9" s="465">
        <f t="shared" si="6"/>
        <v>1982</v>
      </c>
      <c r="BY9" s="465">
        <f t="shared" si="6"/>
        <v>1914</v>
      </c>
      <c r="BZ9" s="465">
        <f t="shared" si="6"/>
        <v>1809</v>
      </c>
      <c r="CA9" s="465">
        <f t="shared" si="6"/>
        <v>1933</v>
      </c>
      <c r="CB9" s="465">
        <f t="shared" si="6"/>
        <v>1941</v>
      </c>
      <c r="CC9" s="465">
        <f t="shared" si="6"/>
        <v>1788</v>
      </c>
      <c r="CD9" s="465">
        <f t="shared" si="6"/>
        <v>1700</v>
      </c>
      <c r="CE9" s="465">
        <f t="shared" si="6"/>
        <v>1918</v>
      </c>
      <c r="CF9" s="465">
        <f t="shared" si="6"/>
        <v>1780</v>
      </c>
      <c r="CG9" s="465">
        <f t="shared" si="6"/>
        <v>1783</v>
      </c>
      <c r="CH9" s="465">
        <f t="shared" si="6"/>
        <v>1653</v>
      </c>
      <c r="CI9" s="465">
        <f t="shared" si="6"/>
        <v>1907</v>
      </c>
      <c r="CJ9" s="465">
        <f t="shared" si="6"/>
        <v>1776</v>
      </c>
      <c r="CK9" s="465">
        <f t="shared" si="6"/>
        <v>1782</v>
      </c>
      <c r="CL9" s="465">
        <f t="shared" si="6"/>
        <v>1555</v>
      </c>
      <c r="CM9" s="465">
        <f t="shared" si="6"/>
        <v>1779</v>
      </c>
      <c r="CN9" s="465">
        <f t="shared" si="6"/>
        <v>1793</v>
      </c>
      <c r="CO9" s="465">
        <f t="shared" si="6"/>
        <v>1676</v>
      </c>
      <c r="CP9" s="465">
        <f t="shared" ref="CP9:DE9" si="7">CP154</f>
        <v>1508.6626696534458</v>
      </c>
      <c r="CQ9" s="465">
        <f t="shared" si="7"/>
        <v>1685</v>
      </c>
      <c r="CR9" s="465">
        <f t="shared" si="7"/>
        <v>1738</v>
      </c>
      <c r="CS9" s="465">
        <f t="shared" si="7"/>
        <v>1645</v>
      </c>
      <c r="CT9" s="465">
        <f t="shared" si="7"/>
        <v>1532</v>
      </c>
      <c r="CU9" s="465">
        <f t="shared" si="7"/>
        <v>1737.9836138773912</v>
      </c>
      <c r="CV9" s="465">
        <f t="shared" si="7"/>
        <v>1721</v>
      </c>
      <c r="CW9" s="465">
        <f t="shared" si="7"/>
        <v>1589</v>
      </c>
      <c r="CX9" s="465">
        <f t="shared" si="7"/>
        <v>1536</v>
      </c>
      <c r="CY9" s="465">
        <f t="shared" si="7"/>
        <v>1640</v>
      </c>
      <c r="CZ9" s="465">
        <f t="shared" si="7"/>
        <v>1712</v>
      </c>
      <c r="DA9" s="465">
        <f t="shared" si="7"/>
        <v>1519</v>
      </c>
      <c r="DB9" s="465">
        <f t="shared" si="7"/>
        <v>1494</v>
      </c>
      <c r="DC9" s="465">
        <f t="shared" si="7"/>
        <v>1595</v>
      </c>
      <c r="DD9" s="465">
        <f t="shared" si="7"/>
        <v>1606</v>
      </c>
      <c r="DE9" s="465">
        <f t="shared" si="7"/>
        <v>1387</v>
      </c>
      <c r="DF9" s="465">
        <f t="shared" ref="DF9:DH9" si="8">DF154</f>
        <v>1407.906741607801</v>
      </c>
      <c r="DG9" s="465">
        <f t="shared" si="8"/>
        <v>1523.5107950425513</v>
      </c>
      <c r="DH9" s="465">
        <f t="shared" si="8"/>
        <v>1552.5864817543195</v>
      </c>
      <c r="DI9" s="465">
        <f>U9-SUM(DF9:DH9)</f>
        <v>1367.6706859843107</v>
      </c>
    </row>
    <row r="10" spans="1:221">
      <c r="A10" s="928"/>
      <c r="B10" s="761"/>
      <c r="C10" s="761"/>
      <c r="D10" s="761"/>
      <c r="E10" s="761"/>
      <c r="F10" s="761"/>
      <c r="G10" s="413"/>
      <c r="H10" s="413"/>
      <c r="I10" s="307"/>
      <c r="J10" s="308"/>
      <c r="K10" s="308"/>
      <c r="L10" s="307"/>
      <c r="M10" s="307"/>
      <c r="N10" s="311"/>
      <c r="O10" s="311"/>
      <c r="P10" s="311"/>
      <c r="Q10" s="311"/>
      <c r="R10" s="311"/>
      <c r="S10" s="311"/>
      <c r="T10" s="311"/>
      <c r="U10" s="311"/>
      <c r="V10" s="311"/>
      <c r="W10" s="311"/>
      <c r="X10" s="311"/>
      <c r="Y10" s="311"/>
      <c r="Z10" s="311"/>
      <c r="AA10" s="311"/>
      <c r="AB10" s="311"/>
      <c r="AD10" s="114"/>
      <c r="AE10" s="114"/>
      <c r="AF10" s="114"/>
      <c r="AG10" s="114"/>
      <c r="AH10" s="114"/>
      <c r="AI10" s="114"/>
      <c r="AJ10" s="114"/>
      <c r="AK10" s="114"/>
      <c r="AL10" s="114"/>
      <c r="AM10" s="114"/>
      <c r="AN10" s="114"/>
      <c r="AO10" s="114"/>
      <c r="AP10" s="466"/>
      <c r="AQ10" s="466"/>
      <c r="AR10" s="466"/>
      <c r="AS10" s="466"/>
      <c r="AT10" s="466"/>
      <c r="AU10" s="466"/>
      <c r="AV10" s="466"/>
      <c r="AW10" s="466"/>
      <c r="AX10" s="467"/>
      <c r="AY10" s="467"/>
      <c r="AZ10" s="467"/>
      <c r="BA10" s="467"/>
      <c r="BB10" s="466"/>
      <c r="BC10" s="468"/>
      <c r="BD10" s="468"/>
      <c r="BE10" s="468"/>
      <c r="BF10" s="469"/>
      <c r="BG10" s="469"/>
      <c r="BH10" s="469"/>
      <c r="BI10" s="469"/>
      <c r="BJ10" s="469"/>
      <c r="BK10" s="469"/>
      <c r="BL10" s="469"/>
      <c r="BM10" s="469"/>
      <c r="BN10" s="469"/>
      <c r="BO10" s="469"/>
      <c r="BP10" s="469"/>
      <c r="BQ10" s="469"/>
      <c r="BR10" s="469"/>
      <c r="BS10" s="469"/>
      <c r="BT10" s="469"/>
      <c r="BU10" s="470"/>
      <c r="BV10" s="469"/>
      <c r="BW10" s="469"/>
      <c r="BX10" s="469"/>
      <c r="BY10" s="471"/>
      <c r="BZ10" s="469"/>
      <c r="CA10" s="469"/>
      <c r="CB10" s="469"/>
      <c r="CC10" s="469"/>
      <c r="CD10" s="469"/>
      <c r="CE10" s="469"/>
      <c r="CF10" s="469"/>
      <c r="CG10" s="471"/>
      <c r="CH10" s="471"/>
      <c r="CI10" s="471"/>
      <c r="CJ10" s="471"/>
      <c r="CK10" s="471"/>
      <c r="CL10" s="471"/>
      <c r="CM10" s="471"/>
      <c r="CN10" s="471"/>
      <c r="CO10" s="471"/>
      <c r="CP10" s="471"/>
      <c r="CQ10" s="471"/>
      <c r="CR10" s="471"/>
      <c r="CS10" s="471"/>
      <c r="CT10" s="471"/>
      <c r="CU10" s="471"/>
      <c r="CV10" s="471"/>
      <c r="CW10" s="471"/>
      <c r="CX10" s="471"/>
      <c r="CY10" s="471"/>
      <c r="CZ10" s="471"/>
      <c r="DA10" s="471"/>
      <c r="DB10" s="471"/>
      <c r="DC10" s="471"/>
      <c r="DD10" s="471"/>
      <c r="DE10" s="471"/>
      <c r="DF10" s="471"/>
      <c r="DG10" s="471"/>
      <c r="DH10" s="471"/>
      <c r="DI10" s="471"/>
    </row>
    <row r="11" spans="1:221">
      <c r="A11" s="929" t="s">
        <v>108</v>
      </c>
      <c r="B11" s="197">
        <f t="shared" ref="B11:AB11" si="9">B166</f>
        <v>61570</v>
      </c>
      <c r="C11" s="197">
        <f t="shared" si="9"/>
        <v>57155</v>
      </c>
      <c r="D11" s="197">
        <f t="shared" si="9"/>
        <v>64465</v>
      </c>
      <c r="E11" s="197">
        <f t="shared" si="9"/>
        <v>62896</v>
      </c>
      <c r="F11" s="197">
        <f t="shared" si="9"/>
        <v>60704</v>
      </c>
      <c r="G11" s="197">
        <f t="shared" si="9"/>
        <v>64308</v>
      </c>
      <c r="H11" s="197">
        <f t="shared" si="9"/>
        <v>68926</v>
      </c>
      <c r="I11" s="197">
        <f t="shared" si="9"/>
        <v>70324</v>
      </c>
      <c r="J11" s="197">
        <f t="shared" si="9"/>
        <v>15212</v>
      </c>
      <c r="K11" s="197">
        <f t="shared" si="9"/>
        <v>15659</v>
      </c>
      <c r="L11" s="197">
        <f t="shared" si="9"/>
        <v>16824</v>
      </c>
      <c r="M11" s="197">
        <f t="shared" si="9"/>
        <v>16892</v>
      </c>
      <c r="N11" s="197">
        <f t="shared" si="9"/>
        <v>17073</v>
      </c>
      <c r="O11" s="197">
        <f t="shared" si="9"/>
        <v>17500</v>
      </c>
      <c r="P11" s="197">
        <f t="shared" si="9"/>
        <v>17663</v>
      </c>
      <c r="Q11" s="197">
        <f t="shared" si="9"/>
        <v>17945.337330346556</v>
      </c>
      <c r="R11" s="197">
        <f t="shared" si="9"/>
        <v>18822.962323622611</v>
      </c>
      <c r="S11" s="197">
        <f t="shared" si="9"/>
        <v>19337</v>
      </c>
      <c r="T11" s="197">
        <f t="shared" si="9"/>
        <v>19494</v>
      </c>
      <c r="U11" s="197">
        <f t="shared" si="9"/>
        <v>19590.440294745044</v>
      </c>
      <c r="V11" s="197">
        <f t="shared" si="9"/>
        <v>19869.510959394182</v>
      </c>
      <c r="W11" s="197">
        <f>W166</f>
        <v>20214.179317991322</v>
      </c>
      <c r="X11" s="197">
        <f t="shared" si="9"/>
        <v>20592.605936703832</v>
      </c>
      <c r="Y11" s="197">
        <f t="shared" si="9"/>
        <v>20986.088684198632</v>
      </c>
      <c r="Z11" s="197">
        <f t="shared" si="9"/>
        <v>21395.443313402713</v>
      </c>
      <c r="AA11" s="197">
        <f t="shared" si="9"/>
        <v>21821.532749334532</v>
      </c>
      <c r="AB11" s="197">
        <f t="shared" si="9"/>
        <v>22265.269857924523</v>
      </c>
      <c r="AC11" s="197"/>
      <c r="AD11" s="193">
        <f t="shared" ref="AD11:BE11" si="10">AD8-AD9</f>
        <v>18318</v>
      </c>
      <c r="AE11" s="193">
        <f t="shared" si="10"/>
        <v>18904</v>
      </c>
      <c r="AF11" s="193">
        <f t="shared" si="10"/>
        <v>18518</v>
      </c>
      <c r="AG11" s="193">
        <f t="shared" si="10"/>
        <v>18373</v>
      </c>
      <c r="AH11" s="193">
        <f t="shared" si="10"/>
        <v>19424</v>
      </c>
      <c r="AI11" s="193">
        <f t="shared" si="10"/>
        <v>19713</v>
      </c>
      <c r="AJ11" s="193">
        <f t="shared" si="10"/>
        <v>19789</v>
      </c>
      <c r="AK11" s="193">
        <f t="shared" si="10"/>
        <v>19005</v>
      </c>
      <c r="AL11" s="193">
        <f t="shared" si="10"/>
        <v>20124</v>
      </c>
      <c r="AM11" s="193">
        <f t="shared" si="10"/>
        <v>20691</v>
      </c>
      <c r="AN11" s="193">
        <f t="shared" si="10"/>
        <v>19907</v>
      </c>
      <c r="AO11" s="193">
        <f t="shared" si="10"/>
        <v>19177</v>
      </c>
      <c r="AP11" s="193">
        <f t="shared" si="10"/>
        <v>15406</v>
      </c>
      <c r="AQ11" s="193">
        <f t="shared" si="10"/>
        <v>16424</v>
      </c>
      <c r="AR11" s="193">
        <f t="shared" si="10"/>
        <v>15841</v>
      </c>
      <c r="AS11" s="193">
        <f t="shared" si="10"/>
        <v>15774</v>
      </c>
      <c r="AT11" s="193">
        <f t="shared" si="10"/>
        <v>15843</v>
      </c>
      <c r="AU11" s="193">
        <f t="shared" si="10"/>
        <v>16372</v>
      </c>
      <c r="AV11" s="193">
        <f t="shared" si="10"/>
        <v>15424</v>
      </c>
      <c r="AW11" s="193">
        <f t="shared" si="10"/>
        <v>14334</v>
      </c>
      <c r="AX11" s="193">
        <f t="shared" si="10"/>
        <v>14368</v>
      </c>
      <c r="AY11" s="193">
        <f t="shared" si="10"/>
        <v>15382.900000000001</v>
      </c>
      <c r="AZ11" s="193">
        <f t="shared" si="10"/>
        <v>15195</v>
      </c>
      <c r="BA11" s="193">
        <f t="shared" si="10"/>
        <v>15326</v>
      </c>
      <c r="BB11" s="193">
        <f t="shared" si="10"/>
        <v>15423</v>
      </c>
      <c r="BC11" s="193">
        <f t="shared" si="10"/>
        <v>16288</v>
      </c>
      <c r="BD11" s="193">
        <f t="shared" si="10"/>
        <v>15901</v>
      </c>
      <c r="BE11" s="193">
        <f t="shared" si="10"/>
        <v>16301</v>
      </c>
      <c r="BF11" s="192">
        <f t="shared" ref="BF11:BQ11" si="11">+BF8-BF9</f>
        <v>16394</v>
      </c>
      <c r="BG11" s="192">
        <f t="shared" si="11"/>
        <v>17230</v>
      </c>
      <c r="BH11" s="192">
        <f t="shared" si="11"/>
        <v>17207</v>
      </c>
      <c r="BI11" s="192">
        <f t="shared" si="11"/>
        <v>17770</v>
      </c>
      <c r="BJ11" s="192">
        <f t="shared" si="11"/>
        <v>16701</v>
      </c>
      <c r="BK11" s="192">
        <f t="shared" si="11"/>
        <v>17819</v>
      </c>
      <c r="BL11" s="192">
        <f t="shared" si="11"/>
        <v>17547</v>
      </c>
      <c r="BM11" s="192">
        <f t="shared" si="11"/>
        <v>17940</v>
      </c>
      <c r="BN11" s="192">
        <f t="shared" si="11"/>
        <v>3445</v>
      </c>
      <c r="BO11" s="192">
        <f t="shared" si="11"/>
        <v>3910</v>
      </c>
      <c r="BP11" s="192">
        <f t="shared" si="11"/>
        <v>4017</v>
      </c>
      <c r="BQ11" s="192">
        <f t="shared" si="11"/>
        <v>3661</v>
      </c>
      <c r="BR11" s="192">
        <f t="shared" ref="BR11:CO11" si="12">BR8-BR9</f>
        <v>3601</v>
      </c>
      <c r="BS11" s="192">
        <f t="shared" si="12"/>
        <v>4072</v>
      </c>
      <c r="BT11" s="192">
        <f t="shared" si="12"/>
        <v>4244</v>
      </c>
      <c r="BU11" s="192">
        <f t="shared" si="12"/>
        <v>3742</v>
      </c>
      <c r="BV11" s="192">
        <f t="shared" si="12"/>
        <v>3812</v>
      </c>
      <c r="BW11" s="192">
        <f t="shared" si="12"/>
        <v>4594</v>
      </c>
      <c r="BX11" s="192">
        <f t="shared" si="12"/>
        <v>4318</v>
      </c>
      <c r="BY11" s="192">
        <f t="shared" si="12"/>
        <v>4100</v>
      </c>
      <c r="BZ11" s="192">
        <f t="shared" si="12"/>
        <v>3951</v>
      </c>
      <c r="CA11" s="192">
        <f t="shared" si="12"/>
        <v>4341</v>
      </c>
      <c r="CB11" s="192">
        <f t="shared" si="12"/>
        <v>4461</v>
      </c>
      <c r="CC11" s="192">
        <f t="shared" si="12"/>
        <v>4139</v>
      </c>
      <c r="CD11" s="192">
        <f t="shared" si="12"/>
        <v>3943</v>
      </c>
      <c r="CE11" s="192">
        <f t="shared" si="12"/>
        <v>4492</v>
      </c>
      <c r="CF11" s="192">
        <f t="shared" si="12"/>
        <v>4329</v>
      </c>
      <c r="CG11" s="192">
        <f t="shared" si="12"/>
        <v>4309</v>
      </c>
      <c r="CH11" s="192">
        <f t="shared" si="12"/>
        <v>3994</v>
      </c>
      <c r="CI11" s="192">
        <f t="shared" si="12"/>
        <v>4580</v>
      </c>
      <c r="CJ11" s="192">
        <f t="shared" si="12"/>
        <v>4466</v>
      </c>
      <c r="CK11" s="192">
        <f t="shared" si="12"/>
        <v>4460</v>
      </c>
      <c r="CL11" s="192">
        <f t="shared" si="12"/>
        <v>3973</v>
      </c>
      <c r="CM11" s="192">
        <f t="shared" si="12"/>
        <v>4526</v>
      </c>
      <c r="CN11" s="192">
        <f t="shared" si="12"/>
        <v>4760</v>
      </c>
      <c r="CO11" s="192">
        <f t="shared" si="12"/>
        <v>4404</v>
      </c>
      <c r="CP11" s="192">
        <f t="shared" ref="CP11:DE11" si="13">CP8-CP9</f>
        <v>4008.3373303465542</v>
      </c>
      <c r="CQ11" s="192">
        <f t="shared" si="13"/>
        <v>4571</v>
      </c>
      <c r="CR11" s="192">
        <f t="shared" si="13"/>
        <v>4753</v>
      </c>
      <c r="CS11" s="192">
        <f t="shared" si="13"/>
        <v>4613</v>
      </c>
      <c r="CT11" s="192">
        <f t="shared" si="13"/>
        <v>4272</v>
      </c>
      <c r="CU11" s="192">
        <f t="shared" si="13"/>
        <v>4875.0163861226083</v>
      </c>
      <c r="CV11" s="192">
        <f t="shared" si="13"/>
        <v>4978</v>
      </c>
      <c r="CW11" s="192">
        <f t="shared" si="13"/>
        <v>4697.9459374999997</v>
      </c>
      <c r="CX11" s="192">
        <f t="shared" si="13"/>
        <v>4530</v>
      </c>
      <c r="CY11" s="192">
        <f t="shared" si="13"/>
        <v>4881</v>
      </c>
      <c r="CZ11" s="192">
        <f t="shared" si="13"/>
        <v>5193</v>
      </c>
      <c r="DA11" s="192">
        <f t="shared" si="13"/>
        <v>4733</v>
      </c>
      <c r="DB11" s="1032">
        <f t="shared" si="13"/>
        <v>4589</v>
      </c>
      <c r="DC11" s="192">
        <f>DC8-DC9</f>
        <v>5068</v>
      </c>
      <c r="DD11" s="192">
        <f t="shared" si="13"/>
        <v>5123</v>
      </c>
      <c r="DE11" s="192">
        <f t="shared" si="13"/>
        <v>4714</v>
      </c>
      <c r="DF11" s="192">
        <f t="shared" ref="DF11:DI11" si="14">DF8-DF9</f>
        <v>4554.7526377212562</v>
      </c>
      <c r="DG11" s="192">
        <f t="shared" si="14"/>
        <v>5060.1080762112379</v>
      </c>
      <c r="DH11" s="192">
        <f t="shared" si="14"/>
        <v>5168.9681791029498</v>
      </c>
      <c r="DI11" s="192">
        <f t="shared" si="14"/>
        <v>4806.6114017096006</v>
      </c>
    </row>
    <row r="12" spans="1:221">
      <c r="A12" s="928"/>
      <c r="G12" s="157"/>
      <c r="H12" s="157"/>
      <c r="I12" s="157"/>
      <c r="J12" s="157"/>
      <c r="K12" s="157"/>
      <c r="L12" s="157"/>
      <c r="M12" s="157"/>
      <c r="N12" s="157"/>
      <c r="O12" s="157"/>
      <c r="P12" s="157"/>
      <c r="Q12" s="157"/>
      <c r="R12" s="157"/>
      <c r="AD12" s="467"/>
      <c r="AE12" s="467"/>
      <c r="AF12" s="467"/>
      <c r="AG12" s="467"/>
      <c r="AH12" s="467"/>
      <c r="AI12" s="467"/>
      <c r="AJ12" s="467"/>
      <c r="AK12" s="467"/>
      <c r="AL12" s="467"/>
      <c r="AM12" s="467"/>
      <c r="AN12" s="467"/>
      <c r="AO12" s="467"/>
      <c r="AP12" s="467"/>
      <c r="AQ12" s="467"/>
      <c r="AR12" s="467"/>
      <c r="AS12" s="467"/>
      <c r="AT12" s="467"/>
      <c r="AU12" s="467"/>
      <c r="AV12" s="467"/>
      <c r="AW12" s="467"/>
      <c r="AX12" s="467"/>
      <c r="AY12" s="467"/>
      <c r="AZ12" s="467"/>
      <c r="BA12" s="467"/>
      <c r="BB12" s="467"/>
      <c r="BC12" s="467"/>
      <c r="BD12" s="467"/>
      <c r="BE12" s="467"/>
      <c r="BF12" s="471"/>
      <c r="BG12" s="471"/>
      <c r="BH12" s="471"/>
      <c r="BI12" s="471"/>
      <c r="BJ12" s="471"/>
      <c r="BK12" s="471"/>
      <c r="BL12" s="471"/>
      <c r="BM12" s="471"/>
      <c r="BN12" s="471"/>
      <c r="BO12" s="471"/>
      <c r="BP12" s="471"/>
      <c r="BQ12" s="471"/>
      <c r="BR12" s="471"/>
      <c r="BS12" s="471"/>
      <c r="BT12" s="471"/>
      <c r="BU12" s="471"/>
      <c r="BV12" s="471"/>
      <c r="BW12" s="471"/>
      <c r="BX12" s="471"/>
      <c r="BY12" s="471"/>
      <c r="BZ12" s="471"/>
      <c r="CA12" s="471"/>
      <c r="CB12" s="471"/>
      <c r="CC12" s="471"/>
      <c r="CD12" s="471"/>
      <c r="CE12" s="471"/>
      <c r="CF12" s="471"/>
      <c r="CG12" s="471"/>
      <c r="CH12" s="471"/>
      <c r="CI12" s="471"/>
      <c r="CJ12" s="471"/>
      <c r="CK12" s="471"/>
      <c r="CL12" s="471"/>
      <c r="CM12" s="471"/>
      <c r="CN12" s="471"/>
      <c r="CO12" s="471"/>
      <c r="CP12" s="471"/>
      <c r="CQ12" s="471"/>
      <c r="CR12" s="471"/>
      <c r="CS12" s="471"/>
      <c r="CT12" s="697"/>
      <c r="CU12" s="471"/>
      <c r="CV12" s="471"/>
      <c r="CW12" s="471"/>
      <c r="CX12" s="471"/>
      <c r="CY12" s="471"/>
      <c r="CZ12" s="471"/>
      <c r="DA12" s="471"/>
      <c r="DB12" s="977"/>
      <c r="DC12" s="977"/>
      <c r="DD12" s="977"/>
      <c r="DE12" s="471"/>
      <c r="DF12" s="471"/>
      <c r="DG12" s="471"/>
      <c r="DH12" s="471"/>
      <c r="DI12" s="471"/>
    </row>
    <row r="13" spans="1:221">
      <c r="A13" s="928" t="s">
        <v>209</v>
      </c>
      <c r="B13" s="761">
        <v>29913</v>
      </c>
      <c r="C13" s="761">
        <f>29680</f>
        <v>29680</v>
      </c>
      <c r="D13" s="761">
        <f>33900</f>
        <v>33900</v>
      </c>
      <c r="E13" s="761">
        <f>32748</f>
        <v>32748</v>
      </c>
      <c r="F13" s="761">
        <v>31870</v>
      </c>
      <c r="G13" s="460">
        <f>G11-G19-G22</f>
        <v>34455</v>
      </c>
      <c r="H13" s="460">
        <f>H11-H19-H22</f>
        <v>41314</v>
      </c>
      <c r="I13" s="460">
        <f>I11-I19-I22</f>
        <v>37797</v>
      </c>
      <c r="J13" s="460">
        <f>J11-J19-J22</f>
        <v>7877</v>
      </c>
      <c r="K13" s="460">
        <f t="shared" ref="K13:R13" si="15">K11-K19-K22</f>
        <v>8051</v>
      </c>
      <c r="L13" s="460">
        <f t="shared" si="15"/>
        <v>8131</v>
      </c>
      <c r="M13" s="460">
        <f t="shared" si="15"/>
        <v>7930</v>
      </c>
      <c r="N13" s="460">
        <f t="shared" si="15"/>
        <v>7821</v>
      </c>
      <c r="O13" s="460">
        <f t="shared" si="15"/>
        <v>7862</v>
      </c>
      <c r="P13" s="460">
        <f t="shared" si="15"/>
        <v>7634</v>
      </c>
      <c r="Q13" s="460">
        <f t="shared" si="15"/>
        <v>7758.337330346556</v>
      </c>
      <c r="R13" s="460">
        <f t="shared" si="15"/>
        <v>7837.0000000000036</v>
      </c>
      <c r="S13" s="460">
        <f t="shared" ref="S13:AB13" si="16">S11-S19-S22</f>
        <v>7734</v>
      </c>
      <c r="T13" s="460">
        <f t="shared" si="16"/>
        <v>7542.9999999999982</v>
      </c>
      <c r="U13" s="460">
        <f t="shared" si="16"/>
        <v>7703.8424923320981</v>
      </c>
      <c r="V13" s="460">
        <f t="shared" si="16"/>
        <v>7444.8117748541026</v>
      </c>
      <c r="W13" s="460">
        <f t="shared" si="16"/>
        <v>7058.2923999429131</v>
      </c>
      <c r="X13" s="460">
        <f t="shared" si="16"/>
        <v>6800.7661393744675</v>
      </c>
      <c r="Y13" s="460">
        <f t="shared" si="16"/>
        <v>6563.014772518849</v>
      </c>
      <c r="Z13" s="460">
        <f t="shared" si="16"/>
        <v>6343.7167552463761</v>
      </c>
      <c r="AA13" s="460">
        <f t="shared" si="16"/>
        <v>6141.6590485781908</v>
      </c>
      <c r="AB13" s="460">
        <f t="shared" si="16"/>
        <v>5955.7282022218133</v>
      </c>
      <c r="AD13" s="460"/>
      <c r="AE13" s="460"/>
      <c r="AF13" s="460"/>
      <c r="AG13" s="460"/>
      <c r="AH13" s="460"/>
      <c r="AI13" s="460"/>
      <c r="AJ13" s="460"/>
      <c r="AK13" s="460"/>
      <c r="AL13" s="460"/>
      <c r="AM13" s="460"/>
      <c r="AN13" s="460"/>
      <c r="AO13" s="460"/>
      <c r="AP13" s="472">
        <v>8370</v>
      </c>
      <c r="AQ13" s="472">
        <v>8761</v>
      </c>
      <c r="AR13" s="472">
        <v>8299</v>
      </c>
      <c r="AS13" s="472">
        <v>8470</v>
      </c>
      <c r="AT13" s="472">
        <v>8532</v>
      </c>
      <c r="AU13" s="472">
        <v>8501</v>
      </c>
      <c r="AV13" s="472">
        <v>7674</v>
      </c>
      <c r="AW13" s="472">
        <v>8041</v>
      </c>
      <c r="AX13" s="460">
        <v>7565</v>
      </c>
      <c r="AY13" s="460">
        <v>7991</v>
      </c>
      <c r="AZ13" s="460">
        <v>7900</v>
      </c>
      <c r="BA13" s="460">
        <f>F13-SUM(AX13:AZ13)</f>
        <v>8414</v>
      </c>
      <c r="BB13" s="472">
        <v>8084</v>
      </c>
      <c r="BC13" s="473">
        <v>8636</v>
      </c>
      <c r="BD13" s="473">
        <v>8421</v>
      </c>
      <c r="BE13" s="473">
        <v>9030</v>
      </c>
      <c r="BF13" s="474">
        <v>8671</v>
      </c>
      <c r="BG13" s="474">
        <v>9134</v>
      </c>
      <c r="BH13" s="474">
        <v>9082</v>
      </c>
      <c r="BI13" s="474">
        <v>9877</v>
      </c>
      <c r="BJ13" s="474">
        <v>8915</v>
      </c>
      <c r="BK13" s="474">
        <v>9393</v>
      </c>
      <c r="BL13" s="474">
        <v>9265</v>
      </c>
      <c r="BM13" s="474">
        <v>9907</v>
      </c>
      <c r="BN13" s="474">
        <f>3909*0+1788</f>
        <v>1788</v>
      </c>
      <c r="BO13" s="474">
        <f>4265*0+2021</f>
        <v>2021</v>
      </c>
      <c r="BP13" s="474">
        <f>4325*0+2096</f>
        <v>2096</v>
      </c>
      <c r="BQ13" s="474">
        <f>4048*0+1922</f>
        <v>1922</v>
      </c>
      <c r="BR13" s="474">
        <v>1887</v>
      </c>
      <c r="BS13" s="474">
        <v>2168</v>
      </c>
      <c r="BT13" s="474">
        <v>2230</v>
      </c>
      <c r="BU13" s="474">
        <v>1985</v>
      </c>
      <c r="BV13" s="474">
        <v>1770</v>
      </c>
      <c r="BW13" s="474">
        <v>2138</v>
      </c>
      <c r="BX13" s="474">
        <v>2033</v>
      </c>
      <c r="BY13" s="474">
        <v>2049</v>
      </c>
      <c r="BZ13" s="474">
        <v>1809</v>
      </c>
      <c r="CA13" s="474">
        <v>1967</v>
      </c>
      <c r="CB13" s="474">
        <v>1985</v>
      </c>
      <c r="CC13" s="474">
        <v>1885</v>
      </c>
      <c r="CD13" s="474">
        <v>1795</v>
      </c>
      <c r="CE13" s="474">
        <v>2030</v>
      </c>
      <c r="CF13" s="474">
        <v>1883</v>
      </c>
      <c r="CG13" s="474">
        <v>1972</v>
      </c>
      <c r="CH13" s="474">
        <v>1792</v>
      </c>
      <c r="CI13" s="474">
        <v>2086</v>
      </c>
      <c r="CJ13" s="474">
        <v>1982</v>
      </c>
      <c r="CK13" s="474">
        <v>2077</v>
      </c>
      <c r="CL13" s="474">
        <f>1299+483</f>
        <v>1782</v>
      </c>
      <c r="CM13" s="474">
        <f>1972+36</f>
        <v>2008</v>
      </c>
      <c r="CN13" s="474">
        <f>1939+145</f>
        <v>2084</v>
      </c>
      <c r="CO13" s="475">
        <v>1996</v>
      </c>
      <c r="CP13" s="476">
        <v>1752</v>
      </c>
      <c r="CQ13" s="477">
        <f>1968+43</f>
        <v>2011</v>
      </c>
      <c r="CR13" s="476">
        <v>2079</v>
      </c>
      <c r="CS13" s="430">
        <v>1986</v>
      </c>
      <c r="CT13" s="698">
        <v>1797</v>
      </c>
      <c r="CU13" s="698">
        <v>2004</v>
      </c>
      <c r="CV13" s="698">
        <f>1932+126</f>
        <v>2058</v>
      </c>
      <c r="CW13" s="430">
        <f>2007-29</f>
        <v>1978</v>
      </c>
      <c r="CX13" s="456">
        <f>1874-12</f>
        <v>1862</v>
      </c>
      <c r="CY13" s="456">
        <v>1924</v>
      </c>
      <c r="CZ13" s="698">
        <v>2043</v>
      </c>
      <c r="DA13" s="1033">
        <v>1905</v>
      </c>
      <c r="DB13" s="1062">
        <v>1810</v>
      </c>
      <c r="DC13" s="1062">
        <v>1949</v>
      </c>
      <c r="DD13" s="1062">
        <v>1940</v>
      </c>
      <c r="DE13" s="1033">
        <v>1844</v>
      </c>
      <c r="DF13" s="311">
        <f>DF14*DF11</f>
        <v>1825.2117278320991</v>
      </c>
      <c r="DG13" s="311">
        <f>DG14*DG11</f>
        <v>1977.8711034853147</v>
      </c>
      <c r="DH13" s="311">
        <f>DH14*DH11</f>
        <v>1989.999938644462</v>
      </c>
      <c r="DI13" s="413">
        <f>+U13-SUM(DF13:DH13)</f>
        <v>1910.7597223702223</v>
      </c>
      <c r="DJ13" s="16"/>
    </row>
    <row r="14" spans="1:221">
      <c r="A14" s="928" t="s">
        <v>208</v>
      </c>
      <c r="B14" s="407">
        <f t="shared" ref="B14:J14" si="17">B13/B11</f>
        <v>0.48583725840506742</v>
      </c>
      <c r="C14" s="407">
        <f t="shared" si="17"/>
        <v>0.51928965094917334</v>
      </c>
      <c r="D14" s="407">
        <f t="shared" si="17"/>
        <v>0.52586674939889866</v>
      </c>
      <c r="E14" s="407">
        <f t="shared" si="17"/>
        <v>0.52066904095649957</v>
      </c>
      <c r="F14" s="407">
        <f t="shared" si="17"/>
        <v>0.52500658935160782</v>
      </c>
      <c r="G14" s="407">
        <f t="shared" si="17"/>
        <v>0.53578092927785037</v>
      </c>
      <c r="H14" s="407">
        <f t="shared" si="17"/>
        <v>0.59939645416823839</v>
      </c>
      <c r="I14" s="407">
        <f t="shared" si="17"/>
        <v>0.53746942722256985</v>
      </c>
      <c r="J14" s="407">
        <f t="shared" si="17"/>
        <v>0.51781488298711542</v>
      </c>
      <c r="K14" s="407">
        <f t="shared" ref="K14:R14" si="18">K13/K11</f>
        <v>0.51414522000127727</v>
      </c>
      <c r="L14" s="407">
        <f t="shared" si="18"/>
        <v>0.48329766999524487</v>
      </c>
      <c r="M14" s="407">
        <f t="shared" si="18"/>
        <v>0.46945299550082881</v>
      </c>
      <c r="N14" s="407">
        <f t="shared" si="18"/>
        <v>0.45809172377438062</v>
      </c>
      <c r="O14" s="407">
        <f t="shared" si="18"/>
        <v>0.44925714285714285</v>
      </c>
      <c r="P14" s="407">
        <f t="shared" si="18"/>
        <v>0.43220291003793238</v>
      </c>
      <c r="Q14" s="407">
        <f t="shared" si="18"/>
        <v>0.43233165181168143</v>
      </c>
      <c r="R14" s="407">
        <f t="shared" si="18"/>
        <v>0.41635316828768526</v>
      </c>
      <c r="S14" s="407">
        <f t="shared" ref="S14:AB14" si="19">S13/S11</f>
        <v>0.39995862853596731</v>
      </c>
      <c r="T14" s="407">
        <f t="shared" si="19"/>
        <v>0.38693957115009736</v>
      </c>
      <c r="U14" s="407">
        <f t="shared" si="19"/>
        <v>0.39324498972075594</v>
      </c>
      <c r="V14" s="407">
        <f t="shared" si="19"/>
        <v>0.37468520438517594</v>
      </c>
      <c r="W14" s="407">
        <f t="shared" si="19"/>
        <v>0.34917531347220154</v>
      </c>
      <c r="X14" s="407">
        <f t="shared" si="19"/>
        <v>0.33025281794243067</v>
      </c>
      <c r="Y14" s="407">
        <f t="shared" si="19"/>
        <v>0.31273168008007313</v>
      </c>
      <c r="Z14" s="407">
        <f t="shared" si="19"/>
        <v>0.2964984956059542</v>
      </c>
      <c r="AA14" s="407">
        <f t="shared" si="19"/>
        <v>0.28144948015924715</v>
      </c>
      <c r="AB14" s="407">
        <f t="shared" si="19"/>
        <v>0.26748960332506755</v>
      </c>
      <c r="AD14" s="478"/>
      <c r="AE14" s="478"/>
      <c r="AF14" s="478"/>
      <c r="AG14" s="478"/>
      <c r="AH14" s="478"/>
      <c r="AI14" s="478"/>
      <c r="AJ14" s="478"/>
      <c r="AK14" s="478"/>
      <c r="AL14" s="478"/>
      <c r="AM14" s="478"/>
      <c r="AN14" s="478"/>
      <c r="AO14" s="478"/>
      <c r="AP14" s="763">
        <f>AP13/AP11</f>
        <v>0.54329482019992215</v>
      </c>
      <c r="AQ14" s="763">
        <f t="shared" ref="AQ14:CJ14" si="20">AQ13/AQ11</f>
        <v>0.53342669264490994</v>
      </c>
      <c r="AR14" s="763">
        <f t="shared" si="20"/>
        <v>0.52389369357995075</v>
      </c>
      <c r="AS14" s="763">
        <f t="shared" si="20"/>
        <v>0.53695955369595538</v>
      </c>
      <c r="AT14" s="763">
        <f t="shared" si="20"/>
        <v>0.53853436849081615</v>
      </c>
      <c r="AU14" s="763">
        <f t="shared" si="20"/>
        <v>0.51924016613730761</v>
      </c>
      <c r="AV14" s="763">
        <f t="shared" si="20"/>
        <v>0.49753630705394192</v>
      </c>
      <c r="AW14" s="763">
        <f t="shared" si="20"/>
        <v>0.56097390819031678</v>
      </c>
      <c r="AX14" s="763">
        <f t="shared" si="20"/>
        <v>0.52651726057906456</v>
      </c>
      <c r="AY14" s="763">
        <f t="shared" si="20"/>
        <v>0.5194729212307172</v>
      </c>
      <c r="AZ14" s="763">
        <f t="shared" si="20"/>
        <v>0.51990786442908854</v>
      </c>
      <c r="BA14" s="763">
        <f t="shared" si="20"/>
        <v>0.54900169646352603</v>
      </c>
      <c r="BB14" s="763">
        <f t="shared" si="20"/>
        <v>0.52415224016079875</v>
      </c>
      <c r="BC14" s="763">
        <f t="shared" si="20"/>
        <v>0.53020628683693516</v>
      </c>
      <c r="BD14" s="763">
        <f t="shared" si="20"/>
        <v>0.52958933400415065</v>
      </c>
      <c r="BE14" s="763">
        <f t="shared" si="20"/>
        <v>0.55395374516900808</v>
      </c>
      <c r="BF14" s="763">
        <f t="shared" si="20"/>
        <v>0.52891301695742343</v>
      </c>
      <c r="BG14" s="763">
        <f t="shared" si="20"/>
        <v>0.5301218804410911</v>
      </c>
      <c r="BH14" s="763">
        <f t="shared" si="20"/>
        <v>0.52780845004939847</v>
      </c>
      <c r="BI14" s="763">
        <f t="shared" si="20"/>
        <v>0.55582442318514347</v>
      </c>
      <c r="BJ14" s="763">
        <f t="shared" si="20"/>
        <v>0.53380037123525537</v>
      </c>
      <c r="BK14" s="763">
        <f t="shared" si="20"/>
        <v>0.52713395813457542</v>
      </c>
      <c r="BL14" s="763">
        <f t="shared" si="20"/>
        <v>0.52801048612298396</v>
      </c>
      <c r="BM14" s="763">
        <f t="shared" si="20"/>
        <v>0.55222965440356742</v>
      </c>
      <c r="BN14" s="763">
        <f t="shared" si="20"/>
        <v>0.51901306240928879</v>
      </c>
      <c r="BO14" s="763">
        <f t="shared" si="20"/>
        <v>0.51687979539641948</v>
      </c>
      <c r="BP14" s="763">
        <f t="shared" si="20"/>
        <v>0.5217824246950461</v>
      </c>
      <c r="BQ14" s="763">
        <f t="shared" si="20"/>
        <v>0.52499317126468181</v>
      </c>
      <c r="BR14" s="763">
        <f t="shared" si="20"/>
        <v>0.52402110524854206</v>
      </c>
      <c r="BS14" s="763">
        <f t="shared" si="20"/>
        <v>0.53241650294695486</v>
      </c>
      <c r="BT14" s="763">
        <f t="shared" si="20"/>
        <v>0.52544769085768139</v>
      </c>
      <c r="BU14" s="763">
        <f t="shared" si="20"/>
        <v>0.53046499198289687</v>
      </c>
      <c r="BV14" s="763">
        <f t="shared" si="20"/>
        <v>0.46432318992654775</v>
      </c>
      <c r="BW14" s="763">
        <f t="shared" si="20"/>
        <v>0.46538963865912059</v>
      </c>
      <c r="BX14" s="763">
        <f t="shared" si="20"/>
        <v>0.47081982399258915</v>
      </c>
      <c r="BY14" s="763">
        <f t="shared" si="20"/>
        <v>0.49975609756097561</v>
      </c>
      <c r="BZ14" s="763">
        <f t="shared" si="20"/>
        <v>0.45785876993166286</v>
      </c>
      <c r="CA14" s="763">
        <f t="shared" si="20"/>
        <v>0.45312140059894035</v>
      </c>
      <c r="CB14" s="763">
        <f t="shared" si="20"/>
        <v>0.44496749607711278</v>
      </c>
      <c r="CC14" s="763">
        <f t="shared" si="20"/>
        <v>0.45542401546267214</v>
      </c>
      <c r="CD14" s="763">
        <f t="shared" si="20"/>
        <v>0.45523712908952574</v>
      </c>
      <c r="CE14" s="763">
        <f t="shared" si="20"/>
        <v>0.45191451469278715</v>
      </c>
      <c r="CF14" s="763">
        <f t="shared" si="20"/>
        <v>0.43497343497343499</v>
      </c>
      <c r="CG14" s="763">
        <f t="shared" si="20"/>
        <v>0.45764678579716872</v>
      </c>
      <c r="CH14" s="763">
        <f t="shared" si="20"/>
        <v>0.44867300951427141</v>
      </c>
      <c r="CI14" s="763">
        <f t="shared" si="20"/>
        <v>0.45545851528384279</v>
      </c>
      <c r="CJ14" s="494">
        <f t="shared" si="20"/>
        <v>0.44379758172861622</v>
      </c>
      <c r="CK14" s="763">
        <f>CK13/CK11</f>
        <v>0.46569506726457399</v>
      </c>
      <c r="CL14" s="763">
        <f>CL13/CL11</f>
        <v>0.44852756103699976</v>
      </c>
      <c r="CM14" s="458">
        <f>+CI14-0.005</f>
        <v>0.45045851528384279</v>
      </c>
      <c r="CN14" s="763">
        <f>CN13/CN11</f>
        <v>0.43781512605042017</v>
      </c>
      <c r="CO14" s="763">
        <f>CO13/CO11</f>
        <v>0.45322434150772023</v>
      </c>
      <c r="CP14" s="763">
        <f>CP13/CP11</f>
        <v>0.43708896123483826</v>
      </c>
      <c r="CQ14" s="763">
        <f>CQ13/CQ11</f>
        <v>0.43994749507766351</v>
      </c>
      <c r="CR14" s="763">
        <f>CR13/CR11</f>
        <v>0.4374079528718704</v>
      </c>
      <c r="CS14" s="458">
        <f>+CS13/CS11</f>
        <v>0.43052243659223932</v>
      </c>
      <c r="CT14" s="764">
        <f>CT13/CT11</f>
        <v>0.42064606741573035</v>
      </c>
      <c r="CU14" s="764">
        <f>CU13/CU11</f>
        <v>0.41107554134682628</v>
      </c>
      <c r="CV14" s="764">
        <f>CV13/CV11</f>
        <v>0.41341904379268785</v>
      </c>
      <c r="CW14" s="458">
        <f t="shared" ref="CW14:DD14" si="21">+CW13/CW11</f>
        <v>0.42103507071275237</v>
      </c>
      <c r="CX14" s="458">
        <f t="shared" si="21"/>
        <v>0.41103752759381901</v>
      </c>
      <c r="CY14" s="458">
        <f t="shared" si="21"/>
        <v>0.3941815201802909</v>
      </c>
      <c r="CZ14" s="458">
        <f t="shared" si="21"/>
        <v>0.39341421143847488</v>
      </c>
      <c r="DA14" s="1026">
        <f t="shared" si="21"/>
        <v>0.40249313331924785</v>
      </c>
      <c r="DB14" s="1026">
        <f t="shared" si="21"/>
        <v>0.39442144258008283</v>
      </c>
      <c r="DC14" s="1026">
        <f t="shared" si="21"/>
        <v>0.38456985003946331</v>
      </c>
      <c r="DD14" s="1026">
        <f t="shared" si="21"/>
        <v>0.37868436463009952</v>
      </c>
      <c r="DE14" s="458">
        <f>+DE13/DE11</f>
        <v>0.39117522274077215</v>
      </c>
      <c r="DF14" s="458">
        <f>+DB14+($U$14-$T$14)</f>
        <v>0.40072686115074141</v>
      </c>
      <c r="DG14" s="458">
        <f>+DC14+($U$14-$T$14)</f>
        <v>0.3908752686101219</v>
      </c>
      <c r="DH14" s="458">
        <f>+DD14+($U$14-$T$14)</f>
        <v>0.38498978320075811</v>
      </c>
      <c r="DI14" s="458">
        <f>+DI13/DI11</f>
        <v>0.39752739771944312</v>
      </c>
    </row>
    <row r="15" spans="1:221">
      <c r="A15" s="928"/>
      <c r="AD15" s="478"/>
      <c r="AE15" s="478"/>
      <c r="AF15" s="478"/>
      <c r="AG15" s="478"/>
      <c r="AH15" s="478"/>
      <c r="AI15" s="478"/>
      <c r="AJ15" s="478"/>
      <c r="AK15" s="478"/>
      <c r="AL15" s="478"/>
      <c r="AM15" s="478"/>
      <c r="AN15" s="478"/>
      <c r="AO15" s="478"/>
      <c r="AP15" s="478"/>
      <c r="AQ15" s="478"/>
      <c r="AR15" s="478"/>
      <c r="AS15" s="478"/>
      <c r="AT15" s="478"/>
      <c r="AU15" s="478"/>
      <c r="AV15" s="478"/>
      <c r="AW15" s="478"/>
      <c r="AX15" s="478"/>
      <c r="AY15" s="478"/>
      <c r="AZ15" s="478"/>
      <c r="BA15" s="478"/>
      <c r="BB15" s="478"/>
      <c r="BC15" s="478"/>
      <c r="BD15" s="478"/>
      <c r="BE15" s="478"/>
      <c r="BF15" s="387"/>
      <c r="BG15" s="387"/>
      <c r="BH15" s="387"/>
      <c r="BI15" s="387"/>
      <c r="BJ15" s="387"/>
      <c r="BK15" s="387"/>
      <c r="BL15" s="387"/>
      <c r="BM15" s="387"/>
      <c r="BN15" s="387"/>
      <c r="BO15" s="387"/>
      <c r="BP15" s="387"/>
      <c r="BQ15" s="387"/>
      <c r="BR15" s="387"/>
      <c r="BS15" s="387"/>
      <c r="BT15" s="387"/>
      <c r="BU15" s="387"/>
      <c r="BV15" s="387"/>
      <c r="BW15" s="387"/>
      <c r="BX15" s="387"/>
      <c r="BY15" s="387"/>
      <c r="BZ15" s="387"/>
      <c r="CA15" s="387"/>
      <c r="CB15" s="387"/>
      <c r="CC15" s="387"/>
      <c r="CD15" s="387"/>
      <c r="CE15" s="387"/>
      <c r="CF15" s="387"/>
      <c r="CG15" s="387"/>
      <c r="CH15" s="387"/>
      <c r="CI15" s="387"/>
      <c r="CJ15" s="387"/>
      <c r="CK15" s="387"/>
      <c r="CL15" s="387"/>
      <c r="CM15" s="387"/>
      <c r="CN15" s="387"/>
      <c r="CO15" s="387"/>
      <c r="CP15" s="387"/>
      <c r="CQ15" s="387"/>
      <c r="CR15" s="387"/>
      <c r="CS15" s="387"/>
      <c r="CT15" s="482"/>
      <c r="CU15" s="387"/>
      <c r="CV15" s="387"/>
      <c r="CW15" s="387"/>
      <c r="CX15" s="387"/>
      <c r="CY15" s="387"/>
      <c r="CZ15" s="387"/>
      <c r="DA15" s="1027"/>
      <c r="DB15" s="1027"/>
      <c r="DC15" s="1027"/>
      <c r="DD15" s="1027"/>
      <c r="DE15" s="387"/>
      <c r="DF15" s="387"/>
      <c r="DG15" s="387"/>
      <c r="DH15" s="387"/>
      <c r="DI15" s="387"/>
    </row>
    <row r="16" spans="1:221">
      <c r="A16" s="929" t="s">
        <v>545</v>
      </c>
      <c r="B16" s="761">
        <f t="shared" ref="B16:J16" si="22">B11-B13</f>
        <v>31657</v>
      </c>
      <c r="C16" s="761">
        <f t="shared" si="22"/>
        <v>27475</v>
      </c>
      <c r="D16" s="761">
        <f t="shared" si="22"/>
        <v>30565</v>
      </c>
      <c r="E16" s="761">
        <f t="shared" si="22"/>
        <v>30148</v>
      </c>
      <c r="F16" s="761">
        <f t="shared" si="22"/>
        <v>28834</v>
      </c>
      <c r="G16" s="460">
        <f t="shared" si="22"/>
        <v>29853</v>
      </c>
      <c r="H16" s="460">
        <f t="shared" si="22"/>
        <v>27612</v>
      </c>
      <c r="I16" s="311">
        <f t="shared" si="22"/>
        <v>32527</v>
      </c>
      <c r="J16" s="460">
        <f t="shared" si="22"/>
        <v>7335</v>
      </c>
      <c r="K16" s="460">
        <f t="shared" ref="K16:R16" si="23">K11-K13</f>
        <v>7608</v>
      </c>
      <c r="L16" s="460">
        <f t="shared" si="23"/>
        <v>8693</v>
      </c>
      <c r="M16" s="460">
        <f t="shared" si="23"/>
        <v>8962</v>
      </c>
      <c r="N16" s="460">
        <f t="shared" si="23"/>
        <v>9252</v>
      </c>
      <c r="O16" s="460">
        <f t="shared" si="23"/>
        <v>9638</v>
      </c>
      <c r="P16" s="460">
        <f t="shared" si="23"/>
        <v>10029</v>
      </c>
      <c r="Q16" s="460">
        <f t="shared" si="23"/>
        <v>10187</v>
      </c>
      <c r="R16" s="460">
        <f t="shared" si="23"/>
        <v>10985.962323622607</v>
      </c>
      <c r="S16" s="311">
        <f t="shared" ref="S16:AB16" si="24">S11-S13</f>
        <v>11603</v>
      </c>
      <c r="T16" s="311">
        <f t="shared" si="24"/>
        <v>11951.000000000002</v>
      </c>
      <c r="U16" s="311">
        <f t="shared" si="24"/>
        <v>11886.597802412945</v>
      </c>
      <c r="V16" s="311">
        <f t="shared" si="24"/>
        <v>12424.699184540079</v>
      </c>
      <c r="W16" s="311">
        <f t="shared" si="24"/>
        <v>13155.886918048409</v>
      </c>
      <c r="X16" s="311">
        <f t="shared" si="24"/>
        <v>13791.839797329365</v>
      </c>
      <c r="Y16" s="311">
        <f t="shared" si="24"/>
        <v>14423.073911679783</v>
      </c>
      <c r="Z16" s="311">
        <f t="shared" si="24"/>
        <v>15051.726558156337</v>
      </c>
      <c r="AA16" s="311">
        <f t="shared" si="24"/>
        <v>15679.873700756341</v>
      </c>
      <c r="AB16" s="311">
        <f t="shared" si="24"/>
        <v>16309.541655702709</v>
      </c>
      <c r="AD16" s="193"/>
      <c r="AE16" s="193"/>
      <c r="AF16" s="193"/>
      <c r="AG16" s="193"/>
      <c r="AH16" s="193"/>
      <c r="AI16" s="193"/>
      <c r="AJ16" s="193"/>
      <c r="AK16" s="193"/>
      <c r="AL16" s="193"/>
      <c r="AM16" s="193"/>
      <c r="AN16" s="193"/>
      <c r="AO16" s="193"/>
      <c r="AP16" s="194">
        <f t="shared" ref="AP16:AW16" si="25">AP8-AP9-AP13</f>
        <v>7036</v>
      </c>
      <c r="AQ16" s="194">
        <f t="shared" si="25"/>
        <v>7663</v>
      </c>
      <c r="AR16" s="194">
        <f t="shared" si="25"/>
        <v>7542</v>
      </c>
      <c r="AS16" s="194">
        <f t="shared" si="25"/>
        <v>7304</v>
      </c>
      <c r="AT16" s="194">
        <f t="shared" si="25"/>
        <v>7311</v>
      </c>
      <c r="AU16" s="194">
        <f t="shared" si="25"/>
        <v>7871</v>
      </c>
      <c r="AV16" s="194">
        <f t="shared" si="25"/>
        <v>7750</v>
      </c>
      <c r="AW16" s="194">
        <f t="shared" si="25"/>
        <v>6293</v>
      </c>
      <c r="AX16" s="194">
        <f t="shared" ref="AX16:BI16" si="26">AX8-AX9-AX13</f>
        <v>6803</v>
      </c>
      <c r="AY16" s="194">
        <f t="shared" si="26"/>
        <v>7391.9000000000015</v>
      </c>
      <c r="AZ16" s="194">
        <f t="shared" si="26"/>
        <v>7295</v>
      </c>
      <c r="BA16" s="194">
        <f t="shared" si="26"/>
        <v>6912</v>
      </c>
      <c r="BB16" s="194">
        <f t="shared" si="26"/>
        <v>7339</v>
      </c>
      <c r="BC16" s="194">
        <f t="shared" si="26"/>
        <v>7652</v>
      </c>
      <c r="BD16" s="194">
        <f t="shared" si="26"/>
        <v>7480</v>
      </c>
      <c r="BE16" s="194">
        <f t="shared" si="26"/>
        <v>7271</v>
      </c>
      <c r="BF16" s="194">
        <f t="shared" si="26"/>
        <v>7723</v>
      </c>
      <c r="BG16" s="194">
        <f t="shared" si="26"/>
        <v>8096</v>
      </c>
      <c r="BH16" s="194">
        <f t="shared" si="26"/>
        <v>8125</v>
      </c>
      <c r="BI16" s="194">
        <f t="shared" si="26"/>
        <v>7893</v>
      </c>
      <c r="BJ16" s="194">
        <f t="shared" ref="BJ16:BX16" si="27">BJ8-BJ9-BJ13</f>
        <v>7786</v>
      </c>
      <c r="BK16" s="194">
        <f t="shared" si="27"/>
        <v>8426</v>
      </c>
      <c r="BL16" s="194">
        <f t="shared" si="27"/>
        <v>8282</v>
      </c>
      <c r="BM16" s="194">
        <f t="shared" si="27"/>
        <v>8033</v>
      </c>
      <c r="BN16" s="194">
        <f t="shared" si="27"/>
        <v>1657</v>
      </c>
      <c r="BO16" s="194">
        <f t="shared" si="27"/>
        <v>1889</v>
      </c>
      <c r="BP16" s="194">
        <f t="shared" si="27"/>
        <v>1921</v>
      </c>
      <c r="BQ16" s="194">
        <f t="shared" si="27"/>
        <v>1739</v>
      </c>
      <c r="BR16" s="194">
        <f t="shared" si="27"/>
        <v>1714</v>
      </c>
      <c r="BS16" s="194">
        <f t="shared" si="27"/>
        <v>1904</v>
      </c>
      <c r="BT16" s="194">
        <f t="shared" si="27"/>
        <v>2014</v>
      </c>
      <c r="BU16" s="194">
        <f t="shared" si="27"/>
        <v>1757</v>
      </c>
      <c r="BV16" s="194">
        <f t="shared" si="27"/>
        <v>2042</v>
      </c>
      <c r="BW16" s="194">
        <f t="shared" si="27"/>
        <v>2456</v>
      </c>
      <c r="BX16" s="194">
        <f t="shared" si="27"/>
        <v>2285</v>
      </c>
      <c r="BY16" s="194">
        <f>L16-SUM(BV16:BX16)</f>
        <v>1910</v>
      </c>
      <c r="BZ16" s="194">
        <f t="shared" ref="BZ16:CO16" si="28">BZ8-BZ9-BZ13</f>
        <v>2142</v>
      </c>
      <c r="CA16" s="194">
        <f t="shared" si="28"/>
        <v>2374</v>
      </c>
      <c r="CB16" s="194">
        <f t="shared" si="28"/>
        <v>2476</v>
      </c>
      <c r="CC16" s="194">
        <f t="shared" si="28"/>
        <v>2254</v>
      </c>
      <c r="CD16" s="194">
        <f t="shared" si="28"/>
        <v>2148</v>
      </c>
      <c r="CE16" s="194">
        <f t="shared" si="28"/>
        <v>2462</v>
      </c>
      <c r="CF16" s="194">
        <f t="shared" si="28"/>
        <v>2446</v>
      </c>
      <c r="CG16" s="194">
        <f t="shared" si="28"/>
        <v>2337</v>
      </c>
      <c r="CH16" s="194">
        <f t="shared" si="28"/>
        <v>2202</v>
      </c>
      <c r="CI16" s="194">
        <f t="shared" si="28"/>
        <v>2494</v>
      </c>
      <c r="CJ16" s="194">
        <f t="shared" si="28"/>
        <v>2484</v>
      </c>
      <c r="CK16" s="342">
        <f t="shared" si="28"/>
        <v>2383</v>
      </c>
      <c r="CL16" s="194">
        <f t="shared" si="28"/>
        <v>2191</v>
      </c>
      <c r="CM16" s="194">
        <f t="shared" si="28"/>
        <v>2518</v>
      </c>
      <c r="CN16" s="194">
        <f t="shared" si="28"/>
        <v>2676</v>
      </c>
      <c r="CO16" s="194">
        <f t="shared" si="28"/>
        <v>2408</v>
      </c>
      <c r="CP16" s="194">
        <f>CP11-CP13</f>
        <v>2256.3373303465542</v>
      </c>
      <c r="CQ16" s="194">
        <f>CQ11-CQ13</f>
        <v>2560</v>
      </c>
      <c r="CR16" s="194">
        <f>CR11-CR13</f>
        <v>2674</v>
      </c>
      <c r="CS16" s="194">
        <f>CS11-CS13</f>
        <v>2627</v>
      </c>
      <c r="CT16" s="699">
        <f t="shared" ref="CT16:DE16" si="29">CT11-CT13</f>
        <v>2475</v>
      </c>
      <c r="CU16" s="194">
        <f t="shared" si="29"/>
        <v>2871.0163861226083</v>
      </c>
      <c r="CV16" s="194">
        <f t="shared" si="29"/>
        <v>2920</v>
      </c>
      <c r="CW16" s="194">
        <f t="shared" si="29"/>
        <v>2719.9459374999997</v>
      </c>
      <c r="CX16" s="194">
        <f t="shared" si="29"/>
        <v>2668</v>
      </c>
      <c r="CY16" s="194">
        <f t="shared" si="29"/>
        <v>2957</v>
      </c>
      <c r="CZ16" s="194">
        <f t="shared" si="29"/>
        <v>3150</v>
      </c>
      <c r="DA16" s="1028">
        <f t="shared" si="29"/>
        <v>2828</v>
      </c>
      <c r="DB16" s="1028">
        <f t="shared" si="29"/>
        <v>2779</v>
      </c>
      <c r="DC16" s="1028">
        <f t="shared" si="29"/>
        <v>3119</v>
      </c>
      <c r="DD16" s="1028">
        <f t="shared" si="29"/>
        <v>3183</v>
      </c>
      <c r="DE16" s="194">
        <f t="shared" si="29"/>
        <v>2870</v>
      </c>
      <c r="DF16" s="194">
        <f t="shared" ref="DF16:DI16" si="30">DF11-DF13</f>
        <v>2729.5409098891569</v>
      </c>
      <c r="DG16" s="194">
        <f t="shared" si="30"/>
        <v>3082.2369727259229</v>
      </c>
      <c r="DH16" s="194">
        <f t="shared" si="30"/>
        <v>3178.9682404584878</v>
      </c>
      <c r="DI16" s="194">
        <f t="shared" si="30"/>
        <v>2895.8516793393783</v>
      </c>
    </row>
    <row r="17" spans="1:221">
      <c r="A17" s="928" t="s">
        <v>210</v>
      </c>
      <c r="B17" s="407">
        <f>B16/B142</f>
        <v>0.40371102467640119</v>
      </c>
      <c r="C17" s="746">
        <f t="shared" ref="C17:J17" si="31">C16/C11</f>
        <v>0.48071034905082671</v>
      </c>
      <c r="D17" s="746">
        <f t="shared" si="31"/>
        <v>0.4741332506011014</v>
      </c>
      <c r="E17" s="746">
        <f t="shared" si="31"/>
        <v>0.47933095904350037</v>
      </c>
      <c r="F17" s="746">
        <f t="shared" si="31"/>
        <v>0.47499341064839218</v>
      </c>
      <c r="G17" s="303">
        <f t="shared" si="31"/>
        <v>0.46421907072214963</v>
      </c>
      <c r="H17" s="303">
        <f t="shared" si="31"/>
        <v>0.40060354583176161</v>
      </c>
      <c r="I17" s="303">
        <f t="shared" si="31"/>
        <v>0.4625305727774302</v>
      </c>
      <c r="J17" s="303">
        <f t="shared" si="31"/>
        <v>0.48218511701288458</v>
      </c>
      <c r="K17" s="303">
        <f t="shared" ref="K17:R17" si="32">K16/K11</f>
        <v>0.48585477999872279</v>
      </c>
      <c r="L17" s="303">
        <f t="shared" si="32"/>
        <v>0.51670233000475507</v>
      </c>
      <c r="M17" s="303">
        <f t="shared" si="32"/>
        <v>0.53054700449917125</v>
      </c>
      <c r="N17" s="303">
        <f t="shared" si="32"/>
        <v>0.54190827622561943</v>
      </c>
      <c r="O17" s="303">
        <f t="shared" si="32"/>
        <v>0.55074285714285709</v>
      </c>
      <c r="P17" s="303">
        <f t="shared" si="32"/>
        <v>0.56779708996206757</v>
      </c>
      <c r="Q17" s="303">
        <f t="shared" si="32"/>
        <v>0.56766834818831857</v>
      </c>
      <c r="R17" s="303">
        <f t="shared" si="32"/>
        <v>0.5836468317123148</v>
      </c>
      <c r="S17" s="303">
        <f t="shared" ref="S17:AB17" si="33">S16/S11</f>
        <v>0.60004137146403269</v>
      </c>
      <c r="T17" s="303">
        <f t="shared" si="33"/>
        <v>0.61306042884990264</v>
      </c>
      <c r="U17" s="303">
        <f t="shared" si="33"/>
        <v>0.60675501027924406</v>
      </c>
      <c r="V17" s="303">
        <f t="shared" si="33"/>
        <v>0.62531479561482406</v>
      </c>
      <c r="W17" s="303">
        <f t="shared" si="33"/>
        <v>0.65082468652779846</v>
      </c>
      <c r="X17" s="303">
        <f t="shared" si="33"/>
        <v>0.66974718205756933</v>
      </c>
      <c r="Y17" s="303">
        <f t="shared" si="33"/>
        <v>0.68726831991992687</v>
      </c>
      <c r="Z17" s="303">
        <f t="shared" si="33"/>
        <v>0.7035015043940458</v>
      </c>
      <c r="AA17" s="303">
        <f t="shared" si="33"/>
        <v>0.71855051984075291</v>
      </c>
      <c r="AB17" s="303">
        <f t="shared" si="33"/>
        <v>0.73251039667493245</v>
      </c>
      <c r="AD17" s="478"/>
      <c r="AE17" s="478"/>
      <c r="AF17" s="478"/>
      <c r="AG17" s="478"/>
      <c r="AH17" s="478"/>
      <c r="AI17" s="478"/>
      <c r="AJ17" s="478"/>
      <c r="AK17" s="478"/>
      <c r="AL17" s="478"/>
      <c r="AM17" s="478"/>
      <c r="AN17" s="478"/>
      <c r="AO17" s="478"/>
      <c r="AP17" s="763">
        <f>AP16/AP11</f>
        <v>0.45670517980007791</v>
      </c>
      <c r="AQ17" s="763">
        <f t="shared" ref="AQ17:CO17" si="34">AQ16/AQ11</f>
        <v>0.46657330735509012</v>
      </c>
      <c r="AR17" s="763">
        <f t="shared" si="34"/>
        <v>0.47610630642004925</v>
      </c>
      <c r="AS17" s="763">
        <f t="shared" si="34"/>
        <v>0.46304044630404462</v>
      </c>
      <c r="AT17" s="763">
        <f t="shared" si="34"/>
        <v>0.46146563150918385</v>
      </c>
      <c r="AU17" s="763">
        <f t="shared" si="34"/>
        <v>0.48075983386269239</v>
      </c>
      <c r="AV17" s="763">
        <f t="shared" si="34"/>
        <v>0.50246369294605808</v>
      </c>
      <c r="AW17" s="763">
        <f t="shared" si="34"/>
        <v>0.43902609180968327</v>
      </c>
      <c r="AX17" s="763">
        <f t="shared" si="34"/>
        <v>0.47348273942093544</v>
      </c>
      <c r="AY17" s="763">
        <f t="shared" si="34"/>
        <v>0.4805270787692828</v>
      </c>
      <c r="AZ17" s="763">
        <f t="shared" si="34"/>
        <v>0.48009213557091146</v>
      </c>
      <c r="BA17" s="763">
        <f t="shared" si="34"/>
        <v>0.45099830353647397</v>
      </c>
      <c r="BB17" s="763">
        <f t="shared" si="34"/>
        <v>0.47584775983920119</v>
      </c>
      <c r="BC17" s="763">
        <f t="shared" si="34"/>
        <v>0.46979371316306484</v>
      </c>
      <c r="BD17" s="763">
        <f t="shared" si="34"/>
        <v>0.4704106659958493</v>
      </c>
      <c r="BE17" s="763">
        <f t="shared" si="34"/>
        <v>0.44604625483099197</v>
      </c>
      <c r="BF17" s="763">
        <f t="shared" si="34"/>
        <v>0.47108698304257657</v>
      </c>
      <c r="BG17" s="763">
        <f t="shared" si="34"/>
        <v>0.4698781195589089</v>
      </c>
      <c r="BH17" s="763">
        <f t="shared" si="34"/>
        <v>0.47219154995060147</v>
      </c>
      <c r="BI17" s="763">
        <f t="shared" si="34"/>
        <v>0.44417557681485648</v>
      </c>
      <c r="BJ17" s="763">
        <f t="shared" si="34"/>
        <v>0.46619962876474463</v>
      </c>
      <c r="BK17" s="763">
        <f t="shared" si="34"/>
        <v>0.47286604186542452</v>
      </c>
      <c r="BL17" s="763">
        <f t="shared" si="34"/>
        <v>0.47198951387701599</v>
      </c>
      <c r="BM17" s="763">
        <f t="shared" si="34"/>
        <v>0.44777034559643253</v>
      </c>
      <c r="BN17" s="763">
        <f t="shared" si="34"/>
        <v>0.48098693759071115</v>
      </c>
      <c r="BO17" s="763">
        <f t="shared" si="34"/>
        <v>0.48312020460358057</v>
      </c>
      <c r="BP17" s="763">
        <f t="shared" si="34"/>
        <v>0.47821757530495396</v>
      </c>
      <c r="BQ17" s="763">
        <f t="shared" si="34"/>
        <v>0.47500682873531824</v>
      </c>
      <c r="BR17" s="763">
        <f t="shared" si="34"/>
        <v>0.47597889475145794</v>
      </c>
      <c r="BS17" s="763">
        <f t="shared" si="34"/>
        <v>0.46758349705304519</v>
      </c>
      <c r="BT17" s="763">
        <f t="shared" si="34"/>
        <v>0.47455230914231855</v>
      </c>
      <c r="BU17" s="763">
        <f t="shared" si="34"/>
        <v>0.46953500801710313</v>
      </c>
      <c r="BV17" s="763">
        <f t="shared" si="34"/>
        <v>0.53567681007345225</v>
      </c>
      <c r="BW17" s="763">
        <f t="shared" si="34"/>
        <v>0.53461036134087936</v>
      </c>
      <c r="BX17" s="763">
        <f t="shared" si="34"/>
        <v>0.52918017600741085</v>
      </c>
      <c r="BY17" s="763">
        <f t="shared" si="34"/>
        <v>0.46585365853658539</v>
      </c>
      <c r="BZ17" s="763">
        <f t="shared" si="34"/>
        <v>0.54214123006833714</v>
      </c>
      <c r="CA17" s="763">
        <f t="shared" si="34"/>
        <v>0.54687859940105965</v>
      </c>
      <c r="CB17" s="763">
        <f t="shared" si="34"/>
        <v>0.55503250392288728</v>
      </c>
      <c r="CC17" s="763">
        <f t="shared" si="34"/>
        <v>0.54457598453732781</v>
      </c>
      <c r="CD17" s="763">
        <f t="shared" si="34"/>
        <v>0.54476287091047426</v>
      </c>
      <c r="CE17" s="763">
        <f t="shared" si="34"/>
        <v>0.54808548530721279</v>
      </c>
      <c r="CF17" s="763">
        <f t="shared" si="34"/>
        <v>0.56502656502656501</v>
      </c>
      <c r="CG17" s="763">
        <f t="shared" si="34"/>
        <v>0.54235321420283134</v>
      </c>
      <c r="CH17" s="763">
        <f t="shared" si="34"/>
        <v>0.55132699048572864</v>
      </c>
      <c r="CI17" s="763">
        <f t="shared" si="34"/>
        <v>0.54454148471615715</v>
      </c>
      <c r="CJ17" s="763">
        <f t="shared" si="34"/>
        <v>0.55620241827138384</v>
      </c>
      <c r="CK17" s="763">
        <f t="shared" si="34"/>
        <v>0.53430493273542601</v>
      </c>
      <c r="CL17" s="763">
        <f t="shared" si="34"/>
        <v>0.55147243896300024</v>
      </c>
      <c r="CM17" s="763">
        <f t="shared" si="34"/>
        <v>0.55634114007954039</v>
      </c>
      <c r="CN17" s="763">
        <f t="shared" si="34"/>
        <v>0.56218487394957983</v>
      </c>
      <c r="CO17" s="763">
        <f t="shared" si="34"/>
        <v>0.54677565849227971</v>
      </c>
      <c r="CP17" s="763">
        <f t="shared" ref="CP17:CW17" si="35">CP16/CP11</f>
        <v>0.5629110387651618</v>
      </c>
      <c r="CQ17" s="763">
        <f t="shared" si="35"/>
        <v>0.56005250492233649</v>
      </c>
      <c r="CR17" s="763">
        <f t="shared" si="35"/>
        <v>0.5625920471281296</v>
      </c>
      <c r="CS17" s="763">
        <f t="shared" si="35"/>
        <v>0.56947756340776068</v>
      </c>
      <c r="CT17" s="764">
        <f t="shared" si="35"/>
        <v>0.5793539325842697</v>
      </c>
      <c r="CU17" s="763">
        <f t="shared" si="35"/>
        <v>0.58892445865317367</v>
      </c>
      <c r="CV17" s="763">
        <f t="shared" si="35"/>
        <v>0.58658095620731221</v>
      </c>
      <c r="CW17" s="763">
        <f t="shared" si="35"/>
        <v>0.57896492928724763</v>
      </c>
      <c r="CX17" s="763">
        <f t="shared" ref="CX17:DE17" si="36">CX16/CX11</f>
        <v>0.58896247240618105</v>
      </c>
      <c r="CY17" s="763">
        <f t="shared" si="36"/>
        <v>0.60581847981970904</v>
      </c>
      <c r="CZ17" s="763">
        <f t="shared" si="36"/>
        <v>0.60658578856152512</v>
      </c>
      <c r="DA17" s="1029">
        <f t="shared" si="36"/>
        <v>0.59750686668075215</v>
      </c>
      <c r="DB17" s="1029">
        <f t="shared" si="36"/>
        <v>0.60557855741991717</v>
      </c>
      <c r="DC17" s="1029">
        <f t="shared" si="36"/>
        <v>0.61543014996053669</v>
      </c>
      <c r="DD17" s="1029">
        <f t="shared" si="36"/>
        <v>0.62131563536990042</v>
      </c>
      <c r="DE17" s="763">
        <f t="shared" si="36"/>
        <v>0.60882477725922779</v>
      </c>
      <c r="DF17" s="763">
        <f t="shared" ref="DF17:DI17" si="37">DF16/DF11</f>
        <v>0.59927313884925848</v>
      </c>
      <c r="DG17" s="763">
        <f t="shared" si="37"/>
        <v>0.6091247313898781</v>
      </c>
      <c r="DH17" s="763">
        <f t="shared" si="37"/>
        <v>0.61501021679924195</v>
      </c>
      <c r="DI17" s="763">
        <f t="shared" si="37"/>
        <v>0.60247260228055688</v>
      </c>
      <c r="DL17" s="182"/>
    </row>
    <row r="18" spans="1:221">
      <c r="A18" s="928"/>
      <c r="AD18" s="478"/>
      <c r="AE18" s="478"/>
      <c r="AF18" s="478"/>
      <c r="AG18" s="478"/>
      <c r="AH18" s="478"/>
      <c r="AI18" s="478"/>
      <c r="AJ18" s="478"/>
      <c r="AK18" s="478"/>
      <c r="AL18" s="478"/>
      <c r="AM18" s="478"/>
      <c r="AN18" s="478"/>
      <c r="AO18" s="478"/>
      <c r="AP18" s="763"/>
      <c r="AQ18" s="763"/>
      <c r="AR18" s="763"/>
      <c r="AS18" s="763"/>
      <c r="AT18" s="763"/>
      <c r="AU18" s="763"/>
      <c r="AV18" s="763"/>
      <c r="AW18" s="763"/>
      <c r="AX18" s="763"/>
      <c r="AY18" s="763"/>
      <c r="AZ18" s="763"/>
      <c r="BA18" s="763"/>
      <c r="BB18" s="763"/>
      <c r="BC18" s="763"/>
      <c r="BD18" s="763"/>
      <c r="BE18" s="763"/>
      <c r="BF18" s="763"/>
      <c r="BG18" s="763"/>
      <c r="BH18" s="763"/>
      <c r="BI18" s="763"/>
      <c r="BJ18" s="763"/>
      <c r="BK18" s="763"/>
      <c r="BL18" s="763"/>
      <c r="BM18" s="763"/>
      <c r="BN18" s="763"/>
      <c r="BO18" s="763"/>
      <c r="BP18" s="763"/>
      <c r="BQ18" s="763"/>
      <c r="BR18" s="763"/>
      <c r="BS18" s="763"/>
      <c r="BT18" s="763"/>
      <c r="BU18" s="763"/>
      <c r="BV18" s="763"/>
      <c r="BW18" s="763"/>
      <c r="BX18" s="763"/>
      <c r="BY18" s="763"/>
      <c r="BZ18" s="763"/>
      <c r="CA18" s="763"/>
      <c r="CB18" s="763"/>
      <c r="CC18" s="763"/>
      <c r="CD18" s="763"/>
      <c r="CE18" s="763"/>
      <c r="CF18" s="763"/>
      <c r="CG18" s="763"/>
      <c r="CH18" s="387"/>
      <c r="CI18" s="387"/>
      <c r="CJ18" s="387"/>
      <c r="CK18" s="387"/>
      <c r="CL18" s="387"/>
      <c r="CM18" s="387"/>
      <c r="CN18" s="387"/>
      <c r="CO18" s="387"/>
      <c r="CP18" s="387"/>
      <c r="CQ18" s="387"/>
      <c r="CR18" s="387"/>
      <c r="CS18" s="387"/>
      <c r="CT18" s="482"/>
      <c r="CU18" s="387"/>
      <c r="CV18" s="387"/>
      <c r="CW18" s="387"/>
      <c r="CX18" s="387"/>
      <c r="CY18" s="387"/>
      <c r="CZ18" s="387"/>
      <c r="DA18" s="1027"/>
      <c r="DB18" s="1027"/>
      <c r="DC18" s="1027"/>
      <c r="DD18" s="1027"/>
      <c r="DE18" s="387"/>
      <c r="DF18" s="387"/>
      <c r="DG18" s="387"/>
      <c r="DH18" s="387"/>
      <c r="DI18" s="387"/>
    </row>
    <row r="19" spans="1:221">
      <c r="A19" s="928" t="s">
        <v>418</v>
      </c>
      <c r="B19" s="761">
        <v>12517</v>
      </c>
      <c r="C19" s="728">
        <v>11423</v>
      </c>
      <c r="D19" s="728">
        <v>12461</v>
      </c>
      <c r="E19" s="728">
        <v>12282</v>
      </c>
      <c r="F19" s="728">
        <v>11898</v>
      </c>
      <c r="G19" s="307">
        <f>SUM(BB19:BE19)</f>
        <v>12940</v>
      </c>
      <c r="H19" s="307">
        <f>SUM(BF19:BI19)</f>
        <v>9683</v>
      </c>
      <c r="I19" s="307">
        <f>SUM(BJ19:BM19)</f>
        <v>12940</v>
      </c>
      <c r="J19" s="307">
        <f>SUM(BN19:BQ19)</f>
        <v>2317</v>
      </c>
      <c r="K19" s="307">
        <f t="shared" ref="K19:Q19" si="38">SUM(BO19:BR19)</f>
        <v>2321</v>
      </c>
      <c r="L19" s="307">
        <f t="shared" si="38"/>
        <v>2205</v>
      </c>
      <c r="M19" s="307">
        <f t="shared" si="38"/>
        <v>2176</v>
      </c>
      <c r="N19" s="307">
        <f t="shared" si="38"/>
        <v>2102</v>
      </c>
      <c r="O19" s="307">
        <f t="shared" si="38"/>
        <v>2121</v>
      </c>
      <c r="P19" s="307">
        <f t="shared" si="38"/>
        <v>2302</v>
      </c>
      <c r="Q19" s="307">
        <f t="shared" si="38"/>
        <v>2299</v>
      </c>
      <c r="R19" s="307">
        <f>+SUM(CT19:CW19)</f>
        <v>2277.962323622608</v>
      </c>
      <c r="S19" s="311">
        <f>+SUM(CX19:DA19)</f>
        <v>2224</v>
      </c>
      <c r="T19" s="311">
        <f>+SUM(DB19:DE19)</f>
        <v>1922</v>
      </c>
      <c r="U19" s="311">
        <f t="shared" ref="U19:AB19" si="39">U20*U11</f>
        <v>2029.4606782614533</v>
      </c>
      <c r="V19" s="311">
        <f t="shared" si="39"/>
        <v>1959.0232924979796</v>
      </c>
      <c r="W19" s="311">
        <f t="shared" si="39"/>
        <v>1993.005676063369</v>
      </c>
      <c r="X19" s="311">
        <f t="shared" si="39"/>
        <v>2030.316436357072</v>
      </c>
      <c r="Y19" s="311">
        <f t="shared" si="39"/>
        <v>2069.1116472263143</v>
      </c>
      <c r="Z19" s="311">
        <f t="shared" si="39"/>
        <v>2109.4717373735516</v>
      </c>
      <c r="AA19" s="311">
        <f t="shared" si="39"/>
        <v>2151.4817864071492</v>
      </c>
      <c r="AB19" s="311">
        <f t="shared" si="39"/>
        <v>2195.2317978316883</v>
      </c>
      <c r="AD19" s="460"/>
      <c r="AE19" s="460"/>
      <c r="AF19" s="460"/>
      <c r="AG19" s="460"/>
      <c r="AH19" s="460"/>
      <c r="AI19" s="460"/>
      <c r="AJ19" s="460"/>
      <c r="AK19" s="460"/>
      <c r="AL19" s="460"/>
      <c r="AM19" s="460"/>
      <c r="AN19" s="460"/>
      <c r="AO19" s="460"/>
      <c r="AP19" s="479">
        <f>3536</f>
        <v>3536</v>
      </c>
      <c r="AQ19" s="479">
        <v>3194</v>
      </c>
      <c r="AR19" s="479">
        <v>3141</v>
      </c>
      <c r="AS19" s="479">
        <v>2590</v>
      </c>
      <c r="AT19" s="479">
        <v>3063</v>
      </c>
      <c r="AU19" s="479">
        <v>3276</v>
      </c>
      <c r="AV19" s="479">
        <v>3005</v>
      </c>
      <c r="AW19" s="479">
        <v>2938</v>
      </c>
      <c r="AX19" s="460">
        <v>2870</v>
      </c>
      <c r="AY19" s="460">
        <v>2928</v>
      </c>
      <c r="AZ19" s="460">
        <f>2991+10</f>
        <v>3001</v>
      </c>
      <c r="BA19" s="460">
        <f>3109-7</f>
        <v>3102</v>
      </c>
      <c r="BB19" s="480">
        <f>3207+10</f>
        <v>3217</v>
      </c>
      <c r="BC19" s="480">
        <f>3304-10-6</f>
        <v>3288</v>
      </c>
      <c r="BD19" s="480">
        <f>3154-36</f>
        <v>3118</v>
      </c>
      <c r="BE19" s="480">
        <f>3394-77</f>
        <v>3317</v>
      </c>
      <c r="BF19" s="413">
        <f t="shared" ref="BF19:BQ19" si="40">BF16-BF22</f>
        <v>2316</v>
      </c>
      <c r="BG19" s="413">
        <f t="shared" si="40"/>
        <v>2341</v>
      </c>
      <c r="BH19" s="413">
        <f t="shared" si="40"/>
        <v>2460</v>
      </c>
      <c r="BI19" s="413">
        <f t="shared" si="40"/>
        <v>2566</v>
      </c>
      <c r="BJ19" s="413">
        <f t="shared" si="40"/>
        <v>3362</v>
      </c>
      <c r="BK19" s="413">
        <f t="shared" si="40"/>
        <v>2326</v>
      </c>
      <c r="BL19" s="413">
        <f t="shared" si="40"/>
        <v>3529</v>
      </c>
      <c r="BM19" s="413">
        <f t="shared" si="40"/>
        <v>3723</v>
      </c>
      <c r="BN19" s="413">
        <f t="shared" si="40"/>
        <v>527</v>
      </c>
      <c r="BO19" s="413">
        <f t="shared" si="40"/>
        <v>567</v>
      </c>
      <c r="BP19" s="413">
        <f t="shared" si="40"/>
        <v>604</v>
      </c>
      <c r="BQ19" s="413">
        <f t="shared" si="40"/>
        <v>619</v>
      </c>
      <c r="BR19" s="413">
        <f t="shared" ref="BR19:CV19" si="41">BR16-BR22</f>
        <v>531</v>
      </c>
      <c r="BS19" s="413">
        <f t="shared" si="41"/>
        <v>451</v>
      </c>
      <c r="BT19" s="413">
        <f t="shared" si="41"/>
        <v>575</v>
      </c>
      <c r="BU19" s="413">
        <f t="shared" si="41"/>
        <v>545</v>
      </c>
      <c r="BV19" s="413">
        <f t="shared" si="41"/>
        <v>550</v>
      </c>
      <c r="BW19" s="413">
        <f t="shared" si="41"/>
        <v>632</v>
      </c>
      <c r="BX19" s="413">
        <f t="shared" si="41"/>
        <v>572</v>
      </c>
      <c r="BY19" s="413">
        <f t="shared" si="41"/>
        <v>451</v>
      </c>
      <c r="BZ19" s="413">
        <f t="shared" si="41"/>
        <v>614</v>
      </c>
      <c r="CA19" s="413">
        <f t="shared" si="41"/>
        <v>565</v>
      </c>
      <c r="CB19" s="413">
        <f t="shared" si="41"/>
        <v>619</v>
      </c>
      <c r="CC19" s="413">
        <f t="shared" si="41"/>
        <v>662</v>
      </c>
      <c r="CD19" s="413">
        <f t="shared" si="41"/>
        <v>547</v>
      </c>
      <c r="CE19" s="413">
        <f t="shared" si="41"/>
        <v>572</v>
      </c>
      <c r="CF19" s="413">
        <f t="shared" si="41"/>
        <v>518</v>
      </c>
      <c r="CG19" s="413">
        <f t="shared" si="41"/>
        <v>606</v>
      </c>
      <c r="CH19" s="413">
        <f t="shared" si="41"/>
        <v>499</v>
      </c>
      <c r="CI19" s="413">
        <f t="shared" si="41"/>
        <v>524</v>
      </c>
      <c r="CJ19" s="413">
        <f t="shared" si="41"/>
        <v>483</v>
      </c>
      <c r="CK19" s="413">
        <f t="shared" si="41"/>
        <v>540</v>
      </c>
      <c r="CL19" s="413">
        <f t="shared" si="41"/>
        <v>456</v>
      </c>
      <c r="CM19" s="413">
        <f t="shared" si="41"/>
        <v>489</v>
      </c>
      <c r="CN19" s="413">
        <f t="shared" si="41"/>
        <v>586</v>
      </c>
      <c r="CO19" s="413">
        <f t="shared" si="41"/>
        <v>535</v>
      </c>
      <c r="CP19" s="413">
        <f t="shared" si="41"/>
        <v>460.33733034655415</v>
      </c>
      <c r="CQ19" s="413">
        <f t="shared" si="41"/>
        <v>539</v>
      </c>
      <c r="CR19" s="413">
        <f t="shared" si="41"/>
        <v>594</v>
      </c>
      <c r="CS19" s="413">
        <f t="shared" si="41"/>
        <v>636</v>
      </c>
      <c r="CT19" s="492">
        <f t="shared" si="41"/>
        <v>509</v>
      </c>
      <c r="CU19" s="413">
        <f t="shared" si="41"/>
        <v>570.01638612260831</v>
      </c>
      <c r="CV19" s="413">
        <f t="shared" si="41"/>
        <v>584</v>
      </c>
      <c r="CW19" s="413">
        <f t="shared" ref="CW19:DD19" si="42">CW16-CW22</f>
        <v>614.94593749999967</v>
      </c>
      <c r="CX19" s="413">
        <f t="shared" si="42"/>
        <v>455</v>
      </c>
      <c r="CY19" s="413">
        <f t="shared" si="42"/>
        <v>467</v>
      </c>
      <c r="CZ19" s="413">
        <f t="shared" si="42"/>
        <v>655</v>
      </c>
      <c r="DA19" s="1030">
        <f t="shared" si="42"/>
        <v>647</v>
      </c>
      <c r="DB19" s="1030">
        <f t="shared" si="42"/>
        <v>461</v>
      </c>
      <c r="DC19" s="1030">
        <f t="shared" si="42"/>
        <v>474</v>
      </c>
      <c r="DD19" s="1030">
        <f t="shared" si="42"/>
        <v>495</v>
      </c>
      <c r="DE19" s="1030">
        <f t="shared" ref="DE19" si="43">DE16-DE22</f>
        <v>492</v>
      </c>
      <c r="DF19" s="413">
        <f>DF16-DF22</f>
        <v>469.79365793694569</v>
      </c>
      <c r="DG19" s="413">
        <f t="shared" ref="DG19:DH19" si="44">DG16-DG22</f>
        <v>509.47519651883704</v>
      </c>
      <c r="DH19" s="413">
        <f t="shared" si="44"/>
        <v>526.5088413842218</v>
      </c>
      <c r="DI19" s="413">
        <f>U19-DH19-DG19-DF19</f>
        <v>523.68298242144874</v>
      </c>
    </row>
    <row r="20" spans="1:221">
      <c r="A20" s="928" t="s">
        <v>208</v>
      </c>
      <c r="B20" s="755">
        <f t="shared" ref="B20:T20" si="45">B19/B11</f>
        <v>0.20329706025661848</v>
      </c>
      <c r="C20" s="755">
        <f t="shared" si="45"/>
        <v>0.19986002974367947</v>
      </c>
      <c r="D20" s="755">
        <f t="shared" si="45"/>
        <v>0.19329868921119989</v>
      </c>
      <c r="E20" s="755">
        <f t="shared" si="45"/>
        <v>0.19527473925209871</v>
      </c>
      <c r="F20" s="755">
        <f t="shared" si="45"/>
        <v>0.1960002635740643</v>
      </c>
      <c r="G20" s="756">
        <f t="shared" si="45"/>
        <v>0.20121913292280899</v>
      </c>
      <c r="H20" s="756">
        <f t="shared" si="45"/>
        <v>0.14048399733047037</v>
      </c>
      <c r="I20" s="756">
        <f t="shared" si="45"/>
        <v>0.18400546044024799</v>
      </c>
      <c r="J20" s="756">
        <f t="shared" si="45"/>
        <v>0.15231396266105707</v>
      </c>
      <c r="K20" s="756">
        <f t="shared" si="45"/>
        <v>0.14822147008110351</v>
      </c>
      <c r="L20" s="756">
        <f t="shared" si="45"/>
        <v>0.13106276747503567</v>
      </c>
      <c r="M20" s="756">
        <f t="shared" si="45"/>
        <v>0.12881837556239639</v>
      </c>
      <c r="N20" s="756">
        <f t="shared" si="45"/>
        <v>0.12311837404088327</v>
      </c>
      <c r="O20" s="756">
        <f t="shared" si="45"/>
        <v>0.1212</v>
      </c>
      <c r="P20" s="756">
        <f t="shared" si="45"/>
        <v>0.13032893619430447</v>
      </c>
      <c r="Q20" s="756">
        <f t="shared" si="45"/>
        <v>0.1281112724536119</v>
      </c>
      <c r="R20" s="756">
        <f t="shared" si="45"/>
        <v>0.12102039437032662</v>
      </c>
      <c r="S20" s="756">
        <f t="shared" si="45"/>
        <v>0.11501267001086</v>
      </c>
      <c r="T20" s="756">
        <f t="shared" si="45"/>
        <v>9.8594439314660914E-2</v>
      </c>
      <c r="U20" s="757">
        <f>T20+0.5%</f>
        <v>0.10359443931466092</v>
      </c>
      <c r="V20" s="757">
        <f t="shared" ref="V20" si="46">U20-0.005</f>
        <v>9.8594439314660914E-2</v>
      </c>
      <c r="W20" s="757">
        <f>V20</f>
        <v>9.8594439314660914E-2</v>
      </c>
      <c r="X20" s="757">
        <f t="shared" ref="X20:AB20" si="47">W20</f>
        <v>9.8594439314660914E-2</v>
      </c>
      <c r="Y20" s="757">
        <f t="shared" si="47"/>
        <v>9.8594439314660914E-2</v>
      </c>
      <c r="Z20" s="757">
        <f t="shared" si="47"/>
        <v>9.8594439314660914E-2</v>
      </c>
      <c r="AA20" s="757">
        <f t="shared" si="47"/>
        <v>9.8594439314660914E-2</v>
      </c>
      <c r="AB20" s="757">
        <f t="shared" si="47"/>
        <v>9.8594439314660914E-2</v>
      </c>
      <c r="AD20" s="481"/>
      <c r="AE20" s="481"/>
      <c r="AF20" s="481"/>
      <c r="AG20" s="481"/>
      <c r="AH20" s="481"/>
      <c r="AI20" s="481"/>
      <c r="AJ20" s="481"/>
      <c r="AK20" s="481"/>
      <c r="AL20" s="481"/>
      <c r="AM20" s="481"/>
      <c r="AN20" s="481"/>
      <c r="AO20" s="481"/>
      <c r="AP20" s="747">
        <f t="shared" ref="AP20:CO20" si="48">AP19/AP11</f>
        <v>0.22952096585745813</v>
      </c>
      <c r="AQ20" s="747">
        <f t="shared" si="48"/>
        <v>0.19447150511446665</v>
      </c>
      <c r="AR20" s="747">
        <f t="shared" si="48"/>
        <v>0.1982829366832902</v>
      </c>
      <c r="AS20" s="747">
        <f t="shared" si="48"/>
        <v>0.16419424369215163</v>
      </c>
      <c r="AT20" s="747">
        <f t="shared" si="48"/>
        <v>0.19333459572050748</v>
      </c>
      <c r="AU20" s="747">
        <f t="shared" si="48"/>
        <v>0.20009772782799903</v>
      </c>
      <c r="AV20" s="747">
        <f t="shared" si="48"/>
        <v>0.19482624481327801</v>
      </c>
      <c r="AW20" s="747">
        <f t="shared" si="48"/>
        <v>0.20496721082740338</v>
      </c>
      <c r="AX20" s="747">
        <f t="shared" si="48"/>
        <v>0.19974944320712695</v>
      </c>
      <c r="AY20" s="747">
        <f t="shared" si="48"/>
        <v>0.19034122304636966</v>
      </c>
      <c r="AZ20" s="747">
        <f t="shared" si="48"/>
        <v>0.197499177360974</v>
      </c>
      <c r="BA20" s="747">
        <f t="shared" si="48"/>
        <v>0.20240114837530992</v>
      </c>
      <c r="BB20" s="747">
        <f t="shared" si="48"/>
        <v>0.20858458146923425</v>
      </c>
      <c r="BC20" s="747">
        <f t="shared" si="48"/>
        <v>0.20186640471512771</v>
      </c>
      <c r="BD20" s="747">
        <f t="shared" si="48"/>
        <v>0.19608829633356392</v>
      </c>
      <c r="BE20" s="747">
        <f t="shared" si="48"/>
        <v>0.20348444880682168</v>
      </c>
      <c r="BF20" s="748">
        <f t="shared" si="48"/>
        <v>0.14127119677930949</v>
      </c>
      <c r="BG20" s="748">
        <f t="shared" si="48"/>
        <v>0.13586767266395822</v>
      </c>
      <c r="BH20" s="748">
        <f t="shared" si="48"/>
        <v>0.14296507235427441</v>
      </c>
      <c r="BI20" s="748">
        <f t="shared" si="48"/>
        <v>0.14440067529544176</v>
      </c>
      <c r="BJ20" s="748">
        <f t="shared" si="48"/>
        <v>0.20130531105921801</v>
      </c>
      <c r="BK20" s="748">
        <f t="shared" si="48"/>
        <v>0.13053482238060496</v>
      </c>
      <c r="BL20" s="748">
        <f t="shared" si="48"/>
        <v>0.20111700005698979</v>
      </c>
      <c r="BM20" s="748">
        <f t="shared" si="48"/>
        <v>0.20752508361204014</v>
      </c>
      <c r="BN20" s="748">
        <f t="shared" si="48"/>
        <v>0.15297532656023222</v>
      </c>
      <c r="BO20" s="748">
        <f t="shared" si="48"/>
        <v>0.14501278772378517</v>
      </c>
      <c r="BP20" s="748">
        <f t="shared" si="48"/>
        <v>0.15036096589494649</v>
      </c>
      <c r="BQ20" s="748">
        <f t="shared" si="48"/>
        <v>0.16907948647910406</v>
      </c>
      <c r="BR20" s="748">
        <f t="shared" si="48"/>
        <v>0.14745903915579006</v>
      </c>
      <c r="BS20" s="748">
        <f t="shared" si="48"/>
        <v>0.11075638506876227</v>
      </c>
      <c r="BT20" s="748">
        <f t="shared" si="48"/>
        <v>0.13548539114043356</v>
      </c>
      <c r="BU20" s="748">
        <f t="shared" si="48"/>
        <v>0.14564404061998931</v>
      </c>
      <c r="BV20" s="748">
        <f t="shared" si="48"/>
        <v>0.14428121720881426</v>
      </c>
      <c r="BW20" s="748">
        <f t="shared" si="48"/>
        <v>0.13757074444928166</v>
      </c>
      <c r="BX20" s="748">
        <f t="shared" si="48"/>
        <v>0.13246873552570634</v>
      </c>
      <c r="BY20" s="748">
        <f t="shared" si="48"/>
        <v>0.11</v>
      </c>
      <c r="BZ20" s="748">
        <f t="shared" si="48"/>
        <v>0.155403695267021</v>
      </c>
      <c r="CA20" s="748">
        <f t="shared" si="48"/>
        <v>0.13015434231743839</v>
      </c>
      <c r="CB20" s="748">
        <f t="shared" si="48"/>
        <v>0.13875812598072182</v>
      </c>
      <c r="CC20" s="748">
        <f t="shared" si="48"/>
        <v>0.15994201497946364</v>
      </c>
      <c r="CD20" s="748">
        <f t="shared" si="48"/>
        <v>0.13872685772254628</v>
      </c>
      <c r="CE20" s="748">
        <f t="shared" si="48"/>
        <v>0.12733748886910062</v>
      </c>
      <c r="CF20" s="748">
        <f t="shared" si="48"/>
        <v>0.11965811965811966</v>
      </c>
      <c r="CG20" s="748">
        <f t="shared" si="48"/>
        <v>0.14063587839405894</v>
      </c>
      <c r="CH20" s="748">
        <f t="shared" si="48"/>
        <v>0.12493740610916375</v>
      </c>
      <c r="CI20" s="748">
        <f t="shared" si="48"/>
        <v>0.11441048034934498</v>
      </c>
      <c r="CJ20" s="748">
        <f t="shared" si="48"/>
        <v>0.10815047021943573</v>
      </c>
      <c r="CK20" s="748">
        <f t="shared" si="48"/>
        <v>0.1210762331838565</v>
      </c>
      <c r="CL20" s="748">
        <f t="shared" si="48"/>
        <v>0.11477472942360936</v>
      </c>
      <c r="CM20" s="748">
        <f t="shared" si="48"/>
        <v>0.10804242156429518</v>
      </c>
      <c r="CN20" s="748">
        <f t="shared" si="48"/>
        <v>0.123109243697479</v>
      </c>
      <c r="CO20" s="748">
        <f t="shared" si="48"/>
        <v>0.12148047229791099</v>
      </c>
      <c r="CP20" s="748">
        <f t="shared" ref="CP20:CV20" si="49">CP19/CP11</f>
        <v>0.1148449574993116</v>
      </c>
      <c r="CQ20" s="748">
        <f t="shared" si="49"/>
        <v>0.11791730474732007</v>
      </c>
      <c r="CR20" s="748">
        <f t="shared" si="49"/>
        <v>0.1249737008205344</v>
      </c>
      <c r="CS20" s="748">
        <f t="shared" si="49"/>
        <v>0.13787123347062649</v>
      </c>
      <c r="CT20" s="749">
        <f t="shared" si="49"/>
        <v>0.11914794007490637</v>
      </c>
      <c r="CU20" s="748">
        <f t="shared" si="49"/>
        <v>0.11692604516063512</v>
      </c>
      <c r="CV20" s="748">
        <f t="shared" si="49"/>
        <v>0.11731619124146243</v>
      </c>
      <c r="CW20" s="748">
        <f t="shared" ref="CW20:DD20" si="50">CW19/CW11</f>
        <v>0.13089676758333274</v>
      </c>
      <c r="CX20" s="748">
        <f t="shared" si="50"/>
        <v>0.10044150110375276</v>
      </c>
      <c r="CY20" s="748">
        <f t="shared" si="50"/>
        <v>9.567711534521614E-2</v>
      </c>
      <c r="CZ20" s="748">
        <f t="shared" si="50"/>
        <v>0.12613133063739648</v>
      </c>
      <c r="DA20" s="1031">
        <f t="shared" ref="DA20" si="51">DA19/DA11</f>
        <v>0.13669976758926686</v>
      </c>
      <c r="DB20" s="1031">
        <f t="shared" si="50"/>
        <v>0.10045761603835258</v>
      </c>
      <c r="DC20" s="1031">
        <f t="shared" si="50"/>
        <v>9.3528018942383578E-2</v>
      </c>
      <c r="DD20" s="1031">
        <f t="shared" si="50"/>
        <v>9.6623072418504777E-2</v>
      </c>
      <c r="DE20" s="1031">
        <f t="shared" ref="DE20" si="52">DE19/DE11</f>
        <v>0.10436996181586763</v>
      </c>
      <c r="DF20" s="748">
        <f t="shared" ref="DF20:DI20" si="53">DF19/DF11</f>
        <v>0.10314361619690143</v>
      </c>
      <c r="DG20" s="748">
        <f t="shared" si="53"/>
        <v>0.10068464721415737</v>
      </c>
      <c r="DH20" s="748">
        <f t="shared" si="53"/>
        <v>0.10185956329017196</v>
      </c>
      <c r="DI20" s="748">
        <f t="shared" si="53"/>
        <v>0.10895055552757746</v>
      </c>
    </row>
    <row r="21" spans="1:221">
      <c r="A21" s="928"/>
      <c r="AD21" s="478"/>
      <c r="AE21" s="478"/>
      <c r="AF21" s="478"/>
      <c r="AG21" s="478"/>
      <c r="AH21" s="478"/>
      <c r="AI21" s="478"/>
      <c r="AJ21" s="478"/>
      <c r="AK21" s="478"/>
      <c r="AL21" s="478"/>
      <c r="AM21" s="478"/>
      <c r="AN21" s="478"/>
      <c r="AO21" s="478"/>
      <c r="AP21" s="763"/>
      <c r="AQ21" s="763"/>
      <c r="AR21" s="763"/>
      <c r="AS21" s="763"/>
      <c r="AT21" s="763"/>
      <c r="AU21" s="763"/>
      <c r="AV21" s="763"/>
      <c r="AW21" s="763"/>
      <c r="AX21" s="763"/>
      <c r="AY21" s="763"/>
      <c r="AZ21" s="763"/>
      <c r="BA21" s="763"/>
      <c r="BB21" s="763"/>
      <c r="BC21" s="763"/>
      <c r="BD21" s="763"/>
      <c r="BE21" s="763"/>
      <c r="BF21" s="387"/>
      <c r="BG21" s="387"/>
      <c r="BH21" s="387"/>
      <c r="BI21" s="387"/>
      <c r="BJ21" s="387"/>
      <c r="BK21" s="387"/>
      <c r="BL21" s="387"/>
      <c r="BM21" s="387"/>
      <c r="BN21" s="387"/>
      <c r="BO21" s="387"/>
      <c r="BP21" s="387"/>
      <c r="BQ21" s="387"/>
      <c r="BR21" s="387"/>
      <c r="BS21" s="387"/>
      <c r="BT21" s="387"/>
      <c r="BU21" s="387"/>
      <c r="BV21" s="387"/>
      <c r="BW21" s="387"/>
      <c r="BX21" s="387"/>
      <c r="BY21" s="387"/>
      <c r="BZ21" s="387"/>
      <c r="CA21" s="387"/>
      <c r="CB21" s="387"/>
      <c r="CC21" s="387"/>
      <c r="CD21" s="387"/>
      <c r="CE21" s="387"/>
      <c r="CF21" s="387"/>
      <c r="CG21" s="387"/>
      <c r="CH21" s="387"/>
      <c r="CI21" s="387"/>
      <c r="CJ21" s="387"/>
      <c r="CK21" s="387"/>
      <c r="CL21" s="387"/>
      <c r="CM21" s="387"/>
      <c r="CN21" s="387"/>
      <c r="CO21" s="387"/>
      <c r="CP21" s="387"/>
      <c r="CQ21" s="387"/>
      <c r="CR21" s="387" t="s">
        <v>475</v>
      </c>
      <c r="CS21" s="387"/>
      <c r="CT21" s="482"/>
      <c r="CU21" s="387"/>
      <c r="CV21" s="387"/>
      <c r="CW21" s="387"/>
      <c r="CX21" s="387"/>
      <c r="CY21" s="387"/>
      <c r="CZ21" s="387"/>
      <c r="DA21" s="1027"/>
      <c r="DB21" s="1027"/>
      <c r="DC21" s="1027"/>
      <c r="DD21" s="1027"/>
      <c r="DE21" s="387"/>
      <c r="DF21" s="387"/>
      <c r="DG21" s="387"/>
      <c r="DH21" s="387"/>
      <c r="DI21" s="387"/>
    </row>
    <row r="22" spans="1:221">
      <c r="A22" s="929" t="s">
        <v>83</v>
      </c>
      <c r="B22" s="134">
        <f t="shared" ref="B22:J22" si="54">B187</f>
        <v>14997</v>
      </c>
      <c r="C22" s="134">
        <f t="shared" si="54"/>
        <v>15790</v>
      </c>
      <c r="D22" s="134">
        <f t="shared" si="54"/>
        <v>17808</v>
      </c>
      <c r="E22" s="134">
        <f t="shared" si="54"/>
        <v>17521</v>
      </c>
      <c r="F22" s="134">
        <f t="shared" si="54"/>
        <v>16624.5</v>
      </c>
      <c r="G22" s="134">
        <f t="shared" si="54"/>
        <v>16913</v>
      </c>
      <c r="H22" s="134">
        <f t="shared" si="54"/>
        <v>17929</v>
      </c>
      <c r="I22" s="134">
        <f t="shared" si="54"/>
        <v>19587</v>
      </c>
      <c r="J22" s="134">
        <f t="shared" si="54"/>
        <v>5018</v>
      </c>
      <c r="K22" s="134">
        <f t="shared" ref="K22:R22" si="55">K187</f>
        <v>5287</v>
      </c>
      <c r="L22" s="134">
        <f t="shared" si="55"/>
        <v>6488</v>
      </c>
      <c r="M22" s="134">
        <f t="shared" si="55"/>
        <v>6786</v>
      </c>
      <c r="N22" s="134">
        <f t="shared" si="55"/>
        <v>7150</v>
      </c>
      <c r="O22" s="134">
        <f t="shared" si="55"/>
        <v>7517</v>
      </c>
      <c r="P22" s="134">
        <f t="shared" si="55"/>
        <v>7727</v>
      </c>
      <c r="Q22" s="134">
        <f t="shared" si="55"/>
        <v>7888</v>
      </c>
      <c r="R22" s="134">
        <f t="shared" si="55"/>
        <v>8708</v>
      </c>
      <c r="S22" s="134">
        <f t="shared" ref="S22:AB22" si="56">S187</f>
        <v>9379</v>
      </c>
      <c r="T22" s="134">
        <f t="shared" si="56"/>
        <v>10029.000000000002</v>
      </c>
      <c r="U22" s="134">
        <f t="shared" si="56"/>
        <v>9857.1371241514917</v>
      </c>
      <c r="V22" s="134">
        <f t="shared" si="56"/>
        <v>10465.6758920421</v>
      </c>
      <c r="W22" s="134">
        <f t="shared" si="56"/>
        <v>11162.881241985038</v>
      </c>
      <c r="X22" s="134">
        <f t="shared" si="56"/>
        <v>11761.523360972293</v>
      </c>
      <c r="Y22" s="134">
        <f t="shared" si="56"/>
        <v>12353.96226445347</v>
      </c>
      <c r="Z22" s="134">
        <f t="shared" si="56"/>
        <v>12942.254820782786</v>
      </c>
      <c r="AA22" s="134">
        <f t="shared" si="56"/>
        <v>13528.391914349193</v>
      </c>
      <c r="AB22" s="134">
        <f t="shared" si="56"/>
        <v>14114.30985787102</v>
      </c>
      <c r="AD22" s="193">
        <f t="shared" ref="AD22:CC22" si="57">AD187</f>
        <v>3714</v>
      </c>
      <c r="AE22" s="193">
        <f t="shared" si="57"/>
        <v>3810</v>
      </c>
      <c r="AF22" s="193">
        <f t="shared" si="57"/>
        <v>3876</v>
      </c>
      <c r="AG22" s="193">
        <f t="shared" si="57"/>
        <v>3452</v>
      </c>
      <c r="AH22" s="193">
        <f t="shared" si="57"/>
        <v>3701</v>
      </c>
      <c r="AI22" s="193">
        <f t="shared" si="57"/>
        <v>3846</v>
      </c>
      <c r="AJ22" s="193">
        <f t="shared" si="57"/>
        <v>3925</v>
      </c>
      <c r="AK22" s="193">
        <f t="shared" si="57"/>
        <v>3525</v>
      </c>
      <c r="AL22" s="193">
        <f t="shared" si="57"/>
        <v>3899</v>
      </c>
      <c r="AM22" s="193">
        <f t="shared" si="57"/>
        <v>4051</v>
      </c>
      <c r="AN22" s="193">
        <f t="shared" si="57"/>
        <v>4136</v>
      </c>
      <c r="AO22" s="193">
        <f t="shared" si="57"/>
        <v>3704</v>
      </c>
      <c r="AP22" s="193">
        <f t="shared" si="57"/>
        <v>4295</v>
      </c>
      <c r="AQ22" s="193">
        <f t="shared" si="57"/>
        <v>4550</v>
      </c>
      <c r="AR22" s="193">
        <f t="shared" si="57"/>
        <v>4645</v>
      </c>
      <c r="AS22" s="193">
        <f t="shared" si="57"/>
        <v>4318</v>
      </c>
      <c r="AT22" s="193">
        <f t="shared" si="57"/>
        <v>4463</v>
      </c>
      <c r="AU22" s="193">
        <f t="shared" si="57"/>
        <v>4811</v>
      </c>
      <c r="AV22" s="193">
        <f t="shared" si="57"/>
        <v>4676</v>
      </c>
      <c r="AW22" s="193">
        <f t="shared" si="57"/>
        <v>3573</v>
      </c>
      <c r="AX22" s="193">
        <f t="shared" si="57"/>
        <v>3966</v>
      </c>
      <c r="AY22" s="193">
        <f t="shared" si="57"/>
        <v>4486.5</v>
      </c>
      <c r="AZ22" s="193">
        <f t="shared" si="57"/>
        <v>4329.5</v>
      </c>
      <c r="BA22" s="193">
        <f t="shared" si="57"/>
        <v>3842.5</v>
      </c>
      <c r="BB22" s="193">
        <f t="shared" si="57"/>
        <v>4151</v>
      </c>
      <c r="BC22" s="193">
        <f t="shared" si="57"/>
        <v>4396</v>
      </c>
      <c r="BD22" s="193">
        <f t="shared" si="57"/>
        <v>4383</v>
      </c>
      <c r="BE22" s="193">
        <f t="shared" si="57"/>
        <v>3983</v>
      </c>
      <c r="BF22" s="192">
        <f t="shared" si="57"/>
        <v>5407</v>
      </c>
      <c r="BG22" s="192">
        <f t="shared" si="57"/>
        <v>5755</v>
      </c>
      <c r="BH22" s="192">
        <f t="shared" si="57"/>
        <v>5665</v>
      </c>
      <c r="BI22" s="192">
        <f t="shared" si="57"/>
        <v>5327</v>
      </c>
      <c r="BJ22" s="192">
        <f t="shared" si="57"/>
        <v>4424</v>
      </c>
      <c r="BK22" s="192">
        <f t="shared" si="57"/>
        <v>6100</v>
      </c>
      <c r="BL22" s="192">
        <f t="shared" si="57"/>
        <v>4753</v>
      </c>
      <c r="BM22" s="192">
        <f t="shared" si="57"/>
        <v>4310</v>
      </c>
      <c r="BN22" s="192">
        <f t="shared" si="57"/>
        <v>1130</v>
      </c>
      <c r="BO22" s="192">
        <f t="shared" si="57"/>
        <v>1322</v>
      </c>
      <c r="BP22" s="192">
        <f t="shared" si="57"/>
        <v>1317</v>
      </c>
      <c r="BQ22" s="192">
        <f t="shared" si="57"/>
        <v>1120</v>
      </c>
      <c r="BR22" s="192">
        <f t="shared" si="57"/>
        <v>1183</v>
      </c>
      <c r="BS22" s="192">
        <f t="shared" si="57"/>
        <v>1453</v>
      </c>
      <c r="BT22" s="192">
        <f t="shared" si="57"/>
        <v>1439</v>
      </c>
      <c r="BU22" s="192">
        <f t="shared" si="57"/>
        <v>1212</v>
      </c>
      <c r="BV22" s="192">
        <f t="shared" si="57"/>
        <v>1492</v>
      </c>
      <c r="BW22" s="192">
        <f t="shared" si="57"/>
        <v>1824</v>
      </c>
      <c r="BX22" s="192">
        <f t="shared" si="57"/>
        <v>1713</v>
      </c>
      <c r="BY22" s="192">
        <f t="shared" si="57"/>
        <v>1459</v>
      </c>
      <c r="BZ22" s="192">
        <f t="shared" si="57"/>
        <v>1528</v>
      </c>
      <c r="CA22" s="192">
        <f t="shared" si="57"/>
        <v>1809</v>
      </c>
      <c r="CB22" s="192">
        <f t="shared" si="57"/>
        <v>1857</v>
      </c>
      <c r="CC22" s="192">
        <f t="shared" si="57"/>
        <v>1592</v>
      </c>
      <c r="CD22" s="192">
        <f t="shared" ref="CD22:CV22" si="58">CD187</f>
        <v>1601</v>
      </c>
      <c r="CE22" s="192">
        <f t="shared" si="58"/>
        <v>1890</v>
      </c>
      <c r="CF22" s="192">
        <f t="shared" si="58"/>
        <v>1928</v>
      </c>
      <c r="CG22" s="192">
        <f t="shared" si="58"/>
        <v>1731</v>
      </c>
      <c r="CH22" s="192">
        <f t="shared" si="58"/>
        <v>1703</v>
      </c>
      <c r="CI22" s="192">
        <f t="shared" si="58"/>
        <v>1970</v>
      </c>
      <c r="CJ22" s="192">
        <f t="shared" si="58"/>
        <v>2001</v>
      </c>
      <c r="CK22" s="192">
        <f t="shared" si="58"/>
        <v>1843</v>
      </c>
      <c r="CL22" s="192">
        <f t="shared" si="58"/>
        <v>1735</v>
      </c>
      <c r="CM22" s="192">
        <f t="shared" si="58"/>
        <v>2029</v>
      </c>
      <c r="CN22" s="192">
        <f t="shared" si="58"/>
        <v>2090</v>
      </c>
      <c r="CO22" s="192">
        <f t="shared" si="58"/>
        <v>1873</v>
      </c>
      <c r="CP22" s="192">
        <f t="shared" si="58"/>
        <v>1796</v>
      </c>
      <c r="CQ22" s="192">
        <f t="shared" si="58"/>
        <v>2021</v>
      </c>
      <c r="CR22" s="192">
        <f t="shared" si="58"/>
        <v>2080</v>
      </c>
      <c r="CS22" s="192">
        <f t="shared" si="58"/>
        <v>1991</v>
      </c>
      <c r="CT22" s="700">
        <f t="shared" si="58"/>
        <v>1966</v>
      </c>
      <c r="CU22" s="192">
        <f t="shared" si="58"/>
        <v>2301</v>
      </c>
      <c r="CV22" s="192">
        <f t="shared" si="58"/>
        <v>2336</v>
      </c>
      <c r="CW22" s="192">
        <f t="shared" ref="CW22:DE22" si="59">CW187</f>
        <v>2105</v>
      </c>
      <c r="CX22" s="192">
        <f t="shared" si="59"/>
        <v>2213</v>
      </c>
      <c r="CY22" s="192">
        <f t="shared" si="59"/>
        <v>2490</v>
      </c>
      <c r="CZ22" s="192">
        <f t="shared" si="59"/>
        <v>2495</v>
      </c>
      <c r="DA22" s="1032">
        <f t="shared" si="59"/>
        <v>2181</v>
      </c>
      <c r="DB22" s="1032">
        <f t="shared" si="59"/>
        <v>2318</v>
      </c>
      <c r="DC22" s="1032">
        <f t="shared" si="59"/>
        <v>2645</v>
      </c>
      <c r="DD22" s="1032">
        <f>DD187</f>
        <v>2688</v>
      </c>
      <c r="DE22" s="192">
        <f t="shared" si="59"/>
        <v>2378</v>
      </c>
      <c r="DF22" s="192">
        <f>DF187</f>
        <v>2259.7472519522112</v>
      </c>
      <c r="DG22" s="192">
        <f t="shared" ref="DG22:DI22" si="60">DG187</f>
        <v>2572.7617762070859</v>
      </c>
      <c r="DH22" s="192">
        <f t="shared" si="60"/>
        <v>2652.459399074266</v>
      </c>
      <c r="DI22" s="192">
        <f t="shared" si="60"/>
        <v>2372.1686969179291</v>
      </c>
      <c r="DJ22" s="157"/>
    </row>
    <row r="23" spans="1:221">
      <c r="A23" s="928" t="s">
        <v>525</v>
      </c>
      <c r="B23" s="407">
        <f t="shared" ref="B23:W23" si="61">B22/B11</f>
        <v>0.24357641708624331</v>
      </c>
      <c r="C23" s="407">
        <f t="shared" si="61"/>
        <v>0.2762662934126498</v>
      </c>
      <c r="D23" s="407">
        <f t="shared" si="61"/>
        <v>0.276242922516094</v>
      </c>
      <c r="E23" s="407">
        <f t="shared" si="61"/>
        <v>0.27857097430679217</v>
      </c>
      <c r="F23" s="407">
        <f t="shared" si="61"/>
        <v>0.27386168950975226</v>
      </c>
      <c r="G23" s="408">
        <f t="shared" si="61"/>
        <v>0.26299993779934067</v>
      </c>
      <c r="H23" s="408">
        <f t="shared" si="61"/>
        <v>0.26011954850129126</v>
      </c>
      <c r="I23" s="303">
        <f t="shared" si="61"/>
        <v>0.27852511233718219</v>
      </c>
      <c r="J23" s="303">
        <f t="shared" si="61"/>
        <v>0.32987115435182751</v>
      </c>
      <c r="K23" s="303">
        <f t="shared" si="61"/>
        <v>0.33763330991761925</v>
      </c>
      <c r="L23" s="303">
        <f t="shared" si="61"/>
        <v>0.38563956252971943</v>
      </c>
      <c r="M23" s="303">
        <f t="shared" si="61"/>
        <v>0.4017286289367748</v>
      </c>
      <c r="N23" s="303">
        <f t="shared" si="61"/>
        <v>0.41878990218473611</v>
      </c>
      <c r="O23" s="303">
        <f t="shared" si="61"/>
        <v>0.42954285714285712</v>
      </c>
      <c r="P23" s="303">
        <f t="shared" si="61"/>
        <v>0.4374681537677631</v>
      </c>
      <c r="Q23" s="303">
        <f t="shared" si="61"/>
        <v>0.43955707573470665</v>
      </c>
      <c r="R23" s="303">
        <f t="shared" si="61"/>
        <v>0.46262643734198816</v>
      </c>
      <c r="S23" s="303">
        <f t="shared" si="61"/>
        <v>0.48502870145317267</v>
      </c>
      <c r="T23" s="303">
        <f t="shared" si="61"/>
        <v>0.5144659895352417</v>
      </c>
      <c r="U23" s="303">
        <f t="shared" si="61"/>
        <v>0.50316057096458311</v>
      </c>
      <c r="V23" s="303">
        <f t="shared" si="61"/>
        <v>0.52672035630016312</v>
      </c>
      <c r="W23" s="303">
        <f t="shared" si="61"/>
        <v>0.55223024721313752</v>
      </c>
      <c r="X23" s="303">
        <f>X22/X11</f>
        <v>0.57115274274290839</v>
      </c>
      <c r="Y23" s="303">
        <f>Y22/Y11</f>
        <v>0.58867388060526604</v>
      </c>
      <c r="Z23" s="303">
        <f>Z22/Z11</f>
        <v>0.60490706507938496</v>
      </c>
      <c r="AA23" s="303">
        <f>AA22/AA11</f>
        <v>0.61995608052609197</v>
      </c>
      <c r="AB23" s="303">
        <f>AB22/AB11</f>
        <v>0.63391595736027151</v>
      </c>
      <c r="AD23" s="763">
        <f t="shared" ref="AD23:BI23" si="62">AD22/AD8</f>
        <v>0.20275139207337045</v>
      </c>
      <c r="AE23" s="763">
        <f t="shared" si="62"/>
        <v>0.20154464663563268</v>
      </c>
      <c r="AF23" s="763">
        <f t="shared" si="62"/>
        <v>0.20930986067609894</v>
      </c>
      <c r="AG23" s="763">
        <f t="shared" si="62"/>
        <v>0.18788439558047135</v>
      </c>
      <c r="AH23" s="763">
        <f t="shared" si="62"/>
        <v>0.19053747940691929</v>
      </c>
      <c r="AI23" s="763">
        <f t="shared" si="62"/>
        <v>0.19509968041394005</v>
      </c>
      <c r="AJ23" s="763">
        <f t="shared" si="62"/>
        <v>0.19834251351761079</v>
      </c>
      <c r="AK23" s="763">
        <f t="shared" si="62"/>
        <v>0.18547750591949486</v>
      </c>
      <c r="AL23" s="763">
        <f t="shared" si="62"/>
        <v>0.19374875770224606</v>
      </c>
      <c r="AM23" s="763">
        <f t="shared" si="62"/>
        <v>0.19578560726886085</v>
      </c>
      <c r="AN23" s="763">
        <f t="shared" si="62"/>
        <v>0.20776611242276585</v>
      </c>
      <c r="AO23" s="763">
        <f t="shared" si="62"/>
        <v>0.19314804192522292</v>
      </c>
      <c r="AP23" s="763">
        <f t="shared" si="62"/>
        <v>0.21649276677251877</v>
      </c>
      <c r="AQ23" s="763">
        <f t="shared" si="62"/>
        <v>0.2187394836786693</v>
      </c>
      <c r="AR23" s="763">
        <f t="shared" si="62"/>
        <v>0.23005299390817691</v>
      </c>
      <c r="AS23" s="763">
        <f t="shared" si="62"/>
        <v>0.21782777581597135</v>
      </c>
      <c r="AT23" s="763">
        <f t="shared" si="62"/>
        <v>0.21858164364776178</v>
      </c>
      <c r="AU23" s="763">
        <f t="shared" si="62"/>
        <v>0.22958721068957288</v>
      </c>
      <c r="AV23" s="763">
        <f t="shared" si="62"/>
        <v>0.23169160638192449</v>
      </c>
      <c r="AW23" s="763">
        <f t="shared" si="62"/>
        <v>0.19164342415790603</v>
      </c>
      <c r="AX23" s="763">
        <f t="shared" si="62"/>
        <v>0.2059724746819008</v>
      </c>
      <c r="AY23" s="763">
        <f t="shared" si="62"/>
        <v>0.2164578398120317</v>
      </c>
      <c r="AZ23" s="763">
        <f t="shared" si="62"/>
        <v>0.20782930107526881</v>
      </c>
      <c r="BA23" s="763">
        <f t="shared" si="62"/>
        <v>0.18665597979209173</v>
      </c>
      <c r="BB23" s="763">
        <f t="shared" si="62"/>
        <v>0.19093836246550139</v>
      </c>
      <c r="BC23" s="763">
        <f t="shared" si="62"/>
        <v>0.19237670123845785</v>
      </c>
      <c r="BD23" s="763">
        <f t="shared" si="62"/>
        <v>0.19349284831361468</v>
      </c>
      <c r="BE23" s="763">
        <f t="shared" si="62"/>
        <v>0.17847380920374603</v>
      </c>
      <c r="BF23" s="763">
        <f t="shared" si="62"/>
        <v>0.22959660297239914</v>
      </c>
      <c r="BG23" s="763">
        <f t="shared" si="62"/>
        <v>0.23309976102717808</v>
      </c>
      <c r="BH23" s="763">
        <f t="shared" si="62"/>
        <v>0.22784861038490931</v>
      </c>
      <c r="BI23" s="763">
        <f t="shared" si="62"/>
        <v>0.21802480252118037</v>
      </c>
      <c r="BJ23" s="763">
        <f t="shared" ref="BJ23:CV23" si="63">BJ22/BJ11</f>
        <v>0.26489431770552663</v>
      </c>
      <c r="BK23" s="763">
        <f t="shared" si="63"/>
        <v>0.34233121948481959</v>
      </c>
      <c r="BL23" s="763">
        <f t="shared" si="63"/>
        <v>0.2708725138200262</v>
      </c>
      <c r="BM23" s="763">
        <f t="shared" si="63"/>
        <v>0.24024526198439242</v>
      </c>
      <c r="BN23" s="763">
        <f t="shared" si="63"/>
        <v>0.32801161103047893</v>
      </c>
      <c r="BO23" s="763">
        <f t="shared" si="63"/>
        <v>0.3381074168797954</v>
      </c>
      <c r="BP23" s="763">
        <f t="shared" si="63"/>
        <v>0.32785660941000749</v>
      </c>
      <c r="BQ23" s="763">
        <f t="shared" si="63"/>
        <v>0.30592734225621415</v>
      </c>
      <c r="BR23" s="763">
        <f t="shared" si="63"/>
        <v>0.32851985559566788</v>
      </c>
      <c r="BS23" s="763">
        <f t="shared" si="63"/>
        <v>0.35682711198428291</v>
      </c>
      <c r="BT23" s="763">
        <f t="shared" si="63"/>
        <v>0.33906691800188499</v>
      </c>
      <c r="BU23" s="763">
        <f t="shared" si="63"/>
        <v>0.32389096739711382</v>
      </c>
      <c r="BV23" s="763">
        <f t="shared" si="63"/>
        <v>0.39139559286463799</v>
      </c>
      <c r="BW23" s="763">
        <f t="shared" si="63"/>
        <v>0.39703961689159772</v>
      </c>
      <c r="BX23" s="763">
        <f t="shared" si="63"/>
        <v>0.39671144048170448</v>
      </c>
      <c r="BY23" s="763">
        <f t="shared" si="63"/>
        <v>0.35585365853658535</v>
      </c>
      <c r="BZ23" s="763">
        <f t="shared" si="63"/>
        <v>0.38673753480131612</v>
      </c>
      <c r="CA23" s="763">
        <f t="shared" si="63"/>
        <v>0.41672425708362126</v>
      </c>
      <c r="CB23" s="763">
        <f t="shared" si="63"/>
        <v>0.41627437794216543</v>
      </c>
      <c r="CC23" s="763">
        <f t="shared" si="63"/>
        <v>0.38463396955786422</v>
      </c>
      <c r="CD23" s="763">
        <f t="shared" si="63"/>
        <v>0.40603601318792798</v>
      </c>
      <c r="CE23" s="763">
        <f t="shared" si="63"/>
        <v>0.42074799643811223</v>
      </c>
      <c r="CF23" s="763">
        <f t="shared" si="63"/>
        <v>0.44536844536844539</v>
      </c>
      <c r="CG23" s="763">
        <f t="shared" si="63"/>
        <v>0.40171733580877234</v>
      </c>
      <c r="CH23" s="763">
        <f t="shared" si="63"/>
        <v>0.42638958437656482</v>
      </c>
      <c r="CI23" s="763">
        <f t="shared" si="63"/>
        <v>0.43013100436681223</v>
      </c>
      <c r="CJ23" s="763">
        <f t="shared" si="63"/>
        <v>0.44805194805194803</v>
      </c>
      <c r="CK23" s="763">
        <f t="shared" si="63"/>
        <v>0.41322869955156949</v>
      </c>
      <c r="CL23" s="763">
        <f t="shared" si="63"/>
        <v>0.43669770953939091</v>
      </c>
      <c r="CM23" s="763">
        <f t="shared" si="63"/>
        <v>0.44829871851524528</v>
      </c>
      <c r="CN23" s="763">
        <f t="shared" si="63"/>
        <v>0.43907563025210083</v>
      </c>
      <c r="CO23" s="763">
        <f t="shared" si="63"/>
        <v>0.42529518619436874</v>
      </c>
      <c r="CP23" s="763">
        <f t="shared" si="63"/>
        <v>0.44806608126585018</v>
      </c>
      <c r="CQ23" s="763">
        <f t="shared" si="63"/>
        <v>0.4421352001750164</v>
      </c>
      <c r="CR23" s="763">
        <f>CR22/CR11</f>
        <v>0.43761834630759522</v>
      </c>
      <c r="CS23" s="763">
        <f>CS22/CS11</f>
        <v>0.43160632993713416</v>
      </c>
      <c r="CT23" s="764">
        <f t="shared" si="63"/>
        <v>0.46020599250936328</v>
      </c>
      <c r="CU23" s="763">
        <f t="shared" si="63"/>
        <v>0.47199841349253857</v>
      </c>
      <c r="CV23" s="763">
        <f t="shared" si="63"/>
        <v>0.46926476496584973</v>
      </c>
      <c r="CW23" s="763">
        <f t="shared" ref="CW23:DE23" si="64">CW22/CW11</f>
        <v>0.44806816170391489</v>
      </c>
      <c r="CX23" s="763">
        <f t="shared" si="64"/>
        <v>0.48852097130242828</v>
      </c>
      <c r="CY23" s="763">
        <f t="shared" si="64"/>
        <v>0.51014136447449299</v>
      </c>
      <c r="CZ23" s="763">
        <f t="shared" si="64"/>
        <v>0.48045445792412861</v>
      </c>
      <c r="DA23" s="1029">
        <f t="shared" si="64"/>
        <v>0.46080709909148532</v>
      </c>
      <c r="DB23" s="1029">
        <f t="shared" si="64"/>
        <v>0.5051209413815646</v>
      </c>
      <c r="DC23" s="1029">
        <f t="shared" si="64"/>
        <v>0.52190213101815308</v>
      </c>
      <c r="DD23" s="1029">
        <f t="shared" si="64"/>
        <v>0.52469256295139566</v>
      </c>
      <c r="DE23" s="763">
        <f t="shared" si="64"/>
        <v>0.50445481544336024</v>
      </c>
      <c r="DF23" s="763">
        <f t="shared" ref="DF23:DI23" si="65">DF22/DF11</f>
        <v>0.4961295226523571</v>
      </c>
      <c r="DG23" s="763">
        <f t="shared" si="65"/>
        <v>0.50844008417572073</v>
      </c>
      <c r="DH23" s="763">
        <f t="shared" si="65"/>
        <v>0.51315065350906996</v>
      </c>
      <c r="DI23" s="763">
        <f t="shared" si="65"/>
        <v>0.49352204675297934</v>
      </c>
    </row>
    <row r="24" spans="1:221">
      <c r="A24" s="928"/>
      <c r="G24" s="810"/>
      <c r="H24" s="810"/>
      <c r="I24" s="810"/>
      <c r="J24" s="810"/>
      <c r="K24" s="810"/>
      <c r="L24" s="810"/>
      <c r="M24" s="810"/>
      <c r="N24" s="810"/>
      <c r="O24" s="810"/>
      <c r="P24" s="810"/>
      <c r="Q24" s="810"/>
      <c r="AD24" s="478"/>
      <c r="AE24" s="478"/>
      <c r="AF24" s="478"/>
      <c r="AG24" s="478"/>
      <c r="AH24" s="478"/>
      <c r="AI24" s="478"/>
      <c r="AJ24" s="478"/>
      <c r="AK24" s="478"/>
      <c r="AL24" s="478"/>
      <c r="AM24" s="478"/>
      <c r="AN24" s="478"/>
      <c r="AO24" s="478"/>
      <c r="AP24" s="478"/>
      <c r="AQ24" s="478"/>
      <c r="AR24" s="478"/>
      <c r="AS24" s="478"/>
      <c r="AT24" s="478"/>
      <c r="AU24" s="478"/>
      <c r="AV24" s="478"/>
      <c r="AW24" s="478"/>
      <c r="AX24" s="478"/>
      <c r="AY24" s="478"/>
      <c r="AZ24" s="478"/>
      <c r="BA24" s="478"/>
      <c r="BB24" s="478"/>
      <c r="BC24" s="478"/>
      <c r="BD24" s="478"/>
      <c r="BE24" s="478"/>
      <c r="BF24" s="387"/>
      <c r="BG24" s="387"/>
      <c r="BH24" s="387"/>
      <c r="BI24" s="387"/>
      <c r="BJ24" s="387"/>
      <c r="BK24" s="387"/>
      <c r="BL24" s="387"/>
      <c r="BM24" s="387"/>
      <c r="BN24" s="387"/>
      <c r="BO24" s="387"/>
      <c r="BP24" s="387"/>
      <c r="BQ24" s="387"/>
      <c r="BR24" s="387"/>
      <c r="BS24" s="387"/>
      <c r="BT24" s="387"/>
      <c r="BU24" s="387"/>
      <c r="BV24" s="387"/>
      <c r="BW24" s="387"/>
      <c r="BX24" s="387"/>
      <c r="BY24" s="387"/>
      <c r="BZ24" s="387"/>
      <c r="CA24" s="387"/>
      <c r="CB24" s="387"/>
      <c r="CC24" s="387"/>
      <c r="CD24" s="387"/>
      <c r="CE24" s="387"/>
      <c r="CF24" s="387"/>
      <c r="CG24" s="387"/>
      <c r="CH24" s="387"/>
      <c r="CI24" s="387"/>
      <c r="CJ24" s="387"/>
      <c r="CK24" s="387"/>
      <c r="CL24" s="387"/>
      <c r="CM24" s="387"/>
      <c r="CN24" s="387"/>
      <c r="CO24" s="482"/>
      <c r="CP24" s="387"/>
      <c r="CQ24" s="387"/>
      <c r="CR24" s="387"/>
      <c r="CS24" s="387"/>
      <c r="CT24" s="482"/>
      <c r="CU24" s="482"/>
      <c r="CV24" s="387"/>
      <c r="CW24" s="387"/>
      <c r="CX24" s="387"/>
      <c r="CY24" s="387"/>
      <c r="CZ24" s="387"/>
      <c r="DA24" s="1027"/>
      <c r="DB24" s="1027"/>
      <c r="DC24" s="1027"/>
      <c r="DD24" s="1027"/>
      <c r="DE24" s="387"/>
      <c r="DF24" s="387"/>
      <c r="DG24" s="387"/>
      <c r="DH24" s="387"/>
      <c r="DI24" s="387"/>
      <c r="DK24" s="3"/>
    </row>
    <row r="25" spans="1:221" s="410" customFormat="1" hidden="1" outlineLevel="1">
      <c r="A25" s="301" t="s">
        <v>107</v>
      </c>
      <c r="B25" s="765">
        <f>582-577</f>
        <v>5</v>
      </c>
      <c r="C25" s="765">
        <f>591</f>
        <v>591</v>
      </c>
      <c r="D25" s="765">
        <f>1014</f>
        <v>1014</v>
      </c>
      <c r="E25" s="766">
        <v>0</v>
      </c>
      <c r="F25" s="765">
        <v>0</v>
      </c>
      <c r="G25" s="666">
        <f>F25</f>
        <v>0</v>
      </c>
      <c r="H25" s="666">
        <f>G25</f>
        <v>0</v>
      </c>
      <c r="I25" s="666">
        <f>H25</f>
        <v>0</v>
      </c>
      <c r="J25" s="666">
        <f>I25</f>
        <v>0</v>
      </c>
      <c r="K25" s="666">
        <v>0</v>
      </c>
      <c r="L25" s="666">
        <v>0</v>
      </c>
      <c r="M25" s="666">
        <v>0</v>
      </c>
      <c r="N25" s="666">
        <v>0</v>
      </c>
      <c r="O25" s="666">
        <v>0</v>
      </c>
      <c r="P25" s="312">
        <v>0</v>
      </c>
      <c r="Q25" s="666">
        <v>0</v>
      </c>
      <c r="R25" s="666">
        <v>0</v>
      </c>
      <c r="S25" s="666">
        <v>0</v>
      </c>
      <c r="T25" s="666">
        <v>0</v>
      </c>
      <c r="U25" s="666">
        <v>0</v>
      </c>
      <c r="V25" s="666">
        <v>0</v>
      </c>
      <c r="W25" s="666">
        <v>0</v>
      </c>
      <c r="X25" s="666">
        <v>0</v>
      </c>
      <c r="Y25" s="666">
        <v>0</v>
      </c>
      <c r="Z25" s="666">
        <v>0</v>
      </c>
      <c r="AA25" s="666">
        <v>0</v>
      </c>
      <c r="AB25" s="666">
        <v>0</v>
      </c>
      <c r="AC25" s="409"/>
      <c r="AD25" s="6"/>
      <c r="AE25" s="6"/>
      <c r="AF25" s="6"/>
      <c r="AG25" s="6"/>
      <c r="AH25" s="6"/>
      <c r="AI25" s="6"/>
      <c r="AJ25" s="6"/>
      <c r="AK25" s="6"/>
      <c r="AL25" s="6"/>
      <c r="AM25" s="6"/>
      <c r="AN25" s="6"/>
      <c r="AO25" s="6"/>
      <c r="AP25" s="6"/>
      <c r="AQ25" s="6"/>
      <c r="AR25" s="6"/>
      <c r="AS25" s="6"/>
      <c r="AT25" s="6"/>
      <c r="AU25" s="6"/>
      <c r="AV25" s="6"/>
      <c r="AW25" s="6"/>
      <c r="AX25" s="6"/>
      <c r="AY25" s="6"/>
      <c r="AZ25" s="6"/>
      <c r="BA25" s="6"/>
      <c r="BB25" s="6"/>
      <c r="BC25" s="6"/>
      <c r="BD25" s="6"/>
      <c r="BE25" s="6"/>
      <c r="BF25" s="6"/>
      <c r="BG25" s="6"/>
      <c r="BH25" s="6"/>
      <c r="BI25" s="6"/>
      <c r="BJ25" s="6"/>
      <c r="BK25" s="6"/>
      <c r="BL25" s="6"/>
      <c r="BM25" s="6"/>
      <c r="BN25" s="6"/>
      <c r="BO25" s="6"/>
      <c r="BP25" s="6"/>
      <c r="BQ25" s="6"/>
      <c r="BR25" s="6"/>
      <c r="BS25" s="6"/>
      <c r="BT25" s="6"/>
      <c r="BU25" s="6"/>
      <c r="BV25" s="6"/>
      <c r="BW25" s="6"/>
      <c r="BX25" s="6"/>
      <c r="BY25" s="6"/>
      <c r="BZ25" s="6"/>
      <c r="CA25" s="6"/>
      <c r="CB25" s="6"/>
      <c r="CC25" s="6"/>
      <c r="CD25" s="6"/>
      <c r="CE25" s="6"/>
      <c r="CF25" s="6"/>
      <c r="CG25" s="6"/>
      <c r="CH25" s="6"/>
      <c r="CI25" s="6"/>
      <c r="CJ25" s="6"/>
      <c r="CK25" s="6"/>
      <c r="CL25" s="6"/>
      <c r="CM25" s="6"/>
      <c r="CN25" s="6"/>
      <c r="CO25" s="6"/>
      <c r="CP25" s="6"/>
      <c r="CQ25" s="6"/>
      <c r="CR25" s="6"/>
      <c r="CS25" s="6"/>
      <c r="CT25" s="6"/>
      <c r="CU25" s="6"/>
      <c r="CV25" s="6"/>
      <c r="CW25" s="6"/>
      <c r="CX25" s="6"/>
      <c r="CY25" s="6"/>
      <c r="CZ25" s="6"/>
      <c r="DA25" s="994"/>
      <c r="DB25" s="994"/>
      <c r="DC25" s="994"/>
      <c r="DD25" s="994"/>
      <c r="DE25" s="6"/>
      <c r="DF25" s="6"/>
      <c r="DG25" s="6"/>
      <c r="DH25" s="6"/>
      <c r="DI25" s="6"/>
      <c r="DJ25" s="3"/>
      <c r="DK25" s="3"/>
      <c r="DL25" s="6"/>
      <c r="DM25" s="6"/>
      <c r="DN25" s="6"/>
      <c r="DO25" s="6"/>
      <c r="DP25" s="6"/>
      <c r="DQ25"/>
      <c r="DR25"/>
      <c r="DS25"/>
      <c r="DT25"/>
      <c r="DU25"/>
      <c r="DV25"/>
      <c r="DW25" s="6"/>
      <c r="DX25" s="6"/>
      <c r="DY25" s="6"/>
      <c r="DZ25" s="6"/>
      <c r="EA25" s="6"/>
      <c r="EB25" s="6"/>
      <c r="EC25" s="6"/>
      <c r="ED25" s="6"/>
      <c r="EE25" s="6"/>
      <c r="EF25" s="6"/>
      <c r="EG25" s="6"/>
      <c r="EH25" s="6"/>
      <c r="EI25" s="6"/>
      <c r="EJ25" s="6"/>
      <c r="EK25" s="6"/>
      <c r="EL25" s="6"/>
      <c r="EM25" s="6"/>
      <c r="EN25" s="6"/>
      <c r="EO25" s="6"/>
      <c r="EP25" s="6"/>
      <c r="EQ25" s="6"/>
      <c r="ER25" s="6"/>
      <c r="ES25" s="6"/>
      <c r="ET25" s="6"/>
      <c r="EU25" s="6"/>
      <c r="EV25" s="6"/>
      <c r="EW25" s="6"/>
      <c r="EX25" s="6"/>
      <c r="EY25" s="6"/>
      <c r="EZ25" s="6"/>
      <c r="FA25" s="6"/>
      <c r="FB25" s="6"/>
      <c r="FC25" s="6"/>
      <c r="FD25" s="6"/>
      <c r="FE25" s="6"/>
      <c r="FF25" s="6"/>
      <c r="FG25" s="6"/>
      <c r="FH25" s="6"/>
      <c r="FI25" s="6"/>
      <c r="FJ25" s="6"/>
      <c r="FK25" s="6"/>
      <c r="FL25" s="6"/>
      <c r="FM25" s="6"/>
      <c r="FN25" s="6"/>
      <c r="FO25" s="6"/>
      <c r="FP25" s="6"/>
      <c r="FQ25" s="6"/>
      <c r="FR25" s="6"/>
      <c r="FS25" s="6"/>
      <c r="FT25" s="6"/>
      <c r="FU25" s="6"/>
      <c r="FV25" s="6"/>
      <c r="FW25" s="6"/>
      <c r="FX25" s="6"/>
      <c r="FY25" s="6"/>
      <c r="FZ25" s="6"/>
      <c r="GA25" s="6"/>
      <c r="GB25" s="410" t="s">
        <v>220</v>
      </c>
      <c r="GC25" s="410">
        <v>6</v>
      </c>
      <c r="GD25" s="410" t="s">
        <v>573</v>
      </c>
      <c r="GE25" s="410" t="b">
        <v>0</v>
      </c>
      <c r="GF25" s="410" t="b">
        <v>0</v>
      </c>
      <c r="GH25" s="3"/>
      <c r="GI25" s="3"/>
      <c r="GJ25" s="3"/>
      <c r="GK25" s="3"/>
      <c r="GL25" s="3"/>
      <c r="GM25" s="3"/>
      <c r="GN25" s="3"/>
      <c r="GO25" s="3"/>
      <c r="GP25" s="3"/>
      <c r="GQ25" s="3"/>
      <c r="GR25" s="3"/>
      <c r="GS25" s="3"/>
      <c r="GT25" s="3"/>
      <c r="GU25" s="3"/>
      <c r="GV25" s="3"/>
      <c r="GW25" s="3"/>
      <c r="GX25" s="3"/>
      <c r="GY25" s="3"/>
      <c r="GZ25" s="3"/>
      <c r="HA25" s="3"/>
      <c r="HB25" s="3"/>
      <c r="HC25" s="3"/>
      <c r="HD25" s="3"/>
      <c r="HE25" s="3"/>
      <c r="HF25" s="3"/>
      <c r="HG25" s="3"/>
      <c r="HH25" s="3"/>
      <c r="HI25" s="3"/>
      <c r="HJ25" s="3"/>
      <c r="HK25" s="3"/>
      <c r="HL25" s="3"/>
      <c r="HM25" s="3"/>
    </row>
    <row r="26" spans="1:221" collapsed="1">
      <c r="A26" s="928" t="s">
        <v>34</v>
      </c>
      <c r="B26" s="765"/>
      <c r="C26" s="765"/>
      <c r="D26" s="765"/>
      <c r="E26" s="765">
        <v>7</v>
      </c>
      <c r="F26" s="767">
        <v>8</v>
      </c>
      <c r="G26" s="311">
        <f>SUM(BB26:BE26)</f>
        <v>17</v>
      </c>
      <c r="H26" s="307">
        <f>SUM(BF26:BI26)</f>
        <v>28</v>
      </c>
      <c r="I26" s="307">
        <f>SUM(BJ26:BM26)</f>
        <v>30</v>
      </c>
      <c r="J26" s="307">
        <f>SUM(BN26:BQ26)</f>
        <v>0</v>
      </c>
      <c r="K26" s="307">
        <f>SUM(BR26:BU26)</f>
        <v>7</v>
      </c>
      <c r="L26" s="307">
        <f>SUM(BV26:BY26)</f>
        <v>20</v>
      </c>
      <c r="M26" s="307">
        <f>SUM(BZ26:CC26)</f>
        <v>20</v>
      </c>
      <c r="N26" s="307">
        <f>SUM(CD26:CG26)</f>
        <v>20</v>
      </c>
      <c r="O26" s="307">
        <f>SUM(CH26:CK26)</f>
        <v>20</v>
      </c>
      <c r="P26" s="307">
        <f>SUM(CL26:CO26)</f>
        <v>20</v>
      </c>
      <c r="Q26" s="307">
        <f>SUM(CP26:CS26)</f>
        <v>20</v>
      </c>
      <c r="R26" s="307">
        <f>SUM(CT26:CW26)</f>
        <v>21</v>
      </c>
      <c r="S26" s="311">
        <f t="shared" ref="S26:S27" si="66">+SUM(CX26:DA26)</f>
        <v>21</v>
      </c>
      <c r="T26" s="311">
        <f t="shared" ref="T26:T27" si="67">+SUM(DB26:DE26)</f>
        <v>21.666666666666664</v>
      </c>
      <c r="U26" s="665">
        <f t="shared" ref="U26:AB26" si="68">+T26</f>
        <v>21.666666666666664</v>
      </c>
      <c r="V26" s="665">
        <f t="shared" si="68"/>
        <v>21.666666666666664</v>
      </c>
      <c r="W26" s="665">
        <f t="shared" si="68"/>
        <v>21.666666666666664</v>
      </c>
      <c r="X26" s="665">
        <f t="shared" si="68"/>
        <v>21.666666666666664</v>
      </c>
      <c r="Y26" s="665">
        <f t="shared" si="68"/>
        <v>21.666666666666664</v>
      </c>
      <c r="Z26" s="665">
        <f t="shared" si="68"/>
        <v>21.666666666666664</v>
      </c>
      <c r="AA26" s="665">
        <f t="shared" si="68"/>
        <v>21.666666666666664</v>
      </c>
      <c r="AB26" s="665">
        <f t="shared" si="68"/>
        <v>21.666666666666664</v>
      </c>
      <c r="AD26" s="479">
        <v>146</v>
      </c>
      <c r="AE26" s="479">
        <v>144</v>
      </c>
      <c r="AF26" s="479">
        <v>143</v>
      </c>
      <c r="AG26" s="479">
        <v>151</v>
      </c>
      <c r="AH26" s="479">
        <v>147</v>
      </c>
      <c r="AI26" s="479">
        <v>145</v>
      </c>
      <c r="AJ26" s="479">
        <v>142</v>
      </c>
      <c r="AK26" s="479">
        <v>148</v>
      </c>
      <c r="AL26" s="479">
        <v>146</v>
      </c>
      <c r="AM26" s="479">
        <v>147</v>
      </c>
      <c r="AN26" s="479">
        <v>149</v>
      </c>
      <c r="AO26" s="479">
        <v>149</v>
      </c>
      <c r="AP26" s="479">
        <f>20.5</f>
        <v>20.5</v>
      </c>
      <c r="AQ26" s="479">
        <v>20.5</v>
      </c>
      <c r="AR26" s="479">
        <v>20.5</v>
      </c>
      <c r="AS26" s="479">
        <v>20.5</v>
      </c>
      <c r="AT26" s="479">
        <v>2</v>
      </c>
      <c r="AU26" s="479">
        <v>2</v>
      </c>
      <c r="AV26" s="479">
        <v>1</v>
      </c>
      <c r="AW26" s="479">
        <v>2</v>
      </c>
      <c r="AX26" s="479">
        <v>2</v>
      </c>
      <c r="AY26" s="479">
        <f>1.6+1</f>
        <v>2.6</v>
      </c>
      <c r="AZ26" s="479">
        <v>1.6</v>
      </c>
      <c r="BA26" s="479">
        <v>2</v>
      </c>
      <c r="BB26" s="479">
        <v>4</v>
      </c>
      <c r="BC26" s="479">
        <v>5</v>
      </c>
      <c r="BD26" s="480">
        <v>3</v>
      </c>
      <c r="BE26" s="480">
        <v>5</v>
      </c>
      <c r="BF26" s="474">
        <v>4</v>
      </c>
      <c r="BG26" s="474">
        <v>4</v>
      </c>
      <c r="BH26" s="474">
        <v>6</v>
      </c>
      <c r="BI26" s="474">
        <v>14</v>
      </c>
      <c r="BJ26" s="474">
        <v>7</v>
      </c>
      <c r="BK26" s="474">
        <v>9</v>
      </c>
      <c r="BL26" s="474">
        <v>7</v>
      </c>
      <c r="BM26" s="474">
        <v>7</v>
      </c>
      <c r="BN26" s="474">
        <f>6*0</f>
        <v>0</v>
      </c>
      <c r="BO26" s="474">
        <f>6*0</f>
        <v>0</v>
      </c>
      <c r="BP26" s="474">
        <f>6*0</f>
        <v>0</v>
      </c>
      <c r="BQ26" s="474">
        <f>10*0</f>
        <v>0</v>
      </c>
      <c r="BR26" s="474">
        <v>2</v>
      </c>
      <c r="BS26" s="474">
        <f>1</f>
        <v>1</v>
      </c>
      <c r="BT26" s="474">
        <v>2</v>
      </c>
      <c r="BU26" s="474">
        <v>2</v>
      </c>
      <c r="BV26" s="474">
        <v>6</v>
      </c>
      <c r="BW26" s="474">
        <v>3</v>
      </c>
      <c r="BX26" s="474">
        <v>7</v>
      </c>
      <c r="BY26" s="474">
        <v>4</v>
      </c>
      <c r="BZ26" s="474">
        <v>6</v>
      </c>
      <c r="CA26" s="474">
        <v>4</v>
      </c>
      <c r="CB26" s="474">
        <v>6</v>
      </c>
      <c r="CC26" s="474">
        <v>4</v>
      </c>
      <c r="CD26" s="474">
        <v>6</v>
      </c>
      <c r="CE26" s="474">
        <v>5</v>
      </c>
      <c r="CF26" s="474">
        <v>5</v>
      </c>
      <c r="CG26" s="474">
        <v>4</v>
      </c>
      <c r="CH26" s="474">
        <v>5</v>
      </c>
      <c r="CI26" s="474">
        <v>5</v>
      </c>
      <c r="CJ26" s="474">
        <v>5</v>
      </c>
      <c r="CK26" s="474">
        <v>5</v>
      </c>
      <c r="CL26" s="474">
        <v>5</v>
      </c>
      <c r="CM26" s="474">
        <v>5</v>
      </c>
      <c r="CN26" s="474">
        <v>5</v>
      </c>
      <c r="CO26" s="475">
        <v>5</v>
      </c>
      <c r="CP26" s="475">
        <v>5</v>
      </c>
      <c r="CQ26" s="474">
        <v>5</v>
      </c>
      <c r="CR26" s="475">
        <v>5</v>
      </c>
      <c r="CS26" s="430">
        <v>5</v>
      </c>
      <c r="CT26" s="701">
        <v>5</v>
      </c>
      <c r="CU26" s="701">
        <v>5</v>
      </c>
      <c r="CV26" s="701">
        <v>6</v>
      </c>
      <c r="CW26" s="430">
        <v>5</v>
      </c>
      <c r="CX26" s="430">
        <v>5</v>
      </c>
      <c r="CY26" s="430">
        <v>5</v>
      </c>
      <c r="CZ26" s="701">
        <v>5</v>
      </c>
      <c r="DA26" s="1033">
        <v>6</v>
      </c>
      <c r="DB26" s="1033">
        <v>5</v>
      </c>
      <c r="DC26" s="1033">
        <v>5.333333333333333</v>
      </c>
      <c r="DD26" s="1033">
        <v>5.3333333333333339</v>
      </c>
      <c r="DE26" s="1033">
        <v>6</v>
      </c>
      <c r="DF26" s="413">
        <f>U26/4</f>
        <v>5.4166666666666661</v>
      </c>
      <c r="DG26" s="413">
        <f>(U26-DF26)/3</f>
        <v>5.416666666666667</v>
      </c>
      <c r="DH26" s="413">
        <f>(U26-DG26-DF26)/2</f>
        <v>5.4166666666666652</v>
      </c>
      <c r="DI26" s="413">
        <f>U26-SUM(DF26:DH26)</f>
        <v>5.4166666666666679</v>
      </c>
      <c r="DJ26" s="16"/>
    </row>
    <row r="27" spans="1:221">
      <c r="A27" s="928" t="s">
        <v>106</v>
      </c>
      <c r="B27" s="765">
        <v>627</v>
      </c>
      <c r="C27" s="765">
        <v>831</v>
      </c>
      <c r="D27" s="765">
        <v>766</v>
      </c>
      <c r="E27" s="765">
        <v>683</v>
      </c>
      <c r="F27" s="765">
        <v>704</v>
      </c>
      <c r="G27" s="311">
        <f>SUM(BB27:BE27)</f>
        <v>651</v>
      </c>
      <c r="H27" s="307">
        <f>SUM(BF27:BI27)</f>
        <v>721</v>
      </c>
      <c r="I27" s="307">
        <f>SUM(BJ27:BM27)</f>
        <v>678</v>
      </c>
      <c r="J27" s="307">
        <f>SUM(BN27:BQ27)</f>
        <v>427</v>
      </c>
      <c r="K27" s="307">
        <f>SUM(BR27:BU27)</f>
        <v>276</v>
      </c>
      <c r="L27" s="307">
        <f>SUM(BV27:BY27)</f>
        <v>204</v>
      </c>
      <c r="M27" s="307">
        <f>SUM(BZ27:CC27)</f>
        <v>216</v>
      </c>
      <c r="N27" s="307">
        <f>SUM(CD27:CG27)</f>
        <v>256</v>
      </c>
      <c r="O27" s="307">
        <f>SUM(CH27:CK27)</f>
        <v>228</v>
      </c>
      <c r="P27" s="307">
        <f>SUM(CL27:CO27)</f>
        <v>235</v>
      </c>
      <c r="Q27" s="307">
        <f>SUM(CP27:CS27)</f>
        <v>241</v>
      </c>
      <c r="R27" s="307">
        <f>SUM(CT27:CW27)</f>
        <v>237</v>
      </c>
      <c r="S27" s="311">
        <f t="shared" si="66"/>
        <v>222</v>
      </c>
      <c r="T27" s="311">
        <f t="shared" si="67"/>
        <v>212</v>
      </c>
      <c r="U27" s="768">
        <v>210</v>
      </c>
      <c r="V27" s="768">
        <f t="shared" ref="V27:AB27" si="69">+U27*0.98</f>
        <v>205.79999999999998</v>
      </c>
      <c r="W27" s="768">
        <f t="shared" si="69"/>
        <v>201.68399999999997</v>
      </c>
      <c r="X27" s="768">
        <f t="shared" si="69"/>
        <v>197.65031999999997</v>
      </c>
      <c r="Y27" s="768">
        <f t="shared" si="69"/>
        <v>193.69731359999997</v>
      </c>
      <c r="Z27" s="768">
        <f t="shared" si="69"/>
        <v>189.82336732799996</v>
      </c>
      <c r="AA27" s="768">
        <f t="shared" si="69"/>
        <v>186.02689998143995</v>
      </c>
      <c r="AB27" s="768">
        <f t="shared" si="69"/>
        <v>182.30636198181116</v>
      </c>
      <c r="AD27" s="479">
        <v>146</v>
      </c>
      <c r="AE27" s="479">
        <f>115+31+18-18</f>
        <v>146</v>
      </c>
      <c r="AF27" s="479">
        <f>122+32</f>
        <v>154</v>
      </c>
      <c r="AG27" s="479">
        <v>193</v>
      </c>
      <c r="AH27" s="479">
        <f>158-34</f>
        <v>124</v>
      </c>
      <c r="AI27" s="479">
        <f>140-29</f>
        <v>111</v>
      </c>
      <c r="AJ27" s="479">
        <f>183-32</f>
        <v>151</v>
      </c>
      <c r="AK27" s="479">
        <v>210</v>
      </c>
      <c r="AL27" s="479">
        <f>247-32</f>
        <v>215</v>
      </c>
      <c r="AM27" s="479">
        <f>204+28-28</f>
        <v>204</v>
      </c>
      <c r="AN27" s="479">
        <f>237-32</f>
        <v>205</v>
      </c>
      <c r="AO27" s="479">
        <v>205</v>
      </c>
      <c r="AP27" s="479">
        <f>245-35</f>
        <v>210</v>
      </c>
      <c r="AQ27" s="479">
        <v>169</v>
      </c>
      <c r="AR27" s="479">
        <v>205</v>
      </c>
      <c r="AS27" s="479">
        <v>182</v>
      </c>
      <c r="AT27" s="479">
        <f>169</f>
        <v>169</v>
      </c>
      <c r="AU27" s="479">
        <v>169</v>
      </c>
      <c r="AV27" s="479">
        <v>166</v>
      </c>
      <c r="AW27" s="479">
        <v>179</v>
      </c>
      <c r="AX27" s="460">
        <v>182.5</v>
      </c>
      <c r="AY27" s="460">
        <v>183.22499999999999</v>
      </c>
      <c r="AZ27" s="460">
        <v>176</v>
      </c>
      <c r="BA27" s="460">
        <v>162</v>
      </c>
      <c r="BB27" s="479">
        <v>164</v>
      </c>
      <c r="BC27" s="460">
        <v>164</v>
      </c>
      <c r="BD27" s="483">
        <v>165</v>
      </c>
      <c r="BE27" s="483">
        <v>158</v>
      </c>
      <c r="BF27" s="474">
        <v>159</v>
      </c>
      <c r="BG27" s="474">
        <v>165</v>
      </c>
      <c r="BH27" s="474">
        <v>160</v>
      </c>
      <c r="BI27" s="474">
        <v>237</v>
      </c>
      <c r="BJ27" s="474">
        <v>153</v>
      </c>
      <c r="BK27" s="474">
        <v>163</v>
      </c>
      <c r="BL27" s="474">
        <v>166</v>
      </c>
      <c r="BM27" s="474">
        <v>196</v>
      </c>
      <c r="BN27" s="474">
        <f>127*0+110</f>
        <v>110</v>
      </c>
      <c r="BO27" s="474">
        <f>133*0+116</f>
        <v>116</v>
      </c>
      <c r="BP27" s="474">
        <f>132*0+115</f>
        <v>115</v>
      </c>
      <c r="BQ27" s="474">
        <f>(95+47)*0+86</f>
        <v>86</v>
      </c>
      <c r="BR27" s="474">
        <v>97</v>
      </c>
      <c r="BS27" s="474">
        <v>73</v>
      </c>
      <c r="BT27" s="474">
        <v>66</v>
      </c>
      <c r="BU27" s="474">
        <f>40</f>
        <v>40</v>
      </c>
      <c r="BV27" s="474">
        <v>53</v>
      </c>
      <c r="BW27" s="474">
        <v>50</v>
      </c>
      <c r="BX27" s="474">
        <v>35</v>
      </c>
      <c r="BY27" s="474">
        <v>66</v>
      </c>
      <c r="BZ27" s="474">
        <v>47</v>
      </c>
      <c r="CA27" s="474">
        <v>52</v>
      </c>
      <c r="CB27" s="474">
        <v>43</v>
      </c>
      <c r="CC27" s="474">
        <v>74</v>
      </c>
      <c r="CD27" s="474">
        <v>50</v>
      </c>
      <c r="CE27" s="474">
        <v>61</v>
      </c>
      <c r="CF27" s="474">
        <v>62</v>
      </c>
      <c r="CG27" s="474">
        <v>83</v>
      </c>
      <c r="CH27" s="474">
        <v>51</v>
      </c>
      <c r="CI27" s="474">
        <v>55</v>
      </c>
      <c r="CJ27" s="474">
        <v>61</v>
      </c>
      <c r="CK27" s="474">
        <v>61</v>
      </c>
      <c r="CL27" s="484">
        <v>55</v>
      </c>
      <c r="CM27" s="484">
        <v>58</v>
      </c>
      <c r="CN27" s="484">
        <v>60</v>
      </c>
      <c r="CO27" s="485">
        <v>62</v>
      </c>
      <c r="CP27" s="475">
        <v>52</v>
      </c>
      <c r="CQ27" s="474">
        <v>69</v>
      </c>
      <c r="CR27" s="475">
        <v>53</v>
      </c>
      <c r="CS27" s="434">
        <v>67</v>
      </c>
      <c r="CT27" s="701">
        <v>53</v>
      </c>
      <c r="CU27" s="701">
        <v>60</v>
      </c>
      <c r="CV27" s="713">
        <v>53</v>
      </c>
      <c r="CW27" s="434">
        <v>71</v>
      </c>
      <c r="CX27" s="430">
        <v>51</v>
      </c>
      <c r="CY27" s="430">
        <v>42</v>
      </c>
      <c r="CZ27" s="921">
        <v>57</v>
      </c>
      <c r="DA27" s="1034">
        <v>72</v>
      </c>
      <c r="DB27" s="1033">
        <v>43</v>
      </c>
      <c r="DC27" s="1033">
        <v>56</v>
      </c>
      <c r="DD27" s="1033">
        <v>56</v>
      </c>
      <c r="DE27" s="1034">
        <f>69-12</f>
        <v>57</v>
      </c>
      <c r="DF27" s="1078">
        <f>$U27/$T27*DB27</f>
        <v>42.594339622641506</v>
      </c>
      <c r="DG27" s="1078">
        <f t="shared" ref="DG27:DH27" si="70">$U27/$T27*DC27</f>
        <v>55.471698113207545</v>
      </c>
      <c r="DH27" s="1078">
        <f t="shared" si="70"/>
        <v>55.471698113207545</v>
      </c>
      <c r="DI27" s="486">
        <f>U27-SUM(DF27:DH27)</f>
        <v>56.462264150943412</v>
      </c>
      <c r="DJ27" s="16"/>
    </row>
    <row r="28" spans="1:221" s="8" customFormat="1">
      <c r="A28" s="929" t="s">
        <v>402</v>
      </c>
      <c r="B28" s="978"/>
      <c r="C28" s="978"/>
      <c r="D28" s="978"/>
      <c r="E28" s="978"/>
      <c r="F28" s="978"/>
      <c r="G28" s="979"/>
      <c r="H28" s="979"/>
      <c r="I28" s="979"/>
      <c r="J28" s="979"/>
      <c r="K28" s="979"/>
      <c r="L28" s="979"/>
      <c r="M28" s="979"/>
      <c r="N28" s="979"/>
      <c r="O28" s="979"/>
      <c r="P28" s="141"/>
      <c r="Q28" s="979">
        <f>+Q22-Q25-Q26-Q27</f>
        <v>7627</v>
      </c>
      <c r="R28" s="979">
        <f t="shared" ref="R28:CC28" si="71">+R22-R25-R26-R27</f>
        <v>8450</v>
      </c>
      <c r="S28" s="979">
        <f t="shared" si="71"/>
        <v>9136</v>
      </c>
      <c r="T28" s="979">
        <f t="shared" si="71"/>
        <v>9795.3333333333358</v>
      </c>
      <c r="U28" s="979">
        <f t="shared" si="71"/>
        <v>9625.4704574848256</v>
      </c>
      <c r="V28" s="979">
        <f t="shared" si="71"/>
        <v>10238.209225375434</v>
      </c>
      <c r="W28" s="979">
        <f t="shared" si="71"/>
        <v>10939.530575318373</v>
      </c>
      <c r="X28" s="979">
        <f t="shared" si="71"/>
        <v>11542.206374305626</v>
      </c>
      <c r="Y28" s="979">
        <f t="shared" si="71"/>
        <v>12138.598284186804</v>
      </c>
      <c r="Z28" s="979">
        <f t="shared" si="71"/>
        <v>12730.764786788121</v>
      </c>
      <c r="AA28" s="979">
        <f t="shared" si="71"/>
        <v>13320.698347701087</v>
      </c>
      <c r="AB28" s="979">
        <f t="shared" si="71"/>
        <v>13910.336829222542</v>
      </c>
      <c r="AC28" s="10"/>
      <c r="AD28" s="194">
        <f t="shared" si="71"/>
        <v>3422</v>
      </c>
      <c r="AE28" s="194">
        <f t="shared" si="71"/>
        <v>3520</v>
      </c>
      <c r="AF28" s="194">
        <f t="shared" si="71"/>
        <v>3579</v>
      </c>
      <c r="AG28" s="194">
        <f t="shared" si="71"/>
        <v>3108</v>
      </c>
      <c r="AH28" s="194">
        <f t="shared" si="71"/>
        <v>3430</v>
      </c>
      <c r="AI28" s="194">
        <f t="shared" si="71"/>
        <v>3590</v>
      </c>
      <c r="AJ28" s="194">
        <f t="shared" si="71"/>
        <v>3632</v>
      </c>
      <c r="AK28" s="194">
        <f t="shared" si="71"/>
        <v>3167</v>
      </c>
      <c r="AL28" s="194">
        <f t="shared" si="71"/>
        <v>3538</v>
      </c>
      <c r="AM28" s="194">
        <f t="shared" si="71"/>
        <v>3700</v>
      </c>
      <c r="AN28" s="194">
        <f t="shared" si="71"/>
        <v>3782</v>
      </c>
      <c r="AO28" s="194">
        <f t="shared" si="71"/>
        <v>3350</v>
      </c>
      <c r="AP28" s="194">
        <f t="shared" si="71"/>
        <v>4064.5</v>
      </c>
      <c r="AQ28" s="194">
        <f t="shared" si="71"/>
        <v>4360.5</v>
      </c>
      <c r="AR28" s="194">
        <f t="shared" si="71"/>
        <v>4419.5</v>
      </c>
      <c r="AS28" s="194">
        <f t="shared" si="71"/>
        <v>4115.5</v>
      </c>
      <c r="AT28" s="194">
        <f t="shared" si="71"/>
        <v>4292</v>
      </c>
      <c r="AU28" s="194">
        <f t="shared" si="71"/>
        <v>4640</v>
      </c>
      <c r="AV28" s="194">
        <f t="shared" si="71"/>
        <v>4509</v>
      </c>
      <c r="AW28" s="194">
        <f t="shared" si="71"/>
        <v>3392</v>
      </c>
      <c r="AX28" s="193">
        <f t="shared" si="71"/>
        <v>3781.5</v>
      </c>
      <c r="AY28" s="193">
        <f t="shared" si="71"/>
        <v>4300.6749999999993</v>
      </c>
      <c r="AZ28" s="193">
        <f t="shared" si="71"/>
        <v>4151.8999999999996</v>
      </c>
      <c r="BA28" s="193">
        <f t="shared" si="71"/>
        <v>3678.5</v>
      </c>
      <c r="BB28" s="194">
        <f t="shared" si="71"/>
        <v>3983</v>
      </c>
      <c r="BC28" s="193">
        <f t="shared" si="71"/>
        <v>4227</v>
      </c>
      <c r="BD28" s="193">
        <f t="shared" si="71"/>
        <v>4215</v>
      </c>
      <c r="BE28" s="193">
        <f t="shared" si="71"/>
        <v>3820</v>
      </c>
      <c r="BF28" s="192">
        <f t="shared" si="71"/>
        <v>5244</v>
      </c>
      <c r="BG28" s="192">
        <f t="shared" si="71"/>
        <v>5586</v>
      </c>
      <c r="BH28" s="192">
        <f t="shared" si="71"/>
        <v>5499</v>
      </c>
      <c r="BI28" s="192">
        <f t="shared" si="71"/>
        <v>5076</v>
      </c>
      <c r="BJ28" s="192">
        <f t="shared" si="71"/>
        <v>4264</v>
      </c>
      <c r="BK28" s="192">
        <f t="shared" si="71"/>
        <v>5928</v>
      </c>
      <c r="BL28" s="192">
        <f t="shared" si="71"/>
        <v>4580</v>
      </c>
      <c r="BM28" s="192">
        <f t="shared" si="71"/>
        <v>4107</v>
      </c>
      <c r="BN28" s="192">
        <f t="shared" si="71"/>
        <v>1020</v>
      </c>
      <c r="BO28" s="192">
        <f t="shared" si="71"/>
        <v>1206</v>
      </c>
      <c r="BP28" s="192">
        <f t="shared" si="71"/>
        <v>1202</v>
      </c>
      <c r="BQ28" s="192">
        <f t="shared" si="71"/>
        <v>1034</v>
      </c>
      <c r="BR28" s="192">
        <f t="shared" si="71"/>
        <v>1084</v>
      </c>
      <c r="BS28" s="192">
        <f t="shared" si="71"/>
        <v>1379</v>
      </c>
      <c r="BT28" s="192">
        <f t="shared" si="71"/>
        <v>1371</v>
      </c>
      <c r="BU28" s="192">
        <f t="shared" si="71"/>
        <v>1170</v>
      </c>
      <c r="BV28" s="192">
        <f t="shared" si="71"/>
        <v>1433</v>
      </c>
      <c r="BW28" s="192">
        <f t="shared" si="71"/>
        <v>1771</v>
      </c>
      <c r="BX28" s="192">
        <f t="shared" si="71"/>
        <v>1671</v>
      </c>
      <c r="BY28" s="192">
        <f t="shared" si="71"/>
        <v>1389</v>
      </c>
      <c r="BZ28" s="192">
        <f t="shared" si="71"/>
        <v>1475</v>
      </c>
      <c r="CA28" s="192">
        <f t="shared" si="71"/>
        <v>1753</v>
      </c>
      <c r="CB28" s="192">
        <f t="shared" si="71"/>
        <v>1808</v>
      </c>
      <c r="CC28" s="192">
        <f t="shared" si="71"/>
        <v>1514</v>
      </c>
      <c r="CD28" s="192">
        <f t="shared" ref="CD28:DE28" si="72">+CD22-CD25-CD26-CD27</f>
        <v>1545</v>
      </c>
      <c r="CE28" s="192">
        <f t="shared" si="72"/>
        <v>1824</v>
      </c>
      <c r="CF28" s="192">
        <f t="shared" si="72"/>
        <v>1861</v>
      </c>
      <c r="CG28" s="192">
        <f t="shared" si="72"/>
        <v>1644</v>
      </c>
      <c r="CH28" s="192">
        <f t="shared" si="72"/>
        <v>1647</v>
      </c>
      <c r="CI28" s="192">
        <f t="shared" si="72"/>
        <v>1910</v>
      </c>
      <c r="CJ28" s="192">
        <f t="shared" si="72"/>
        <v>1935</v>
      </c>
      <c r="CK28" s="192">
        <f t="shared" si="72"/>
        <v>1777</v>
      </c>
      <c r="CL28" s="142">
        <f t="shared" si="72"/>
        <v>1675</v>
      </c>
      <c r="CM28" s="142">
        <f t="shared" si="72"/>
        <v>1966</v>
      </c>
      <c r="CN28" s="142">
        <f t="shared" si="72"/>
        <v>2025</v>
      </c>
      <c r="CO28" s="715">
        <f t="shared" si="72"/>
        <v>1806</v>
      </c>
      <c r="CP28" s="700">
        <f t="shared" si="72"/>
        <v>1739</v>
      </c>
      <c r="CQ28" s="192">
        <f t="shared" si="72"/>
        <v>1947</v>
      </c>
      <c r="CR28" s="700">
        <f t="shared" si="72"/>
        <v>2022</v>
      </c>
      <c r="CS28" s="142">
        <f t="shared" si="72"/>
        <v>1919</v>
      </c>
      <c r="CT28" s="700">
        <f t="shared" si="72"/>
        <v>1908</v>
      </c>
      <c r="CU28" s="700">
        <f t="shared" si="72"/>
        <v>2236</v>
      </c>
      <c r="CV28" s="980">
        <f t="shared" si="72"/>
        <v>2277</v>
      </c>
      <c r="CW28" s="142">
        <f t="shared" si="72"/>
        <v>2029</v>
      </c>
      <c r="CX28" s="192">
        <f t="shared" si="72"/>
        <v>2157</v>
      </c>
      <c r="CY28" s="192">
        <f t="shared" si="72"/>
        <v>2443</v>
      </c>
      <c r="CZ28" s="700">
        <f t="shared" si="72"/>
        <v>2433</v>
      </c>
      <c r="DA28" s="1035">
        <f t="shared" si="72"/>
        <v>2103</v>
      </c>
      <c r="DB28" s="1032">
        <f t="shared" si="72"/>
        <v>2270</v>
      </c>
      <c r="DC28" s="1032">
        <f t="shared" si="72"/>
        <v>2583.6666666666665</v>
      </c>
      <c r="DD28" s="1032">
        <f t="shared" si="72"/>
        <v>2626.6666666666665</v>
      </c>
      <c r="DE28" s="142">
        <f t="shared" si="72"/>
        <v>2315</v>
      </c>
      <c r="DF28" s="192">
        <f t="shared" ref="DF28:DI28" si="73">+DF22-DF25-DF26-DF27</f>
        <v>2211.736245662903</v>
      </c>
      <c r="DG28" s="192">
        <f t="shared" si="73"/>
        <v>2511.873411427212</v>
      </c>
      <c r="DH28" s="192">
        <f t="shared" si="73"/>
        <v>2591.5710342943921</v>
      </c>
      <c r="DI28" s="142">
        <f t="shared" si="73"/>
        <v>2310.289766100319</v>
      </c>
      <c r="DJ28" s="10"/>
      <c r="DQ28"/>
      <c r="DR28"/>
      <c r="DS28"/>
      <c r="DT28"/>
      <c r="DU28"/>
      <c r="DV28"/>
    </row>
    <row r="29" spans="1:221">
      <c r="A29" s="928"/>
      <c r="B29" s="765"/>
      <c r="C29" s="765"/>
      <c r="D29" s="765"/>
      <c r="E29" s="765"/>
      <c r="F29" s="765"/>
      <c r="G29" s="666"/>
      <c r="H29" s="116"/>
      <c r="I29" s="116"/>
      <c r="J29" s="116"/>
      <c r="K29" s="666"/>
      <c r="L29" s="666"/>
      <c r="M29" s="666"/>
      <c r="N29" s="666"/>
      <c r="O29" s="666"/>
      <c r="P29" s="312"/>
      <c r="Q29" s="666"/>
      <c r="R29" s="666"/>
      <c r="S29" s="981"/>
      <c r="T29" s="981"/>
      <c r="U29" s="981"/>
      <c r="V29" s="981"/>
      <c r="W29" s="768"/>
      <c r="X29" s="768"/>
      <c r="Y29" s="768"/>
      <c r="Z29" s="768"/>
      <c r="AA29" s="768"/>
      <c r="AB29" s="768"/>
      <c r="AD29" s="479"/>
      <c r="AE29" s="479"/>
      <c r="AF29" s="479"/>
      <c r="AG29" s="479"/>
      <c r="AH29" s="479"/>
      <c r="AI29" s="479"/>
      <c r="AJ29" s="479"/>
      <c r="AK29" s="479"/>
      <c r="AL29" s="479"/>
      <c r="AM29" s="479"/>
      <c r="AN29" s="479"/>
      <c r="AO29" s="479"/>
      <c r="AP29" s="479"/>
      <c r="AQ29" s="479"/>
      <c r="AR29" s="479"/>
      <c r="AS29" s="479"/>
      <c r="AT29" s="479"/>
      <c r="AU29" s="479"/>
      <c r="AV29" s="479"/>
      <c r="AW29" s="479"/>
      <c r="AX29" s="460"/>
      <c r="AY29" s="460"/>
      <c r="AZ29" s="460"/>
      <c r="BA29" s="460"/>
      <c r="BB29" s="479"/>
      <c r="BC29" s="460"/>
      <c r="BD29" s="483"/>
      <c r="BE29" s="483"/>
      <c r="BF29" s="474"/>
      <c r="BG29" s="474"/>
      <c r="BH29" s="474"/>
      <c r="BI29" s="474"/>
      <c r="BJ29" s="474"/>
      <c r="BK29" s="474"/>
      <c r="BL29" s="474"/>
      <c r="BM29" s="474"/>
      <c r="BN29" s="474"/>
      <c r="BO29" s="474"/>
      <c r="BP29" s="474"/>
      <c r="BQ29" s="474"/>
      <c r="BR29" s="474"/>
      <c r="BS29" s="474"/>
      <c r="BT29" s="474"/>
      <c r="BU29" s="474"/>
      <c r="BV29" s="474"/>
      <c r="BW29" s="474"/>
      <c r="BX29" s="474"/>
      <c r="BY29" s="474"/>
      <c r="BZ29" s="474"/>
      <c r="CA29" s="474"/>
      <c r="CB29" s="474"/>
      <c r="CC29" s="474"/>
      <c r="CD29" s="474"/>
      <c r="CE29" s="474"/>
      <c r="CF29" s="474"/>
      <c r="CG29" s="474"/>
      <c r="CH29" s="474"/>
      <c r="CI29" s="474"/>
      <c r="CJ29" s="474"/>
      <c r="CK29" s="474"/>
      <c r="CL29" s="484"/>
      <c r="CM29" s="484"/>
      <c r="CN29" s="484"/>
      <c r="CO29" s="485"/>
      <c r="CP29" s="475"/>
      <c r="CQ29" s="474"/>
      <c r="CR29" s="475"/>
      <c r="CS29" s="434"/>
      <c r="CT29" s="701"/>
      <c r="CU29" s="701"/>
      <c r="CV29" s="713"/>
      <c r="CW29" s="434"/>
      <c r="CX29" s="430"/>
      <c r="CY29" s="430"/>
      <c r="CZ29" s="492"/>
      <c r="DA29" s="1036"/>
      <c r="DB29" s="1030"/>
      <c r="DC29" s="1030"/>
      <c r="DD29" s="1030"/>
      <c r="DE29" s="486"/>
      <c r="DF29" s="413"/>
      <c r="DG29" s="413"/>
      <c r="DH29" s="413"/>
      <c r="DI29" s="486"/>
    </row>
    <row r="30" spans="1:221" hidden="1" outlineLevel="1">
      <c r="A30" s="301" t="s">
        <v>4</v>
      </c>
      <c r="B30" s="765"/>
      <c r="C30" s="765">
        <f>+BS!F200</f>
        <v>1078</v>
      </c>
      <c r="D30" s="765">
        <f>+BS!G200</f>
        <v>1659</v>
      </c>
      <c r="E30" s="765">
        <f>+BS!H200</f>
        <v>1327</v>
      </c>
      <c r="F30" s="765">
        <v>1367</v>
      </c>
      <c r="G30" s="666">
        <v>1417</v>
      </c>
      <c r="H30" s="768">
        <v>1632</v>
      </c>
      <c r="I30" s="666">
        <f>+BS!L200</f>
        <v>1632</v>
      </c>
      <c r="J30" s="768">
        <v>668.34</v>
      </c>
      <c r="K30" s="768">
        <v>237</v>
      </c>
      <c r="L30" s="666">
        <f>+BS!Q200</f>
        <v>1157.5670833333334</v>
      </c>
      <c r="M30" s="666">
        <f>+BS!R200</f>
        <v>1156.5045833333331</v>
      </c>
      <c r="N30" s="666">
        <f>+BS!S200</f>
        <v>1178.96</v>
      </c>
      <c r="O30" s="666">
        <f>O485</f>
        <v>1233.5925</v>
      </c>
      <c r="P30" s="312">
        <v>1053</v>
      </c>
      <c r="Q30" s="666">
        <f>+-47+857</f>
        <v>810</v>
      </c>
      <c r="R30" s="307">
        <f>13+808</f>
        <v>821</v>
      </c>
      <c r="S30" s="1070">
        <f>6+754</f>
        <v>760</v>
      </c>
      <c r="T30" s="666">
        <f t="shared" ref="T30:AB30" si="74">T485</f>
        <v>695.81200000000001</v>
      </c>
      <c r="U30" s="666">
        <f t="shared" si="74"/>
        <v>693.33600000000001</v>
      </c>
      <c r="V30" s="666">
        <f t="shared" si="74"/>
        <v>637.33600000000001</v>
      </c>
      <c r="W30" s="666">
        <f t="shared" si="74"/>
        <v>609.33600000000001</v>
      </c>
      <c r="X30" s="666">
        <f t="shared" si="74"/>
        <v>609.33600000000001</v>
      </c>
      <c r="Y30" s="666">
        <f t="shared" si="74"/>
        <v>609.33600000000001</v>
      </c>
      <c r="Z30" s="666">
        <f t="shared" si="74"/>
        <v>609.33600000000001</v>
      </c>
      <c r="AA30" s="666">
        <f t="shared" si="74"/>
        <v>609.33600000000001</v>
      </c>
      <c r="AB30" s="666">
        <f t="shared" si="74"/>
        <v>609.33600000000001</v>
      </c>
      <c r="AD30" s="479"/>
      <c r="AE30" s="479"/>
      <c r="AF30" s="479"/>
      <c r="AG30" s="479"/>
      <c r="AH30" s="479"/>
      <c r="AI30" s="479"/>
      <c r="AJ30" s="479"/>
      <c r="AK30" s="479"/>
      <c r="AL30" s="479"/>
      <c r="AM30" s="479"/>
      <c r="AN30" s="479"/>
      <c r="AO30" s="479"/>
      <c r="AP30" s="479"/>
      <c r="AQ30" s="479"/>
      <c r="AR30" s="479"/>
      <c r="AS30" s="479"/>
      <c r="AT30" s="479"/>
      <c r="AU30" s="479"/>
      <c r="AV30" s="479"/>
      <c r="AW30" s="479"/>
      <c r="AX30" s="460"/>
      <c r="AY30" s="460"/>
      <c r="AZ30" s="460"/>
      <c r="BA30" s="460"/>
      <c r="BB30" s="479"/>
      <c r="BC30" s="460"/>
      <c r="BD30" s="483"/>
      <c r="BE30" s="483"/>
      <c r="BF30" s="474"/>
      <c r="BG30" s="474"/>
      <c r="BH30" s="474"/>
      <c r="BI30" s="474"/>
      <c r="BJ30" s="474"/>
      <c r="BK30" s="474"/>
      <c r="BL30" s="474"/>
      <c r="BM30" s="474"/>
      <c r="BN30" s="474"/>
      <c r="BO30" s="474"/>
      <c r="BP30" s="474"/>
      <c r="BQ30" s="474"/>
      <c r="BR30" s="474"/>
      <c r="BS30" s="474"/>
      <c r="BT30" s="474"/>
      <c r="BU30" s="474"/>
      <c r="BV30" s="474"/>
      <c r="BW30" s="474"/>
      <c r="BX30" s="474"/>
      <c r="BY30" s="474"/>
      <c r="BZ30" s="474"/>
      <c r="CA30" s="474"/>
      <c r="CB30" s="474"/>
      <c r="CC30" s="474"/>
      <c r="CD30" s="474"/>
      <c r="CE30" s="474"/>
      <c r="CF30" s="474"/>
      <c r="CG30" s="474"/>
      <c r="CH30" s="474"/>
      <c r="CI30" s="474"/>
      <c r="CJ30" s="474"/>
      <c r="CK30" s="474"/>
      <c r="CL30" s="484"/>
      <c r="CM30" s="484"/>
      <c r="CN30" s="484"/>
      <c r="CO30" s="485"/>
      <c r="CP30" s="475"/>
      <c r="CQ30" s="474"/>
      <c r="CR30" s="475"/>
      <c r="CS30" s="434"/>
      <c r="CT30" s="701"/>
      <c r="CU30" s="701"/>
      <c r="CV30" s="713"/>
      <c r="CW30" s="434"/>
      <c r="CX30" s="430"/>
      <c r="CY30" s="430"/>
      <c r="CZ30" s="492"/>
      <c r="DA30" s="1036"/>
      <c r="DB30" s="1030"/>
      <c r="DC30" s="1030"/>
      <c r="DD30" s="1030"/>
      <c r="DE30" s="486"/>
      <c r="DF30" s="413"/>
      <c r="DG30" s="413"/>
      <c r="DH30" s="413"/>
      <c r="DI30" s="486"/>
    </row>
    <row r="31" spans="1:221" hidden="1" outlineLevel="1">
      <c r="A31" s="301" t="s">
        <v>463</v>
      </c>
      <c r="B31" s="765"/>
      <c r="C31" s="765">
        <f>-BS!F192</f>
        <v>-359</v>
      </c>
      <c r="D31" s="765">
        <f>-BS!G192</f>
        <v>-241</v>
      </c>
      <c r="E31" s="765">
        <f>-BS!H192</f>
        <v>-193</v>
      </c>
      <c r="F31" s="765">
        <v>-217</v>
      </c>
      <c r="G31" s="666">
        <v>-241</v>
      </c>
      <c r="H31" s="666">
        <f>+H32-H30</f>
        <v>-444</v>
      </c>
      <c r="I31" s="666">
        <f t="shared" ref="I31:P31" si="75">+I32-I30</f>
        <v>-755</v>
      </c>
      <c r="J31" s="666">
        <f t="shared" si="75"/>
        <v>-463.34000000000003</v>
      </c>
      <c r="K31" s="666">
        <f t="shared" ca="1" si="75"/>
        <v>-125.26597224699461</v>
      </c>
      <c r="L31" s="666">
        <f t="shared" si="75"/>
        <v>-57.567083333333358</v>
      </c>
      <c r="M31" s="666">
        <f t="shared" si="75"/>
        <v>-22.50458333333313</v>
      </c>
      <c r="N31" s="666">
        <f t="shared" si="75"/>
        <v>-21.960000000000036</v>
      </c>
      <c r="O31" s="666">
        <f t="shared" si="75"/>
        <v>-107.59249999999997</v>
      </c>
      <c r="P31" s="312">
        <f t="shared" si="75"/>
        <v>-4</v>
      </c>
      <c r="Q31" s="666">
        <v>-2</v>
      </c>
      <c r="R31" s="307">
        <v>-4</v>
      </c>
      <c r="S31" s="1070">
        <v>-13</v>
      </c>
      <c r="T31" s="666">
        <f t="shared" ref="T31:AB31" ca="1" si="76">-T479</f>
        <v>-13</v>
      </c>
      <c r="U31" s="666">
        <f t="shared" ca="1" si="76"/>
        <v>-12.913450412190118</v>
      </c>
      <c r="V31" s="666">
        <f t="shared" ca="1" si="76"/>
        <v>-10.887484822671132</v>
      </c>
      <c r="W31" s="666">
        <f t="shared" ca="1" si="76"/>
        <v>-9.4206889691775171</v>
      </c>
      <c r="X31" s="666">
        <f t="shared" ca="1" si="76"/>
        <v>-10.812883409188489</v>
      </c>
      <c r="Y31" s="666">
        <f t="shared" ca="1" si="76"/>
        <v>-12.422338357897988</v>
      </c>
      <c r="Z31" s="666">
        <f t="shared" ca="1" si="76"/>
        <v>-14.540286199996777</v>
      </c>
      <c r="AA31" s="666">
        <f t="shared" ca="1" si="76"/>
        <v>-17.188165800081631</v>
      </c>
      <c r="AB31" s="666">
        <f t="shared" ca="1" si="76"/>
        <v>-20.387420897120542</v>
      </c>
      <c r="AD31" s="479"/>
      <c r="AE31" s="479"/>
      <c r="AF31" s="479"/>
      <c r="AG31" s="479"/>
      <c r="AH31" s="479"/>
      <c r="AI31" s="479"/>
      <c r="AJ31" s="479"/>
      <c r="AK31" s="479"/>
      <c r="AL31" s="479"/>
      <c r="AM31" s="479"/>
      <c r="AN31" s="479"/>
      <c r="AO31" s="479"/>
      <c r="AP31" s="479"/>
      <c r="AQ31" s="479"/>
      <c r="AR31" s="479"/>
      <c r="AS31" s="479"/>
      <c r="AT31" s="479"/>
      <c r="AU31" s="479"/>
      <c r="AV31" s="479"/>
      <c r="AW31" s="479"/>
      <c r="AX31" s="460"/>
      <c r="AY31" s="460"/>
      <c r="AZ31" s="460"/>
      <c r="BA31" s="460"/>
      <c r="BB31" s="479"/>
      <c r="BC31" s="460"/>
      <c r="BD31" s="483"/>
      <c r="BE31" s="483"/>
      <c r="BF31" s="474"/>
      <c r="BG31" s="474"/>
      <c r="BH31" s="474"/>
      <c r="BI31" s="474"/>
      <c r="BJ31" s="474"/>
      <c r="BK31" s="474"/>
      <c r="BL31" s="474"/>
      <c r="BM31" s="474"/>
      <c r="BN31" s="474"/>
      <c r="BO31" s="474"/>
      <c r="BP31" s="474"/>
      <c r="BQ31" s="474"/>
      <c r="BR31" s="474"/>
      <c r="BS31" s="474"/>
      <c r="BT31" s="474"/>
      <c r="BU31" s="474"/>
      <c r="BV31" s="474"/>
      <c r="BW31" s="474"/>
      <c r="BX31" s="474"/>
      <c r="BY31" s="474"/>
      <c r="BZ31" s="474"/>
      <c r="CA31" s="474"/>
      <c r="CB31" s="474"/>
      <c r="CC31" s="474"/>
      <c r="CD31" s="474"/>
      <c r="CE31" s="474"/>
      <c r="CF31" s="474"/>
      <c r="CG31" s="474"/>
      <c r="CH31" s="474"/>
      <c r="CI31" s="474"/>
      <c r="CJ31" s="474"/>
      <c r="CK31" s="474"/>
      <c r="CL31" s="484"/>
      <c r="CM31" s="484"/>
      <c r="CN31" s="484"/>
      <c r="CO31" s="485"/>
      <c r="CP31" s="475"/>
      <c r="CQ31" s="474"/>
      <c r="CR31" s="475"/>
      <c r="CS31" s="434"/>
      <c r="CT31" s="701"/>
      <c r="CU31" s="701"/>
      <c r="CV31" s="713"/>
      <c r="CW31" s="434"/>
      <c r="CX31" s="430"/>
      <c r="CY31" s="430"/>
      <c r="CZ31" s="492"/>
      <c r="DA31" s="1036"/>
      <c r="DB31" s="1030"/>
      <c r="DC31" s="1030"/>
      <c r="DD31" s="1030"/>
      <c r="DE31" s="486"/>
      <c r="DF31" s="413"/>
      <c r="DG31" s="413"/>
      <c r="DH31" s="413"/>
      <c r="DI31" s="486"/>
    </row>
    <row r="32" spans="1:221" collapsed="1">
      <c r="A32" s="928" t="s">
        <v>116</v>
      </c>
      <c r="B32" s="765">
        <v>795</v>
      </c>
      <c r="C32" s="769">
        <f>C30+C31</f>
        <v>719</v>
      </c>
      <c r="D32" s="769">
        <f>D30+D31</f>
        <v>1418</v>
      </c>
      <c r="E32" s="769">
        <f>E30+E31</f>
        <v>1134</v>
      </c>
      <c r="F32" s="769">
        <f>F30+F31</f>
        <v>1150</v>
      </c>
      <c r="G32" s="311">
        <f>SUM(BB32:BE32)</f>
        <v>1176</v>
      </c>
      <c r="H32" s="307">
        <f>SUM(BF32:BI32)</f>
        <v>1188</v>
      </c>
      <c r="I32" s="307">
        <f>SUM(BJ32:BM32)</f>
        <v>877</v>
      </c>
      <c r="J32" s="307">
        <f>SUM(BN32:BQ32)</f>
        <v>205</v>
      </c>
      <c r="K32" s="307">
        <f ca="1">SUM(BR32:BU32)</f>
        <v>111.73402775300539</v>
      </c>
      <c r="L32" s="307">
        <f>SUM(BV32:BY32)</f>
        <v>1100</v>
      </c>
      <c r="M32" s="307">
        <f>SUM(BZ32:CC32)</f>
        <v>1134</v>
      </c>
      <c r="N32" s="307">
        <f>SUM(CD32:CG32)</f>
        <v>1157</v>
      </c>
      <c r="O32" s="307">
        <f>SUM(CH32:CK32)</f>
        <v>1126</v>
      </c>
      <c r="P32" s="307">
        <f>SUM(CL32:CO32)</f>
        <v>1049</v>
      </c>
      <c r="Q32" s="307">
        <f>+Q31+Q30</f>
        <v>808</v>
      </c>
      <c r="R32" s="307">
        <f>+R31+R30</f>
        <v>817</v>
      </c>
      <c r="S32" s="312">
        <f>+SUM(CX32:DA32)</f>
        <v>747</v>
      </c>
      <c r="T32" s="311">
        <f t="shared" ref="T32:T33" si="77">+SUM(DB32:DE32)</f>
        <v>694</v>
      </c>
      <c r="U32" s="312">
        <f t="shared" ref="U32:AB32" ca="1" si="78">U30+U31</f>
        <v>680.42254958780984</v>
      </c>
      <c r="V32" s="312">
        <f t="shared" ca="1" si="78"/>
        <v>626.44851517732889</v>
      </c>
      <c r="W32" s="312">
        <f t="shared" ca="1" si="78"/>
        <v>599.91531103082252</v>
      </c>
      <c r="X32" s="312">
        <f t="shared" ca="1" si="78"/>
        <v>598.52311659081147</v>
      </c>
      <c r="Y32" s="312">
        <f t="shared" ca="1" si="78"/>
        <v>596.91366164210206</v>
      </c>
      <c r="Z32" s="312">
        <f t="shared" ca="1" si="78"/>
        <v>594.79571380000323</v>
      </c>
      <c r="AA32" s="312">
        <f t="shared" ca="1" si="78"/>
        <v>592.14783419991841</v>
      </c>
      <c r="AB32" s="312">
        <f t="shared" ca="1" si="78"/>
        <v>588.94857910287942</v>
      </c>
      <c r="AD32" s="479">
        <v>244</v>
      </c>
      <c r="AE32" s="479">
        <v>238</v>
      </c>
      <c r="AF32" s="479">
        <v>200</v>
      </c>
      <c r="AG32" s="479">
        <v>208</v>
      </c>
      <c r="AH32" s="479">
        <v>206</v>
      </c>
      <c r="AI32" s="479">
        <v>222</v>
      </c>
      <c r="AJ32" s="479">
        <v>199</v>
      </c>
      <c r="AK32" s="479">
        <v>168</v>
      </c>
      <c r="AL32" s="479">
        <v>184.9</v>
      </c>
      <c r="AM32" s="479">
        <v>192.9</v>
      </c>
      <c r="AN32" s="479">
        <v>157.9</v>
      </c>
      <c r="AO32" s="479">
        <v>182.9</v>
      </c>
      <c r="AP32" s="479">
        <v>451.05</v>
      </c>
      <c r="AQ32" s="479">
        <v>438.05</v>
      </c>
      <c r="AR32" s="479">
        <v>276.05</v>
      </c>
      <c r="AS32" s="479">
        <v>252.75</v>
      </c>
      <c r="AT32" s="479">
        <v>293</v>
      </c>
      <c r="AU32" s="479">
        <v>309</v>
      </c>
      <c r="AV32" s="479">
        <v>279</v>
      </c>
      <c r="AW32" s="479">
        <v>253</v>
      </c>
      <c r="AX32" s="460">
        <v>283.39999999999998</v>
      </c>
      <c r="AY32" s="460">
        <v>263</v>
      </c>
      <c r="AZ32" s="460">
        <v>301</v>
      </c>
      <c r="BA32" s="460">
        <v>303</v>
      </c>
      <c r="BB32" s="479">
        <v>300</v>
      </c>
      <c r="BC32" s="479">
        <v>297</v>
      </c>
      <c r="BD32" s="480">
        <v>288</v>
      </c>
      <c r="BE32" s="480">
        <v>291</v>
      </c>
      <c r="BF32" s="474">
        <v>281</v>
      </c>
      <c r="BG32" s="474">
        <v>320</v>
      </c>
      <c r="BH32" s="474">
        <f>306+31</f>
        <v>337</v>
      </c>
      <c r="BI32" s="474">
        <v>250</v>
      </c>
      <c r="BJ32" s="474">
        <v>243</v>
      </c>
      <c r="BK32" s="474">
        <v>266</v>
      </c>
      <c r="BL32" s="474">
        <v>193</v>
      </c>
      <c r="BM32" s="474">
        <v>175</v>
      </c>
      <c r="BN32" s="474">
        <f>(114-(50/(1-BN38)))*0+104</f>
        <v>104</v>
      </c>
      <c r="BO32" s="474">
        <f>62*0+59</f>
        <v>59</v>
      </c>
      <c r="BP32" s="474">
        <f>11*0+27</f>
        <v>27</v>
      </c>
      <c r="BQ32" s="474">
        <f>28*0+15</f>
        <v>15</v>
      </c>
      <c r="BR32" s="474">
        <f>-16</f>
        <v>-16</v>
      </c>
      <c r="BS32" s="474">
        <v>18</v>
      </c>
      <c r="BT32" s="474">
        <f ca="1">25-3/(1-BT38)</f>
        <v>20.301038062283737</v>
      </c>
      <c r="BU32" s="474">
        <f>140-(35/(1-302/981))</f>
        <v>89.432989690721655</v>
      </c>
      <c r="BV32" s="474">
        <f>336-85</f>
        <v>251</v>
      </c>
      <c r="BW32" s="474">
        <v>287</v>
      </c>
      <c r="BX32" s="474">
        <v>279</v>
      </c>
      <c r="BY32" s="474">
        <v>283</v>
      </c>
      <c r="BZ32" s="474">
        <v>287</v>
      </c>
      <c r="CA32" s="474">
        <v>290</v>
      </c>
      <c r="CB32" s="474">
        <v>280</v>
      </c>
      <c r="CC32" s="474">
        <v>277</v>
      </c>
      <c r="CD32" s="474">
        <v>278</v>
      </c>
      <c r="CE32" s="474">
        <v>294</v>
      </c>
      <c r="CF32" s="474">
        <v>293</v>
      </c>
      <c r="CG32" s="474">
        <f>351-59</f>
        <v>292</v>
      </c>
      <c r="CH32" s="474">
        <v>293</v>
      </c>
      <c r="CI32" s="474">
        <v>293</v>
      </c>
      <c r="CJ32" s="474">
        <v>282</v>
      </c>
      <c r="CK32" s="474">
        <v>258</v>
      </c>
      <c r="CL32" s="474">
        <v>261</v>
      </c>
      <c r="CM32" s="474">
        <v>264</v>
      </c>
      <c r="CN32" s="474">
        <f>269</f>
        <v>269</v>
      </c>
      <c r="CO32" s="475">
        <v>255</v>
      </c>
      <c r="CP32" s="475">
        <f>153+64</f>
        <v>217</v>
      </c>
      <c r="CQ32" s="474">
        <f>230-17</f>
        <v>213</v>
      </c>
      <c r="CR32" s="475">
        <v>213</v>
      </c>
      <c r="CS32" s="430">
        <v>212</v>
      </c>
      <c r="CT32" s="701">
        <v>209</v>
      </c>
      <c r="CU32" s="701">
        <v>195</v>
      </c>
      <c r="CV32" s="701">
        <v>205</v>
      </c>
      <c r="CW32" s="882">
        <v>208</v>
      </c>
      <c r="CX32" s="882">
        <v>200</v>
      </c>
      <c r="CY32" s="882">
        <v>192</v>
      </c>
      <c r="CZ32" s="701">
        <v>179</v>
      </c>
      <c r="DA32" s="1037">
        <v>176</v>
      </c>
      <c r="DB32" s="1063">
        <v>172</v>
      </c>
      <c r="DC32" s="1033">
        <v>175</v>
      </c>
      <c r="DD32" s="1033">
        <v>167</v>
      </c>
      <c r="DE32" s="1082">
        <v>180</v>
      </c>
      <c r="DF32" s="307">
        <f ca="1">U32/4</f>
        <v>170.10563739695246</v>
      </c>
      <c r="DG32" s="413">
        <f ca="1">(U32-DF32)/3</f>
        <v>170.10563739695246</v>
      </c>
      <c r="DH32" s="413">
        <f ca="1">(U32-DG32-DF32)/2</f>
        <v>170.10563739695243</v>
      </c>
      <c r="DI32" s="413">
        <f ca="1">+U32-SUM(DF32:DH32)</f>
        <v>170.10563739695249</v>
      </c>
      <c r="DJ32" s="16"/>
    </row>
    <row r="33" spans="1:126">
      <c r="A33" s="928" t="s">
        <v>181</v>
      </c>
      <c r="B33" s="770"/>
      <c r="C33" s="770"/>
      <c r="D33" s="770"/>
      <c r="E33" s="770"/>
      <c r="F33" s="770"/>
      <c r="G33" s="771">
        <v>0</v>
      </c>
      <c r="H33" s="771">
        <v>0</v>
      </c>
      <c r="I33" s="771">
        <v>0</v>
      </c>
      <c r="J33" s="772">
        <v>-510</v>
      </c>
      <c r="K33" s="465">
        <f>SUM(BR33:BU33)</f>
        <v>-552</v>
      </c>
      <c r="L33" s="465">
        <f>SUM(BV33:BY33)</f>
        <v>-586.23076923076928</v>
      </c>
      <c r="M33" s="465">
        <f>SUM(BZ33:CC33)</f>
        <v>-714.94117647058829</v>
      </c>
      <c r="N33" s="465">
        <f>SUM(CD33:CG33)</f>
        <v>-793.52941176470586</v>
      </c>
      <c r="O33" s="465">
        <f>SUM(CH33:CK33)</f>
        <v>-949.05882352941171</v>
      </c>
      <c r="P33" s="465">
        <f>SUM(CL33:CO33)</f>
        <v>-1014.5294117647059</v>
      </c>
      <c r="Q33" s="465">
        <f>SUM(CP33:CS33)</f>
        <v>-1026</v>
      </c>
      <c r="R33" s="465">
        <f>SUM(CT33:CW33)</f>
        <v>-888.76470588235293</v>
      </c>
      <c r="S33" s="771">
        <f>+SUM(CX33:DA33)</f>
        <v>-666.05882352941171</v>
      </c>
      <c r="T33" s="771">
        <f t="shared" si="77"/>
        <v>-692</v>
      </c>
      <c r="U33" s="771">
        <v>-925.44599999999991</v>
      </c>
      <c r="V33" s="771">
        <v>-1077.0433759861667</v>
      </c>
      <c r="W33" s="771">
        <v>-1163.2068460650601</v>
      </c>
      <c r="X33" s="771">
        <f>+W33*1.075</f>
        <v>-1250.4473595199395</v>
      </c>
      <c r="Y33" s="771">
        <f t="shared" ref="Y33:AB33" si="79">+X33*1.075</f>
        <v>-1344.230911483935</v>
      </c>
      <c r="Z33" s="771">
        <f t="shared" si="79"/>
        <v>-1445.04822984523</v>
      </c>
      <c r="AA33" s="771">
        <f t="shared" si="79"/>
        <v>-1553.4268470836223</v>
      </c>
      <c r="AB33" s="771">
        <f t="shared" si="79"/>
        <v>-1669.933860614894</v>
      </c>
      <c r="AD33" s="461"/>
      <c r="AE33" s="461"/>
      <c r="AF33" s="461"/>
      <c r="AG33" s="461"/>
      <c r="AH33" s="461"/>
      <c r="AI33" s="461"/>
      <c r="AJ33" s="461"/>
      <c r="AK33" s="461"/>
      <c r="AL33" s="461"/>
      <c r="AM33" s="461"/>
      <c r="AN33" s="461"/>
      <c r="AO33" s="461"/>
      <c r="AP33" s="461"/>
      <c r="AQ33" s="461"/>
      <c r="AR33" s="461"/>
      <c r="AS33" s="461"/>
      <c r="AT33" s="461"/>
      <c r="AU33" s="461"/>
      <c r="AV33" s="461"/>
      <c r="AW33" s="461"/>
      <c r="AX33" s="462"/>
      <c r="AY33" s="462"/>
      <c r="AZ33" s="462"/>
      <c r="BA33" s="462"/>
      <c r="BB33" s="461"/>
      <c r="BC33" s="461"/>
      <c r="BD33" s="463"/>
      <c r="BE33" s="463"/>
      <c r="BF33" s="464"/>
      <c r="BG33" s="464"/>
      <c r="BH33" s="464"/>
      <c r="BI33" s="464"/>
      <c r="BJ33" s="464"/>
      <c r="BK33" s="464"/>
      <c r="BL33" s="464"/>
      <c r="BM33" s="464"/>
      <c r="BN33" s="464">
        <v>-98</v>
      </c>
      <c r="BO33" s="464">
        <v>-162</v>
      </c>
      <c r="BP33" s="464">
        <v>-132</v>
      </c>
      <c r="BQ33" s="464">
        <v>-118</v>
      </c>
      <c r="BR33" s="464">
        <v>-143</v>
      </c>
      <c r="BS33" s="464">
        <v>-147</v>
      </c>
      <c r="BT33" s="464">
        <f>-54-85</f>
        <v>-139</v>
      </c>
      <c r="BU33" s="464">
        <v>-123</v>
      </c>
      <c r="BV33" s="464">
        <v>-106</v>
      </c>
      <c r="BW33" s="464">
        <f>-217+(175-112)</f>
        <v>-154</v>
      </c>
      <c r="BX33" s="464">
        <f>-119+(-25/0.65)</f>
        <v>-157.46153846153845</v>
      </c>
      <c r="BY33" s="464">
        <f>-158+(-7/0.65)</f>
        <v>-168.76923076923077</v>
      </c>
      <c r="BZ33" s="464">
        <f>-138+-17</f>
        <v>-155</v>
      </c>
      <c r="CA33" s="464">
        <f>-113-37</f>
        <v>-150</v>
      </c>
      <c r="CB33" s="464">
        <f>-186-(14/0.85)</f>
        <v>-202.47058823529412</v>
      </c>
      <c r="CC33" s="464">
        <f>-191-(14/0.85)</f>
        <v>-207.47058823529412</v>
      </c>
      <c r="CD33" s="464">
        <f>-189+(21/0.85)</f>
        <v>-164.29411764705881</v>
      </c>
      <c r="CE33" s="464">
        <f>-155-(37/0.85)</f>
        <v>-198.52941176470588</v>
      </c>
      <c r="CF33" s="464">
        <f>-208-8/0.85</f>
        <v>-217.41176470588235</v>
      </c>
      <c r="CG33" s="464">
        <f>-178-(30/0.85)</f>
        <v>-213.29411764705884</v>
      </c>
      <c r="CH33" s="464">
        <f>-178-(21/0.85)</f>
        <v>-202.70588235294119</v>
      </c>
      <c r="CI33" s="464">
        <f>-223-(13/0.85)</f>
        <v>-238.29411764705881</v>
      </c>
      <c r="CJ33" s="464">
        <f>-230-(12/0.85)</f>
        <v>-244.11764705882354</v>
      </c>
      <c r="CK33" s="464">
        <f>-251-(11/0.85)</f>
        <v>-263.94117647058823</v>
      </c>
      <c r="CL33" s="487">
        <f>-256-(9/0.85)</f>
        <v>-266.58823529411762</v>
      </c>
      <c r="CM33" s="487">
        <f>-227+(2/0.85)</f>
        <v>-224.64705882352942</v>
      </c>
      <c r="CN33" s="487">
        <f>-255+(-9/0.85)</f>
        <v>-265.58823529411762</v>
      </c>
      <c r="CO33" s="488">
        <f>-253+(-4/0.85)</f>
        <v>-257.70588235294116</v>
      </c>
      <c r="CP33" s="489">
        <f>+-225+(-6/0.85)</f>
        <v>-232.05882352941177</v>
      </c>
      <c r="CQ33" s="487">
        <f>-200+-15/0.85</f>
        <v>-217.64705882352942</v>
      </c>
      <c r="CR33" s="490">
        <f>-328+28/0.85</f>
        <v>-295.05882352941177</v>
      </c>
      <c r="CS33" s="435">
        <f>-253+(-24/0.85)</f>
        <v>-281.23529411764707</v>
      </c>
      <c r="CT33" s="702">
        <f>+-134-86/0.85</f>
        <v>-235.1764705882353</v>
      </c>
      <c r="CU33" s="702">
        <f>+-225-(2)/0.85</f>
        <v>-227.35294117647058</v>
      </c>
      <c r="CV33" s="702">
        <f>+-187-(4)/0.85</f>
        <v>-191.70588235294119</v>
      </c>
      <c r="CW33" s="451">
        <f>+-211-20/0.85</f>
        <v>-234.52941176470588</v>
      </c>
      <c r="CX33" s="451">
        <f>-66-108/0.85</f>
        <v>-193.05882352941177</v>
      </c>
      <c r="CY33" s="451">
        <f>-199-21</f>
        <v>-220</v>
      </c>
      <c r="CZ33" s="702">
        <f>+-299+40</f>
        <v>-259</v>
      </c>
      <c r="DA33" s="1038">
        <f>DA28-DA32-DA35</f>
        <v>6</v>
      </c>
      <c r="DB33" s="1038">
        <f>+-23-73</f>
        <v>-96</v>
      </c>
      <c r="DC33" s="1038">
        <f>+-140-2</f>
        <v>-142</v>
      </c>
      <c r="DD33" s="1038">
        <f>+-169-34</f>
        <v>-203</v>
      </c>
      <c r="DE33" s="1083">
        <f>+-200-51</f>
        <v>-251</v>
      </c>
      <c r="DF33" s="883">
        <v>-246.43199999999999</v>
      </c>
      <c r="DG33" s="883">
        <v>-119.03399999999999</v>
      </c>
      <c r="DH33" s="883">
        <v>-271.42199999999997</v>
      </c>
      <c r="DI33" s="883">
        <v>-288.55799999999999</v>
      </c>
      <c r="DJ33" s="16"/>
      <c r="DL33" s="328"/>
    </row>
    <row r="34" spans="1:126">
      <c r="A34" s="928"/>
      <c r="K34" s="30"/>
      <c r="L34" s="30"/>
      <c r="M34" s="30"/>
      <c r="N34" s="30"/>
      <c r="O34" s="30"/>
      <c r="P34" s="30"/>
      <c r="Q34" s="30"/>
      <c r="R34" s="30"/>
      <c r="S34" s="30"/>
      <c r="T34" s="30"/>
      <c r="U34" s="30"/>
      <c r="V34" s="30"/>
      <c r="AD34" s="460"/>
      <c r="AE34" s="460"/>
      <c r="AF34" s="460"/>
      <c r="AG34" s="460"/>
      <c r="AH34" s="460"/>
      <c r="AI34" s="460"/>
      <c r="AJ34" s="460"/>
      <c r="AK34" s="460"/>
      <c r="AL34" s="460"/>
      <c r="AM34" s="460"/>
      <c r="AN34" s="460"/>
      <c r="AO34" s="460"/>
      <c r="AP34" s="460"/>
      <c r="AQ34" s="460"/>
      <c r="AR34" s="460"/>
      <c r="AS34" s="460"/>
      <c r="AT34" s="460"/>
      <c r="AU34" s="460"/>
      <c r="AV34" s="460"/>
      <c r="AW34" s="460"/>
      <c r="AX34" s="460"/>
      <c r="AY34" s="460"/>
      <c r="AZ34" s="460"/>
      <c r="BA34" s="460"/>
      <c r="BB34" s="460"/>
      <c r="BC34" s="460"/>
      <c r="BD34" s="460"/>
      <c r="BE34" s="460"/>
      <c r="BF34" s="413"/>
      <c r="BG34" s="413"/>
      <c r="BH34" s="413"/>
      <c r="BI34" s="413"/>
      <c r="BJ34" s="413"/>
      <c r="BK34" s="413"/>
      <c r="BL34" s="413"/>
      <c r="BM34" s="413"/>
      <c r="BN34" s="413"/>
      <c r="BO34" s="413"/>
      <c r="BP34" s="413"/>
      <c r="BQ34" s="413"/>
      <c r="BR34" s="413"/>
      <c r="BS34" s="413"/>
      <c r="BT34" s="413"/>
      <c r="BU34" s="413"/>
      <c r="BV34" s="413"/>
      <c r="BW34" s="413"/>
      <c r="BX34" s="413"/>
      <c r="BY34" s="413"/>
      <c r="BZ34" s="413"/>
      <c r="CA34" s="413"/>
      <c r="CB34" s="413"/>
      <c r="CC34" s="413"/>
      <c r="CD34" s="413"/>
      <c r="CE34" s="413"/>
      <c r="CF34" s="413"/>
      <c r="CG34" s="413"/>
      <c r="CH34" s="413"/>
      <c r="CI34" s="413"/>
      <c r="CJ34" s="413"/>
      <c r="CK34" s="413"/>
      <c r="CL34" s="413"/>
      <c r="CM34" s="413"/>
      <c r="CN34" s="413"/>
      <c r="CO34" s="492"/>
      <c r="CP34" s="413"/>
      <c r="CQ34" s="413"/>
      <c r="CR34" s="413"/>
      <c r="CS34" s="413"/>
      <c r="CT34" s="712"/>
      <c r="CU34" s="712"/>
      <c r="CV34" s="712"/>
      <c r="CW34" s="712"/>
      <c r="CX34" s="413"/>
      <c r="CY34" s="413"/>
      <c r="CZ34" s="413"/>
      <c r="DA34" s="1030"/>
      <c r="DB34" s="1030"/>
      <c r="DC34" s="1030"/>
      <c r="DD34" s="1030"/>
      <c r="DE34" s="413"/>
      <c r="DF34" s="413"/>
      <c r="DG34" s="413"/>
      <c r="DH34" s="413"/>
      <c r="DI34" s="413"/>
    </row>
    <row r="35" spans="1:126">
      <c r="A35" s="929" t="s">
        <v>375</v>
      </c>
      <c r="B35" s="134">
        <f>B22-B25-B27-B32</f>
        <v>13570</v>
      </c>
      <c r="C35" s="134">
        <f>C22-C25-C27-C32</f>
        <v>13649</v>
      </c>
      <c r="D35" s="134">
        <f>D22-D25-D27-D32</f>
        <v>14610</v>
      </c>
      <c r="E35" s="134">
        <f>E22-E26-E27-E32</f>
        <v>15697</v>
      </c>
      <c r="F35" s="134">
        <f>F22-F26-F27-F32</f>
        <v>14762.5</v>
      </c>
      <c r="G35" s="134">
        <f>G22-G26-G27-G32</f>
        <v>15069</v>
      </c>
      <c r="H35" s="134">
        <f>H22-H26-H27-H32</f>
        <v>15992</v>
      </c>
      <c r="I35" s="134">
        <f>I22-I26-I27-I32</f>
        <v>18002</v>
      </c>
      <c r="J35" s="134">
        <f t="shared" ref="J35:W35" si="80">J22-J26-J27-J32-J33</f>
        <v>4896</v>
      </c>
      <c r="K35" s="134">
        <f t="shared" ca="1" si="80"/>
        <v>5444.2659722469944</v>
      </c>
      <c r="L35" s="134">
        <f t="shared" si="80"/>
        <v>5750.2307692307695</v>
      </c>
      <c r="M35" s="134">
        <f t="shared" si="80"/>
        <v>6130.9411764705883</v>
      </c>
      <c r="N35" s="134">
        <f t="shared" si="80"/>
        <v>6510.5294117647063</v>
      </c>
      <c r="O35" s="134">
        <f t="shared" si="80"/>
        <v>7092.0588235294117</v>
      </c>
      <c r="P35" s="134">
        <f t="shared" si="80"/>
        <v>7437.5294117647063</v>
      </c>
      <c r="Q35" s="134">
        <f t="shared" si="80"/>
        <v>7845</v>
      </c>
      <c r="R35" s="134">
        <f t="shared" si="80"/>
        <v>8521.7647058823532</v>
      </c>
      <c r="S35" s="134">
        <f t="shared" si="80"/>
        <v>9055.0588235294126</v>
      </c>
      <c r="T35" s="134">
        <f t="shared" si="80"/>
        <v>9793.3333333333358</v>
      </c>
      <c r="U35" s="134">
        <f t="shared" ca="1" si="80"/>
        <v>9870.4939078970165</v>
      </c>
      <c r="V35" s="134">
        <f t="shared" ca="1" si="80"/>
        <v>10688.804086184271</v>
      </c>
      <c r="W35" s="134">
        <f t="shared" ca="1" si="80"/>
        <v>11502.82211035261</v>
      </c>
      <c r="X35" s="134">
        <f ca="1">X22-X26-X27-X32-X33</f>
        <v>12194.130617234754</v>
      </c>
      <c r="Y35" s="134">
        <f ca="1">Y22-Y26-Y27-Y32-Y33</f>
        <v>12885.915534028638</v>
      </c>
      <c r="Z35" s="134">
        <f ca="1">Z22-Z26-Z27-Z32-Z33</f>
        <v>13581.017302833347</v>
      </c>
      <c r="AA35" s="134">
        <f ca="1">AA22-AA26-AA27-AA32-AA33</f>
        <v>14281.977360584791</v>
      </c>
      <c r="AB35" s="134">
        <f ca="1">AB22-AB26-AB27-AB32-AB33</f>
        <v>14991.322110734556</v>
      </c>
      <c r="AD35" s="193">
        <f t="shared" ref="AD35:CO35" si="81">AD22-AD26-AD27-AD32-AD33</f>
        <v>3178</v>
      </c>
      <c r="AE35" s="193">
        <f t="shared" si="81"/>
        <v>3282</v>
      </c>
      <c r="AF35" s="193">
        <f t="shared" si="81"/>
        <v>3379</v>
      </c>
      <c r="AG35" s="193">
        <f t="shared" si="81"/>
        <v>2900</v>
      </c>
      <c r="AH35" s="193">
        <f t="shared" si="81"/>
        <v>3224</v>
      </c>
      <c r="AI35" s="193">
        <f t="shared" si="81"/>
        <v>3368</v>
      </c>
      <c r="AJ35" s="193">
        <f t="shared" si="81"/>
        <v>3433</v>
      </c>
      <c r="AK35" s="193">
        <f t="shared" si="81"/>
        <v>2999</v>
      </c>
      <c r="AL35" s="193">
        <f t="shared" si="81"/>
        <v>3353.1</v>
      </c>
      <c r="AM35" s="193">
        <f t="shared" si="81"/>
        <v>3507.1</v>
      </c>
      <c r="AN35" s="193">
        <f t="shared" si="81"/>
        <v>3624.1</v>
      </c>
      <c r="AO35" s="193">
        <f t="shared" si="81"/>
        <v>3167.1</v>
      </c>
      <c r="AP35" s="193">
        <f t="shared" si="81"/>
        <v>3613.45</v>
      </c>
      <c r="AQ35" s="193">
        <f t="shared" si="81"/>
        <v>3922.45</v>
      </c>
      <c r="AR35" s="193">
        <f t="shared" si="81"/>
        <v>4143.45</v>
      </c>
      <c r="AS35" s="193">
        <f t="shared" si="81"/>
        <v>3862.75</v>
      </c>
      <c r="AT35" s="193">
        <f t="shared" si="81"/>
        <v>3999</v>
      </c>
      <c r="AU35" s="193">
        <f t="shared" si="81"/>
        <v>4331</v>
      </c>
      <c r="AV35" s="193">
        <f t="shared" si="81"/>
        <v>4230</v>
      </c>
      <c r="AW35" s="193">
        <f t="shared" si="81"/>
        <v>3139</v>
      </c>
      <c r="AX35" s="193">
        <f t="shared" si="81"/>
        <v>3498.1</v>
      </c>
      <c r="AY35" s="193">
        <f t="shared" si="81"/>
        <v>4037.6749999999993</v>
      </c>
      <c r="AZ35" s="193">
        <f t="shared" si="81"/>
        <v>3850.8999999999996</v>
      </c>
      <c r="BA35" s="193">
        <f t="shared" si="81"/>
        <v>3375.5</v>
      </c>
      <c r="BB35" s="193">
        <f t="shared" si="81"/>
        <v>3683</v>
      </c>
      <c r="BC35" s="193">
        <f t="shared" si="81"/>
        <v>3930</v>
      </c>
      <c r="BD35" s="193">
        <f t="shared" si="81"/>
        <v>3927</v>
      </c>
      <c r="BE35" s="193">
        <f t="shared" si="81"/>
        <v>3529</v>
      </c>
      <c r="BF35" s="193">
        <f t="shared" si="81"/>
        <v>4963</v>
      </c>
      <c r="BG35" s="193">
        <f t="shared" si="81"/>
        <v>5266</v>
      </c>
      <c r="BH35" s="193">
        <f t="shared" si="81"/>
        <v>5162</v>
      </c>
      <c r="BI35" s="193">
        <f t="shared" si="81"/>
        <v>4826</v>
      </c>
      <c r="BJ35" s="193">
        <f t="shared" si="81"/>
        <v>4021</v>
      </c>
      <c r="BK35" s="193">
        <f t="shared" si="81"/>
        <v>5662</v>
      </c>
      <c r="BL35" s="193">
        <f t="shared" si="81"/>
        <v>4387</v>
      </c>
      <c r="BM35" s="193">
        <f t="shared" si="81"/>
        <v>3932</v>
      </c>
      <c r="BN35" s="193">
        <f t="shared" si="81"/>
        <v>1014</v>
      </c>
      <c r="BO35" s="193">
        <f t="shared" si="81"/>
        <v>1309</v>
      </c>
      <c r="BP35" s="193">
        <f t="shared" si="81"/>
        <v>1307</v>
      </c>
      <c r="BQ35" s="193">
        <f t="shared" si="81"/>
        <v>1137</v>
      </c>
      <c r="BR35" s="193">
        <f t="shared" si="81"/>
        <v>1243</v>
      </c>
      <c r="BS35" s="193">
        <f t="shared" si="81"/>
        <v>1508</v>
      </c>
      <c r="BT35" s="193">
        <f t="shared" ca="1" si="81"/>
        <v>1489.6989619377164</v>
      </c>
      <c r="BU35" s="193">
        <f t="shared" si="81"/>
        <v>1203.5670103092784</v>
      </c>
      <c r="BV35" s="193">
        <f t="shared" si="81"/>
        <v>1288</v>
      </c>
      <c r="BW35" s="193">
        <f t="shared" si="81"/>
        <v>1638</v>
      </c>
      <c r="BX35" s="193">
        <f t="shared" si="81"/>
        <v>1549.4615384615386</v>
      </c>
      <c r="BY35" s="193">
        <f t="shared" si="81"/>
        <v>1274.7692307692307</v>
      </c>
      <c r="BZ35" s="193">
        <f t="shared" si="81"/>
        <v>1343</v>
      </c>
      <c r="CA35" s="193">
        <f t="shared" si="81"/>
        <v>1613</v>
      </c>
      <c r="CB35" s="193">
        <f t="shared" si="81"/>
        <v>1730.4705882352941</v>
      </c>
      <c r="CC35" s="193">
        <f t="shared" si="81"/>
        <v>1444.4705882352941</v>
      </c>
      <c r="CD35" s="193">
        <f t="shared" si="81"/>
        <v>1431.2941176470588</v>
      </c>
      <c r="CE35" s="193">
        <f t="shared" si="81"/>
        <v>1728.5294117647059</v>
      </c>
      <c r="CF35" s="193">
        <f t="shared" si="81"/>
        <v>1785.4117647058824</v>
      </c>
      <c r="CG35" s="193">
        <f t="shared" si="81"/>
        <v>1565.2941176470588</v>
      </c>
      <c r="CH35" s="193">
        <f t="shared" si="81"/>
        <v>1556.7058823529412</v>
      </c>
      <c r="CI35" s="193">
        <f t="shared" si="81"/>
        <v>1855.2941176470588</v>
      </c>
      <c r="CJ35" s="193">
        <f t="shared" si="81"/>
        <v>1897.1176470588234</v>
      </c>
      <c r="CK35" s="193">
        <f t="shared" si="81"/>
        <v>1782.9411764705883</v>
      </c>
      <c r="CL35" s="193">
        <f t="shared" si="81"/>
        <v>1680.5882352941176</v>
      </c>
      <c r="CM35" s="193">
        <f t="shared" si="81"/>
        <v>1926.6470588235295</v>
      </c>
      <c r="CN35" s="193">
        <f t="shared" si="81"/>
        <v>2021.5882352941176</v>
      </c>
      <c r="CO35" s="363">
        <f t="shared" si="81"/>
        <v>1808.7058823529412</v>
      </c>
      <c r="CP35" s="193">
        <f t="shared" ref="CP35:DE35" si="82">CP22-CP26-CP27-CP32-CP33</f>
        <v>1754.0588235294117</v>
      </c>
      <c r="CQ35" s="193">
        <f t="shared" si="82"/>
        <v>1951.6470588235295</v>
      </c>
      <c r="CR35" s="193">
        <f t="shared" si="82"/>
        <v>2104.0588235294117</v>
      </c>
      <c r="CS35" s="193">
        <f t="shared" si="82"/>
        <v>1988.2352941176471</v>
      </c>
      <c r="CT35" s="363">
        <f t="shared" si="82"/>
        <v>1934.1764705882354</v>
      </c>
      <c r="CU35" s="193">
        <f t="shared" si="82"/>
        <v>2268.3529411764707</v>
      </c>
      <c r="CV35" s="193">
        <f t="shared" si="82"/>
        <v>2263.705882352941</v>
      </c>
      <c r="CW35" s="193">
        <f t="shared" si="82"/>
        <v>2055.5294117647059</v>
      </c>
      <c r="CX35" s="193">
        <f t="shared" si="82"/>
        <v>2150.0588235294117</v>
      </c>
      <c r="CY35" s="193">
        <f t="shared" si="82"/>
        <v>2471</v>
      </c>
      <c r="CZ35" s="193">
        <f t="shared" si="82"/>
        <v>2513</v>
      </c>
      <c r="DA35" s="1039">
        <f>DA45+DA37</f>
        <v>1921</v>
      </c>
      <c r="DB35" s="193">
        <f t="shared" si="82"/>
        <v>2194</v>
      </c>
      <c r="DC35" s="1039">
        <f t="shared" si="82"/>
        <v>2550.6666666666665</v>
      </c>
      <c r="DD35" s="1039">
        <f t="shared" si="82"/>
        <v>2662.6666666666665</v>
      </c>
      <c r="DE35" s="193">
        <f t="shared" si="82"/>
        <v>2386</v>
      </c>
      <c r="DF35" s="193">
        <f t="shared" ref="DF35:DI35" ca="1" si="83">DF22-DF26-DF27-DF32-DF33</f>
        <v>2288.0626082659505</v>
      </c>
      <c r="DG35" s="193">
        <f t="shared" ca="1" si="83"/>
        <v>2460.8017740302598</v>
      </c>
      <c r="DH35" s="193">
        <f t="shared" ca="1" si="83"/>
        <v>2692.8873968974399</v>
      </c>
      <c r="DI35" s="193">
        <f t="shared" ca="1" si="83"/>
        <v>2428.7421287033667</v>
      </c>
      <c r="DJ35" s="16"/>
    </row>
    <row r="36" spans="1:126">
      <c r="A36" s="928"/>
      <c r="G36" s="810"/>
      <c r="H36" s="810"/>
      <c r="I36" s="810"/>
      <c r="J36" s="810"/>
      <c r="K36" s="810"/>
      <c r="L36" s="810"/>
      <c r="M36" s="810"/>
      <c r="N36" s="810"/>
      <c r="O36" s="810"/>
      <c r="P36" s="810"/>
      <c r="Q36" s="924"/>
      <c r="R36" s="924"/>
      <c r="S36" s="23"/>
      <c r="T36" s="23"/>
      <c r="U36" s="23"/>
      <c r="V36" s="23"/>
      <c r="W36" s="924"/>
      <c r="X36" s="924"/>
      <c r="Y36" s="924"/>
      <c r="Z36" s="924"/>
      <c r="AA36" s="924"/>
      <c r="AB36" s="924"/>
      <c r="AD36" s="460"/>
      <c r="AE36" s="460"/>
      <c r="AF36" s="460"/>
      <c r="AG36" s="460"/>
      <c r="AH36" s="460"/>
      <c r="AI36" s="460"/>
      <c r="AJ36" s="460"/>
      <c r="AK36" s="460"/>
      <c r="AL36" s="460"/>
      <c r="AM36" s="460"/>
      <c r="AN36" s="460"/>
      <c r="AO36" s="460"/>
      <c r="AP36" s="460"/>
      <c r="AQ36" s="460"/>
      <c r="AR36" s="460"/>
      <c r="AS36" s="460"/>
      <c r="AT36" s="460"/>
      <c r="AU36" s="460"/>
      <c r="AV36" s="460"/>
      <c r="AW36" s="460"/>
      <c r="AX36" s="460"/>
      <c r="AY36" s="460"/>
      <c r="AZ36" s="460"/>
      <c r="BA36" s="460"/>
      <c r="BB36" s="460"/>
      <c r="BC36" s="460"/>
      <c r="BD36" s="460"/>
      <c r="BE36" s="460"/>
      <c r="BF36" s="413"/>
      <c r="BG36" s="413"/>
      <c r="BH36" s="413"/>
      <c r="BI36" s="413"/>
      <c r="BJ36" s="413"/>
      <c r="BK36" s="413"/>
      <c r="BL36" s="413"/>
      <c r="BM36" s="413"/>
      <c r="BN36" s="413"/>
      <c r="BO36" s="413"/>
      <c r="BP36" s="413"/>
      <c r="BQ36" s="413"/>
      <c r="BR36" s="413"/>
      <c r="BS36" s="413"/>
      <c r="BT36" s="413"/>
      <c r="BU36" s="413"/>
      <c r="BV36" s="413"/>
      <c r="BW36" s="413"/>
      <c r="BX36" s="413"/>
      <c r="BY36" s="413"/>
      <c r="BZ36" s="413"/>
      <c r="CA36" s="413"/>
      <c r="CB36" s="413"/>
      <c r="CC36" s="413"/>
      <c r="CD36" s="413"/>
      <c r="CE36" s="413"/>
      <c r="CF36" s="413"/>
      <c r="CG36" s="413"/>
      <c r="CH36" s="413"/>
      <c r="CI36" s="413"/>
      <c r="CJ36" s="413"/>
      <c r="CK36" s="413"/>
      <c r="CL36" s="413"/>
      <c r="CM36" s="413"/>
      <c r="CN36" s="413"/>
      <c r="CO36" s="492"/>
      <c r="CP36" s="413"/>
      <c r="CQ36" s="413"/>
      <c r="CR36" s="413"/>
      <c r="CS36" s="413"/>
      <c r="CT36" s="492"/>
      <c r="CU36" s="413"/>
      <c r="CV36" s="413"/>
      <c r="CW36" s="413"/>
      <c r="CX36" s="413"/>
      <c r="CY36" s="413"/>
      <c r="CZ36" s="413"/>
      <c r="DA36" s="1030"/>
      <c r="DB36" s="413"/>
      <c r="DC36" s="1030"/>
      <c r="DD36" s="1030"/>
      <c r="DE36" s="413"/>
      <c r="DF36" s="413"/>
      <c r="DG36" s="413"/>
      <c r="DH36" s="413"/>
      <c r="DI36" s="413"/>
    </row>
    <row r="37" spans="1:126">
      <c r="A37" s="928" t="s">
        <v>332</v>
      </c>
      <c r="B37" s="773">
        <f>B35*0.4046</f>
        <v>5490.4220000000005</v>
      </c>
      <c r="C37" s="773">
        <f>C35*0.3848</f>
        <v>5252.1351999999997</v>
      </c>
      <c r="D37" s="773">
        <f>D35*0.3795</f>
        <v>5544.4949999999999</v>
      </c>
      <c r="E37" s="773">
        <f>E35*0.3556</f>
        <v>5581.8532000000005</v>
      </c>
      <c r="F37" s="311">
        <f>SUM(AX37:BA37)</f>
        <v>5264.8970457803625</v>
      </c>
      <c r="G37" s="311">
        <f>SUM(BB37:BE37)</f>
        <v>5036.6002890121717</v>
      </c>
      <c r="H37" s="307">
        <f>SUM(BF37:BI37)</f>
        <v>6289.4943949062299</v>
      </c>
      <c r="I37" s="307">
        <f>SUM(BJ37:BM37)</f>
        <v>5958.9745251667009</v>
      </c>
      <c r="J37" s="307">
        <f>SUM(BN37:BQ37)</f>
        <v>1677.3146129823638</v>
      </c>
      <c r="K37" s="307">
        <f ca="1">SUM(BR37:BU37)</f>
        <v>1995.3279072960936</v>
      </c>
      <c r="L37" s="307">
        <f>SUM(BV37:BY37)</f>
        <v>2109.7279689818579</v>
      </c>
      <c r="M37" s="307">
        <f>SUM(BZ37:CC37)</f>
        <v>2170.9411764705883</v>
      </c>
      <c r="N37" s="307">
        <f>SUM(CD37:CG37)</f>
        <v>2279.1454117647058</v>
      </c>
      <c r="O37" s="307">
        <f>SUM(CH37:CK37)</f>
        <v>2609.0588235294117</v>
      </c>
      <c r="P37" s="307">
        <f>SUM(CL37:CO37)</f>
        <v>2674.5294117647059</v>
      </c>
      <c r="Q37" s="307">
        <f>SUM(CP37:CS37)</f>
        <v>2711</v>
      </c>
      <c r="R37" s="307">
        <f>SUM(CT37:CW37)</f>
        <v>3017.7647058823527</v>
      </c>
      <c r="S37" s="311">
        <f t="shared" ref="S37" si="84">+SUM(CX37:DA37)</f>
        <v>3133.0588235294117</v>
      </c>
      <c r="T37" s="311">
        <f t="shared" ref="T37" si="85">+SUM(DB37:DE37)</f>
        <v>3273.333333333333</v>
      </c>
      <c r="U37" s="467">
        <f t="shared" ref="U37:AB37" ca="1" si="86">U35*U38</f>
        <v>2319.566068355799</v>
      </c>
      <c r="V37" s="467">
        <f t="shared" ca="1" si="86"/>
        <v>2511.8689602533036</v>
      </c>
      <c r="W37" s="467">
        <f t="shared" ca="1" si="86"/>
        <v>2703.1631959328633</v>
      </c>
      <c r="X37" s="467">
        <f t="shared" ca="1" si="86"/>
        <v>2865.6206950501669</v>
      </c>
      <c r="Y37" s="467">
        <f t="shared" ca="1" si="86"/>
        <v>3028.1901504967295</v>
      </c>
      <c r="Z37" s="467">
        <f t="shared" ca="1" si="86"/>
        <v>3191.5390661658362</v>
      </c>
      <c r="AA37" s="467">
        <f t="shared" ca="1" si="86"/>
        <v>3356.2646797374259</v>
      </c>
      <c r="AB37" s="467">
        <f t="shared" ca="1" si="86"/>
        <v>3522.9606960226206</v>
      </c>
      <c r="AD37" s="479">
        <v>1288</v>
      </c>
      <c r="AE37" s="479">
        <v>1333</v>
      </c>
      <c r="AF37" s="479">
        <v>1369</v>
      </c>
      <c r="AG37" s="479">
        <v>1180</v>
      </c>
      <c r="AH37" s="479">
        <v>1282</v>
      </c>
      <c r="AI37" s="479">
        <v>1344</v>
      </c>
      <c r="AJ37" s="479">
        <v>1366</v>
      </c>
      <c r="AK37" s="479">
        <v>1183</v>
      </c>
      <c r="AL37" s="479">
        <v>1317</v>
      </c>
      <c r="AM37" s="479">
        <v>1388</v>
      </c>
      <c r="AN37" s="479">
        <v>1427</v>
      </c>
      <c r="AO37" s="479">
        <v>1251</v>
      </c>
      <c r="AP37" s="311">
        <v>1296</v>
      </c>
      <c r="AQ37" s="311">
        <v>1431</v>
      </c>
      <c r="AR37" s="311">
        <v>1608.61841875</v>
      </c>
      <c r="AS37" s="311">
        <v>1410</v>
      </c>
      <c r="AT37" s="311">
        <v>1460.723</v>
      </c>
      <c r="AU37" s="311">
        <v>1584.6255000000001</v>
      </c>
      <c r="AV37" s="311">
        <v>1530.8309999999999</v>
      </c>
      <c r="AW37" s="311">
        <v>1137</v>
      </c>
      <c r="AX37" s="460">
        <v>1261</v>
      </c>
      <c r="AY37" s="479">
        <f>1382+(AY49/(1-AY38))*AY38</f>
        <v>1449.3760183299389</v>
      </c>
      <c r="AZ37" s="479">
        <f>1353+(AZ49/(1-AZ38))*AZ38</f>
        <v>1356.6222590515044</v>
      </c>
      <c r="BA37" s="479">
        <f>1155+(BA49/(1-BA38))*BA38+20</f>
        <v>1197.8987683989185</v>
      </c>
      <c r="BB37" s="479">
        <f>1210+(BB49/(1-BB38))*BB38</f>
        <v>1308.8708833274175</v>
      </c>
      <c r="BC37" s="479">
        <f>963+(10+23+250+9+39+90+7)*BC39+10</f>
        <v>1124.94</v>
      </c>
      <c r="BD37" s="460">
        <f>1295+(5+1+6+39+8+23+13)*BD38+5</f>
        <v>1331.7894056847545</v>
      </c>
      <c r="BE37" s="460">
        <f>1121+150</f>
        <v>1271</v>
      </c>
      <c r="BF37" s="413">
        <f>1291+(1+3+14+117+5+33)*BF38</f>
        <v>1348.3409499358152</v>
      </c>
      <c r="BG37" s="413">
        <f>BG35*BG38</f>
        <v>1774.6420000000001</v>
      </c>
      <c r="BH37" s="413">
        <f>(BH35*27.39%)+204</f>
        <v>1617.8718000000001</v>
      </c>
      <c r="BI37" s="413">
        <f>BI38*BI35+68</f>
        <v>1548.6396449704141</v>
      </c>
      <c r="BJ37" s="413">
        <f>BJ38*BJ35</f>
        <v>1314.867</v>
      </c>
      <c r="BK37" s="413">
        <f>BK38*BK35</f>
        <v>1899.650954798163</v>
      </c>
      <c r="BL37" s="413">
        <f>BL39*BL35-67</f>
        <v>1485.9979999999998</v>
      </c>
      <c r="BM37" s="413">
        <f>BM35*BM38+212</f>
        <v>1258.4585703685382</v>
      </c>
      <c r="BN37" s="413">
        <f>BN35*BN38</f>
        <v>379.90835579514822</v>
      </c>
      <c r="BO37" s="413">
        <f>BO35*BO38</f>
        <v>480.73893805309734</v>
      </c>
      <c r="BP37" s="413">
        <f>BP35*BP38</f>
        <v>420.56443104747547</v>
      </c>
      <c r="BQ37" s="413">
        <f>BQ35*BQ38</f>
        <v>396.10288808664262</v>
      </c>
      <c r="BR37" s="413">
        <f>(365/979)*BR35+1</f>
        <v>464.42696629213486</v>
      </c>
      <c r="BS37" s="413">
        <f>(541/1471)*BS35-1</f>
        <v>553.60774983004762</v>
      </c>
      <c r="BT37" s="413">
        <f ca="1">(491/1358)*BT35</f>
        <v>538.61722408793719</v>
      </c>
      <c r="BU37" s="474">
        <f>(302+58)/981*BU35-3</f>
        <v>438.67596708597375</v>
      </c>
      <c r="BV37" s="413">
        <f>372+((176+85+60+6)-222)</f>
        <v>477</v>
      </c>
      <c r="BW37" s="413">
        <f>596/1607*BW35+1</f>
        <v>608.49719975108894</v>
      </c>
      <c r="BX37" s="413">
        <f>BX35-998</f>
        <v>551.46153846153857</v>
      </c>
      <c r="BY37" s="413">
        <f>BY35-802</f>
        <v>472.76923076923072</v>
      </c>
      <c r="BZ37" s="413">
        <f>BZ35-866</f>
        <v>477</v>
      </c>
      <c r="CA37" s="413">
        <f>CA35-1048</f>
        <v>565</v>
      </c>
      <c r="CB37" s="413">
        <f>CB35-1131</f>
        <v>599.47058823529414</v>
      </c>
      <c r="CC37" s="413">
        <f>CC35-915</f>
        <v>529.47058823529414</v>
      </c>
      <c r="CD37" s="413">
        <f>CD35-920</f>
        <v>511.29411764705878</v>
      </c>
      <c r="CE37" s="413">
        <f>CE35-1110-(36*0.344)</f>
        <v>606.14541176470584</v>
      </c>
      <c r="CF37" s="413">
        <f>CF35-1159</f>
        <v>626.41176470588243</v>
      </c>
      <c r="CG37" s="413">
        <f>CG35-1030</f>
        <v>535.29411764705878</v>
      </c>
      <c r="CH37" s="413">
        <f>+CH35-1001</f>
        <v>555.70588235294122</v>
      </c>
      <c r="CI37" s="413">
        <f>+CI35-1197</f>
        <v>658.29411764705878</v>
      </c>
      <c r="CJ37" s="413">
        <f>+CJ35-1175</f>
        <v>722.11764705882342</v>
      </c>
      <c r="CK37" s="413">
        <f>+CK35-1110</f>
        <v>672.94117647058829</v>
      </c>
      <c r="CL37" s="474">
        <f>+CL35-1088</f>
        <v>592.58823529411757</v>
      </c>
      <c r="CM37" s="474">
        <f>CM35-1241</f>
        <v>685.64705882352951</v>
      </c>
      <c r="CN37" s="474">
        <f>CN35-1297</f>
        <v>724.58823529411757</v>
      </c>
      <c r="CO37" s="475">
        <f>+CO35-1137</f>
        <v>671.70588235294122</v>
      </c>
      <c r="CP37" s="475">
        <f>+CP35-1144</f>
        <v>610.05882352941171</v>
      </c>
      <c r="CQ37" s="474">
        <f>+CQ35-1282</f>
        <v>669.64705882352951</v>
      </c>
      <c r="CR37" s="474">
        <f>+CR35-1362</f>
        <v>742.05882352941171</v>
      </c>
      <c r="CS37" s="474">
        <f>+CS35-1299</f>
        <v>689.23529411764707</v>
      </c>
      <c r="CT37" s="475">
        <f>+CT35-1246</f>
        <v>688.17647058823536</v>
      </c>
      <c r="CU37" s="475">
        <f>+CU35-1460</f>
        <v>808.35294117647072</v>
      </c>
      <c r="CV37" s="475">
        <f>+CV35-1475</f>
        <v>788.70588235294099</v>
      </c>
      <c r="CW37" s="474">
        <f>+CW35-1323</f>
        <v>732.52941176470586</v>
      </c>
      <c r="CX37" s="475">
        <f>+CX35-1413</f>
        <v>737.05882352941171</v>
      </c>
      <c r="CY37" s="475">
        <f>+CY35-1583</f>
        <v>888</v>
      </c>
      <c r="CZ37" s="475">
        <f>+CZ35-1609</f>
        <v>904</v>
      </c>
      <c r="DA37" s="1033">
        <v>604</v>
      </c>
      <c r="DB37" s="475">
        <f>+DB35-1410</f>
        <v>784</v>
      </c>
      <c r="DC37" s="1030">
        <f>+DC35-1645</f>
        <v>905.66666666666652</v>
      </c>
      <c r="DD37" s="1030">
        <f>+DD35-DD45</f>
        <v>939.66666666666652</v>
      </c>
      <c r="DE37" s="1030">
        <f>+DE35-DE45</f>
        <v>644</v>
      </c>
      <c r="DF37" s="413">
        <f ca="1">DF38*DF35</f>
        <v>537.69471294249831</v>
      </c>
      <c r="DG37" s="413">
        <f ca="1">DG38*DG35</f>
        <v>578.28841689711101</v>
      </c>
      <c r="DH37" s="413">
        <f ca="1">DH38*DH35</f>
        <v>632.82853827089832</v>
      </c>
      <c r="DI37" s="413">
        <f ca="1">U37-DH37-DG37-DF37</f>
        <v>570.75440024529155</v>
      </c>
    </row>
    <row r="38" spans="1:126">
      <c r="A38" s="928" t="s">
        <v>611</v>
      </c>
      <c r="B38" s="406">
        <f>B37/B35*100</f>
        <v>40.46</v>
      </c>
      <c r="C38" s="407">
        <f>C37/C35</f>
        <v>0.38479999999999998</v>
      </c>
      <c r="D38" s="407">
        <f>D37/D35</f>
        <v>0.3795</v>
      </c>
      <c r="E38" s="407">
        <f>E37/E35</f>
        <v>0.35560000000000003</v>
      </c>
      <c r="F38" s="407">
        <f t="shared" ref="F38:T38" si="87">F37/F35</f>
        <v>0.35663993536192123</v>
      </c>
      <c r="G38" s="407">
        <f t="shared" si="87"/>
        <v>0.33423586760980634</v>
      </c>
      <c r="H38" s="407">
        <f t="shared" si="87"/>
        <v>0.39329004470399137</v>
      </c>
      <c r="I38" s="407">
        <f t="shared" si="87"/>
        <v>0.33101736058030778</v>
      </c>
      <c r="J38" s="407">
        <f t="shared" si="87"/>
        <v>0.34258876899149587</v>
      </c>
      <c r="K38" s="407">
        <f t="shared" ca="1" si="87"/>
        <v>0.36650081341866703</v>
      </c>
      <c r="L38" s="407">
        <f t="shared" si="87"/>
        <v>0.36689448713448491</v>
      </c>
      <c r="M38" s="407">
        <f t="shared" si="87"/>
        <v>0.3540959069713891</v>
      </c>
      <c r="N38" s="407">
        <f t="shared" si="87"/>
        <v>0.35007067284670079</v>
      </c>
      <c r="O38" s="407">
        <f t="shared" si="87"/>
        <v>0.36788454360718287</v>
      </c>
      <c r="P38" s="407">
        <f t="shared" si="87"/>
        <v>0.35959917113525997</v>
      </c>
      <c r="Q38" s="407">
        <f t="shared" si="87"/>
        <v>0.34557042702358187</v>
      </c>
      <c r="R38" s="407">
        <f t="shared" si="87"/>
        <v>0.35412438738179053</v>
      </c>
      <c r="S38" s="407">
        <f t="shared" si="87"/>
        <v>0.34600093545369498</v>
      </c>
      <c r="T38" s="407">
        <f t="shared" si="87"/>
        <v>0.33424098025867927</v>
      </c>
      <c r="U38" s="305">
        <v>0.23499999999999999</v>
      </c>
      <c r="V38" s="305">
        <f>U38</f>
        <v>0.23499999999999999</v>
      </c>
      <c r="W38" s="305">
        <f t="shared" ref="W38:AB38" si="88">V38</f>
        <v>0.23499999999999999</v>
      </c>
      <c r="X38" s="305">
        <f t="shared" si="88"/>
        <v>0.23499999999999999</v>
      </c>
      <c r="Y38" s="305">
        <f t="shared" si="88"/>
        <v>0.23499999999999999</v>
      </c>
      <c r="Z38" s="305">
        <f t="shared" si="88"/>
        <v>0.23499999999999999</v>
      </c>
      <c r="AA38" s="305">
        <f t="shared" si="88"/>
        <v>0.23499999999999999</v>
      </c>
      <c r="AB38" s="305">
        <f t="shared" si="88"/>
        <v>0.23499999999999999</v>
      </c>
      <c r="AD38" s="763">
        <f t="shared" ref="AD38:AW38" si="89">AD37/AD35</f>
        <v>0.40528634361233479</v>
      </c>
      <c r="AE38" s="763">
        <f t="shared" si="89"/>
        <v>0.40615478366849483</v>
      </c>
      <c r="AF38" s="763">
        <f t="shared" si="89"/>
        <v>0.40514945250073986</v>
      </c>
      <c r="AG38" s="763">
        <f t="shared" si="89"/>
        <v>0.40689655172413791</v>
      </c>
      <c r="AH38" s="763">
        <f t="shared" si="89"/>
        <v>0.39764267990074442</v>
      </c>
      <c r="AI38" s="763">
        <f t="shared" si="89"/>
        <v>0.39904988123515439</v>
      </c>
      <c r="AJ38" s="763">
        <f t="shared" si="89"/>
        <v>0.39790270900087388</v>
      </c>
      <c r="AK38" s="763">
        <f t="shared" si="89"/>
        <v>0.39446482160720242</v>
      </c>
      <c r="AL38" s="763">
        <f t="shared" si="89"/>
        <v>0.39277086874832245</v>
      </c>
      <c r="AM38" s="763">
        <f t="shared" si="89"/>
        <v>0.39576858373014745</v>
      </c>
      <c r="AN38" s="763">
        <f t="shared" si="89"/>
        <v>0.39375293176236859</v>
      </c>
      <c r="AO38" s="763">
        <f t="shared" si="89"/>
        <v>0.39499857914180164</v>
      </c>
      <c r="AP38" s="763">
        <f t="shared" si="89"/>
        <v>0.35866000636510814</v>
      </c>
      <c r="AQ38" s="763">
        <f t="shared" si="89"/>
        <v>0.36482300602939494</v>
      </c>
      <c r="AR38" s="763">
        <f t="shared" si="89"/>
        <v>0.38823164723841247</v>
      </c>
      <c r="AS38" s="763">
        <f t="shared" si="89"/>
        <v>0.36502491748106919</v>
      </c>
      <c r="AT38" s="763">
        <f t="shared" si="89"/>
        <v>0.36527206801700424</v>
      </c>
      <c r="AU38" s="763">
        <f t="shared" si="89"/>
        <v>0.36587981990302471</v>
      </c>
      <c r="AV38" s="763">
        <f t="shared" si="89"/>
        <v>0.36189858156028365</v>
      </c>
      <c r="AW38" s="763">
        <f t="shared" si="89"/>
        <v>0.36221726664542847</v>
      </c>
      <c r="AX38" s="763">
        <v>0.35199999999999998</v>
      </c>
      <c r="AY38" s="763">
        <f>1382/3928</f>
        <v>0.35183299389002037</v>
      </c>
      <c r="AZ38" s="763">
        <f>1353/3922</f>
        <v>0.34497705252422234</v>
      </c>
      <c r="BA38" s="763">
        <f>1155/3329</f>
        <v>0.34695103634725144</v>
      </c>
      <c r="BB38" s="750">
        <f>1186/3428</f>
        <v>0.34597432905484249</v>
      </c>
      <c r="BC38" s="458">
        <f>963/3619</f>
        <v>0.26609560652113845</v>
      </c>
      <c r="BD38" s="774">
        <f>1295/3870</f>
        <v>0.33462532299741604</v>
      </c>
      <c r="BE38" s="774">
        <v>0.35508394044979413</v>
      </c>
      <c r="BF38" s="458">
        <f>1291/3895</f>
        <v>0.33145057766367136</v>
      </c>
      <c r="BG38" s="493">
        <v>0.33700000000000002</v>
      </c>
      <c r="BH38" s="73">
        <f>+BH37/BH35</f>
        <v>0.31341956605966681</v>
      </c>
      <c r="BI38" s="493">
        <v>0.30680473372781064</v>
      </c>
      <c r="BJ38" s="493">
        <v>0.32700000000000001</v>
      </c>
      <c r="BK38" s="493">
        <f>1388/4137</f>
        <v>0.3355088228184675</v>
      </c>
      <c r="BL38" s="73">
        <f>BL37/BL35</f>
        <v>0.33872760428538862</v>
      </c>
      <c r="BM38" s="73">
        <f>1076/4043</f>
        <v>0.26613900568884491</v>
      </c>
      <c r="BN38" s="493">
        <f>417/1113</f>
        <v>0.3746630727762803</v>
      </c>
      <c r="BO38" s="493">
        <f>415/1130</f>
        <v>0.36725663716814161</v>
      </c>
      <c r="BP38" s="493">
        <f>427/1327</f>
        <v>0.32177844762622454</v>
      </c>
      <c r="BQ38" s="493">
        <f>(288+98)/1108</f>
        <v>0.34837545126353792</v>
      </c>
      <c r="BR38" s="73">
        <f t="shared" ref="BR38:CJ38" si="90">BR37/BR35</f>
        <v>0.37363392300252202</v>
      </c>
      <c r="BS38" s="73">
        <f t="shared" si="90"/>
        <v>0.36711389246024378</v>
      </c>
      <c r="BT38" s="73">
        <f t="shared" ca="1" si="90"/>
        <v>0.36156111929307805</v>
      </c>
      <c r="BU38" s="73">
        <f t="shared" si="90"/>
        <v>0.36447988631164624</v>
      </c>
      <c r="BV38" s="458">
        <f t="shared" si="90"/>
        <v>0.37034161490683232</v>
      </c>
      <c r="BW38" s="458">
        <f t="shared" si="90"/>
        <v>0.37148791193595171</v>
      </c>
      <c r="BX38" s="458">
        <f t="shared" si="90"/>
        <v>0.35590527726753718</v>
      </c>
      <c r="BY38" s="458">
        <f t="shared" si="90"/>
        <v>0.37086652184407431</v>
      </c>
      <c r="BZ38" s="458">
        <f t="shared" si="90"/>
        <v>0.35517498138495907</v>
      </c>
      <c r="CA38" s="458">
        <v>0.35399999999999998</v>
      </c>
      <c r="CB38" s="458">
        <f t="shared" si="90"/>
        <v>0.34642055884152562</v>
      </c>
      <c r="CC38" s="458">
        <f>CC37/CC35</f>
        <v>0.36654992669815933</v>
      </c>
      <c r="CD38" s="458">
        <f t="shared" si="90"/>
        <v>0.35722505342758504</v>
      </c>
      <c r="CE38" s="458">
        <f t="shared" si="90"/>
        <v>0.35067115875446653</v>
      </c>
      <c r="CF38" s="458">
        <f t="shared" si="90"/>
        <v>0.35085002635740647</v>
      </c>
      <c r="CG38" s="458">
        <f t="shared" si="90"/>
        <v>0.34197670048853812</v>
      </c>
      <c r="CH38" s="458">
        <f t="shared" si="90"/>
        <v>0.35697551390568322</v>
      </c>
      <c r="CI38" s="458">
        <f t="shared" si="90"/>
        <v>0.35481927710843369</v>
      </c>
      <c r="CJ38" s="494">
        <f t="shared" si="90"/>
        <v>0.38063936001984433</v>
      </c>
      <c r="CK38" s="494">
        <f t="shared" ref="CK38:CR38" si="91">+CK37/CK35</f>
        <v>0.37743319036621581</v>
      </c>
      <c r="CL38" s="494">
        <f t="shared" si="91"/>
        <v>0.35260763038151904</v>
      </c>
      <c r="CM38" s="494">
        <f t="shared" si="91"/>
        <v>0.35587579763685773</v>
      </c>
      <c r="CN38" s="494">
        <f t="shared" si="91"/>
        <v>0.35842523350888933</v>
      </c>
      <c r="CO38" s="458">
        <f t="shared" si="91"/>
        <v>0.37137374788604138</v>
      </c>
      <c r="CP38" s="494">
        <f t="shared" si="91"/>
        <v>0.34779838358093829</v>
      </c>
      <c r="CQ38" s="494">
        <f t="shared" si="91"/>
        <v>0.34311893423352829</v>
      </c>
      <c r="CR38" s="494">
        <f t="shared" si="91"/>
        <v>0.35267969470770777</v>
      </c>
      <c r="CS38" s="458">
        <f>CS37/CS35</f>
        <v>0.34665680473372784</v>
      </c>
      <c r="CT38" s="494">
        <f>+CT37/CT35</f>
        <v>0.35579818132051949</v>
      </c>
      <c r="CU38" s="494">
        <f>+CU37/CU35</f>
        <v>0.35636118458586175</v>
      </c>
      <c r="CV38" s="494">
        <f>+CV37/CV35</f>
        <v>0.34841358521944749</v>
      </c>
      <c r="CW38" s="458">
        <f t="shared" ref="CW38:DD38" si="92">CW37/CW35</f>
        <v>0.35637019230769229</v>
      </c>
      <c r="CX38" s="458">
        <f t="shared" si="92"/>
        <v>0.34280867828513584</v>
      </c>
      <c r="CY38" s="458">
        <f t="shared" si="92"/>
        <v>0.35936867664912991</v>
      </c>
      <c r="CZ38" s="458">
        <f t="shared" si="92"/>
        <v>0.35972940708316753</v>
      </c>
      <c r="DA38" s="1026">
        <f t="shared" si="92"/>
        <v>0.3144195731389901</v>
      </c>
      <c r="DB38" s="1026">
        <f t="shared" si="92"/>
        <v>0.35733819507748404</v>
      </c>
      <c r="DC38" s="1026">
        <f t="shared" si="92"/>
        <v>0.35507056978567691</v>
      </c>
      <c r="DD38" s="1026">
        <f t="shared" si="92"/>
        <v>0.35290435653480218</v>
      </c>
      <c r="DE38" s="1026">
        <f t="shared" ref="DE38" si="93">DE37/DE35</f>
        <v>0.269907795473596</v>
      </c>
      <c r="DF38" s="458">
        <f>+U38</f>
        <v>0.23499999999999999</v>
      </c>
      <c r="DG38" s="458">
        <f>+U38</f>
        <v>0.23499999999999999</v>
      </c>
      <c r="DH38" s="458">
        <f>+U38</f>
        <v>0.23499999999999999</v>
      </c>
      <c r="DI38" s="458">
        <f ca="1">DI37/DI35</f>
        <v>0.23500000000000015</v>
      </c>
    </row>
    <row r="39" spans="1:126" hidden="1" outlineLevel="1">
      <c r="A39" s="928" t="s">
        <v>161</v>
      </c>
      <c r="B39" s="407">
        <f>C39</f>
        <v>0.35499999999999998</v>
      </c>
      <c r="C39" s="407">
        <f>D39</f>
        <v>0.35499999999999998</v>
      </c>
      <c r="D39" s="407">
        <f>E39</f>
        <v>0.35499999999999998</v>
      </c>
      <c r="E39" s="407">
        <f>0.35+0.017-0.012</f>
        <v>0.35499999999999998</v>
      </c>
      <c r="F39" s="407">
        <f t="shared" ref="F39:W39" si="94">+E39</f>
        <v>0.35499999999999998</v>
      </c>
      <c r="G39" s="408">
        <f t="shared" si="94"/>
        <v>0.35499999999999998</v>
      </c>
      <c r="H39" s="408">
        <f t="shared" si="94"/>
        <v>0.35499999999999998</v>
      </c>
      <c r="I39" s="303">
        <f t="shared" si="94"/>
        <v>0.35499999999999998</v>
      </c>
      <c r="J39" s="303">
        <f t="shared" si="94"/>
        <v>0.35499999999999998</v>
      </c>
      <c r="K39" s="303">
        <f t="shared" si="94"/>
        <v>0.35499999999999998</v>
      </c>
      <c r="L39" s="303">
        <f t="shared" si="94"/>
        <v>0.35499999999999998</v>
      </c>
      <c r="M39" s="303">
        <f t="shared" si="94"/>
        <v>0.35499999999999998</v>
      </c>
      <c r="N39" s="303">
        <f t="shared" si="94"/>
        <v>0.35499999999999998</v>
      </c>
      <c r="O39" s="303">
        <f t="shared" si="94"/>
        <v>0.35499999999999998</v>
      </c>
      <c r="P39" s="303">
        <f t="shared" si="94"/>
        <v>0.35499999999999998</v>
      </c>
      <c r="Q39" s="303">
        <f t="shared" si="94"/>
        <v>0.35499999999999998</v>
      </c>
      <c r="R39" s="303">
        <f t="shared" si="94"/>
        <v>0.35499999999999998</v>
      </c>
      <c r="S39" s="303">
        <f t="shared" si="94"/>
        <v>0.35499999999999998</v>
      </c>
      <c r="T39" s="303">
        <f t="shared" si="94"/>
        <v>0.35499999999999998</v>
      </c>
      <c r="U39" s="303">
        <f t="shared" si="94"/>
        <v>0.35499999999999998</v>
      </c>
      <c r="V39" s="303">
        <f t="shared" si="94"/>
        <v>0.35499999999999998</v>
      </c>
      <c r="W39" s="303">
        <f t="shared" si="94"/>
        <v>0.35499999999999998</v>
      </c>
      <c r="X39" s="303">
        <f>+W39</f>
        <v>0.35499999999999998</v>
      </c>
      <c r="Y39" s="303">
        <f>+X39</f>
        <v>0.35499999999999998</v>
      </c>
      <c r="Z39" s="303">
        <f>+Y39</f>
        <v>0.35499999999999998</v>
      </c>
      <c r="AA39" s="303">
        <f>+Z39</f>
        <v>0.35499999999999998</v>
      </c>
      <c r="AB39" s="303">
        <f>+AA39</f>
        <v>0.35499999999999998</v>
      </c>
      <c r="AD39" s="493">
        <v>0.35499999999999998</v>
      </c>
      <c r="AE39" s="493">
        <v>0.35499999999999998</v>
      </c>
      <c r="AF39" s="493">
        <v>0.35499999999999998</v>
      </c>
      <c r="AG39" s="493">
        <v>0.35499999999999998</v>
      </c>
      <c r="AH39" s="493">
        <v>0.35499999999999998</v>
      </c>
      <c r="AI39" s="493">
        <v>0.35499999999999998</v>
      </c>
      <c r="AJ39" s="493">
        <v>0.35499999999999998</v>
      </c>
      <c r="AK39" s="493">
        <v>0.35499999999999998</v>
      </c>
      <c r="AL39" s="493">
        <v>0.35499999999999998</v>
      </c>
      <c r="AM39" s="493">
        <v>0.35499999999999998</v>
      </c>
      <c r="AN39" s="493">
        <v>0.35499999999999998</v>
      </c>
      <c r="AO39" s="493">
        <v>0.35499999999999998</v>
      </c>
      <c r="AP39" s="493">
        <v>0.35499999999999998</v>
      </c>
      <c r="AQ39" s="493">
        <v>0.35499999999999998</v>
      </c>
      <c r="AR39" s="493">
        <v>0.35499999999999998</v>
      </c>
      <c r="AS39" s="493">
        <v>0.35499999999999998</v>
      </c>
      <c r="AT39" s="493">
        <v>0.35499999999999998</v>
      </c>
      <c r="AU39" s="493">
        <v>0.35499999999999998</v>
      </c>
      <c r="AV39" s="493">
        <v>0.35499999999999998</v>
      </c>
      <c r="AW39" s="493">
        <v>0.35499999999999998</v>
      </c>
      <c r="AX39" s="493">
        <v>0.35499999999999998</v>
      </c>
      <c r="AY39" s="493">
        <v>0.35499999999999998</v>
      </c>
      <c r="AZ39" s="493">
        <v>0.35499999999999998</v>
      </c>
      <c r="BA39" s="493">
        <v>0.35499999999999998</v>
      </c>
      <c r="BB39" s="493">
        <v>0.35499999999999998</v>
      </c>
      <c r="BC39" s="493">
        <v>0.35499999999999998</v>
      </c>
      <c r="BD39" s="493">
        <v>0.35499999999999998</v>
      </c>
      <c r="BE39" s="493">
        <v>0.35499999999999998</v>
      </c>
      <c r="BF39" s="493">
        <v>0.35499999999999998</v>
      </c>
      <c r="BG39" s="493">
        <v>0.35499999999999998</v>
      </c>
      <c r="BH39" s="493">
        <v>0.35499999999999998</v>
      </c>
      <c r="BI39" s="493">
        <v>0.35499999999999998</v>
      </c>
      <c r="BJ39" s="493">
        <v>0.35499999999999998</v>
      </c>
      <c r="BK39" s="493">
        <v>0.35499999999999998</v>
      </c>
      <c r="BL39" s="493">
        <v>0.35399999999999998</v>
      </c>
      <c r="BM39" s="493">
        <v>0.35499999999999998</v>
      </c>
      <c r="BN39" s="493">
        <v>0.35499999999999998</v>
      </c>
      <c r="BO39" s="493">
        <v>0.35499999999999998</v>
      </c>
      <c r="BP39" s="493">
        <v>0.35499999999999998</v>
      </c>
      <c r="BQ39" s="493">
        <v>0.35499999999999998</v>
      </c>
      <c r="BR39" s="493">
        <v>0.35499999999999998</v>
      </c>
      <c r="BS39" s="493">
        <v>0.35499999999999998</v>
      </c>
      <c r="BT39" s="493">
        <v>0.35499999999999998</v>
      </c>
      <c r="BU39" s="493">
        <v>0.35499999999999998</v>
      </c>
      <c r="BV39" s="493">
        <v>0.35499999999999998</v>
      </c>
      <c r="BW39" s="493">
        <v>0.35499999999999998</v>
      </c>
      <c r="BX39" s="493">
        <v>0.35499999999999998</v>
      </c>
      <c r="BY39" s="493">
        <v>0.35499999999999998</v>
      </c>
      <c r="BZ39" s="493">
        <v>0.35499999999999998</v>
      </c>
      <c r="CA39" s="493">
        <v>0.35499999999999998</v>
      </c>
      <c r="CB39" s="493">
        <v>0.35499999999999998</v>
      </c>
      <c r="CC39" s="493">
        <v>0.35499999999999998</v>
      </c>
      <c r="CD39" s="493">
        <v>0.35499999999999998</v>
      </c>
      <c r="CE39" s="493">
        <v>0.35499999999999998</v>
      </c>
      <c r="CF39" s="493">
        <v>0.35499999999999998</v>
      </c>
      <c r="CG39" s="493">
        <v>0.35499999999999998</v>
      </c>
      <c r="CH39" s="387"/>
      <c r="CI39" s="387"/>
      <c r="CJ39" s="387"/>
      <c r="CK39" s="387"/>
      <c r="CL39" s="387"/>
      <c r="CM39" s="387"/>
      <c r="CN39" s="387"/>
      <c r="CO39" s="387"/>
      <c r="CP39" s="387"/>
      <c r="CQ39" s="387"/>
      <c r="CR39" s="387"/>
      <c r="CS39" s="387"/>
      <c r="CT39" s="482"/>
      <c r="CU39" s="387"/>
      <c r="CV39" s="387"/>
      <c r="CW39" s="387"/>
      <c r="CX39" s="387"/>
      <c r="CY39" s="387"/>
      <c r="CZ39" s="387"/>
      <c r="DA39" s="1027"/>
      <c r="DB39" s="387"/>
      <c r="DC39" s="387"/>
      <c r="DD39" s="387"/>
      <c r="DE39" s="387"/>
      <c r="DF39" s="387"/>
      <c r="DG39" s="387"/>
      <c r="DH39" s="387"/>
      <c r="DI39" s="387"/>
    </row>
    <row r="40" spans="1:126" hidden="1" outlineLevel="1">
      <c r="A40" s="928"/>
      <c r="AD40" s="478"/>
      <c r="AE40" s="478"/>
      <c r="AF40" s="478"/>
      <c r="AG40" s="478"/>
      <c r="AH40" s="478"/>
      <c r="AI40" s="478"/>
      <c r="AJ40" s="478"/>
      <c r="AK40" s="478"/>
      <c r="AL40" s="478"/>
      <c r="AM40" s="478"/>
      <c r="AN40" s="478"/>
      <c r="AO40" s="478"/>
      <c r="AP40" s="478"/>
      <c r="AQ40" s="478"/>
      <c r="AR40" s="478"/>
      <c r="AS40" s="478"/>
      <c r="AT40" s="478"/>
      <c r="AU40" s="478"/>
      <c r="AV40" s="478"/>
      <c r="AW40" s="478"/>
      <c r="AX40" s="478"/>
      <c r="AY40" s="478"/>
      <c r="AZ40" s="478"/>
      <c r="BA40" s="478"/>
      <c r="BB40" s="478"/>
      <c r="BC40" s="478"/>
      <c r="BD40" s="478"/>
      <c r="BE40" s="478"/>
      <c r="BF40" s="387"/>
      <c r="BG40" s="387"/>
      <c r="BH40" s="387"/>
      <c r="BI40" s="387"/>
      <c r="BJ40" s="387"/>
      <c r="BK40" s="387"/>
      <c r="BL40" s="387"/>
      <c r="BM40" s="387"/>
      <c r="BN40" s="387"/>
      <c r="BO40" s="387"/>
      <c r="BP40" s="387"/>
      <c r="BQ40" s="387"/>
      <c r="BR40" s="387"/>
      <c r="BS40" s="387"/>
      <c r="BT40" s="387"/>
      <c r="BU40" s="387"/>
      <c r="BV40" s="387"/>
      <c r="BW40" s="387"/>
      <c r="BX40" s="387"/>
      <c r="BY40" s="387"/>
      <c r="BZ40" s="387"/>
      <c r="CA40" s="387"/>
      <c r="CB40" s="387"/>
      <c r="CC40" s="387"/>
      <c r="CD40" s="387"/>
      <c r="CE40" s="387"/>
      <c r="CF40" s="387"/>
      <c r="CG40" s="387"/>
      <c r="CH40" s="387"/>
      <c r="CI40" s="387"/>
      <c r="CJ40" s="387"/>
      <c r="CK40" s="387"/>
      <c r="CL40" s="387"/>
      <c r="CM40" s="387"/>
      <c r="CN40" s="387"/>
      <c r="CO40" s="387"/>
      <c r="CP40" s="387"/>
      <c r="CQ40" s="387"/>
      <c r="CR40" s="387"/>
      <c r="CS40" s="387"/>
      <c r="CT40" s="482"/>
      <c r="CU40" s="387"/>
      <c r="CV40" s="387"/>
      <c r="CW40" s="387"/>
      <c r="CX40" s="387"/>
      <c r="CY40" s="387"/>
      <c r="CZ40" s="387"/>
      <c r="DA40" s="1027"/>
      <c r="DB40" s="387"/>
      <c r="DC40" s="387"/>
      <c r="DD40" s="387"/>
      <c r="DE40" s="387"/>
      <c r="DF40" s="387"/>
      <c r="DG40" s="387"/>
      <c r="DH40" s="387"/>
      <c r="DI40" s="387"/>
    </row>
    <row r="41" spans="1:126" hidden="1" outlineLevel="1">
      <c r="A41" s="928" t="s">
        <v>317</v>
      </c>
      <c r="B41" s="773">
        <f>B35-B37</f>
        <v>8079.5779999999995</v>
      </c>
      <c r="C41" s="773">
        <f>C35-C37</f>
        <v>8396.8647999999994</v>
      </c>
      <c r="D41" s="773">
        <f>D35-D37</f>
        <v>9065.505000000001</v>
      </c>
      <c r="E41" s="773">
        <f>E35-E37</f>
        <v>10115.146799999999</v>
      </c>
      <c r="F41" s="773">
        <f t="shared" ref="F41:W41" si="95">F35-F37</f>
        <v>9497.6029542196375</v>
      </c>
      <c r="G41" s="773">
        <f t="shared" si="95"/>
        <v>10032.399710987829</v>
      </c>
      <c r="H41" s="773">
        <f t="shared" si="95"/>
        <v>9702.505605093771</v>
      </c>
      <c r="I41" s="773">
        <f t="shared" si="95"/>
        <v>12043.025474833299</v>
      </c>
      <c r="J41" s="773">
        <f t="shared" si="95"/>
        <v>3218.6853870176365</v>
      </c>
      <c r="K41" s="773">
        <f t="shared" ca="1" si="95"/>
        <v>3448.9380649509008</v>
      </c>
      <c r="L41" s="773">
        <f t="shared" si="95"/>
        <v>3640.5028002489116</v>
      </c>
      <c r="M41" s="773">
        <f t="shared" si="95"/>
        <v>3960</v>
      </c>
      <c r="N41" s="773">
        <f t="shared" si="95"/>
        <v>4231.384</v>
      </c>
      <c r="O41" s="773">
        <f t="shared" si="95"/>
        <v>4483</v>
      </c>
      <c r="P41" s="773">
        <f t="shared" si="95"/>
        <v>4763</v>
      </c>
      <c r="Q41" s="773">
        <f t="shared" si="95"/>
        <v>5134</v>
      </c>
      <c r="R41" s="773">
        <f t="shared" si="95"/>
        <v>5504</v>
      </c>
      <c r="S41" s="773">
        <f t="shared" si="95"/>
        <v>5922.0000000000009</v>
      </c>
      <c r="T41" s="773">
        <f t="shared" si="95"/>
        <v>6520.0000000000027</v>
      </c>
      <c r="U41" s="773">
        <f t="shared" ca="1" si="95"/>
        <v>7550.9278395412175</v>
      </c>
      <c r="V41" s="773">
        <f t="shared" ca="1" si="95"/>
        <v>8176.9351259309678</v>
      </c>
      <c r="W41" s="773">
        <f t="shared" ca="1" si="95"/>
        <v>8799.658914419746</v>
      </c>
      <c r="X41" s="773">
        <f ca="1">X35-X37</f>
        <v>9328.5099221845867</v>
      </c>
      <c r="Y41" s="773">
        <f ca="1">Y35-Y37</f>
        <v>9857.7253835319079</v>
      </c>
      <c r="Z41" s="773">
        <f ca="1">Z35-Z37</f>
        <v>10389.47823666751</v>
      </c>
      <c r="AA41" s="773">
        <f ca="1">AA35-AA37</f>
        <v>10925.712680847366</v>
      </c>
      <c r="AB41" s="773">
        <f ca="1">AB35-AB37</f>
        <v>11468.361414711935</v>
      </c>
      <c r="AD41" s="460">
        <f t="shared" ref="AD41:BQ41" si="96">AD35-AD37</f>
        <v>1890</v>
      </c>
      <c r="AE41" s="460">
        <f t="shared" si="96"/>
        <v>1949</v>
      </c>
      <c r="AF41" s="460">
        <f t="shared" si="96"/>
        <v>2010</v>
      </c>
      <c r="AG41" s="460">
        <f t="shared" si="96"/>
        <v>1720</v>
      </c>
      <c r="AH41" s="460">
        <f t="shared" si="96"/>
        <v>1942</v>
      </c>
      <c r="AI41" s="460">
        <f t="shared" si="96"/>
        <v>2024</v>
      </c>
      <c r="AJ41" s="460">
        <f t="shared" si="96"/>
        <v>2067</v>
      </c>
      <c r="AK41" s="460">
        <f t="shared" si="96"/>
        <v>1816</v>
      </c>
      <c r="AL41" s="460">
        <f t="shared" si="96"/>
        <v>2036.1</v>
      </c>
      <c r="AM41" s="460">
        <f t="shared" si="96"/>
        <v>2119.1</v>
      </c>
      <c r="AN41" s="460">
        <f t="shared" si="96"/>
        <v>2197.1</v>
      </c>
      <c r="AO41" s="460">
        <f t="shared" si="96"/>
        <v>1916.1</v>
      </c>
      <c r="AP41" s="460">
        <f t="shared" si="96"/>
        <v>2317.4499999999998</v>
      </c>
      <c r="AQ41" s="460">
        <f t="shared" si="96"/>
        <v>2491.4499999999998</v>
      </c>
      <c r="AR41" s="460">
        <f t="shared" si="96"/>
        <v>2534.8315812499995</v>
      </c>
      <c r="AS41" s="460">
        <f t="shared" si="96"/>
        <v>2452.75</v>
      </c>
      <c r="AT41" s="460">
        <f t="shared" si="96"/>
        <v>2538.277</v>
      </c>
      <c r="AU41" s="460">
        <f t="shared" si="96"/>
        <v>2746.3744999999999</v>
      </c>
      <c r="AV41" s="460">
        <f t="shared" si="96"/>
        <v>2699.1689999999999</v>
      </c>
      <c r="AW41" s="460">
        <f t="shared" si="96"/>
        <v>2002</v>
      </c>
      <c r="AX41" s="460">
        <f t="shared" si="96"/>
        <v>2237.1</v>
      </c>
      <c r="AY41" s="460">
        <f t="shared" si="96"/>
        <v>2588.2989816700601</v>
      </c>
      <c r="AZ41" s="460">
        <f t="shared" si="96"/>
        <v>2494.2777409484952</v>
      </c>
      <c r="BA41" s="460">
        <f t="shared" si="96"/>
        <v>2177.6012316010815</v>
      </c>
      <c r="BB41" s="460">
        <f t="shared" si="96"/>
        <v>2374.1291166725823</v>
      </c>
      <c r="BC41" s="460">
        <f t="shared" si="96"/>
        <v>2805.06</v>
      </c>
      <c r="BD41" s="460">
        <f t="shared" si="96"/>
        <v>2595.2105943152455</v>
      </c>
      <c r="BE41" s="460">
        <f t="shared" si="96"/>
        <v>2258</v>
      </c>
      <c r="BF41" s="460">
        <f t="shared" si="96"/>
        <v>3614.6590500641851</v>
      </c>
      <c r="BG41" s="460">
        <f>BG35-BG37</f>
        <v>3491.3580000000002</v>
      </c>
      <c r="BH41" s="460">
        <f t="shared" si="96"/>
        <v>3544.1282000000001</v>
      </c>
      <c r="BI41" s="460">
        <f t="shared" si="96"/>
        <v>3277.3603550295857</v>
      </c>
      <c r="BJ41" s="460">
        <f t="shared" si="96"/>
        <v>2706.1329999999998</v>
      </c>
      <c r="BK41" s="460">
        <f>BK35-BK37</f>
        <v>3762.3490452018368</v>
      </c>
      <c r="BL41" s="460">
        <f t="shared" si="96"/>
        <v>2901.0020000000004</v>
      </c>
      <c r="BM41" s="460">
        <f t="shared" si="96"/>
        <v>2673.5414296314621</v>
      </c>
      <c r="BN41" s="460">
        <f t="shared" si="96"/>
        <v>634.09164420485172</v>
      </c>
      <c r="BO41" s="460">
        <f>BO35-BO37</f>
        <v>828.2610619469026</v>
      </c>
      <c r="BP41" s="460">
        <f t="shared" si="96"/>
        <v>886.43556895252459</v>
      </c>
      <c r="BQ41" s="460">
        <f t="shared" si="96"/>
        <v>740.89711191335732</v>
      </c>
      <c r="BR41" s="413">
        <f t="shared" ref="BR41:CS41" si="97">BR35-BR37</f>
        <v>778.57303370786508</v>
      </c>
      <c r="BS41" s="413">
        <f t="shared" si="97"/>
        <v>954.39225016995238</v>
      </c>
      <c r="BT41" s="413">
        <f t="shared" ca="1" si="97"/>
        <v>951.08173784977919</v>
      </c>
      <c r="BU41" s="413">
        <f t="shared" si="97"/>
        <v>764.89104322330468</v>
      </c>
      <c r="BV41" s="413">
        <f t="shared" si="97"/>
        <v>811</v>
      </c>
      <c r="BW41" s="413">
        <f t="shared" si="97"/>
        <v>1029.5028002489112</v>
      </c>
      <c r="BX41" s="413">
        <f t="shared" si="97"/>
        <v>998</v>
      </c>
      <c r="BY41" s="413">
        <f t="shared" si="97"/>
        <v>802</v>
      </c>
      <c r="BZ41" s="413">
        <f t="shared" si="97"/>
        <v>866</v>
      </c>
      <c r="CA41" s="413">
        <f t="shared" si="97"/>
        <v>1048</v>
      </c>
      <c r="CB41" s="413">
        <f t="shared" si="97"/>
        <v>1131</v>
      </c>
      <c r="CC41" s="413">
        <f t="shared" si="97"/>
        <v>915</v>
      </c>
      <c r="CD41" s="413">
        <f t="shared" si="97"/>
        <v>920</v>
      </c>
      <c r="CE41" s="413">
        <f t="shared" si="97"/>
        <v>1122.384</v>
      </c>
      <c r="CF41" s="413">
        <f t="shared" si="97"/>
        <v>1159</v>
      </c>
      <c r="CG41" s="413">
        <f t="shared" si="97"/>
        <v>1030</v>
      </c>
      <c r="CH41" s="413">
        <f t="shared" si="97"/>
        <v>1001</v>
      </c>
      <c r="CI41" s="413">
        <f t="shared" si="97"/>
        <v>1197</v>
      </c>
      <c r="CJ41" s="413">
        <f t="shared" si="97"/>
        <v>1175</v>
      </c>
      <c r="CK41" s="413">
        <f t="shared" si="97"/>
        <v>1110</v>
      </c>
      <c r="CL41" s="413">
        <f t="shared" si="97"/>
        <v>1088</v>
      </c>
      <c r="CM41" s="413">
        <f t="shared" si="97"/>
        <v>1241</v>
      </c>
      <c r="CN41" s="413">
        <f t="shared" si="97"/>
        <v>1297</v>
      </c>
      <c r="CO41" s="413">
        <f t="shared" si="97"/>
        <v>1137</v>
      </c>
      <c r="CP41" s="413">
        <f t="shared" si="97"/>
        <v>1144</v>
      </c>
      <c r="CQ41" s="413">
        <f t="shared" si="97"/>
        <v>1282</v>
      </c>
      <c r="CR41" s="413">
        <f t="shared" si="97"/>
        <v>1362</v>
      </c>
      <c r="CS41" s="413">
        <f t="shared" si="97"/>
        <v>1299</v>
      </c>
      <c r="CT41" s="492">
        <f t="shared" ref="CT41:DE41" si="98">CT35-CT37</f>
        <v>1246</v>
      </c>
      <c r="CU41" s="413">
        <f t="shared" si="98"/>
        <v>1460</v>
      </c>
      <c r="CV41" s="413">
        <f t="shared" si="98"/>
        <v>1475</v>
      </c>
      <c r="CW41" s="413">
        <f t="shared" si="98"/>
        <v>1323</v>
      </c>
      <c r="CX41" s="413">
        <f t="shared" si="98"/>
        <v>1413</v>
      </c>
      <c r="CY41" s="413">
        <f t="shared" si="98"/>
        <v>1583</v>
      </c>
      <c r="CZ41" s="413">
        <f t="shared" si="98"/>
        <v>1609</v>
      </c>
      <c r="DA41" s="1030">
        <f t="shared" si="98"/>
        <v>1317</v>
      </c>
      <c r="DB41" s="413">
        <f t="shared" si="98"/>
        <v>1410</v>
      </c>
      <c r="DC41" s="413">
        <f t="shared" si="98"/>
        <v>1645</v>
      </c>
      <c r="DD41" s="413">
        <f t="shared" si="98"/>
        <v>1723</v>
      </c>
      <c r="DE41" s="413">
        <f t="shared" si="98"/>
        <v>1742</v>
      </c>
      <c r="DF41" s="413">
        <f t="shared" ref="DF41:DI41" ca="1" si="99">DF35-DF37</f>
        <v>1750.3678953234521</v>
      </c>
      <c r="DG41" s="413">
        <f t="shared" ca="1" si="99"/>
        <v>1882.5133571331489</v>
      </c>
      <c r="DH41" s="413">
        <f t="shared" ca="1" si="99"/>
        <v>2060.0588586265417</v>
      </c>
      <c r="DI41" s="413">
        <f t="shared" ca="1" si="99"/>
        <v>1857.9877284580753</v>
      </c>
    </row>
    <row r="42" spans="1:126" hidden="1" outlineLevel="1">
      <c r="A42" s="928"/>
      <c r="AD42" s="460"/>
      <c r="AE42" s="460"/>
      <c r="AF42" s="460"/>
      <c r="AG42" s="460"/>
      <c r="AH42" s="460"/>
      <c r="AI42" s="460"/>
      <c r="AJ42" s="460"/>
      <c r="AK42" s="460"/>
      <c r="AL42" s="460"/>
      <c r="AM42" s="460"/>
      <c r="AN42" s="460"/>
      <c r="AO42" s="460"/>
      <c r="AP42" s="460"/>
      <c r="AQ42" s="460"/>
      <c r="AR42" s="460"/>
      <c r="AS42" s="460"/>
      <c r="AT42" s="460"/>
      <c r="AU42" s="460"/>
      <c r="AV42" s="460"/>
      <c r="AW42" s="460"/>
      <c r="AX42" s="460"/>
      <c r="AY42" s="460"/>
      <c r="AZ42" s="460"/>
      <c r="BA42" s="460"/>
      <c r="BB42" s="460"/>
      <c r="BC42" s="460"/>
      <c r="BD42" s="460"/>
      <c r="BE42" s="460"/>
      <c r="BF42" s="413"/>
      <c r="BG42" s="413"/>
      <c r="BH42" s="413"/>
      <c r="BI42" s="413"/>
      <c r="BJ42" s="413"/>
      <c r="BK42" s="413"/>
      <c r="BL42" s="413"/>
      <c r="BM42" s="413"/>
      <c r="BN42" s="413"/>
      <c r="BO42" s="413"/>
      <c r="BP42" s="413"/>
      <c r="BQ42" s="413"/>
      <c r="BR42" s="413"/>
      <c r="BS42" s="413"/>
      <c r="BT42" s="413"/>
      <c r="BU42" s="413"/>
      <c r="BV42" s="413"/>
      <c r="BW42" s="413"/>
      <c r="BX42" s="413"/>
      <c r="BY42" s="413"/>
      <c r="BZ42" s="413"/>
      <c r="CA42" s="413"/>
      <c r="CB42" s="413"/>
      <c r="CC42" s="413"/>
      <c r="CD42" s="413"/>
      <c r="CE42" s="413"/>
      <c r="CF42" s="413"/>
      <c r="CG42" s="413"/>
      <c r="CH42" s="413"/>
      <c r="CI42" s="413"/>
      <c r="CJ42" s="413"/>
      <c r="CK42" s="413"/>
      <c r="CL42" s="413"/>
      <c r="CM42" s="413"/>
      <c r="CN42" s="413"/>
      <c r="CO42" s="413"/>
      <c r="CP42" s="413"/>
      <c r="CQ42" s="413"/>
      <c r="CR42" s="413"/>
      <c r="CS42" s="413"/>
      <c r="CT42" s="492"/>
      <c r="CU42" s="413"/>
      <c r="CV42" s="413"/>
      <c r="CW42" s="413"/>
      <c r="CX42" s="413"/>
      <c r="CY42" s="413"/>
      <c r="CZ42" s="413"/>
      <c r="DA42" s="1030"/>
      <c r="DB42" s="413"/>
      <c r="DC42" s="413"/>
      <c r="DD42" s="413"/>
      <c r="DE42" s="413"/>
      <c r="DF42" s="413"/>
      <c r="DG42" s="413"/>
      <c r="DH42" s="413"/>
      <c r="DI42" s="413"/>
    </row>
    <row r="43" spans="1:126" hidden="1" outlineLevel="1">
      <c r="A43" s="928" t="s">
        <v>597</v>
      </c>
      <c r="B43" s="773">
        <v>126</v>
      </c>
      <c r="C43" s="773">
        <v>127</v>
      </c>
      <c r="D43" s="773">
        <v>311</v>
      </c>
      <c r="E43" s="773">
        <v>572</v>
      </c>
      <c r="F43" s="773">
        <v>405</v>
      </c>
      <c r="G43" s="311">
        <f>SUM(BB43:BE43)</f>
        <v>185.21994557332911</v>
      </c>
      <c r="H43" s="307">
        <f>SUM(BF43:BI43)</f>
        <v>149</v>
      </c>
      <c r="I43" s="307">
        <f>SUM(BJ43:BM43)</f>
        <v>185</v>
      </c>
      <c r="J43" s="726">
        <v>0</v>
      </c>
      <c r="K43" s="726">
        <v>0</v>
      </c>
      <c r="L43" s="726">
        <v>0</v>
      </c>
      <c r="M43" s="726">
        <v>0</v>
      </c>
      <c r="N43" s="726">
        <v>0</v>
      </c>
      <c r="O43" s="726">
        <v>0</v>
      </c>
      <c r="P43" s="726">
        <v>0</v>
      </c>
      <c r="Q43" s="726">
        <v>0</v>
      </c>
      <c r="R43" s="726">
        <v>0</v>
      </c>
      <c r="S43" s="726">
        <v>0</v>
      </c>
      <c r="T43" s="726">
        <v>0</v>
      </c>
      <c r="U43" s="726">
        <v>0</v>
      </c>
      <c r="V43" s="726">
        <v>0</v>
      </c>
      <c r="W43" s="726">
        <v>0</v>
      </c>
      <c r="X43" s="726">
        <v>0</v>
      </c>
      <c r="Y43" s="726">
        <v>0</v>
      </c>
      <c r="Z43" s="726">
        <v>0</v>
      </c>
      <c r="AA43" s="726">
        <v>0</v>
      </c>
      <c r="AB43" s="726">
        <v>0</v>
      </c>
      <c r="AD43" s="462"/>
      <c r="AE43" s="462"/>
      <c r="AF43" s="462"/>
      <c r="AG43" s="462"/>
      <c r="AH43" s="461">
        <v>34</v>
      </c>
      <c r="AI43" s="461">
        <v>29</v>
      </c>
      <c r="AJ43" s="461">
        <v>32</v>
      </c>
      <c r="AK43" s="461">
        <v>31</v>
      </c>
      <c r="AL43" s="461">
        <v>32</v>
      </c>
      <c r="AM43" s="461">
        <v>28</v>
      </c>
      <c r="AN43" s="461">
        <v>32</v>
      </c>
      <c r="AO43" s="461">
        <v>35</v>
      </c>
      <c r="AP43" s="461">
        <f>35</f>
        <v>35</v>
      </c>
      <c r="AQ43" s="461">
        <f>28.5+18.5</f>
        <v>47</v>
      </c>
      <c r="AR43" s="461">
        <v>111</v>
      </c>
      <c r="AS43" s="461">
        <v>118</v>
      </c>
      <c r="AT43" s="461">
        <v>137</v>
      </c>
      <c r="AU43" s="461">
        <v>175</v>
      </c>
      <c r="AV43" s="461">
        <v>112</v>
      </c>
      <c r="AW43" s="461">
        <v>148</v>
      </c>
      <c r="AX43" s="461">
        <v>134.5</v>
      </c>
      <c r="AY43" s="461">
        <v>109</v>
      </c>
      <c r="AZ43" s="461">
        <v>78.5</v>
      </c>
      <c r="BA43" s="461">
        <v>82.5</v>
      </c>
      <c r="BB43" s="461">
        <v>48</v>
      </c>
      <c r="BC43" s="462">
        <v>43.122275000000002</v>
      </c>
      <c r="BD43" s="495">
        <v>29.55</v>
      </c>
      <c r="BE43" s="495">
        <v>64.547670573329114</v>
      </c>
      <c r="BF43" s="464">
        <v>20</v>
      </c>
      <c r="BG43" s="464">
        <v>47</v>
      </c>
      <c r="BH43" s="464">
        <v>28</v>
      </c>
      <c r="BI43" s="464">
        <v>54</v>
      </c>
      <c r="BJ43" s="464">
        <f>70+18</f>
        <v>88</v>
      </c>
      <c r="BK43" s="465">
        <v>38</v>
      </c>
      <c r="BL43" s="464">
        <v>47</v>
      </c>
      <c r="BM43" s="464">
        <v>12</v>
      </c>
      <c r="BN43" s="464"/>
      <c r="BO43" s="464"/>
      <c r="BP43" s="464"/>
      <c r="BQ43" s="464"/>
      <c r="BR43" s="464">
        <v>0</v>
      </c>
      <c r="BS43" s="464">
        <v>0</v>
      </c>
      <c r="BT43" s="464">
        <v>0</v>
      </c>
      <c r="BU43" s="465">
        <v>0</v>
      </c>
      <c r="BV43" s="464">
        <v>0</v>
      </c>
      <c r="BW43" s="464">
        <v>0</v>
      </c>
      <c r="BX43" s="464">
        <v>0</v>
      </c>
      <c r="BY43" s="465">
        <v>0</v>
      </c>
      <c r="BZ43" s="464">
        <v>0</v>
      </c>
      <c r="CA43" s="464">
        <v>0</v>
      </c>
      <c r="CB43" s="464">
        <v>0</v>
      </c>
      <c r="CC43" s="465">
        <v>0</v>
      </c>
      <c r="CD43" s="464">
        <v>0</v>
      </c>
      <c r="CE43" s="464">
        <v>0</v>
      </c>
      <c r="CF43" s="464">
        <v>0</v>
      </c>
      <c r="CG43" s="465">
        <v>0</v>
      </c>
      <c r="CH43" s="413"/>
      <c r="CI43" s="413"/>
      <c r="CJ43" s="496"/>
      <c r="CK43" s="413"/>
      <c r="CL43" s="413"/>
      <c r="CM43" s="413"/>
      <c r="CN43" s="413"/>
      <c r="CO43" s="413"/>
      <c r="CP43" s="413"/>
      <c r="CQ43" s="413"/>
      <c r="CR43" s="413"/>
      <c r="CS43" s="413"/>
      <c r="CT43" s="492"/>
      <c r="CU43" s="413"/>
      <c r="CV43" s="413"/>
      <c r="CW43" s="413"/>
      <c r="CX43" s="413"/>
      <c r="CY43" s="413"/>
      <c r="CZ43" s="413"/>
      <c r="DA43" s="1030"/>
      <c r="DB43" s="413"/>
      <c r="DC43" s="413"/>
      <c r="DD43" s="413"/>
      <c r="DE43" s="413"/>
      <c r="DF43" s="413"/>
      <c r="DG43" s="413"/>
      <c r="DH43" s="413"/>
      <c r="DI43" s="413"/>
    </row>
    <row r="44" spans="1:126" collapsed="1">
      <c r="A44" s="928"/>
      <c r="AD44" s="460"/>
      <c r="AE44" s="460"/>
      <c r="AF44" s="460"/>
      <c r="AG44" s="460"/>
      <c r="AH44" s="460"/>
      <c r="AI44" s="460"/>
      <c r="AJ44" s="460"/>
      <c r="AK44" s="460"/>
      <c r="AL44" s="460"/>
      <c r="AM44" s="460"/>
      <c r="AN44" s="460"/>
      <c r="AO44" s="460"/>
      <c r="AP44" s="460"/>
      <c r="AQ44" s="460"/>
      <c r="AR44" s="460"/>
      <c r="AS44" s="460"/>
      <c r="AT44" s="460"/>
      <c r="AU44" s="460"/>
      <c r="AV44" s="460"/>
      <c r="AW44" s="460"/>
      <c r="AX44" s="460"/>
      <c r="AY44" s="460"/>
      <c r="AZ44" s="460"/>
      <c r="BA44" s="460"/>
      <c r="BB44" s="460"/>
      <c r="BC44" s="460"/>
      <c r="BD44" s="460"/>
      <c r="BE44" s="460"/>
      <c r="BF44" s="413"/>
      <c r="BG44" s="413"/>
      <c r="BH44" s="413"/>
      <c r="BI44" s="413"/>
      <c r="BJ44" s="413"/>
      <c r="BK44" s="413"/>
      <c r="BL44" s="413"/>
      <c r="BM44" s="413"/>
      <c r="BN44" s="413"/>
      <c r="BO44" s="413"/>
      <c r="BP44" s="413"/>
      <c r="BQ44" s="413"/>
      <c r="BR44" s="413"/>
      <c r="BS44" s="413"/>
      <c r="BT44" s="413"/>
      <c r="BU44" s="413"/>
      <c r="BV44" s="413"/>
      <c r="BW44" s="413"/>
      <c r="BX44" s="413"/>
      <c r="BY44" s="413"/>
      <c r="BZ44" s="413"/>
      <c r="CA44" s="413"/>
      <c r="CB44" s="413"/>
      <c r="CC44" s="413"/>
      <c r="CD44" s="413"/>
      <c r="CE44" s="413"/>
      <c r="CF44" s="413"/>
      <c r="CG44" s="413"/>
      <c r="CH44" s="413"/>
      <c r="CI44" s="413"/>
      <c r="CJ44" s="413"/>
      <c r="CK44" s="413"/>
      <c r="CL44" s="413"/>
      <c r="CM44" s="413"/>
      <c r="CN44" s="413"/>
      <c r="CO44" s="413"/>
      <c r="CP44" s="413"/>
      <c r="CQ44" s="413"/>
      <c r="CR44" s="413"/>
      <c r="CS44" s="413"/>
      <c r="CT44" s="492"/>
      <c r="CU44" s="413"/>
      <c r="CV44" s="413"/>
      <c r="CW44" s="413"/>
      <c r="CX44" s="413"/>
      <c r="CY44" s="413"/>
      <c r="CZ44" s="413"/>
      <c r="DA44" s="1030"/>
      <c r="DB44" s="413"/>
      <c r="DC44" s="413"/>
      <c r="DD44" s="413"/>
      <c r="DE44" s="413"/>
      <c r="DF44" s="413"/>
      <c r="DG44" s="413"/>
      <c r="DH44" s="413"/>
      <c r="DI44" s="413"/>
    </row>
    <row r="45" spans="1:126">
      <c r="A45" s="929" t="s">
        <v>318</v>
      </c>
      <c r="B45" s="775">
        <f t="shared" ref="B45:W45" si="100">B41-B43</f>
        <v>7953.5779999999995</v>
      </c>
      <c r="C45" s="135">
        <f t="shared" si="100"/>
        <v>8269.8647999999994</v>
      </c>
      <c r="D45" s="135">
        <f t="shared" si="100"/>
        <v>8754.505000000001</v>
      </c>
      <c r="E45" s="135">
        <f t="shared" si="100"/>
        <v>9543.1467999999986</v>
      </c>
      <c r="F45" s="135">
        <f t="shared" si="100"/>
        <v>9092.6029542196375</v>
      </c>
      <c r="G45" s="135">
        <f t="shared" si="100"/>
        <v>9847.1797654144993</v>
      </c>
      <c r="H45" s="135">
        <f t="shared" si="100"/>
        <v>9553.505605093771</v>
      </c>
      <c r="I45" s="135">
        <f t="shared" si="100"/>
        <v>11858.025474833299</v>
      </c>
      <c r="J45" s="135">
        <f t="shared" si="100"/>
        <v>3218.6853870176365</v>
      </c>
      <c r="K45" s="113">
        <f t="shared" ca="1" si="100"/>
        <v>3448.9380649509008</v>
      </c>
      <c r="L45" s="113">
        <f t="shared" si="100"/>
        <v>3640.5028002489116</v>
      </c>
      <c r="M45" s="113">
        <f t="shared" si="100"/>
        <v>3960</v>
      </c>
      <c r="N45" s="113">
        <f t="shared" si="100"/>
        <v>4231.384</v>
      </c>
      <c r="O45" s="113">
        <f t="shared" si="100"/>
        <v>4483</v>
      </c>
      <c r="P45" s="113">
        <f t="shared" si="100"/>
        <v>4763</v>
      </c>
      <c r="Q45" s="113">
        <f t="shared" si="100"/>
        <v>5134</v>
      </c>
      <c r="R45" s="113">
        <f t="shared" si="100"/>
        <v>5504</v>
      </c>
      <c r="S45" s="113">
        <f t="shared" si="100"/>
        <v>5922.0000000000009</v>
      </c>
      <c r="T45" s="196">
        <f t="shared" ref="T45" si="101">+SUM(DB45:DE45)</f>
        <v>6520</v>
      </c>
      <c r="U45" s="113">
        <f t="shared" ca="1" si="100"/>
        <v>7550.9278395412175</v>
      </c>
      <c r="V45" s="113">
        <f t="shared" ca="1" si="100"/>
        <v>8176.9351259309678</v>
      </c>
      <c r="W45" s="113">
        <f t="shared" ca="1" si="100"/>
        <v>8799.658914419746</v>
      </c>
      <c r="X45" s="113">
        <f ca="1">X41-X43</f>
        <v>9328.5099221845867</v>
      </c>
      <c r="Y45" s="113">
        <f ca="1">Y41-Y43</f>
        <v>9857.7253835319079</v>
      </c>
      <c r="Z45" s="113">
        <f ca="1">Z41-Z43</f>
        <v>10389.47823666751</v>
      </c>
      <c r="AA45" s="113">
        <f ca="1">AA41-AA43</f>
        <v>10925.712680847366</v>
      </c>
      <c r="AB45" s="113">
        <f ca="1">AB41-AB43</f>
        <v>11468.361414711935</v>
      </c>
      <c r="AD45" s="193">
        <f t="shared" ref="AD45:AK45" si="102">AD35-AD37-AD43</f>
        <v>1890</v>
      </c>
      <c r="AE45" s="193">
        <f t="shared" si="102"/>
        <v>1949</v>
      </c>
      <c r="AF45" s="193">
        <f t="shared" si="102"/>
        <v>2010</v>
      </c>
      <c r="AG45" s="193">
        <f t="shared" si="102"/>
        <v>1720</v>
      </c>
      <c r="AH45" s="193">
        <f t="shared" si="102"/>
        <v>1908</v>
      </c>
      <c r="AI45" s="193">
        <f t="shared" si="102"/>
        <v>1995</v>
      </c>
      <c r="AJ45" s="193">
        <f t="shared" si="102"/>
        <v>2035</v>
      </c>
      <c r="AK45" s="193">
        <f t="shared" si="102"/>
        <v>1785</v>
      </c>
      <c r="AL45" s="193">
        <f t="shared" ref="AL45:AS45" si="103">AL35-AL37-AL43-AL49</f>
        <v>2004.1</v>
      </c>
      <c r="AM45" s="193">
        <f t="shared" si="103"/>
        <v>2091.1</v>
      </c>
      <c r="AN45" s="193">
        <f t="shared" si="103"/>
        <v>2165.1</v>
      </c>
      <c r="AO45" s="193">
        <f t="shared" si="103"/>
        <v>1881.1</v>
      </c>
      <c r="AP45" s="193">
        <f t="shared" si="103"/>
        <v>2282.4499999999998</v>
      </c>
      <c r="AQ45" s="193">
        <f t="shared" si="103"/>
        <v>2444.4499999999998</v>
      </c>
      <c r="AR45" s="193">
        <f t="shared" si="103"/>
        <v>2423.8315812499995</v>
      </c>
      <c r="AS45" s="193">
        <f t="shared" si="103"/>
        <v>2334.75</v>
      </c>
      <c r="AT45" s="193">
        <f t="shared" ref="AT45:BD45" si="104">AT35-AT37-AT43</f>
        <v>2401.277</v>
      </c>
      <c r="AU45" s="193">
        <f t="shared" si="104"/>
        <v>2571.3744999999999</v>
      </c>
      <c r="AV45" s="193">
        <f t="shared" si="104"/>
        <v>2587.1689999999999</v>
      </c>
      <c r="AW45" s="193">
        <f t="shared" si="104"/>
        <v>1854</v>
      </c>
      <c r="AX45" s="193">
        <f t="shared" si="104"/>
        <v>2102.6</v>
      </c>
      <c r="AY45" s="193">
        <f t="shared" si="104"/>
        <v>2479.2989816700601</v>
      </c>
      <c r="AZ45" s="193">
        <f t="shared" si="104"/>
        <v>2415.7777409484952</v>
      </c>
      <c r="BA45" s="193">
        <f t="shared" si="104"/>
        <v>2095.1012316010815</v>
      </c>
      <c r="BB45" s="193">
        <f t="shared" si="104"/>
        <v>2326.1291166725823</v>
      </c>
      <c r="BC45" s="193">
        <f t="shared" si="104"/>
        <v>2761.9377249999998</v>
      </c>
      <c r="BD45" s="193">
        <f t="shared" si="104"/>
        <v>2565.6605943152454</v>
      </c>
      <c r="BE45" s="193">
        <f t="shared" ref="BE45:CK45" si="105">BE35-BE37-BE43</f>
        <v>2193.452329426671</v>
      </c>
      <c r="BF45" s="193">
        <f t="shared" si="105"/>
        <v>3594.6590500641851</v>
      </c>
      <c r="BG45" s="193">
        <f t="shared" si="105"/>
        <v>3444.3580000000002</v>
      </c>
      <c r="BH45" s="193">
        <f t="shared" si="105"/>
        <v>3516.1282000000001</v>
      </c>
      <c r="BI45" s="193">
        <f t="shared" si="105"/>
        <v>3223.3603550295857</v>
      </c>
      <c r="BJ45" s="193">
        <f t="shared" si="105"/>
        <v>2618.1329999999998</v>
      </c>
      <c r="BK45" s="193">
        <f t="shared" si="105"/>
        <v>3724.3490452018368</v>
      </c>
      <c r="BL45" s="193">
        <f t="shared" si="105"/>
        <v>2854.0020000000004</v>
      </c>
      <c r="BM45" s="193">
        <f t="shared" si="105"/>
        <v>2661.5414296314621</v>
      </c>
      <c r="BN45" s="193">
        <f t="shared" si="105"/>
        <v>634.09164420485172</v>
      </c>
      <c r="BO45" s="193">
        <f t="shared" si="105"/>
        <v>828.2610619469026</v>
      </c>
      <c r="BP45" s="193">
        <f t="shared" si="105"/>
        <v>886.43556895252459</v>
      </c>
      <c r="BQ45" s="193">
        <f t="shared" si="105"/>
        <v>740.89711191335732</v>
      </c>
      <c r="BR45" s="193">
        <f t="shared" si="105"/>
        <v>778.57303370786508</v>
      </c>
      <c r="BS45" s="193">
        <f t="shared" si="105"/>
        <v>954.39225016995238</v>
      </c>
      <c r="BT45" s="193">
        <f t="shared" ca="1" si="105"/>
        <v>951.08173784977919</v>
      </c>
      <c r="BU45" s="193">
        <f t="shared" si="105"/>
        <v>764.89104322330468</v>
      </c>
      <c r="BV45" s="193">
        <f t="shared" si="105"/>
        <v>811</v>
      </c>
      <c r="BW45" s="193">
        <f t="shared" si="105"/>
        <v>1029.5028002489112</v>
      </c>
      <c r="BX45" s="193">
        <f t="shared" si="105"/>
        <v>998</v>
      </c>
      <c r="BY45" s="193">
        <f t="shared" si="105"/>
        <v>802</v>
      </c>
      <c r="BZ45" s="193">
        <f t="shared" si="105"/>
        <v>866</v>
      </c>
      <c r="CA45" s="193">
        <f t="shared" si="105"/>
        <v>1048</v>
      </c>
      <c r="CB45" s="193">
        <f t="shared" si="105"/>
        <v>1131</v>
      </c>
      <c r="CC45" s="193">
        <f t="shared" si="105"/>
        <v>915</v>
      </c>
      <c r="CD45" s="193">
        <f t="shared" si="105"/>
        <v>920</v>
      </c>
      <c r="CE45" s="193">
        <f t="shared" si="105"/>
        <v>1122.384</v>
      </c>
      <c r="CF45" s="193">
        <f t="shared" si="105"/>
        <v>1159</v>
      </c>
      <c r="CG45" s="193">
        <f t="shared" si="105"/>
        <v>1030</v>
      </c>
      <c r="CH45" s="193">
        <f t="shared" si="105"/>
        <v>1001</v>
      </c>
      <c r="CI45" s="193">
        <f t="shared" si="105"/>
        <v>1197</v>
      </c>
      <c r="CJ45" s="193">
        <f t="shared" si="105"/>
        <v>1175</v>
      </c>
      <c r="CK45" s="193">
        <f t="shared" si="105"/>
        <v>1110</v>
      </c>
      <c r="CL45" s="192">
        <f t="shared" ref="CL45:CS45" si="106">+CL35-CL37</f>
        <v>1088</v>
      </c>
      <c r="CM45" s="192">
        <f t="shared" si="106"/>
        <v>1241</v>
      </c>
      <c r="CN45" s="192">
        <f t="shared" si="106"/>
        <v>1297</v>
      </c>
      <c r="CO45" s="192">
        <f t="shared" si="106"/>
        <v>1137</v>
      </c>
      <c r="CP45" s="192">
        <f t="shared" si="106"/>
        <v>1144</v>
      </c>
      <c r="CQ45" s="192">
        <f t="shared" si="106"/>
        <v>1282</v>
      </c>
      <c r="CR45" s="192">
        <f t="shared" si="106"/>
        <v>1362</v>
      </c>
      <c r="CS45" s="192">
        <f t="shared" si="106"/>
        <v>1299</v>
      </c>
      <c r="CT45" s="192">
        <f t="shared" ref="CT45:DC45" si="107">+CT35-CT37</f>
        <v>1246</v>
      </c>
      <c r="CU45" s="192">
        <f t="shared" si="107"/>
        <v>1460</v>
      </c>
      <c r="CV45" s="192">
        <f t="shared" si="107"/>
        <v>1475</v>
      </c>
      <c r="CW45" s="192">
        <f t="shared" si="107"/>
        <v>1323</v>
      </c>
      <c r="CX45" s="192">
        <f t="shared" si="107"/>
        <v>1413</v>
      </c>
      <c r="CY45" s="192">
        <f t="shared" si="107"/>
        <v>1583</v>
      </c>
      <c r="CZ45" s="192">
        <f t="shared" si="107"/>
        <v>1609</v>
      </c>
      <c r="DA45" s="1032">
        <v>1317</v>
      </c>
      <c r="DB45" s="192">
        <f t="shared" si="107"/>
        <v>1410</v>
      </c>
      <c r="DC45" s="192">
        <f t="shared" si="107"/>
        <v>1645</v>
      </c>
      <c r="DD45" s="192">
        <v>1723</v>
      </c>
      <c r="DE45" s="1084">
        <v>1742</v>
      </c>
      <c r="DF45" s="192">
        <f t="shared" ref="DF45:DI45" ca="1" si="108">+DF35-DF37</f>
        <v>1750.3678953234521</v>
      </c>
      <c r="DG45" s="192">
        <f t="shared" ca="1" si="108"/>
        <v>1882.5133571331489</v>
      </c>
      <c r="DH45" s="192">
        <f t="shared" ca="1" si="108"/>
        <v>2060.0588586265417</v>
      </c>
      <c r="DI45" s="192">
        <f t="shared" ca="1" si="108"/>
        <v>1857.9877284580753</v>
      </c>
      <c r="DJ45" s="16"/>
    </row>
    <row r="46" spans="1:126">
      <c r="A46" s="730"/>
      <c r="T46" s="924"/>
      <c r="AD46" s="478"/>
      <c r="AE46" s="478"/>
      <c r="AF46" s="478"/>
      <c r="AG46" s="478"/>
      <c r="AH46" s="478"/>
      <c r="AI46" s="478"/>
      <c r="AJ46" s="478"/>
      <c r="AK46" s="478"/>
      <c r="AL46" s="478"/>
      <c r="AM46" s="478"/>
      <c r="AN46" s="478"/>
      <c r="AO46" s="478"/>
      <c r="AP46" s="478"/>
      <c r="AQ46" s="478"/>
      <c r="AR46" s="478"/>
      <c r="AS46" s="478"/>
      <c r="AT46" s="478"/>
      <c r="AU46" s="478"/>
      <c r="AV46" s="478"/>
      <c r="AW46" s="478"/>
      <c r="AX46" s="478"/>
      <c r="AY46" s="478"/>
      <c r="AZ46" s="478"/>
      <c r="BA46" s="478"/>
      <c r="BB46" s="478"/>
      <c r="BC46" s="478"/>
      <c r="BD46" s="478"/>
      <c r="BE46" s="478"/>
      <c r="BF46" s="387"/>
      <c r="BG46" s="387"/>
      <c r="BH46" s="387"/>
      <c r="BI46" s="387"/>
      <c r="BJ46" s="387"/>
      <c r="BK46" s="387"/>
      <c r="BL46" s="387"/>
      <c r="BM46" s="387"/>
      <c r="BN46" s="387"/>
      <c r="BO46" s="387"/>
      <c r="BP46" s="387"/>
      <c r="BQ46" s="387"/>
      <c r="BR46" s="387"/>
      <c r="BS46" s="387"/>
      <c r="BT46" s="387"/>
      <c r="BU46" s="387"/>
      <c r="BV46" s="387"/>
      <c r="BW46" s="387"/>
      <c r="BX46" s="387"/>
      <c r="BY46" s="387"/>
      <c r="BZ46" s="387"/>
      <c r="CA46" s="387"/>
      <c r="CB46" s="387"/>
      <c r="CC46" s="387"/>
      <c r="CD46" s="387"/>
      <c r="CE46" s="387"/>
      <c r="CF46" s="387"/>
      <c r="CG46" s="387"/>
      <c r="CH46" s="387"/>
      <c r="CI46" s="387"/>
      <c r="CJ46" s="387"/>
      <c r="CK46" s="387"/>
      <c r="CL46" s="387"/>
      <c r="CM46" s="387"/>
      <c r="CN46" s="387"/>
      <c r="CO46" s="387"/>
      <c r="CP46" s="387"/>
      <c r="CQ46" s="387"/>
      <c r="CR46" s="387"/>
      <c r="CS46" s="387"/>
      <c r="CT46" s="387"/>
      <c r="CU46" s="387"/>
      <c r="CV46" s="387"/>
      <c r="CW46" s="387"/>
      <c r="CX46" s="387"/>
      <c r="CY46" s="387"/>
      <c r="CZ46" s="387"/>
      <c r="DA46" s="387"/>
      <c r="DB46" s="387"/>
      <c r="DC46" s="387"/>
      <c r="DD46" s="387"/>
      <c r="DE46" s="387"/>
      <c r="DF46" s="387"/>
      <c r="DG46" s="387"/>
      <c r="DH46" s="387"/>
      <c r="DI46" s="387"/>
    </row>
    <row r="47" spans="1:126" s="360" customFormat="1">
      <c r="A47" s="424" t="s">
        <v>334</v>
      </c>
      <c r="B47" s="425">
        <f t="shared" ref="B47:W47" si="109">B45/B58</f>
        <v>3.3098535164377858</v>
      </c>
      <c r="C47" s="425">
        <f t="shared" si="109"/>
        <v>3.6399052816901407</v>
      </c>
      <c r="D47" s="425">
        <f t="shared" si="109"/>
        <v>3.9613144796380095</v>
      </c>
      <c r="E47" s="425">
        <f t="shared" si="109"/>
        <v>4.4706955869952214</v>
      </c>
      <c r="F47" s="425">
        <f t="shared" si="109"/>
        <v>4.4626272167949139</v>
      </c>
      <c r="G47" s="426">
        <f t="shared" si="109"/>
        <v>4.7732330418877842</v>
      </c>
      <c r="H47" s="426">
        <f t="shared" si="109"/>
        <v>4.572149129023102</v>
      </c>
      <c r="I47" s="426">
        <f t="shared" si="109"/>
        <v>5.6346046447295315</v>
      </c>
      <c r="J47" s="426">
        <f t="shared" si="109"/>
        <v>1.5211178577588074</v>
      </c>
      <c r="K47" s="426">
        <f t="shared" ca="1" si="109"/>
        <v>1.6525817273363204</v>
      </c>
      <c r="L47" s="426">
        <f t="shared" si="109"/>
        <v>1.757847803113912</v>
      </c>
      <c r="M47" s="426">
        <f t="shared" si="109"/>
        <v>1.9043039192113489</v>
      </c>
      <c r="N47" s="426">
        <f t="shared" si="109"/>
        <v>2.0500891472868217</v>
      </c>
      <c r="O47" s="426">
        <f t="shared" si="109"/>
        <v>2.2149209486166006</v>
      </c>
      <c r="P47" s="426">
        <f t="shared" si="109"/>
        <v>2.3829893683552221</v>
      </c>
      <c r="Q47" s="426">
        <f t="shared" si="109"/>
        <v>2.5955510616784632</v>
      </c>
      <c r="R47" s="426">
        <f t="shared" si="109"/>
        <v>2.8056582133299348</v>
      </c>
      <c r="S47" s="426">
        <f t="shared" si="109"/>
        <v>3.0338114754098364</v>
      </c>
      <c r="T47" s="426">
        <f t="shared" si="109"/>
        <v>3.4225721784776901</v>
      </c>
      <c r="U47" s="426">
        <f t="shared" ca="1" si="109"/>
        <v>3.9500133322883486</v>
      </c>
      <c r="V47" s="426">
        <f t="shared" ca="1" si="109"/>
        <v>4.3234220459273809</v>
      </c>
      <c r="W47" s="426">
        <f t="shared" ca="1" si="109"/>
        <v>4.7185953746944103</v>
      </c>
      <c r="X47" s="426">
        <f ca="1">X45/X58</f>
        <v>5.0719437371090432</v>
      </c>
      <c r="Y47" s="426">
        <f ca="1">Y45/Y58</f>
        <v>5.4332504300557174</v>
      </c>
      <c r="Z47" s="426">
        <f ca="1">Z45/Z58</f>
        <v>5.8036795812042152</v>
      </c>
      <c r="AA47" s="426">
        <f ca="1">AA45/AA58</f>
        <v>6.184323893616658</v>
      </c>
      <c r="AB47" s="426">
        <f ca="1">AB45/AB58</f>
        <v>6.5763203480496406</v>
      </c>
      <c r="AC47" s="776"/>
      <c r="AD47" s="744"/>
      <c r="AE47" s="744"/>
      <c r="AF47" s="744"/>
      <c r="AG47" s="744"/>
      <c r="AH47" s="744"/>
      <c r="AI47" s="744"/>
      <c r="AJ47" s="744"/>
      <c r="AK47" s="744"/>
      <c r="AL47" s="744">
        <f t="shared" ref="AL47:BC47" si="110">AL45/AL58</f>
        <v>0.86458153580672992</v>
      </c>
      <c r="AM47" s="744">
        <f t="shared" si="110"/>
        <v>0.91714912280701755</v>
      </c>
      <c r="AN47" s="744">
        <f t="shared" si="110"/>
        <v>0.96098535286284947</v>
      </c>
      <c r="AO47" s="744">
        <f t="shared" si="110"/>
        <v>0.84165548098433995</v>
      </c>
      <c r="AP47" s="744">
        <f t="shared" si="110"/>
        <v>1.0239793629430236</v>
      </c>
      <c r="AQ47" s="744">
        <f t="shared" si="110"/>
        <v>1.1006078343088699</v>
      </c>
      <c r="AR47" s="744">
        <f t="shared" si="110"/>
        <v>1.1007409542461397</v>
      </c>
      <c r="AS47" s="744">
        <f t="shared" si="110"/>
        <v>1.0685354691075515</v>
      </c>
      <c r="AT47" s="744">
        <f t="shared" si="110"/>
        <v>1.1060695532012899</v>
      </c>
      <c r="AU47" s="744">
        <f t="shared" si="110"/>
        <v>1.1910025474756831</v>
      </c>
      <c r="AV47" s="744">
        <f t="shared" si="110"/>
        <v>1.2209386503067483</v>
      </c>
      <c r="AW47" s="744">
        <f t="shared" si="110"/>
        <v>0.89608506524891252</v>
      </c>
      <c r="AX47" s="744">
        <f t="shared" si="110"/>
        <v>1.0306862745098038</v>
      </c>
      <c r="AY47" s="744">
        <f t="shared" si="110"/>
        <v>1.2219314843124989</v>
      </c>
      <c r="AZ47" s="744">
        <f>AZ45/AZ58+0.001</f>
        <v>1.1881143690164595</v>
      </c>
      <c r="BA47" s="744">
        <f t="shared" si="110"/>
        <v>1.0239986469213498</v>
      </c>
      <c r="BB47" s="744">
        <f>BB45/BB58</f>
        <v>1.1297373077574464</v>
      </c>
      <c r="BC47" s="744">
        <f t="shared" si="110"/>
        <v>1.3394460354025217</v>
      </c>
      <c r="BD47" s="744">
        <f>BD45/BD58</f>
        <v>1.2448620059753739</v>
      </c>
      <c r="BE47" s="744">
        <f>BE45/BE58</f>
        <v>1.0632342847439025</v>
      </c>
      <c r="BF47" s="745">
        <f t="shared" ref="BF47:CK47" si="111">BF45/BF58</f>
        <v>1.7273709995503053</v>
      </c>
      <c r="BG47" s="745">
        <f t="shared" si="111"/>
        <v>1.6503871586008625</v>
      </c>
      <c r="BH47" s="745">
        <f t="shared" si="111"/>
        <v>1.6807496175908223</v>
      </c>
      <c r="BI47" s="745">
        <f t="shared" si="111"/>
        <v>1.5363967373830247</v>
      </c>
      <c r="BJ47" s="745">
        <f t="shared" si="111"/>
        <v>1.2461366016182769</v>
      </c>
      <c r="BK47" s="745">
        <f t="shared" si="111"/>
        <v>1.7718121052339852</v>
      </c>
      <c r="BL47" s="745">
        <f t="shared" si="111"/>
        <v>1.3545334598955863</v>
      </c>
      <c r="BM47" s="745">
        <f t="shared" si="111"/>
        <v>1.2613940424793659</v>
      </c>
      <c r="BN47" s="745">
        <f t="shared" si="111"/>
        <v>0.30023278608184267</v>
      </c>
      <c r="BO47" s="745">
        <f>BO45/BO58</f>
        <v>0.39142772303728857</v>
      </c>
      <c r="BP47" s="745">
        <f t="shared" si="111"/>
        <v>0.41872251721895354</v>
      </c>
      <c r="BQ47" s="745">
        <f t="shared" si="111"/>
        <v>0.3496446965140903</v>
      </c>
      <c r="BR47" s="745">
        <f t="shared" si="111"/>
        <v>0.36690529392453586</v>
      </c>
      <c r="BS47" s="745">
        <f t="shared" si="111"/>
        <v>0.45708441100093505</v>
      </c>
      <c r="BT47" s="745">
        <f t="shared" ca="1" si="111"/>
        <v>0.45945977673902377</v>
      </c>
      <c r="BU47" s="745">
        <f t="shared" si="111"/>
        <v>0.36951258126729697</v>
      </c>
      <c r="BV47" s="745">
        <f t="shared" si="111"/>
        <v>0.39235607160135461</v>
      </c>
      <c r="BW47" s="745">
        <f t="shared" si="111"/>
        <v>0.49806618299415151</v>
      </c>
      <c r="BX47" s="745">
        <f t="shared" si="111"/>
        <v>0.48166023166023164</v>
      </c>
      <c r="BY47" s="745">
        <f t="shared" si="111"/>
        <v>0.38687891944042452</v>
      </c>
      <c r="BZ47" s="745">
        <f t="shared" si="111"/>
        <v>0.41694752046220512</v>
      </c>
      <c r="CA47" s="745">
        <f t="shared" si="111"/>
        <v>0.50408850408850414</v>
      </c>
      <c r="CB47" s="745">
        <f t="shared" si="111"/>
        <v>0.54374999999999996</v>
      </c>
      <c r="CC47" s="745">
        <f t="shared" si="111"/>
        <v>0.43948126801152737</v>
      </c>
      <c r="CD47" s="745">
        <f t="shared" si="111"/>
        <v>0.44145873320537427</v>
      </c>
      <c r="CE47" s="745">
        <f t="shared" si="111"/>
        <v>0.54070139726599253</v>
      </c>
      <c r="CF47" s="745">
        <f t="shared" si="111"/>
        <v>0.56426484907497565</v>
      </c>
      <c r="CG47" s="745">
        <f t="shared" si="111"/>
        <v>0.50416054821341161</v>
      </c>
      <c r="CH47" s="745">
        <f t="shared" si="111"/>
        <v>0.492133726647001</v>
      </c>
      <c r="CI47" s="745">
        <f t="shared" si="111"/>
        <v>0.58965517241379306</v>
      </c>
      <c r="CJ47" s="745">
        <f t="shared" si="111"/>
        <v>0.5805335968379447</v>
      </c>
      <c r="CK47" s="745">
        <f t="shared" si="111"/>
        <v>0.55141579731743662</v>
      </c>
      <c r="CL47" s="745">
        <f t="shared" ref="CL47:CS47" si="112">+CL45/CL58</f>
        <v>0.54318522216674991</v>
      </c>
      <c r="CM47" s="745">
        <f t="shared" si="112"/>
        <v>0.61988011988011993</v>
      </c>
      <c r="CN47" s="745">
        <f t="shared" si="112"/>
        <v>0.64914914914914912</v>
      </c>
      <c r="CO47" s="745">
        <f t="shared" si="112"/>
        <v>0.57078313253012047</v>
      </c>
      <c r="CP47" s="745">
        <f>+CP45/CP58</f>
        <v>0.57603222557905343</v>
      </c>
      <c r="CQ47" s="745">
        <f t="shared" si="112"/>
        <v>0.64747474747474743</v>
      </c>
      <c r="CR47" s="745">
        <f t="shared" si="112"/>
        <v>0.68927125506072873</v>
      </c>
      <c r="CS47" s="745">
        <f t="shared" si="112"/>
        <v>0.65939086294416238</v>
      </c>
      <c r="CT47" s="745">
        <f t="shared" ref="CT47:DE47" si="113">+CT45/CT58</f>
        <v>0.63377416073245163</v>
      </c>
      <c r="CU47" s="745">
        <f t="shared" si="113"/>
        <v>0.74413863404689096</v>
      </c>
      <c r="CV47" s="745">
        <f t="shared" si="113"/>
        <v>0.75331971399387132</v>
      </c>
      <c r="CW47" s="745">
        <f t="shared" si="113"/>
        <v>0.67465578786333502</v>
      </c>
      <c r="CX47" s="745">
        <f t="shared" si="113"/>
        <v>0.72239263803680986</v>
      </c>
      <c r="CY47" s="745">
        <f t="shared" si="113"/>
        <v>0.81013306038894572</v>
      </c>
      <c r="CZ47" s="745">
        <f t="shared" si="113"/>
        <v>0.82428278688524592</v>
      </c>
      <c r="DA47" s="745">
        <f t="shared" si="113"/>
        <v>0.67677286742034948</v>
      </c>
      <c r="DB47" s="745">
        <f t="shared" si="113"/>
        <v>0.72717895822588963</v>
      </c>
      <c r="DC47" s="745">
        <f t="shared" si="113"/>
        <v>0.85100879461976198</v>
      </c>
      <c r="DD47" s="745">
        <f t="shared" si="113"/>
        <v>0.89973890339425588</v>
      </c>
      <c r="DE47" s="745">
        <f t="shared" si="113"/>
        <v>0.91447690292159189</v>
      </c>
      <c r="DF47" s="745">
        <f t="shared" ref="DF47:DI47" ca="1" si="114">+DF45/DF58</f>
        <v>0.92101150662080378</v>
      </c>
      <c r="DG47" s="745">
        <f t="shared" ca="1" si="114"/>
        <v>0.99250231579408854</v>
      </c>
      <c r="DH47" s="745">
        <f t="shared" ca="1" si="114"/>
        <v>1.0882596681136616</v>
      </c>
      <c r="DI47" s="745">
        <f t="shared" ca="1" si="114"/>
        <v>0.98346043648908954</v>
      </c>
      <c r="DJ47" s="776"/>
      <c r="DQ47"/>
      <c r="DR47"/>
      <c r="DS47"/>
      <c r="DT47"/>
      <c r="DU47"/>
      <c r="DV47"/>
    </row>
    <row r="48" spans="1:126">
      <c r="A48" s="730"/>
      <c r="AD48" s="478"/>
      <c r="AE48" s="478"/>
      <c r="AF48" s="478"/>
      <c r="AG48" s="478"/>
      <c r="AH48" s="478"/>
      <c r="AI48" s="478"/>
      <c r="AJ48" s="478"/>
      <c r="AK48" s="478"/>
      <c r="AL48" s="478"/>
      <c r="AM48" s="478"/>
      <c r="AN48" s="478"/>
      <c r="AO48" s="478"/>
      <c r="AP48" s="478"/>
      <c r="AQ48" s="478"/>
      <c r="AR48" s="478"/>
      <c r="AS48" s="478"/>
      <c r="AT48" s="478"/>
      <c r="AU48" s="478"/>
      <c r="AV48" s="478"/>
      <c r="AW48" s="478"/>
      <c r="AX48" s="478"/>
      <c r="AY48" s="478"/>
      <c r="AZ48" s="478"/>
      <c r="BA48" s="478"/>
      <c r="BB48" s="478"/>
      <c r="BC48" s="478"/>
      <c r="BD48" s="478"/>
      <c r="BE48" s="478"/>
      <c r="BF48" s="387"/>
      <c r="BG48" s="387"/>
      <c r="BH48" s="387"/>
      <c r="BI48" s="387"/>
      <c r="BJ48" s="387"/>
      <c r="BK48" s="387"/>
      <c r="BL48" s="387"/>
      <c r="BM48" s="387"/>
      <c r="BN48" s="387"/>
      <c r="BO48" s="387"/>
      <c r="BP48" s="387"/>
      <c r="BQ48" s="387"/>
      <c r="BR48" s="387"/>
      <c r="BS48" s="387"/>
      <c r="BT48" s="387"/>
      <c r="BU48" s="387"/>
      <c r="BV48" s="387"/>
      <c r="BW48" s="387"/>
      <c r="BX48" s="387"/>
      <c r="BY48" s="387"/>
      <c r="BZ48" s="387"/>
      <c r="CA48" s="387"/>
      <c r="CB48" s="387"/>
      <c r="CC48" s="387"/>
      <c r="CD48" s="387"/>
      <c r="CE48" s="387"/>
      <c r="CF48" s="387"/>
      <c r="CG48" s="387"/>
      <c r="CH48" s="387"/>
      <c r="CI48" s="387"/>
      <c r="CJ48" s="387"/>
      <c r="CK48" s="387"/>
      <c r="CL48" s="387"/>
      <c r="CM48" s="387"/>
      <c r="CN48" s="387"/>
      <c r="CO48" s="387"/>
      <c r="CP48" s="387"/>
      <c r="CQ48" s="387"/>
      <c r="CR48" s="387"/>
      <c r="CS48" s="387"/>
      <c r="CT48" s="387"/>
      <c r="CU48" s="387"/>
      <c r="CV48" s="527"/>
      <c r="CW48" s="527"/>
      <c r="CX48" s="387"/>
      <c r="CY48" s="387"/>
      <c r="CZ48" s="387"/>
      <c r="DA48" s="1027"/>
      <c r="DB48" s="387"/>
      <c r="DC48" s="458"/>
      <c r="DD48" s="458"/>
      <c r="DE48" s="387"/>
      <c r="DF48" s="387"/>
      <c r="DG48" s="387"/>
      <c r="DH48" s="387"/>
      <c r="DI48" s="387"/>
    </row>
    <row r="49" spans="1:113" hidden="1" outlineLevel="1">
      <c r="A49" s="730" t="s">
        <v>337</v>
      </c>
      <c r="AD49" s="478"/>
      <c r="AE49" s="478"/>
      <c r="AF49" s="478"/>
      <c r="AG49" s="478"/>
      <c r="AH49" s="478"/>
      <c r="AI49" s="478"/>
      <c r="AJ49" s="478"/>
      <c r="AK49" s="478"/>
      <c r="AL49" s="478"/>
      <c r="AM49" s="478"/>
      <c r="AN49" s="478"/>
      <c r="AO49" s="478"/>
      <c r="AP49" s="478"/>
      <c r="AQ49" s="478"/>
      <c r="AR49" s="478"/>
      <c r="AS49" s="478"/>
      <c r="AT49" s="478"/>
      <c r="AU49" s="478"/>
      <c r="AV49" s="478"/>
      <c r="AW49" s="478"/>
      <c r="AX49" s="497">
        <v>0</v>
      </c>
      <c r="AY49" s="498">
        <f>(182.5+9)*(1-AY38)</f>
        <v>124.12398167006108</v>
      </c>
      <c r="AZ49" s="498">
        <f>(27.5-23+6)*(1-AZ38)</f>
        <v>6.8777409484956653</v>
      </c>
      <c r="BA49" s="498">
        <f>(13+33+20)*(1-BA38)</f>
        <v>43.101231601081402</v>
      </c>
      <c r="BB49" s="498">
        <f>(10+1+262+5+46)*(1-BB38)-25</f>
        <v>186.90431738623104</v>
      </c>
      <c r="BC49" s="498" t="e">
        <f>(10+23+250+9+39+90+7)*(1-#REF!)</f>
        <v>#REF!</v>
      </c>
      <c r="BD49" s="497">
        <f>(5+1+6+39+8+23+13)*(1-0.335)</f>
        <v>63.175000000000004</v>
      </c>
      <c r="BE49" s="497">
        <f>BE53*BE58</f>
        <v>247.56</v>
      </c>
      <c r="BF49" s="74"/>
      <c r="BG49" s="497" t="e">
        <f>(2+21+2+5+1+18+24+8)*(1-#REF!)-209</f>
        <v>#REF!</v>
      </c>
      <c r="BH49" s="75"/>
      <c r="BI49" s="75"/>
      <c r="BJ49" s="458"/>
      <c r="BK49" s="458"/>
      <c r="BL49" s="458"/>
      <c r="BM49" s="458"/>
      <c r="BN49" s="75"/>
      <c r="BO49" s="75"/>
      <c r="BP49" s="75"/>
      <c r="BQ49" s="75"/>
      <c r="BR49" s="75"/>
      <c r="BS49" s="75"/>
      <c r="BT49" s="75"/>
      <c r="BU49" s="75"/>
      <c r="BV49" s="75"/>
      <c r="BW49" s="75"/>
      <c r="BX49" s="75"/>
      <c r="BY49" s="75"/>
      <c r="BZ49" s="75"/>
      <c r="CA49" s="75"/>
      <c r="CB49" s="75"/>
      <c r="CC49" s="75"/>
      <c r="CD49" s="75"/>
      <c r="CE49" s="75"/>
      <c r="CF49" s="75"/>
      <c r="CG49" s="75"/>
      <c r="CH49" s="75"/>
      <c r="CI49" s="75"/>
      <c r="CJ49" s="75"/>
      <c r="CK49" s="75"/>
      <c r="CL49" s="75"/>
      <c r="CM49" s="75"/>
      <c r="CN49" s="75"/>
      <c r="CO49" s="75"/>
      <c r="CP49" s="75"/>
      <c r="CQ49" s="75"/>
      <c r="CR49" s="75"/>
      <c r="CS49" s="75"/>
      <c r="CT49" s="75"/>
      <c r="CU49" s="75"/>
      <c r="CV49" s="75"/>
      <c r="CW49" s="75"/>
      <c r="CX49" s="75"/>
      <c r="CY49" s="75"/>
      <c r="CZ49" s="75"/>
      <c r="DA49" s="1040"/>
      <c r="DB49" s="75"/>
      <c r="DC49" s="75"/>
      <c r="DD49" s="75"/>
      <c r="DE49" s="75"/>
      <c r="DF49" s="75"/>
      <c r="DG49" s="75"/>
      <c r="DH49" s="75"/>
      <c r="DI49" s="75"/>
    </row>
    <row r="50" spans="1:113" hidden="1" outlineLevel="1">
      <c r="A50" s="730"/>
      <c r="AD50" s="478"/>
      <c r="AE50" s="478"/>
      <c r="AF50" s="478"/>
      <c r="AG50" s="478"/>
      <c r="AH50" s="478"/>
      <c r="AI50" s="478"/>
      <c r="AJ50" s="478"/>
      <c r="AK50" s="478"/>
      <c r="AL50" s="478"/>
      <c r="AM50" s="478"/>
      <c r="AN50" s="478"/>
      <c r="AO50" s="478"/>
      <c r="AP50" s="478"/>
      <c r="AQ50" s="478"/>
      <c r="AR50" s="478"/>
      <c r="AS50" s="478"/>
      <c r="AT50" s="478"/>
      <c r="AU50" s="478"/>
      <c r="AV50" s="478"/>
      <c r="AW50" s="478"/>
      <c r="AX50" s="498"/>
      <c r="AY50" s="498"/>
      <c r="AZ50" s="498"/>
      <c r="BA50" s="498"/>
      <c r="BB50" s="498"/>
      <c r="BC50" s="498"/>
      <c r="BD50" s="498"/>
      <c r="BE50" s="498"/>
      <c r="BF50" s="387"/>
      <c r="BG50" s="387"/>
      <c r="BH50" s="387"/>
      <c r="BI50" s="387"/>
      <c r="BJ50" s="387"/>
      <c r="BK50" s="387"/>
      <c r="BL50" s="387"/>
      <c r="BM50" s="387"/>
      <c r="BN50" s="387"/>
      <c r="BO50" s="387"/>
      <c r="BP50" s="387"/>
      <c r="BQ50" s="387"/>
      <c r="BR50" s="387"/>
      <c r="BS50" s="387"/>
      <c r="BT50" s="387"/>
      <c r="BU50" s="387"/>
      <c r="BV50" s="387"/>
      <c r="BW50" s="387"/>
      <c r="BX50" s="387"/>
      <c r="BY50" s="387"/>
      <c r="BZ50" s="387"/>
      <c r="CA50" s="387"/>
      <c r="CB50" s="387"/>
      <c r="CC50" s="387"/>
      <c r="CD50" s="387"/>
      <c r="CE50" s="387"/>
      <c r="CF50" s="387"/>
      <c r="CG50" s="387"/>
      <c r="CH50" s="387"/>
      <c r="CI50" s="387"/>
      <c r="CJ50" s="387"/>
      <c r="CK50" s="387"/>
      <c r="CL50" s="387"/>
      <c r="CM50" s="387"/>
      <c r="CN50" s="387"/>
      <c r="CO50" s="387"/>
      <c r="CP50" s="387"/>
      <c r="CQ50" s="387"/>
      <c r="CR50" s="387"/>
      <c r="CS50" s="387"/>
      <c r="CT50" s="387"/>
      <c r="CU50" s="387"/>
      <c r="CV50" s="387"/>
      <c r="CW50" s="387"/>
      <c r="CX50" s="387"/>
      <c r="CY50" s="387"/>
      <c r="CZ50" s="387"/>
      <c r="DA50" s="1027"/>
      <c r="DB50" s="387"/>
      <c r="DC50" s="387"/>
      <c r="DD50" s="387"/>
      <c r="DE50" s="387"/>
      <c r="DF50" s="387"/>
      <c r="DG50" s="387"/>
      <c r="DH50" s="387"/>
      <c r="DI50" s="387"/>
    </row>
    <row r="51" spans="1:113" hidden="1" outlineLevel="1">
      <c r="A51" s="930" t="s">
        <v>265</v>
      </c>
      <c r="AD51" s="75"/>
      <c r="AE51" s="75"/>
      <c r="AF51" s="75"/>
      <c r="AG51" s="75"/>
      <c r="AH51" s="75"/>
      <c r="AI51" s="75"/>
      <c r="AJ51" s="75"/>
      <c r="AK51" s="75"/>
      <c r="AL51" s="75"/>
      <c r="AM51" s="75"/>
      <c r="AN51" s="75"/>
      <c r="AO51" s="75"/>
      <c r="AP51" s="75"/>
      <c r="AQ51" s="75"/>
      <c r="AR51" s="75"/>
      <c r="AS51" s="75"/>
      <c r="AT51" s="75"/>
      <c r="AU51" s="75"/>
      <c r="AV51" s="75"/>
      <c r="AW51" s="75"/>
      <c r="AX51" s="71">
        <f t="shared" ref="AX51:BE51" si="115">AX45-AX49</f>
        <v>2102.6</v>
      </c>
      <c r="AY51" s="71">
        <f t="shared" si="115"/>
        <v>2355.1749999999993</v>
      </c>
      <c r="AZ51" s="71">
        <f t="shared" si="115"/>
        <v>2408.8999999999996</v>
      </c>
      <c r="BA51" s="71">
        <f t="shared" si="115"/>
        <v>2052</v>
      </c>
      <c r="BB51" s="71">
        <f t="shared" si="115"/>
        <v>2139.2247992863513</v>
      </c>
      <c r="BC51" s="71" t="e">
        <f t="shared" si="115"/>
        <v>#REF!</v>
      </c>
      <c r="BD51" s="71">
        <f t="shared" si="115"/>
        <v>2502.4855943152452</v>
      </c>
      <c r="BE51" s="71">
        <f t="shared" si="115"/>
        <v>1945.892329426671</v>
      </c>
      <c r="BF51" s="387"/>
      <c r="BG51" s="71" t="e">
        <f>BG45-BG49</f>
        <v>#REF!</v>
      </c>
      <c r="BH51" s="387"/>
      <c r="BI51" s="372"/>
      <c r="BJ51" s="387"/>
      <c r="BK51" s="372"/>
      <c r="BL51" s="372"/>
      <c r="BM51" s="372"/>
      <c r="BN51" s="458"/>
      <c r="BO51" s="458"/>
      <c r="BP51" s="458"/>
      <c r="BQ51" s="458"/>
      <c r="BR51" s="387"/>
      <c r="BS51" s="387"/>
      <c r="BT51" s="387" t="s">
        <v>493</v>
      </c>
      <c r="BU51" s="387"/>
      <c r="BV51" s="387"/>
      <c r="BW51" s="387"/>
      <c r="BX51" s="387" t="s">
        <v>493</v>
      </c>
      <c r="BY51" s="387"/>
      <c r="BZ51" s="387"/>
      <c r="CA51" s="387"/>
      <c r="CB51" s="387" t="s">
        <v>493</v>
      </c>
      <c r="CC51" s="387"/>
      <c r="CD51" s="387"/>
      <c r="CE51" s="387"/>
      <c r="CF51" s="387" t="s">
        <v>493</v>
      </c>
      <c r="CG51" s="387"/>
      <c r="CH51" s="387"/>
      <c r="CI51" s="387"/>
      <c r="CJ51" s="387"/>
      <c r="CK51" s="387"/>
      <c r="CL51" s="387"/>
      <c r="CM51" s="387"/>
      <c r="CN51" s="387"/>
      <c r="CO51" s="387"/>
      <c r="CP51" s="387"/>
      <c r="CQ51" s="387"/>
      <c r="CR51" s="387"/>
      <c r="CS51" s="387"/>
      <c r="CT51" s="387"/>
      <c r="CU51" s="387"/>
      <c r="CV51" s="387"/>
      <c r="CW51" s="387"/>
      <c r="CX51" s="387"/>
      <c r="CY51" s="387"/>
      <c r="CZ51" s="387"/>
      <c r="DA51" s="1027"/>
      <c r="DB51" s="387"/>
      <c r="DC51" s="387"/>
      <c r="DD51" s="387"/>
      <c r="DE51" s="387"/>
      <c r="DF51" s="387"/>
      <c r="DG51" s="387"/>
      <c r="DH51" s="387"/>
      <c r="DI51" s="387"/>
    </row>
    <row r="52" spans="1:113" hidden="1" outlineLevel="1">
      <c r="A52" s="730"/>
      <c r="AD52" s="478"/>
      <c r="AE52" s="478"/>
      <c r="AF52" s="478"/>
      <c r="AG52" s="478"/>
      <c r="AH52" s="478"/>
      <c r="AI52" s="478"/>
      <c r="AJ52" s="478"/>
      <c r="AK52" s="478"/>
      <c r="AL52" s="478"/>
      <c r="AM52" s="478"/>
      <c r="AN52" s="478"/>
      <c r="AO52" s="478"/>
      <c r="AP52" s="478"/>
      <c r="AQ52" s="478"/>
      <c r="AR52" s="478"/>
      <c r="AS52" s="478"/>
      <c r="AT52" s="478"/>
      <c r="AU52" s="478"/>
      <c r="AV52" s="478"/>
      <c r="AW52" s="478"/>
      <c r="AX52" s="478"/>
      <c r="AY52" s="478"/>
      <c r="AZ52" s="478"/>
      <c r="BA52" s="478"/>
      <c r="BB52" s="478"/>
      <c r="BC52" s="478"/>
      <c r="BD52" s="478"/>
      <c r="BE52" s="478"/>
      <c r="BF52" s="387"/>
      <c r="BG52" s="387"/>
      <c r="BH52" s="387"/>
      <c r="BI52" s="387"/>
      <c r="BJ52" s="387"/>
      <c r="BK52" s="387"/>
      <c r="BL52" s="387"/>
      <c r="BM52" s="387"/>
      <c r="BN52" s="387"/>
      <c r="BO52" s="387"/>
      <c r="BP52" s="387"/>
      <c r="BQ52" s="387"/>
      <c r="BR52" s="387"/>
      <c r="BS52" s="387"/>
      <c r="BT52" s="387"/>
      <c r="BU52" s="387"/>
      <c r="BV52" s="387"/>
      <c r="BW52" s="387"/>
      <c r="BX52" s="387"/>
      <c r="BY52" s="387"/>
      <c r="BZ52" s="387"/>
      <c r="CA52" s="387"/>
      <c r="CB52" s="387"/>
      <c r="CC52" s="387"/>
      <c r="CD52" s="387"/>
      <c r="CE52" s="387"/>
      <c r="CF52" s="387"/>
      <c r="CG52" s="387"/>
      <c r="CH52" s="387"/>
      <c r="CI52" s="387"/>
      <c r="CJ52" s="387"/>
      <c r="CK52" s="387"/>
      <c r="CL52" s="387"/>
      <c r="CM52" s="387"/>
      <c r="CN52" s="387"/>
      <c r="CO52" s="387"/>
      <c r="CP52" s="387"/>
      <c r="CQ52" s="387"/>
      <c r="CR52" s="387"/>
      <c r="CS52" s="387"/>
      <c r="CT52" s="387"/>
      <c r="CU52" s="387"/>
      <c r="CV52" s="387"/>
      <c r="CW52" s="387"/>
      <c r="CX52" s="387"/>
      <c r="CY52" s="387"/>
      <c r="CZ52" s="387"/>
      <c r="DA52" s="1027"/>
      <c r="DB52" s="387"/>
      <c r="DC52" s="387"/>
      <c r="DD52" s="387"/>
      <c r="DE52" s="387"/>
      <c r="DF52" s="387"/>
      <c r="DG52" s="387"/>
      <c r="DH52" s="387"/>
      <c r="DI52" s="387"/>
    </row>
    <row r="53" spans="1:113" hidden="1" outlineLevel="1">
      <c r="A53" s="730" t="s">
        <v>316</v>
      </c>
      <c r="AD53" s="478"/>
      <c r="AE53" s="478"/>
      <c r="AF53" s="478"/>
      <c r="AG53" s="478"/>
      <c r="AH53" s="478"/>
      <c r="AI53" s="478"/>
      <c r="AJ53" s="478"/>
      <c r="AK53" s="478"/>
      <c r="AL53" s="478"/>
      <c r="AM53" s="478"/>
      <c r="AN53" s="478"/>
      <c r="AO53" s="478"/>
      <c r="AP53" s="478"/>
      <c r="AQ53" s="478"/>
      <c r="AR53" s="478"/>
      <c r="AS53" s="478"/>
      <c r="AT53" s="478"/>
      <c r="AU53" s="478"/>
      <c r="AV53" s="478"/>
      <c r="AW53" s="478"/>
      <c r="AX53" s="499">
        <f>AX49/AX58</f>
        <v>0</v>
      </c>
      <c r="AY53" s="499">
        <f>AY49/AY58</f>
        <v>6.1174954002001521E-2</v>
      </c>
      <c r="AZ53" s="499">
        <f>AZ49/AZ58</f>
        <v>3.3797252818160519E-3</v>
      </c>
      <c r="BA53" s="499">
        <f>BA49/BA58</f>
        <v>2.1066095601701564E-2</v>
      </c>
      <c r="BB53" s="499">
        <v>0.09</v>
      </c>
      <c r="BC53" s="499" t="e">
        <f>BC49/BC58</f>
        <v>#REF!</v>
      </c>
      <c r="BD53" s="499">
        <f>(BD49/BD58)-0.05</f>
        <v>-1.9347404172731685E-2</v>
      </c>
      <c r="BE53" s="499">
        <v>0.12</v>
      </c>
      <c r="BF53" s="387"/>
      <c r="BG53" s="499" t="e">
        <f>(BG49/BG58)</f>
        <v>#REF!</v>
      </c>
      <c r="BH53" s="387"/>
      <c r="BI53" s="387"/>
      <c r="BJ53" s="387"/>
      <c r="BK53" s="387"/>
      <c r="BL53" s="372">
        <v>1.38</v>
      </c>
      <c r="BM53" s="372">
        <v>1.21</v>
      </c>
      <c r="BN53" s="387"/>
      <c r="BO53" s="387"/>
      <c r="BP53" s="387"/>
      <c r="BQ53" s="387"/>
      <c r="BR53" s="387"/>
      <c r="BS53" s="387"/>
      <c r="BT53" s="387"/>
      <c r="BU53" s="387"/>
      <c r="BV53" s="387"/>
      <c r="BW53" s="387"/>
      <c r="BX53" s="387"/>
      <c r="BY53" s="387"/>
      <c r="BZ53" s="387"/>
      <c r="CA53" s="387"/>
      <c r="CB53" s="387"/>
      <c r="CC53" s="387"/>
      <c r="CD53" s="387"/>
      <c r="CE53" s="387"/>
      <c r="CF53" s="387"/>
      <c r="CG53" s="387"/>
      <c r="CH53" s="387"/>
      <c r="CI53" s="387"/>
      <c r="CJ53" s="387"/>
      <c r="CK53" s="387"/>
      <c r="CL53" s="387"/>
      <c r="CM53" s="387"/>
      <c r="CN53" s="387"/>
      <c r="CO53" s="387"/>
      <c r="CP53" s="387"/>
      <c r="CQ53" s="387"/>
      <c r="CR53" s="387"/>
      <c r="CS53" s="387"/>
      <c r="CT53" s="387"/>
      <c r="CU53" s="387"/>
      <c r="CV53" s="387"/>
      <c r="CW53" s="387"/>
      <c r="CX53" s="387"/>
      <c r="CY53" s="387"/>
      <c r="CZ53" s="387"/>
      <c r="DA53" s="1027"/>
      <c r="DB53" s="387"/>
      <c r="DC53" s="387"/>
      <c r="DD53" s="387"/>
      <c r="DE53" s="387"/>
      <c r="DF53" s="387"/>
      <c r="DG53" s="387"/>
      <c r="DH53" s="387"/>
      <c r="DI53" s="387"/>
    </row>
    <row r="54" spans="1:113" hidden="1" outlineLevel="1">
      <c r="A54" s="730"/>
      <c r="AD54" s="478"/>
      <c r="AE54" s="478"/>
      <c r="AF54" s="478"/>
      <c r="AG54" s="478"/>
      <c r="AH54" s="478"/>
      <c r="AI54" s="478"/>
      <c r="AJ54" s="478"/>
      <c r="AK54" s="478"/>
      <c r="AL54" s="478"/>
      <c r="AM54" s="478"/>
      <c r="AN54" s="478"/>
      <c r="AO54" s="478"/>
      <c r="AP54" s="478"/>
      <c r="AQ54" s="478"/>
      <c r="AR54" s="478"/>
      <c r="AS54" s="478"/>
      <c r="AT54" s="478"/>
      <c r="AU54" s="478"/>
      <c r="AV54" s="478"/>
      <c r="AW54" s="478"/>
      <c r="AX54" s="478"/>
      <c r="AY54" s="478"/>
      <c r="AZ54" s="478"/>
      <c r="BA54" s="478"/>
      <c r="BB54" s="478"/>
      <c r="BC54" s="478"/>
      <c r="BD54" s="478"/>
      <c r="BE54" s="478"/>
      <c r="BF54" s="387"/>
      <c r="BG54" s="387"/>
      <c r="BH54" s="387"/>
      <c r="BI54" s="387"/>
      <c r="BJ54" s="387"/>
      <c r="BK54" s="387"/>
      <c r="BL54" s="387"/>
      <c r="BM54" s="387"/>
      <c r="BN54" s="387"/>
      <c r="BO54" s="387"/>
      <c r="BP54" s="387"/>
      <c r="BQ54" s="387"/>
      <c r="BR54" s="387"/>
      <c r="BS54" s="387"/>
      <c r="BT54" s="387"/>
      <c r="BU54" s="387"/>
      <c r="BV54" s="387"/>
      <c r="BW54" s="387"/>
      <c r="BX54" s="387"/>
      <c r="BY54" s="387"/>
      <c r="BZ54" s="387"/>
      <c r="CA54" s="387"/>
      <c r="CB54" s="387"/>
      <c r="CC54" s="387"/>
      <c r="CD54" s="387"/>
      <c r="CE54" s="387"/>
      <c r="CF54" s="387"/>
      <c r="CG54" s="387"/>
      <c r="CH54" s="387"/>
      <c r="CI54" s="387"/>
      <c r="CJ54" s="387"/>
      <c r="CK54" s="387"/>
      <c r="CL54" s="387"/>
      <c r="CM54" s="387"/>
      <c r="CN54" s="387"/>
      <c r="CO54" s="387"/>
      <c r="CP54" s="387"/>
      <c r="CQ54" s="387"/>
      <c r="CR54" s="387"/>
      <c r="CS54" s="387"/>
      <c r="CT54" s="387"/>
      <c r="CU54" s="387"/>
      <c r="CV54" s="387"/>
      <c r="CW54" s="387"/>
      <c r="CX54" s="387"/>
      <c r="CY54" s="387"/>
      <c r="CZ54" s="387"/>
      <c r="DA54" s="1027"/>
      <c r="DB54" s="387"/>
      <c r="DC54" s="387"/>
      <c r="DD54" s="387"/>
      <c r="DE54" s="387"/>
      <c r="DF54" s="387"/>
      <c r="DG54" s="387"/>
      <c r="DH54" s="387"/>
      <c r="DI54" s="387"/>
    </row>
    <row r="55" spans="1:113" hidden="1" outlineLevel="1">
      <c r="A55" s="730" t="s">
        <v>266</v>
      </c>
      <c r="AD55" s="500">
        <f t="shared" ref="AD55:AK55" si="116">AD45/AD58</f>
        <v>0.77332242225859249</v>
      </c>
      <c r="AE55" s="500">
        <f t="shared" si="116"/>
        <v>0.79778960294719603</v>
      </c>
      <c r="AF55" s="500">
        <f t="shared" si="116"/>
        <v>0.82107843137254899</v>
      </c>
      <c r="AG55" s="500">
        <f t="shared" si="116"/>
        <v>0.69975589910496339</v>
      </c>
      <c r="AH55" s="500">
        <f t="shared" si="116"/>
        <v>0.78228782287822873</v>
      </c>
      <c r="AI55" s="500">
        <f t="shared" si="116"/>
        <v>0.82540339263549856</v>
      </c>
      <c r="AJ55" s="500">
        <f t="shared" si="116"/>
        <v>0.84933222036727885</v>
      </c>
      <c r="AK55" s="500">
        <f t="shared" si="116"/>
        <v>0.75667655786350152</v>
      </c>
      <c r="AL55" s="500"/>
      <c r="AM55" s="500"/>
      <c r="AN55" s="500"/>
      <c r="AO55" s="500"/>
      <c r="AP55" s="500"/>
      <c r="AQ55" s="500"/>
      <c r="AR55" s="500"/>
      <c r="AS55" s="500"/>
      <c r="AT55" s="500"/>
      <c r="AU55" s="500"/>
      <c r="AV55" s="500"/>
      <c r="AW55" s="500"/>
      <c r="AX55" s="499">
        <f t="shared" ref="AX55:BC55" si="117">AX51/AX58</f>
        <v>1.0306862745098038</v>
      </c>
      <c r="AY55" s="499">
        <f t="shared" si="117"/>
        <v>1.1607565303104974</v>
      </c>
      <c r="AZ55" s="499">
        <f t="shared" si="117"/>
        <v>1.1837346437346437</v>
      </c>
      <c r="BA55" s="499">
        <f t="shared" si="117"/>
        <v>1.0029325513196481</v>
      </c>
      <c r="BB55" s="499">
        <f t="shared" si="117"/>
        <v>1.0389629913969651</v>
      </c>
      <c r="BC55" s="499" t="e">
        <f t="shared" si="117"/>
        <v>#REF!</v>
      </c>
      <c r="BD55" s="499">
        <f>BD47-BD53</f>
        <v>1.2642094101481056</v>
      </c>
      <c r="BE55" s="499">
        <f>BE47-BE53</f>
        <v>0.94323428474390247</v>
      </c>
      <c r="BF55" s="387"/>
      <c r="BG55" s="499" t="e">
        <f>BG47-BG53</f>
        <v>#REF!</v>
      </c>
      <c r="BH55" s="387"/>
      <c r="BI55" s="387" t="s">
        <v>349</v>
      </c>
      <c r="BJ55" s="387"/>
      <c r="BK55" s="387"/>
      <c r="BL55" s="387"/>
      <c r="BM55" s="387"/>
      <c r="BN55" s="387"/>
      <c r="BO55" s="387"/>
      <c r="BP55" s="387"/>
      <c r="BQ55" s="387"/>
      <c r="BR55" s="387"/>
      <c r="BS55" s="387"/>
      <c r="BT55" s="387"/>
      <c r="BU55" s="387"/>
      <c r="BV55" s="387"/>
      <c r="BW55" s="387"/>
      <c r="BX55" s="387"/>
      <c r="BY55" s="387"/>
      <c r="BZ55" s="387"/>
      <c r="CA55" s="387"/>
      <c r="CB55" s="387"/>
      <c r="CC55" s="387"/>
      <c r="CD55" s="387"/>
      <c r="CE55" s="387"/>
      <c r="CF55" s="387"/>
      <c r="CG55" s="387"/>
      <c r="CH55" s="387"/>
      <c r="CI55" s="387"/>
      <c r="CJ55" s="387"/>
      <c r="CK55" s="387"/>
      <c r="CL55" s="387"/>
      <c r="CM55" s="387"/>
      <c r="CN55" s="387"/>
      <c r="CO55" s="387"/>
      <c r="CP55" s="387"/>
      <c r="CQ55" s="387"/>
      <c r="CR55" s="387"/>
      <c r="CS55" s="387"/>
      <c r="CT55" s="387"/>
      <c r="CU55" s="387"/>
      <c r="CV55" s="387"/>
      <c r="CW55" s="387"/>
      <c r="CX55" s="387"/>
      <c r="CY55" s="387"/>
      <c r="CZ55" s="387"/>
      <c r="DA55" s="1027"/>
      <c r="DB55" s="387"/>
      <c r="DC55" s="387"/>
      <c r="DD55" s="387"/>
      <c r="DE55" s="387"/>
      <c r="DF55" s="387"/>
      <c r="DG55" s="387"/>
      <c r="DH55" s="387"/>
      <c r="DI55" s="387"/>
    </row>
    <row r="56" spans="1:113" hidden="1" outlineLevel="1">
      <c r="A56" s="730"/>
      <c r="AD56" s="478"/>
      <c r="AE56" s="478"/>
      <c r="AF56" s="478"/>
      <c r="AG56" s="478"/>
      <c r="AH56" s="478"/>
      <c r="AI56" s="478"/>
      <c r="AJ56" s="478"/>
      <c r="AK56" s="478"/>
      <c r="AL56" s="478"/>
      <c r="AM56" s="478"/>
      <c r="AN56" s="478"/>
      <c r="AO56" s="478"/>
      <c r="AP56" s="478"/>
      <c r="AQ56" s="478"/>
      <c r="AR56" s="478"/>
      <c r="AS56" s="478"/>
      <c r="AT56" s="478"/>
      <c r="AU56" s="478"/>
      <c r="AV56" s="478"/>
      <c r="AW56" s="478"/>
      <c r="AX56" s="478"/>
      <c r="AY56" s="478"/>
      <c r="AZ56" s="478"/>
      <c r="BA56" s="478"/>
      <c r="BB56" s="478"/>
      <c r="BC56" s="478"/>
      <c r="BD56" s="478"/>
      <c r="BE56" s="478"/>
      <c r="BF56" s="387"/>
      <c r="BG56" s="387"/>
      <c r="BH56" s="387"/>
      <c r="BI56" s="387"/>
      <c r="BJ56" s="387"/>
      <c r="BK56" s="387"/>
      <c r="BL56" s="387"/>
      <c r="BM56" s="387"/>
      <c r="BN56" s="387"/>
      <c r="BO56" s="387"/>
      <c r="BP56" s="387"/>
      <c r="BQ56" s="387"/>
      <c r="BR56" s="387"/>
      <c r="BS56" s="387"/>
      <c r="BT56" s="387"/>
      <c r="BU56" s="387"/>
      <c r="BV56" s="387"/>
      <c r="BW56" s="387"/>
      <c r="BX56" s="387"/>
      <c r="BY56" s="387"/>
      <c r="BZ56" s="387"/>
      <c r="CA56" s="387"/>
      <c r="CB56" s="387"/>
      <c r="CC56" s="387"/>
      <c r="CD56" s="387"/>
      <c r="CE56" s="387"/>
      <c r="CF56" s="387"/>
      <c r="CG56" s="387"/>
      <c r="CH56" s="387"/>
      <c r="CI56" s="387"/>
      <c r="CJ56" s="387"/>
      <c r="CK56" s="387"/>
      <c r="CL56" s="387"/>
      <c r="CM56" s="387"/>
      <c r="CN56" s="387"/>
      <c r="CO56" s="387"/>
      <c r="CP56" s="387"/>
      <c r="CQ56" s="387"/>
      <c r="CR56" s="387"/>
      <c r="CS56" s="387"/>
      <c r="CT56" s="387"/>
      <c r="CU56" s="387"/>
      <c r="CV56" s="387"/>
      <c r="CW56" s="387"/>
      <c r="CX56" s="387"/>
      <c r="CY56" s="387"/>
      <c r="CZ56" s="387"/>
      <c r="DA56" s="1027"/>
      <c r="DB56" s="387"/>
      <c r="DC56" s="387"/>
      <c r="DD56" s="387"/>
      <c r="DE56" s="387"/>
      <c r="DF56" s="387"/>
      <c r="DG56" s="387"/>
      <c r="DH56" s="387"/>
      <c r="DI56" s="387"/>
    </row>
    <row r="57" spans="1:113" collapsed="1">
      <c r="A57" s="730" t="s">
        <v>280</v>
      </c>
      <c r="B57" s="728">
        <f t="shared" ref="B57:K57" si="118">B456</f>
        <v>0</v>
      </c>
      <c r="C57" s="728">
        <f t="shared" si="118"/>
        <v>2260</v>
      </c>
      <c r="D57" s="728">
        <f t="shared" si="118"/>
        <v>2181</v>
      </c>
      <c r="E57" s="728">
        <f t="shared" si="118"/>
        <v>2111</v>
      </c>
      <c r="F57" s="728">
        <f t="shared" si="118"/>
        <v>2028</v>
      </c>
      <c r="G57" s="728">
        <f t="shared" si="118"/>
        <v>2047</v>
      </c>
      <c r="H57" s="728">
        <f t="shared" si="118"/>
        <v>2070</v>
      </c>
      <c r="I57" s="728">
        <f t="shared" si="118"/>
        <v>2087</v>
      </c>
      <c r="J57" s="728">
        <f t="shared" si="118"/>
        <v>2101</v>
      </c>
      <c r="K57" s="728">
        <f t="shared" si="118"/>
        <v>2075</v>
      </c>
      <c r="L57" s="728">
        <v>2065</v>
      </c>
      <c r="M57" s="728">
        <v>2077</v>
      </c>
      <c r="N57" s="728">
        <v>2062</v>
      </c>
      <c r="O57" s="728">
        <v>2024</v>
      </c>
      <c r="P57" s="728">
        <v>1998.75</v>
      </c>
      <c r="Q57" s="728">
        <v>1978</v>
      </c>
      <c r="R57" s="728">
        <f t="shared" ref="R57:W57" si="119">R456</f>
        <v>1964.5163836871504</v>
      </c>
      <c r="S57" s="1025">
        <v>1952</v>
      </c>
      <c r="T57" s="1062">
        <v>1905</v>
      </c>
      <c r="U57" s="728">
        <f t="shared" si="119"/>
        <v>1894.3551409267966</v>
      </c>
      <c r="V57" s="728">
        <f t="shared" si="119"/>
        <v>1874.0451654396072</v>
      </c>
      <c r="W57" s="728">
        <f t="shared" si="119"/>
        <v>1847.6237804295174</v>
      </c>
      <c r="X57" s="728">
        <f>X456</f>
        <v>1821.9719503226343</v>
      </c>
      <c r="Y57" s="728">
        <f>Y456</f>
        <v>1797.0672608984755</v>
      </c>
      <c r="Z57" s="728">
        <f>Z456</f>
        <v>1772.8879507779334</v>
      </c>
      <c r="AA57" s="728">
        <f>AA456</f>
        <v>1749.4128924084748</v>
      </c>
      <c r="AB57" s="728">
        <f>AB456</f>
        <v>1726.6215736031754</v>
      </c>
      <c r="AD57" s="471"/>
      <c r="AE57" s="471"/>
      <c r="AF57" s="471"/>
      <c r="AG57" s="471"/>
      <c r="AH57" s="471"/>
      <c r="AI57" s="471"/>
      <c r="AJ57" s="471"/>
      <c r="AK57" s="471"/>
      <c r="AL57" s="471"/>
      <c r="AM57" s="471"/>
      <c r="AN57" s="471"/>
      <c r="AO57" s="471"/>
      <c r="AP57" s="471"/>
      <c r="AQ57" s="471"/>
      <c r="AR57" s="471"/>
      <c r="AS57" s="471"/>
      <c r="AT57" s="471"/>
      <c r="AU57" s="471"/>
      <c r="AV57" s="471"/>
      <c r="AW57" s="471"/>
      <c r="AX57" s="471">
        <f>$F$456</f>
        <v>2028</v>
      </c>
      <c r="AY57" s="471">
        <f>$F$456</f>
        <v>2028</v>
      </c>
      <c r="AZ57" s="471">
        <f>$F$456</f>
        <v>2028</v>
      </c>
      <c r="BA57" s="471">
        <f>$F$456</f>
        <v>2028</v>
      </c>
      <c r="BB57" s="471">
        <f>$G$456</f>
        <v>2047</v>
      </c>
      <c r="BC57" s="471">
        <f>$G$456</f>
        <v>2047</v>
      </c>
      <c r="BD57" s="471">
        <f>$G$456</f>
        <v>2047</v>
      </c>
      <c r="BE57" s="471">
        <f>$G$456</f>
        <v>2047</v>
      </c>
      <c r="BF57" s="471">
        <v>2047</v>
      </c>
      <c r="BG57" s="471">
        <v>2047</v>
      </c>
      <c r="BH57" s="471">
        <v>2047</v>
      </c>
      <c r="BI57" s="471">
        <v>2047</v>
      </c>
      <c r="BJ57" s="469">
        <v>2081</v>
      </c>
      <c r="BK57" s="469">
        <v>2085</v>
      </c>
      <c r="BL57" s="469">
        <v>2090</v>
      </c>
      <c r="BM57" s="469">
        <v>2092</v>
      </c>
      <c r="BN57" s="469">
        <v>2097</v>
      </c>
      <c r="BO57" s="469">
        <v>2101</v>
      </c>
      <c r="BP57" s="469">
        <v>2103</v>
      </c>
      <c r="BQ57" s="469">
        <v>2104</v>
      </c>
      <c r="BR57" s="469">
        <v>2107</v>
      </c>
      <c r="BS57" s="469">
        <v>2075</v>
      </c>
      <c r="BT57" s="469">
        <v>2058</v>
      </c>
      <c r="BU57" s="469">
        <v>2059</v>
      </c>
      <c r="BV57" s="469">
        <v>2061</v>
      </c>
      <c r="BW57" s="469">
        <v>2061</v>
      </c>
      <c r="BX57" s="471">
        <f>BX58-(BW58-BW57)</f>
        <v>2066</v>
      </c>
      <c r="BY57" s="471">
        <f>BY454</f>
        <v>1967.138152</v>
      </c>
      <c r="BZ57" s="469">
        <v>2074</v>
      </c>
      <c r="CA57" s="469">
        <v>2076</v>
      </c>
      <c r="CB57" s="469">
        <v>2078</v>
      </c>
      <c r="CC57" s="471">
        <f>CC456</f>
        <v>2080</v>
      </c>
      <c r="CD57" s="469">
        <v>2082</v>
      </c>
      <c r="CE57" s="469">
        <v>2073.7926753569209</v>
      </c>
      <c r="CF57" s="469">
        <v>2053.6215402415819</v>
      </c>
      <c r="CG57" s="471">
        <f>CG456</f>
        <v>2036.5713369234295</v>
      </c>
      <c r="CH57" s="469">
        <f>2805.961317-771.030556</f>
        <v>2034.9307609999996</v>
      </c>
      <c r="CI57" s="469">
        <f ca="1">CI456</f>
        <v>2034.9307609999996</v>
      </c>
      <c r="CJ57" s="469">
        <v>2024</v>
      </c>
      <c r="CK57" s="469">
        <v>2013</v>
      </c>
      <c r="CL57" s="501">
        <v>2003</v>
      </c>
      <c r="CM57" s="501">
        <v>2002</v>
      </c>
      <c r="CN57" s="501">
        <v>1998</v>
      </c>
      <c r="CO57" s="502">
        <v>1992</v>
      </c>
      <c r="CP57" s="502">
        <v>1986</v>
      </c>
      <c r="CQ57" s="501">
        <v>1980</v>
      </c>
      <c r="CR57" s="502">
        <v>1976</v>
      </c>
      <c r="CS57" s="436">
        <v>1970</v>
      </c>
      <c r="CT57" s="703">
        <v>1966</v>
      </c>
      <c r="CU57" s="703">
        <v>1962</v>
      </c>
      <c r="CV57" s="703">
        <v>1958</v>
      </c>
      <c r="CW57" s="436">
        <v>1961</v>
      </c>
      <c r="CX57" s="436">
        <v>1956</v>
      </c>
      <c r="CY57" s="436">
        <v>1954</v>
      </c>
      <c r="CZ57" s="703">
        <v>1952</v>
      </c>
      <c r="DA57" s="1041">
        <v>1946</v>
      </c>
      <c r="DB57" s="1041">
        <v>1939</v>
      </c>
      <c r="DC57" s="1041">
        <v>1933</v>
      </c>
      <c r="DD57" s="1041">
        <v>1917.7075356170212</v>
      </c>
      <c r="DE57" s="1041">
        <v>1904.9141585037503</v>
      </c>
      <c r="DF57" s="503">
        <f t="shared" ref="DF57:DI57" si="120">+DF456</f>
        <v>1899.3842857453124</v>
      </c>
      <c r="DG57" s="503">
        <f t="shared" si="120"/>
        <v>1895.634473235938</v>
      </c>
      <c r="DH57" s="503">
        <f t="shared" si="120"/>
        <v>1891.8846607265632</v>
      </c>
      <c r="DI57" s="503">
        <f t="shared" si="120"/>
        <v>1888.1348482171888</v>
      </c>
    </row>
    <row r="58" spans="1:113">
      <c r="A58" s="730" t="s">
        <v>236</v>
      </c>
      <c r="B58" s="728">
        <v>2403</v>
      </c>
      <c r="C58" s="728">
        <v>2272</v>
      </c>
      <c r="D58" s="728">
        <v>2210</v>
      </c>
      <c r="E58" s="728">
        <v>2134.6</v>
      </c>
      <c r="F58" s="728">
        <v>2037.5</v>
      </c>
      <c r="G58" s="311">
        <v>2063</v>
      </c>
      <c r="H58" s="311">
        <v>2089.5</v>
      </c>
      <c r="I58" s="477">
        <v>2104.5</v>
      </c>
      <c r="J58" s="477">
        <v>2116</v>
      </c>
      <c r="K58" s="200">
        <v>2087</v>
      </c>
      <c r="L58" s="200">
        <v>2071</v>
      </c>
      <c r="M58" s="200">
        <v>2079.5</v>
      </c>
      <c r="N58" s="200">
        <v>2064</v>
      </c>
      <c r="O58" s="200">
        <v>2024</v>
      </c>
      <c r="P58" s="200">
        <v>1998.75</v>
      </c>
      <c r="Q58" s="200">
        <v>1978</v>
      </c>
      <c r="R58" s="200">
        <v>1961.75</v>
      </c>
      <c r="S58" s="1025">
        <v>1952</v>
      </c>
      <c r="T58" s="1062">
        <v>1905</v>
      </c>
      <c r="U58" s="200">
        <f t="shared" ref="U58:AB58" si="121">U458</f>
        <v>1911.6208489267965</v>
      </c>
      <c r="V58" s="200">
        <f t="shared" si="121"/>
        <v>1891.3108734396071</v>
      </c>
      <c r="W58" s="200">
        <f t="shared" si="121"/>
        <v>1864.8894884295173</v>
      </c>
      <c r="X58" s="200">
        <f t="shared" si="121"/>
        <v>1839.2376583226342</v>
      </c>
      <c r="Y58" s="200">
        <f t="shared" si="121"/>
        <v>1814.3329688984754</v>
      </c>
      <c r="Z58" s="200">
        <f t="shared" si="121"/>
        <v>1790.1536587779333</v>
      </c>
      <c r="AA58" s="200">
        <f t="shared" si="121"/>
        <v>1766.6786004084747</v>
      </c>
      <c r="AB58" s="200">
        <f t="shared" si="121"/>
        <v>1743.8872816031753</v>
      </c>
      <c r="AD58" s="466">
        <v>2444</v>
      </c>
      <c r="AE58" s="466">
        <v>2443</v>
      </c>
      <c r="AF58" s="466">
        <v>2448</v>
      </c>
      <c r="AG58" s="466">
        <v>2458</v>
      </c>
      <c r="AH58" s="466">
        <v>2439</v>
      </c>
      <c r="AI58" s="466">
        <v>2417</v>
      </c>
      <c r="AJ58" s="466">
        <v>2396</v>
      </c>
      <c r="AK58" s="466">
        <v>2359</v>
      </c>
      <c r="AL58" s="466">
        <f>2318</f>
        <v>2318</v>
      </c>
      <c r="AM58" s="466">
        <v>2280</v>
      </c>
      <c r="AN58" s="466">
        <v>2253</v>
      </c>
      <c r="AO58" s="466">
        <v>2235</v>
      </c>
      <c r="AP58" s="466">
        <f>2229</f>
        <v>2229</v>
      </c>
      <c r="AQ58" s="466">
        <f>2221</f>
        <v>2221</v>
      </c>
      <c r="AR58" s="466">
        <v>2202</v>
      </c>
      <c r="AS58" s="466">
        <v>2185</v>
      </c>
      <c r="AT58" s="466">
        <v>2171</v>
      </c>
      <c r="AU58" s="466">
        <v>2159</v>
      </c>
      <c r="AV58" s="466">
        <v>2119</v>
      </c>
      <c r="AW58" s="466">
        <v>2069</v>
      </c>
      <c r="AX58" s="466">
        <v>2040</v>
      </c>
      <c r="AY58" s="466">
        <v>2029</v>
      </c>
      <c r="AZ58" s="466">
        <v>2035</v>
      </c>
      <c r="BA58" s="466">
        <v>2046</v>
      </c>
      <c r="BB58" s="466">
        <v>2059</v>
      </c>
      <c r="BC58" s="471">
        <v>2062</v>
      </c>
      <c r="BD58" s="466">
        <v>2061</v>
      </c>
      <c r="BE58" s="466">
        <v>2063</v>
      </c>
      <c r="BF58" s="469">
        <v>2081</v>
      </c>
      <c r="BG58" s="469">
        <v>2087</v>
      </c>
      <c r="BH58" s="469">
        <v>2092</v>
      </c>
      <c r="BI58" s="469">
        <v>2098</v>
      </c>
      <c r="BJ58" s="469">
        <f>+BI58+3</f>
        <v>2101</v>
      </c>
      <c r="BK58" s="469">
        <v>2102</v>
      </c>
      <c r="BL58" s="469">
        <v>2107</v>
      </c>
      <c r="BM58" s="469">
        <v>2110</v>
      </c>
      <c r="BN58" s="469">
        <v>2112</v>
      </c>
      <c r="BO58" s="469">
        <v>2116</v>
      </c>
      <c r="BP58" s="469">
        <v>2117</v>
      </c>
      <c r="BQ58" s="469">
        <v>2119</v>
      </c>
      <c r="BR58" s="469">
        <v>2122</v>
      </c>
      <c r="BS58" s="469">
        <v>2088</v>
      </c>
      <c r="BT58" s="469">
        <v>2070</v>
      </c>
      <c r="BU58" s="469">
        <v>2070</v>
      </c>
      <c r="BV58" s="469">
        <v>2067</v>
      </c>
      <c r="BW58" s="469">
        <v>2067</v>
      </c>
      <c r="BX58" s="469">
        <v>2072</v>
      </c>
      <c r="BY58" s="469">
        <v>2073</v>
      </c>
      <c r="BZ58" s="469">
        <v>2077</v>
      </c>
      <c r="CA58" s="469">
        <v>2079</v>
      </c>
      <c r="CB58" s="469">
        <v>2080</v>
      </c>
      <c r="CC58" s="469">
        <v>2082</v>
      </c>
      <c r="CD58" s="469">
        <v>2084</v>
      </c>
      <c r="CE58" s="469">
        <v>2075.7926753569209</v>
      </c>
      <c r="CF58" s="469">
        <v>2054</v>
      </c>
      <c r="CG58" s="469">
        <v>2043</v>
      </c>
      <c r="CH58" s="469">
        <v>2034</v>
      </c>
      <c r="CI58" s="469">
        <v>2030</v>
      </c>
      <c r="CJ58" s="469">
        <v>2024</v>
      </c>
      <c r="CK58" s="469">
        <v>2013</v>
      </c>
      <c r="CL58" s="501">
        <v>2003</v>
      </c>
      <c r="CM58" s="501">
        <v>2002</v>
      </c>
      <c r="CN58" s="501">
        <v>1998</v>
      </c>
      <c r="CO58" s="502">
        <v>1992</v>
      </c>
      <c r="CP58" s="502">
        <v>1986</v>
      </c>
      <c r="CQ58" s="501">
        <v>1980</v>
      </c>
      <c r="CR58" s="502">
        <v>1976</v>
      </c>
      <c r="CS58" s="436">
        <v>1970</v>
      </c>
      <c r="CT58" s="703">
        <v>1966</v>
      </c>
      <c r="CU58" s="703">
        <v>1962</v>
      </c>
      <c r="CV58" s="703">
        <v>1958</v>
      </c>
      <c r="CW58" s="436">
        <v>1961</v>
      </c>
      <c r="CX58" s="436">
        <v>1956</v>
      </c>
      <c r="CY58" s="436">
        <v>1954</v>
      </c>
      <c r="CZ58" s="703">
        <v>1952</v>
      </c>
      <c r="DA58" s="1041">
        <v>1946</v>
      </c>
      <c r="DB58" s="1041">
        <v>1939</v>
      </c>
      <c r="DC58" s="1041">
        <v>1933</v>
      </c>
      <c r="DD58" s="1041">
        <v>1915</v>
      </c>
      <c r="DE58" s="1041">
        <v>1904.9141585037503</v>
      </c>
      <c r="DF58" s="503">
        <f t="shared" ref="DF58:DI58" si="122">+DF458</f>
        <v>1900.4842857453123</v>
      </c>
      <c r="DG58" s="503">
        <f t="shared" si="122"/>
        <v>1896.7344732359379</v>
      </c>
      <c r="DH58" s="503">
        <f t="shared" si="122"/>
        <v>1892.9846607265631</v>
      </c>
      <c r="DI58" s="503">
        <f t="shared" si="122"/>
        <v>1889.2348482171888</v>
      </c>
    </row>
    <row r="59" spans="1:113">
      <c r="A59" s="730"/>
      <c r="S59" s="776"/>
      <c r="T59" s="157"/>
      <c r="U59" s="200"/>
      <c r="V59" s="776"/>
      <c r="W59" s="23"/>
      <c r="X59" s="23"/>
      <c r="Y59" s="23"/>
      <c r="Z59" s="23"/>
      <c r="AA59" s="23"/>
      <c r="AB59" s="23"/>
      <c r="AD59" s="466"/>
      <c r="AE59" s="466"/>
      <c r="AF59" s="466"/>
      <c r="AG59" s="466"/>
      <c r="AH59" s="466"/>
      <c r="AI59" s="466"/>
      <c r="AJ59" s="466"/>
      <c r="AK59" s="466"/>
      <c r="AL59" s="466"/>
      <c r="AM59" s="466"/>
      <c r="AN59" s="466"/>
      <c r="AO59" s="466"/>
      <c r="AP59" s="466"/>
      <c r="AQ59" s="466"/>
      <c r="AR59" s="466"/>
      <c r="AS59" s="466"/>
      <c r="AT59" s="466"/>
      <c r="AU59" s="466"/>
      <c r="AV59" s="466"/>
      <c r="AW59" s="466"/>
      <c r="AX59" s="466"/>
      <c r="AY59" s="466"/>
      <c r="AZ59" s="466"/>
      <c r="BA59" s="466"/>
      <c r="BB59" s="466"/>
      <c r="BC59" s="471"/>
      <c r="BD59" s="466"/>
      <c r="BE59" s="466"/>
      <c r="BF59" s="469"/>
      <c r="BG59" s="469"/>
      <c r="BH59" s="469"/>
      <c r="BI59" s="469"/>
      <c r="BJ59" s="469"/>
      <c r="BK59" s="469"/>
      <c r="BL59" s="469"/>
      <c r="BM59" s="469"/>
      <c r="BN59" s="469"/>
      <c r="BO59" s="469"/>
      <c r="BP59" s="469"/>
      <c r="BQ59" s="469"/>
      <c r="BR59" s="469"/>
      <c r="BS59" s="469"/>
      <c r="BT59" s="469"/>
      <c r="BU59" s="469"/>
      <c r="BV59" s="469"/>
      <c r="BW59" s="471"/>
      <c r="BX59" s="471"/>
      <c r="BY59" s="471"/>
      <c r="BZ59" s="469"/>
      <c r="CA59" s="471"/>
      <c r="CB59" s="471"/>
      <c r="CC59" s="471"/>
      <c r="CD59" s="469"/>
      <c r="CE59" s="471"/>
      <c r="CF59" s="471"/>
      <c r="CG59" s="471"/>
      <c r="CH59" s="387"/>
      <c r="CI59" s="387"/>
      <c r="CJ59" s="387"/>
      <c r="CK59" s="387"/>
      <c r="CL59" s="387"/>
      <c r="CM59" s="387"/>
      <c r="CN59" s="387"/>
      <c r="CO59" s="387"/>
      <c r="CP59" s="387"/>
      <c r="CQ59" s="387"/>
      <c r="CR59" s="387"/>
      <c r="CS59" s="387"/>
      <c r="CT59" s="387"/>
      <c r="CU59" s="387"/>
      <c r="CV59" s="387"/>
      <c r="CW59" s="387"/>
      <c r="CX59" s="387"/>
      <c r="CY59" s="387"/>
      <c r="CZ59" s="387"/>
      <c r="DA59" s="387"/>
      <c r="DB59" s="387"/>
      <c r="DC59" s="387"/>
      <c r="DD59" s="387"/>
      <c r="DE59" s="387"/>
      <c r="DF59" s="387"/>
      <c r="DG59" s="387"/>
      <c r="DH59" s="387"/>
      <c r="DI59" s="387"/>
    </row>
    <row r="60" spans="1:113" hidden="1" outlineLevel="1">
      <c r="A60" s="929" t="s">
        <v>164</v>
      </c>
      <c r="AD60" s="387"/>
      <c r="AE60" s="387"/>
      <c r="AF60" s="387"/>
      <c r="AG60" s="387"/>
      <c r="AH60" s="387"/>
      <c r="AI60" s="387"/>
      <c r="AJ60" s="387"/>
      <c r="AK60" s="387"/>
      <c r="AL60" s="387"/>
      <c r="AM60" s="387"/>
      <c r="AN60" s="387"/>
      <c r="AO60" s="387"/>
      <c r="AP60" s="387"/>
      <c r="AQ60" s="387"/>
      <c r="AR60" s="387"/>
      <c r="AS60" s="387"/>
      <c r="AT60" s="387"/>
      <c r="AU60" s="387"/>
      <c r="AV60" s="387"/>
      <c r="AW60" s="387"/>
      <c r="AX60" s="471"/>
      <c r="AY60" s="471"/>
      <c r="AZ60" s="471"/>
      <c r="BA60" s="471"/>
      <c r="BB60" s="471"/>
      <c r="BC60" s="471"/>
      <c r="BD60" s="471"/>
      <c r="BE60" s="471"/>
      <c r="BF60" s="471"/>
      <c r="BG60" s="387"/>
      <c r="BH60" s="387"/>
      <c r="BI60" s="387"/>
      <c r="BJ60" s="387"/>
      <c r="BK60" s="387"/>
      <c r="BL60" s="387"/>
      <c r="BM60" s="387"/>
      <c r="BN60" s="387"/>
      <c r="BO60" s="387"/>
      <c r="BP60" s="387"/>
      <c r="BQ60" s="387"/>
      <c r="BR60" s="387"/>
      <c r="BS60" s="387"/>
      <c r="BT60" s="387"/>
      <c r="BU60" s="387"/>
      <c r="BV60" s="412"/>
      <c r="BW60" s="387"/>
      <c r="BX60" s="387"/>
      <c r="BY60" s="387"/>
      <c r="BZ60" s="412"/>
      <c r="CA60" s="412"/>
      <c r="CB60" s="387"/>
      <c r="CC60" s="412"/>
      <c r="CD60" s="412"/>
      <c r="CE60" s="412"/>
      <c r="CF60" s="387"/>
      <c r="CG60" s="412"/>
      <c r="CH60" s="387"/>
      <c r="CI60" s="387"/>
      <c r="CJ60" s="387"/>
      <c r="CK60" s="387"/>
      <c r="CL60" s="387"/>
      <c r="CM60" s="387"/>
      <c r="CN60" s="387"/>
      <c r="CO60" s="387"/>
      <c r="CP60" s="387"/>
      <c r="CQ60" s="387"/>
      <c r="CR60" s="387"/>
      <c r="CS60" s="387"/>
      <c r="CT60" s="387"/>
      <c r="CU60" s="387"/>
      <c r="CV60" s="387"/>
      <c r="CW60" s="387"/>
      <c r="CX60" s="387"/>
      <c r="CY60" s="387"/>
      <c r="CZ60" s="387"/>
      <c r="DA60" s="387"/>
      <c r="DB60" s="387"/>
      <c r="DC60" s="387"/>
      <c r="DD60" s="387"/>
      <c r="DE60" s="387"/>
      <c r="DF60" s="387"/>
      <c r="DG60" s="387"/>
      <c r="DH60" s="387"/>
      <c r="DI60" s="387"/>
    </row>
    <row r="61" spans="1:113" hidden="1" outlineLevel="1">
      <c r="A61" s="928" t="s">
        <v>193</v>
      </c>
      <c r="AD61" s="387"/>
      <c r="AE61" s="387"/>
      <c r="AF61" s="387"/>
      <c r="AG61" s="387"/>
      <c r="AH61" s="387"/>
      <c r="AI61" s="387"/>
      <c r="AJ61" s="387"/>
      <c r="AK61" s="387"/>
      <c r="AL61" s="387"/>
      <c r="AM61" s="387"/>
      <c r="AN61" s="387"/>
      <c r="AO61" s="387"/>
      <c r="AP61" s="387"/>
      <c r="AQ61" s="387"/>
      <c r="AR61" s="387"/>
      <c r="AS61" s="387"/>
      <c r="AT61" s="387"/>
      <c r="AU61" s="387"/>
      <c r="AV61" s="387"/>
      <c r="AW61" s="387"/>
      <c r="AX61" s="471"/>
      <c r="AY61" s="471"/>
      <c r="AZ61" s="471"/>
      <c r="BA61" s="471"/>
      <c r="BB61" s="471"/>
      <c r="BC61" s="471"/>
      <c r="BD61" s="471"/>
      <c r="BE61" s="471"/>
      <c r="BF61" s="471"/>
      <c r="BG61" s="387"/>
      <c r="BH61" s="387"/>
      <c r="BI61" s="387"/>
      <c r="BJ61" s="387"/>
      <c r="BK61" s="387"/>
      <c r="BL61" s="387"/>
      <c r="BM61" s="387"/>
      <c r="BN61" s="387"/>
      <c r="BO61" s="387"/>
      <c r="BP61" s="387"/>
      <c r="BQ61" s="387"/>
      <c r="BR61" s="387"/>
      <c r="BS61" s="387"/>
      <c r="BT61" s="387"/>
      <c r="BU61" s="387"/>
      <c r="BV61" s="412"/>
      <c r="BW61" s="387"/>
      <c r="BX61" s="387"/>
      <c r="BY61" s="387"/>
      <c r="BZ61" s="412"/>
      <c r="CA61" s="387"/>
      <c r="CB61" s="387"/>
      <c r="CC61" s="387"/>
      <c r="CD61" s="412"/>
      <c r="CE61" s="387"/>
      <c r="CF61" s="387"/>
      <c r="CG61" s="387"/>
      <c r="CH61" s="387"/>
      <c r="CI61" s="387"/>
      <c r="CJ61" s="387"/>
      <c r="CK61" s="387"/>
      <c r="CL61" s="387"/>
      <c r="CM61" s="387"/>
      <c r="CN61" s="387"/>
      <c r="CO61" s="387"/>
      <c r="CP61" s="387"/>
      <c r="CQ61" s="387"/>
      <c r="CR61" s="387"/>
      <c r="CS61" s="387"/>
      <c r="CT61" s="387"/>
      <c r="CU61" s="387"/>
      <c r="CV61" s="387"/>
      <c r="CW61" s="387"/>
      <c r="CX61" s="387"/>
      <c r="CY61" s="387"/>
      <c r="CZ61" s="387"/>
      <c r="DA61" s="387"/>
      <c r="DB61" s="387"/>
      <c r="DC61" s="387"/>
      <c r="DD61" s="387"/>
      <c r="DE61" s="387"/>
      <c r="DF61" s="387"/>
      <c r="DG61" s="387"/>
      <c r="DH61" s="387"/>
      <c r="DI61" s="387"/>
    </row>
    <row r="62" spans="1:113" hidden="1" outlineLevel="1">
      <c r="A62" s="928" t="s">
        <v>190</v>
      </c>
      <c r="AD62" s="413"/>
      <c r="AE62" s="413"/>
      <c r="AF62" s="413"/>
      <c r="AG62" s="413"/>
      <c r="AH62" s="413"/>
      <c r="AI62" s="413"/>
      <c r="AJ62" s="413"/>
      <c r="AK62" s="413"/>
      <c r="AL62" s="413"/>
      <c r="AM62" s="413"/>
      <c r="AN62" s="413"/>
      <c r="AO62" s="413"/>
      <c r="AP62" s="413"/>
      <c r="AQ62" s="413"/>
      <c r="AR62" s="413"/>
      <c r="AS62" s="413"/>
      <c r="AT62" s="413"/>
      <c r="AU62" s="413"/>
      <c r="AV62" s="413"/>
      <c r="AW62" s="413"/>
      <c r="AX62" s="413"/>
      <c r="AY62" s="413"/>
      <c r="AZ62" s="413"/>
      <c r="BA62" s="413"/>
      <c r="BB62" s="413"/>
      <c r="BC62" s="413"/>
      <c r="BD62" s="413"/>
      <c r="BE62" s="413"/>
      <c r="BF62" s="413"/>
      <c r="BG62" s="413"/>
      <c r="BH62" s="413"/>
      <c r="BI62" s="413"/>
      <c r="BJ62" s="413"/>
      <c r="BK62" s="413"/>
      <c r="BL62" s="413"/>
      <c r="BM62" s="413"/>
      <c r="BN62" s="413"/>
      <c r="BO62" s="413"/>
      <c r="BP62" s="413"/>
      <c r="BQ62" s="413"/>
      <c r="BR62" s="413">
        <v>172</v>
      </c>
      <c r="BS62" s="413">
        <v>24</v>
      </c>
      <c r="BT62" s="413">
        <v>27</v>
      </c>
      <c r="BU62" s="413">
        <v>115</v>
      </c>
      <c r="BV62" s="504">
        <v>105</v>
      </c>
      <c r="BW62" s="413">
        <v>57</v>
      </c>
      <c r="BX62" s="413">
        <v>117</v>
      </c>
      <c r="BY62" s="413">
        <v>114</v>
      </c>
      <c r="BZ62" s="504">
        <v>27</v>
      </c>
      <c r="CA62" s="413">
        <v>32</v>
      </c>
      <c r="CB62" s="413">
        <v>16</v>
      </c>
      <c r="CC62" s="413">
        <v>9</v>
      </c>
      <c r="CD62" s="504">
        <v>1</v>
      </c>
      <c r="CE62" s="413">
        <v>2</v>
      </c>
      <c r="CF62" s="413">
        <v>1</v>
      </c>
      <c r="CG62" s="413">
        <v>138</v>
      </c>
      <c r="CH62" s="413"/>
      <c r="CI62" s="413"/>
      <c r="CJ62" s="413"/>
      <c r="CK62" s="413"/>
      <c r="CL62" s="413"/>
      <c r="CM62" s="413"/>
      <c r="CN62" s="413"/>
      <c r="CO62" s="413"/>
      <c r="CP62" s="413"/>
      <c r="CQ62" s="413"/>
      <c r="CR62" s="413"/>
      <c r="CS62" s="413"/>
      <c r="CT62" s="413"/>
      <c r="CU62" s="413"/>
      <c r="CV62" s="413"/>
      <c r="CW62" s="413"/>
      <c r="CX62" s="413"/>
      <c r="CY62" s="413"/>
      <c r="CZ62" s="413"/>
      <c r="DA62" s="413"/>
      <c r="DB62" s="413"/>
      <c r="DC62" s="413"/>
      <c r="DD62" s="413"/>
      <c r="DE62" s="413"/>
      <c r="DF62" s="413"/>
      <c r="DG62" s="413"/>
      <c r="DH62" s="413"/>
      <c r="DI62" s="413"/>
    </row>
    <row r="63" spans="1:113" hidden="1" outlineLevel="1">
      <c r="A63" s="928" t="s">
        <v>206</v>
      </c>
      <c r="AD63" s="413"/>
      <c r="AE63" s="413"/>
      <c r="AF63" s="413"/>
      <c r="AG63" s="413"/>
      <c r="AH63" s="413"/>
      <c r="AI63" s="413"/>
      <c r="AJ63" s="413"/>
      <c r="AK63" s="413"/>
      <c r="AL63" s="413"/>
      <c r="AM63" s="413"/>
      <c r="AN63" s="413"/>
      <c r="AO63" s="413"/>
      <c r="AP63" s="413"/>
      <c r="AQ63" s="413"/>
      <c r="AR63" s="413"/>
      <c r="AS63" s="413"/>
      <c r="AT63" s="413"/>
      <c r="AU63" s="413"/>
      <c r="AV63" s="413"/>
      <c r="AW63" s="413"/>
      <c r="AX63" s="413"/>
      <c r="AY63" s="413"/>
      <c r="AZ63" s="413"/>
      <c r="BA63" s="413"/>
      <c r="BB63" s="413"/>
      <c r="BC63" s="413"/>
      <c r="BD63" s="413"/>
      <c r="BE63" s="413"/>
      <c r="BF63" s="413"/>
      <c r="BG63" s="413"/>
      <c r="BH63" s="413"/>
      <c r="BI63" s="413"/>
      <c r="BJ63" s="413"/>
      <c r="BK63" s="413"/>
      <c r="BL63" s="413"/>
      <c r="BM63" s="413"/>
      <c r="BN63" s="413"/>
      <c r="BO63" s="413"/>
      <c r="BP63" s="413"/>
      <c r="BQ63" s="413"/>
      <c r="BR63" s="413">
        <v>-263</v>
      </c>
      <c r="BS63" s="413">
        <v>0</v>
      </c>
      <c r="BT63" s="413">
        <v>0</v>
      </c>
      <c r="BU63" s="413">
        <v>0</v>
      </c>
      <c r="BV63" s="504">
        <v>0</v>
      </c>
      <c r="BW63" s="413">
        <v>0</v>
      </c>
      <c r="BX63" s="413">
        <v>0</v>
      </c>
      <c r="BY63" s="413">
        <v>0</v>
      </c>
      <c r="BZ63" s="413">
        <v>0</v>
      </c>
      <c r="CA63" s="413">
        <v>0</v>
      </c>
      <c r="CB63" s="413">
        <v>0</v>
      </c>
      <c r="CC63" s="413">
        <v>0</v>
      </c>
      <c r="CD63" s="504">
        <v>0</v>
      </c>
      <c r="CE63" s="413">
        <v>0</v>
      </c>
      <c r="CF63" s="413">
        <v>0</v>
      </c>
      <c r="CG63" s="413">
        <v>0</v>
      </c>
      <c r="CH63" s="413"/>
      <c r="CI63" s="413"/>
      <c r="CJ63" s="413"/>
      <c r="CK63" s="413"/>
      <c r="CL63" s="413"/>
      <c r="CM63" s="413"/>
      <c r="CN63" s="413"/>
      <c r="CO63" s="413"/>
      <c r="CP63" s="413"/>
      <c r="CQ63" s="413"/>
      <c r="CR63" s="413"/>
      <c r="CS63" s="413"/>
      <c r="CT63" s="413"/>
      <c r="CU63" s="413"/>
      <c r="CV63" s="413"/>
      <c r="CW63" s="413"/>
      <c r="CX63" s="413"/>
      <c r="CY63" s="413"/>
      <c r="CZ63" s="413"/>
      <c r="DA63" s="413"/>
      <c r="DB63" s="413"/>
      <c r="DC63" s="413"/>
      <c r="DD63" s="413"/>
      <c r="DE63" s="413"/>
      <c r="DF63" s="413"/>
      <c r="DG63" s="413"/>
      <c r="DH63" s="413"/>
      <c r="DI63" s="413"/>
    </row>
    <row r="64" spans="1:113" hidden="1" outlineLevel="1">
      <c r="A64" s="928" t="s">
        <v>207</v>
      </c>
      <c r="AD64" s="413"/>
      <c r="AE64" s="413"/>
      <c r="AF64" s="413"/>
      <c r="AG64" s="413"/>
      <c r="AH64" s="413"/>
      <c r="AI64" s="413"/>
      <c r="AJ64" s="413"/>
      <c r="AK64" s="413"/>
      <c r="AL64" s="413"/>
      <c r="AM64" s="413"/>
      <c r="AN64" s="413"/>
      <c r="AO64" s="413"/>
      <c r="AP64" s="413"/>
      <c r="AQ64" s="413"/>
      <c r="AR64" s="413"/>
      <c r="AS64" s="413"/>
      <c r="AT64" s="413"/>
      <c r="AU64" s="413"/>
      <c r="AV64" s="413"/>
      <c r="AW64" s="413"/>
      <c r="AX64" s="413"/>
      <c r="AY64" s="413"/>
      <c r="AZ64" s="413"/>
      <c r="BA64" s="413"/>
      <c r="BB64" s="413"/>
      <c r="BC64" s="413"/>
      <c r="BD64" s="413"/>
      <c r="BE64" s="413"/>
      <c r="BF64" s="413"/>
      <c r="BG64" s="413"/>
      <c r="BH64" s="413"/>
      <c r="BI64" s="413"/>
      <c r="BJ64" s="413"/>
      <c r="BK64" s="413"/>
      <c r="BL64" s="413"/>
      <c r="BM64" s="413"/>
      <c r="BN64" s="413"/>
      <c r="BO64" s="413"/>
      <c r="BP64" s="413"/>
      <c r="BQ64" s="413"/>
      <c r="BR64" s="413">
        <v>256</v>
      </c>
      <c r="BS64" s="413">
        <v>0</v>
      </c>
      <c r="BT64" s="413">
        <v>0</v>
      </c>
      <c r="BU64" s="413">
        <v>0</v>
      </c>
      <c r="BV64" s="504">
        <v>0</v>
      </c>
      <c r="BW64" s="413">
        <v>0</v>
      </c>
      <c r="BX64" s="413">
        <v>0</v>
      </c>
      <c r="BY64" s="413">
        <v>0</v>
      </c>
      <c r="BZ64" s="413">
        <v>0</v>
      </c>
      <c r="CA64" s="413">
        <v>0</v>
      </c>
      <c r="CB64" s="413">
        <v>0</v>
      </c>
      <c r="CC64" s="413">
        <v>0</v>
      </c>
      <c r="CD64" s="504">
        <v>0</v>
      </c>
      <c r="CE64" s="413">
        <v>0</v>
      </c>
      <c r="CF64" s="413">
        <v>0</v>
      </c>
      <c r="CG64" s="413">
        <v>0</v>
      </c>
      <c r="CH64" s="413"/>
      <c r="CI64" s="413"/>
      <c r="CJ64" s="413"/>
      <c r="CK64" s="413"/>
      <c r="CL64" s="413"/>
      <c r="CM64" s="413"/>
      <c r="CN64" s="413"/>
      <c r="CO64" s="413"/>
      <c r="CP64" s="413"/>
      <c r="CQ64" s="413"/>
      <c r="CR64" s="413"/>
      <c r="CS64" s="413"/>
      <c r="CT64" s="413"/>
      <c r="CU64" s="413"/>
      <c r="CV64" s="413"/>
      <c r="CW64" s="413"/>
      <c r="CX64" s="413"/>
      <c r="CY64" s="413"/>
      <c r="CZ64" s="413"/>
      <c r="DA64" s="413"/>
      <c r="DB64" s="413"/>
      <c r="DC64" s="413"/>
      <c r="DD64" s="413"/>
      <c r="DE64" s="413"/>
      <c r="DF64" s="413"/>
      <c r="DG64" s="413"/>
      <c r="DH64" s="413"/>
      <c r="DI64" s="413"/>
    </row>
    <row r="65" spans="1:113" hidden="1" outlineLevel="1">
      <c r="A65" s="928" t="s">
        <v>519</v>
      </c>
      <c r="AD65" s="413"/>
      <c r="AE65" s="413"/>
      <c r="AF65" s="413"/>
      <c r="AG65" s="413"/>
      <c r="AH65" s="413"/>
      <c r="AI65" s="413"/>
      <c r="AJ65" s="413"/>
      <c r="AK65" s="413"/>
      <c r="AL65" s="413"/>
      <c r="AM65" s="413"/>
      <c r="AN65" s="413"/>
      <c r="AO65" s="413"/>
      <c r="AP65" s="413"/>
      <c r="AQ65" s="413"/>
      <c r="AR65" s="413"/>
      <c r="AS65" s="413"/>
      <c r="AT65" s="413"/>
      <c r="AU65" s="413"/>
      <c r="AV65" s="413"/>
      <c r="AW65" s="413"/>
      <c r="AX65" s="413"/>
      <c r="AY65" s="413"/>
      <c r="AZ65" s="413"/>
      <c r="BA65" s="413"/>
      <c r="BB65" s="413"/>
      <c r="BC65" s="413"/>
      <c r="BD65" s="413"/>
      <c r="BE65" s="413"/>
      <c r="BF65" s="413"/>
      <c r="BG65" s="413"/>
      <c r="BH65" s="413"/>
      <c r="BI65" s="413"/>
      <c r="BJ65" s="413"/>
      <c r="BK65" s="413"/>
      <c r="BL65" s="413"/>
      <c r="BM65" s="413"/>
      <c r="BN65" s="413"/>
      <c r="BO65" s="413"/>
      <c r="BP65" s="413"/>
      <c r="BQ65" s="413"/>
      <c r="BR65" s="413">
        <v>0</v>
      </c>
      <c r="BS65" s="413">
        <v>0</v>
      </c>
      <c r="BT65" s="413">
        <v>54</v>
      </c>
      <c r="BU65" s="413">
        <v>0</v>
      </c>
      <c r="BV65" s="504">
        <v>0</v>
      </c>
      <c r="BW65" s="413">
        <f>-114+73</f>
        <v>-41</v>
      </c>
      <c r="BX65" s="413">
        <v>25</v>
      </c>
      <c r="BY65" s="413">
        <v>7</v>
      </c>
      <c r="BZ65" s="504">
        <v>11</v>
      </c>
      <c r="CA65" s="413">
        <v>30</v>
      </c>
      <c r="CB65" s="413">
        <v>14</v>
      </c>
      <c r="CC65" s="413">
        <v>14</v>
      </c>
      <c r="CD65" s="504">
        <v>-21</v>
      </c>
      <c r="CE65" s="505">
        <v>37</v>
      </c>
      <c r="CF65" s="413">
        <v>8</v>
      </c>
      <c r="CG65" s="413">
        <v>30</v>
      </c>
      <c r="CH65" s="413"/>
      <c r="CI65" s="413"/>
      <c r="CJ65" s="413"/>
      <c r="CK65" s="413"/>
      <c r="CL65" s="413"/>
      <c r="CM65" s="413"/>
      <c r="CN65" s="413"/>
      <c r="CO65" s="413"/>
      <c r="CP65" s="413"/>
      <c r="CQ65" s="413"/>
      <c r="CR65" s="413"/>
      <c r="CS65" s="413"/>
      <c r="CT65" s="413"/>
      <c r="CU65" s="413"/>
      <c r="CV65" s="413"/>
      <c r="CW65" s="413"/>
      <c r="CX65" s="413"/>
      <c r="CY65" s="413"/>
      <c r="CZ65" s="413"/>
      <c r="DA65" s="413"/>
      <c r="DB65" s="413"/>
      <c r="DC65" s="413"/>
      <c r="DD65" s="413"/>
      <c r="DE65" s="413"/>
      <c r="DF65" s="413"/>
      <c r="DG65" s="413"/>
      <c r="DH65" s="413"/>
      <c r="DI65" s="413"/>
    </row>
    <row r="66" spans="1:113" hidden="1" outlineLevel="1">
      <c r="A66" s="928" t="s">
        <v>191</v>
      </c>
      <c r="AD66" s="413"/>
      <c r="AE66" s="413"/>
      <c r="AF66" s="413"/>
      <c r="AG66" s="413"/>
      <c r="AH66" s="413"/>
      <c r="AI66" s="413"/>
      <c r="AJ66" s="413"/>
      <c r="AK66" s="413"/>
      <c r="AL66" s="413"/>
      <c r="AM66" s="413"/>
      <c r="AN66" s="413"/>
      <c r="AO66" s="413"/>
      <c r="AP66" s="413"/>
      <c r="AQ66" s="413"/>
      <c r="AR66" s="413"/>
      <c r="AS66" s="413"/>
      <c r="AT66" s="413"/>
      <c r="AU66" s="413"/>
      <c r="AV66" s="413"/>
      <c r="AW66" s="413"/>
      <c r="AX66" s="413"/>
      <c r="AY66" s="413"/>
      <c r="AZ66" s="413"/>
      <c r="BA66" s="413"/>
      <c r="BB66" s="413"/>
      <c r="BC66" s="413"/>
      <c r="BD66" s="413"/>
      <c r="BE66" s="413"/>
      <c r="BF66" s="413"/>
      <c r="BG66" s="413"/>
      <c r="BH66" s="413"/>
      <c r="BI66" s="413"/>
      <c r="BJ66" s="413"/>
      <c r="BK66" s="413"/>
      <c r="BL66" s="413"/>
      <c r="BM66" s="413"/>
      <c r="BN66" s="413"/>
      <c r="BO66" s="413"/>
      <c r="BP66" s="413"/>
      <c r="BQ66" s="413"/>
      <c r="BR66" s="413">
        <v>0</v>
      </c>
      <c r="BS66" s="413">
        <v>0</v>
      </c>
      <c r="BT66" s="413">
        <v>3</v>
      </c>
      <c r="BU66" s="413">
        <v>35</v>
      </c>
      <c r="BV66" s="504">
        <v>0</v>
      </c>
      <c r="BW66" s="413">
        <v>0</v>
      </c>
      <c r="BX66" s="413">
        <v>0</v>
      </c>
      <c r="BY66" s="413">
        <v>0</v>
      </c>
      <c r="BZ66" s="413">
        <v>0</v>
      </c>
      <c r="CA66" s="413">
        <v>0</v>
      </c>
      <c r="CB66" s="413">
        <v>0</v>
      </c>
      <c r="CC66" s="413">
        <v>0</v>
      </c>
      <c r="CD66" s="504">
        <v>0</v>
      </c>
      <c r="CE66" s="413">
        <v>627</v>
      </c>
      <c r="CF66" s="413">
        <v>0</v>
      </c>
      <c r="CG66" s="413">
        <v>0</v>
      </c>
      <c r="CH66" s="413"/>
      <c r="CI66" s="413"/>
      <c r="CJ66" s="413"/>
      <c r="CK66" s="413"/>
      <c r="CL66" s="413"/>
      <c r="CM66" s="413"/>
      <c r="CN66" s="413"/>
      <c r="CO66" s="413"/>
      <c r="CP66" s="413"/>
      <c r="CQ66" s="413"/>
      <c r="CR66" s="413"/>
      <c r="CS66" s="413"/>
      <c r="CT66" s="413"/>
      <c r="CU66" s="413"/>
      <c r="CV66" s="413"/>
      <c r="CW66" s="413"/>
      <c r="CX66" s="413"/>
      <c r="CY66" s="413"/>
      <c r="CZ66" s="413"/>
      <c r="DA66" s="413"/>
      <c r="DB66" s="413"/>
      <c r="DC66" s="413"/>
      <c r="DD66" s="413"/>
      <c r="DE66" s="413"/>
      <c r="DF66" s="413"/>
      <c r="DG66" s="413"/>
      <c r="DH66" s="413"/>
      <c r="DI66" s="413"/>
    </row>
    <row r="67" spans="1:113" hidden="1" outlineLevel="1">
      <c r="A67" s="928" t="s">
        <v>695</v>
      </c>
      <c r="AD67" s="413"/>
      <c r="AE67" s="413"/>
      <c r="AF67" s="413"/>
      <c r="AG67" s="413"/>
      <c r="AH67" s="413"/>
      <c r="AI67" s="413"/>
      <c r="AJ67" s="413"/>
      <c r="AK67" s="413"/>
      <c r="AL67" s="413"/>
      <c r="AM67" s="413"/>
      <c r="AN67" s="413"/>
      <c r="AO67" s="413"/>
      <c r="AP67" s="413"/>
      <c r="AQ67" s="413"/>
      <c r="AR67" s="413"/>
      <c r="AS67" s="413"/>
      <c r="AT67" s="413"/>
      <c r="AU67" s="413"/>
      <c r="AV67" s="413"/>
      <c r="AW67" s="413"/>
      <c r="AX67" s="413"/>
      <c r="AY67" s="413"/>
      <c r="AZ67" s="413"/>
      <c r="BA67" s="413"/>
      <c r="BB67" s="413"/>
      <c r="BC67" s="413"/>
      <c r="BD67" s="413"/>
      <c r="BE67" s="413"/>
      <c r="BF67" s="413"/>
      <c r="BG67" s="413"/>
      <c r="BH67" s="413"/>
      <c r="BI67" s="413"/>
      <c r="BJ67" s="413"/>
      <c r="BK67" s="413"/>
      <c r="BL67" s="413"/>
      <c r="BM67" s="413"/>
      <c r="BN67" s="413"/>
      <c r="BO67" s="413"/>
      <c r="BP67" s="413"/>
      <c r="BQ67" s="413"/>
      <c r="BR67" s="413">
        <v>0</v>
      </c>
      <c r="BS67" s="413">
        <v>0</v>
      </c>
      <c r="BT67" s="413">
        <v>0</v>
      </c>
      <c r="BU67" s="413">
        <v>-6</v>
      </c>
      <c r="BV67" s="504">
        <v>0</v>
      </c>
      <c r="BW67" s="413">
        <v>0</v>
      </c>
      <c r="BX67" s="413">
        <v>0</v>
      </c>
      <c r="BY67" s="413">
        <v>0</v>
      </c>
      <c r="BZ67" s="413">
        <v>0</v>
      </c>
      <c r="CA67" s="413">
        <v>0</v>
      </c>
      <c r="CB67" s="413">
        <v>0</v>
      </c>
      <c r="CC67" s="413">
        <v>0</v>
      </c>
      <c r="CD67" s="504">
        <v>0</v>
      </c>
      <c r="CE67" s="413">
        <v>0</v>
      </c>
      <c r="CF67" s="413">
        <v>0</v>
      </c>
      <c r="CG67" s="413">
        <v>0</v>
      </c>
      <c r="CH67" s="413"/>
      <c r="CI67" s="413"/>
      <c r="CJ67" s="413"/>
      <c r="CK67" s="413"/>
      <c r="CL67" s="413"/>
      <c r="CM67" s="413"/>
      <c r="CN67" s="413"/>
      <c r="CO67" s="413"/>
      <c r="CP67" s="413"/>
      <c r="CQ67" s="413"/>
      <c r="CR67" s="413"/>
      <c r="CS67" s="413"/>
      <c r="CT67" s="413"/>
      <c r="CU67" s="413"/>
      <c r="CV67" s="413"/>
      <c r="CW67" s="413"/>
      <c r="CX67" s="413"/>
      <c r="CY67" s="413"/>
      <c r="CZ67" s="413"/>
      <c r="DA67" s="413"/>
      <c r="DB67" s="413"/>
      <c r="DC67" s="413"/>
      <c r="DD67" s="413"/>
      <c r="DE67" s="413"/>
      <c r="DF67" s="413"/>
      <c r="DG67" s="413"/>
      <c r="DH67" s="413"/>
      <c r="DI67" s="413"/>
    </row>
    <row r="68" spans="1:113" hidden="1" outlineLevel="1">
      <c r="A68" s="928" t="s">
        <v>192</v>
      </c>
      <c r="AD68" s="413"/>
      <c r="AE68" s="413"/>
      <c r="AF68" s="413"/>
      <c r="AG68" s="413"/>
      <c r="AH68" s="413"/>
      <c r="AI68" s="413"/>
      <c r="AJ68" s="413"/>
      <c r="AK68" s="413"/>
      <c r="AL68" s="413"/>
      <c r="AM68" s="413"/>
      <c r="AN68" s="413"/>
      <c r="AO68" s="413"/>
      <c r="AP68" s="413"/>
      <c r="AQ68" s="413"/>
      <c r="AR68" s="413"/>
      <c r="AS68" s="413"/>
      <c r="AT68" s="413"/>
      <c r="AU68" s="413"/>
      <c r="AV68" s="413"/>
      <c r="AW68" s="413"/>
      <c r="AX68" s="413"/>
      <c r="AY68" s="413"/>
      <c r="AZ68" s="413"/>
      <c r="BA68" s="413"/>
      <c r="BB68" s="413"/>
      <c r="BC68" s="413"/>
      <c r="BD68" s="413"/>
      <c r="BE68" s="413"/>
      <c r="BF68" s="413"/>
      <c r="BG68" s="413"/>
      <c r="BH68" s="413"/>
      <c r="BI68" s="413"/>
      <c r="BJ68" s="413"/>
      <c r="BK68" s="413"/>
      <c r="BL68" s="413"/>
      <c r="BM68" s="413"/>
      <c r="BN68" s="413"/>
      <c r="BO68" s="413"/>
      <c r="BP68" s="413"/>
      <c r="BQ68" s="413"/>
      <c r="BR68" s="413">
        <v>0</v>
      </c>
      <c r="BS68" s="413">
        <v>0</v>
      </c>
      <c r="BT68" s="413">
        <v>0</v>
      </c>
      <c r="BU68" s="413">
        <v>-58</v>
      </c>
      <c r="BV68" s="504">
        <v>0</v>
      </c>
      <c r="BW68" s="413">
        <v>0</v>
      </c>
      <c r="BX68" s="413">
        <v>-31</v>
      </c>
      <c r="BY68" s="413">
        <v>-50</v>
      </c>
      <c r="BZ68" s="504">
        <v>12</v>
      </c>
      <c r="CA68" s="413">
        <v>-58</v>
      </c>
      <c r="CB68" s="413">
        <v>-33</v>
      </c>
      <c r="CC68" s="413">
        <v>-31</v>
      </c>
      <c r="CD68" s="504">
        <v>0</v>
      </c>
      <c r="CE68" s="413">
        <v>0</v>
      </c>
      <c r="CF68" s="413">
        <v>-24</v>
      </c>
      <c r="CG68" s="413">
        <v>-53</v>
      </c>
      <c r="CH68" s="413"/>
      <c r="CI68" s="413"/>
      <c r="CJ68" s="413"/>
      <c r="CK68" s="413"/>
      <c r="CL68" s="413"/>
      <c r="CM68" s="413"/>
      <c r="CN68" s="413"/>
      <c r="CO68" s="413"/>
      <c r="CP68" s="413"/>
      <c r="CQ68" s="413"/>
      <c r="CR68" s="413"/>
      <c r="CS68" s="413"/>
      <c r="CT68" s="413"/>
      <c r="CU68" s="413"/>
      <c r="CV68" s="413"/>
      <c r="CW68" s="413"/>
      <c r="CX68" s="413"/>
      <c r="CY68" s="413"/>
      <c r="CZ68" s="413"/>
      <c r="DA68" s="413"/>
      <c r="DB68" s="413"/>
      <c r="DC68" s="413"/>
      <c r="DD68" s="413"/>
      <c r="DE68" s="413"/>
      <c r="DF68" s="413"/>
      <c r="DG68" s="413"/>
      <c r="DH68" s="413"/>
      <c r="DI68" s="413"/>
    </row>
    <row r="69" spans="1:113" hidden="1" outlineLevel="1">
      <c r="A69" s="928" t="s">
        <v>377</v>
      </c>
      <c r="AD69" s="413"/>
      <c r="AE69" s="413"/>
      <c r="AF69" s="413"/>
      <c r="AG69" s="413"/>
      <c r="AH69" s="413"/>
      <c r="AI69" s="413"/>
      <c r="AJ69" s="413"/>
      <c r="AK69" s="413"/>
      <c r="AL69" s="413"/>
      <c r="AM69" s="413"/>
      <c r="AN69" s="413"/>
      <c r="AO69" s="413"/>
      <c r="AP69" s="413"/>
      <c r="AQ69" s="413"/>
      <c r="AR69" s="413"/>
      <c r="AS69" s="413"/>
      <c r="AT69" s="413"/>
      <c r="AU69" s="413"/>
      <c r="AV69" s="413"/>
      <c r="AW69" s="413"/>
      <c r="AX69" s="413"/>
      <c r="AY69" s="413"/>
      <c r="AZ69" s="413"/>
      <c r="BA69" s="413"/>
      <c r="BB69" s="413"/>
      <c r="BC69" s="413"/>
      <c r="BD69" s="413"/>
      <c r="BE69" s="413"/>
      <c r="BF69" s="413"/>
      <c r="BG69" s="413"/>
      <c r="BH69" s="413"/>
      <c r="BI69" s="413"/>
      <c r="BJ69" s="413"/>
      <c r="BK69" s="413"/>
      <c r="BL69" s="413"/>
      <c r="BM69" s="413"/>
      <c r="BN69" s="413"/>
      <c r="BO69" s="413"/>
      <c r="BP69" s="413"/>
      <c r="BQ69" s="413"/>
      <c r="BR69" s="413"/>
      <c r="BS69" s="413"/>
      <c r="BT69" s="413"/>
      <c r="BU69" s="413"/>
      <c r="BV69" s="504"/>
      <c r="BW69" s="413"/>
      <c r="BX69" s="413"/>
      <c r="BY69" s="413"/>
      <c r="BZ69" s="504"/>
      <c r="CA69" s="413"/>
      <c r="CB69" s="413"/>
      <c r="CC69" s="413"/>
      <c r="CD69" s="504"/>
      <c r="CE69" s="413"/>
      <c r="CF69" s="413"/>
      <c r="CG69" s="413">
        <v>78</v>
      </c>
      <c r="CH69" s="413"/>
      <c r="CI69" s="413"/>
      <c r="CJ69" s="413"/>
      <c r="CK69" s="413"/>
      <c r="CL69" s="413"/>
      <c r="CM69" s="413"/>
      <c r="CN69" s="413"/>
      <c r="CO69" s="413"/>
      <c r="CP69" s="413"/>
      <c r="CQ69" s="413"/>
      <c r="CR69" s="413"/>
      <c r="CS69" s="413"/>
      <c r="CT69" s="413"/>
      <c r="CU69" s="413"/>
      <c r="CV69" s="413"/>
      <c r="CW69" s="413"/>
      <c r="CX69" s="413"/>
      <c r="CY69" s="413"/>
      <c r="CZ69" s="413"/>
      <c r="DA69" s="413"/>
      <c r="DB69" s="413"/>
      <c r="DC69" s="413"/>
      <c r="DD69" s="413"/>
      <c r="DE69" s="413"/>
      <c r="DF69" s="413"/>
      <c r="DG69" s="413"/>
      <c r="DH69" s="413"/>
      <c r="DI69" s="413"/>
    </row>
    <row r="70" spans="1:113" hidden="1" outlineLevel="1">
      <c r="A70" s="928" t="s">
        <v>308</v>
      </c>
      <c r="AD70" s="413"/>
      <c r="AE70" s="413"/>
      <c r="AF70" s="413"/>
      <c r="AG70" s="413"/>
      <c r="AH70" s="413"/>
      <c r="AI70" s="413"/>
      <c r="AJ70" s="413"/>
      <c r="AK70" s="413"/>
      <c r="AL70" s="413"/>
      <c r="AM70" s="413"/>
      <c r="AN70" s="413"/>
      <c r="AO70" s="413"/>
      <c r="AP70" s="413"/>
      <c r="AQ70" s="413"/>
      <c r="AR70" s="413"/>
      <c r="AS70" s="413"/>
      <c r="AT70" s="413"/>
      <c r="AU70" s="413"/>
      <c r="AV70" s="413"/>
      <c r="AW70" s="413"/>
      <c r="AX70" s="413"/>
      <c r="AY70" s="413"/>
      <c r="AZ70" s="413"/>
      <c r="BA70" s="413"/>
      <c r="BB70" s="413"/>
      <c r="BC70" s="413"/>
      <c r="BD70" s="413"/>
      <c r="BE70" s="413"/>
      <c r="BF70" s="413"/>
      <c r="BG70" s="413"/>
      <c r="BH70" s="413"/>
      <c r="BI70" s="413"/>
      <c r="BJ70" s="413"/>
      <c r="BK70" s="413"/>
      <c r="BL70" s="413"/>
      <c r="BM70" s="413"/>
      <c r="BN70" s="413"/>
      <c r="BO70" s="413"/>
      <c r="BP70" s="413"/>
      <c r="BQ70" s="413"/>
      <c r="BR70" s="413">
        <v>0</v>
      </c>
      <c r="BS70" s="413">
        <v>0</v>
      </c>
      <c r="BT70" s="413">
        <v>0</v>
      </c>
      <c r="BU70" s="413">
        <v>0</v>
      </c>
      <c r="BV70" s="504">
        <v>117</v>
      </c>
      <c r="BW70" s="413">
        <v>4</v>
      </c>
      <c r="BX70" s="413">
        <v>5</v>
      </c>
      <c r="BY70" s="413">
        <v>6</v>
      </c>
      <c r="BZ70" s="504">
        <v>3</v>
      </c>
      <c r="CA70" s="413">
        <v>3</v>
      </c>
      <c r="CB70" s="413">
        <v>3</v>
      </c>
      <c r="CC70" s="413">
        <v>5</v>
      </c>
      <c r="CD70" s="504">
        <v>3</v>
      </c>
      <c r="CE70" s="413">
        <v>0</v>
      </c>
      <c r="CF70" s="413">
        <v>1</v>
      </c>
      <c r="CG70" s="413">
        <v>1</v>
      </c>
      <c r="CH70" s="413"/>
      <c r="CI70" s="413"/>
      <c r="CJ70" s="413"/>
      <c r="CK70" s="413"/>
      <c r="CL70" s="413"/>
      <c r="CM70" s="413"/>
      <c r="CN70" s="413"/>
      <c r="CO70" s="413"/>
      <c r="CP70" s="413"/>
      <c r="CQ70" s="413"/>
      <c r="CR70" s="413"/>
      <c r="CS70" s="413"/>
      <c r="CT70" s="413"/>
      <c r="CU70" s="413"/>
      <c r="CV70" s="413"/>
      <c r="CW70" s="413"/>
      <c r="CX70" s="413"/>
      <c r="CY70" s="413"/>
      <c r="CZ70" s="413"/>
      <c r="DA70" s="413"/>
      <c r="DB70" s="413"/>
      <c r="DC70" s="413"/>
      <c r="DD70" s="413"/>
      <c r="DE70" s="413"/>
      <c r="DF70" s="413"/>
      <c r="DG70" s="413"/>
      <c r="DH70" s="413"/>
      <c r="DI70" s="413"/>
    </row>
    <row r="71" spans="1:113" hidden="1" outlineLevel="1">
      <c r="A71" s="928"/>
      <c r="AD71" s="413"/>
      <c r="AE71" s="413"/>
      <c r="AF71" s="413"/>
      <c r="AG71" s="413"/>
      <c r="AH71" s="413"/>
      <c r="AI71" s="413"/>
      <c r="AJ71" s="413"/>
      <c r="AK71" s="413"/>
      <c r="AL71" s="413"/>
      <c r="AM71" s="413"/>
      <c r="AN71" s="413"/>
      <c r="AO71" s="413"/>
      <c r="AP71" s="413"/>
      <c r="AQ71" s="413"/>
      <c r="AR71" s="413"/>
      <c r="AS71" s="413"/>
      <c r="AT71" s="413"/>
      <c r="AU71" s="413"/>
      <c r="AV71" s="413"/>
      <c r="AW71" s="413"/>
      <c r="AX71" s="413"/>
      <c r="AY71" s="413"/>
      <c r="AZ71" s="413"/>
      <c r="BA71" s="413"/>
      <c r="BB71" s="413"/>
      <c r="BC71" s="413"/>
      <c r="BD71" s="413"/>
      <c r="BE71" s="413"/>
      <c r="BF71" s="413"/>
      <c r="BG71" s="413"/>
      <c r="BH71" s="413"/>
      <c r="BI71" s="413"/>
      <c r="BJ71" s="413"/>
      <c r="BK71" s="413"/>
      <c r="BL71" s="413"/>
      <c r="BM71" s="413"/>
      <c r="BN71" s="413"/>
      <c r="BO71" s="413"/>
      <c r="BP71" s="413"/>
      <c r="BQ71" s="413"/>
      <c r="BR71" s="413"/>
      <c r="BS71" s="413"/>
      <c r="BT71" s="413"/>
      <c r="BU71" s="413"/>
      <c r="BV71" s="504"/>
      <c r="BW71" s="413"/>
      <c r="BX71" s="413"/>
      <c r="BY71" s="413"/>
      <c r="BZ71" s="504"/>
      <c r="CA71" s="413"/>
      <c r="CB71" s="413"/>
      <c r="CC71" s="413"/>
      <c r="CD71" s="504"/>
      <c r="CE71" s="413"/>
      <c r="CF71" s="413"/>
      <c r="CG71" s="413"/>
      <c r="CH71" s="413"/>
      <c r="CI71" s="413"/>
      <c r="CJ71" s="413"/>
      <c r="CK71" s="413"/>
      <c r="CL71" s="413"/>
      <c r="CM71" s="413"/>
      <c r="CN71" s="413"/>
      <c r="CO71" s="413"/>
      <c r="CP71" s="413"/>
      <c r="CQ71" s="413"/>
      <c r="CR71" s="413"/>
      <c r="CS71" s="413"/>
      <c r="CT71" s="413"/>
      <c r="CU71" s="413"/>
      <c r="CV71" s="413"/>
      <c r="CW71" s="413"/>
      <c r="CX71" s="413"/>
      <c r="CY71" s="413"/>
      <c r="CZ71" s="413"/>
      <c r="DA71" s="413"/>
      <c r="DB71" s="413"/>
      <c r="DC71" s="413"/>
      <c r="DD71" s="413"/>
      <c r="DE71" s="413"/>
      <c r="DF71" s="413"/>
      <c r="DG71" s="413"/>
      <c r="DH71" s="413"/>
      <c r="DI71" s="413"/>
    </row>
    <row r="72" spans="1:113" hidden="1" outlineLevel="1">
      <c r="A72" s="929" t="s">
        <v>194</v>
      </c>
      <c r="AD72" s="192"/>
      <c r="AE72" s="192"/>
      <c r="AF72" s="192"/>
      <c r="AG72" s="192"/>
      <c r="AH72" s="192"/>
      <c r="AI72" s="192"/>
      <c r="AJ72" s="192"/>
      <c r="AK72" s="192"/>
      <c r="AL72" s="192"/>
      <c r="AM72" s="192"/>
      <c r="AN72" s="192"/>
      <c r="AO72" s="192"/>
      <c r="AP72" s="192"/>
      <c r="AQ72" s="192"/>
      <c r="AR72" s="192"/>
      <c r="AS72" s="192"/>
      <c r="AT72" s="192"/>
      <c r="AU72" s="192"/>
      <c r="AV72" s="192"/>
      <c r="AW72" s="192"/>
      <c r="AX72" s="192"/>
      <c r="AY72" s="192"/>
      <c r="AZ72" s="192"/>
      <c r="BA72" s="192"/>
      <c r="BB72" s="192"/>
      <c r="BC72" s="192"/>
      <c r="BD72" s="192"/>
      <c r="BE72" s="192"/>
      <c r="BF72" s="192"/>
      <c r="BG72" s="192"/>
      <c r="BH72" s="192"/>
      <c r="BI72" s="192"/>
      <c r="BJ72" s="192"/>
      <c r="BK72" s="192"/>
      <c r="BL72" s="192"/>
      <c r="BM72" s="192"/>
      <c r="BN72" s="192"/>
      <c r="BO72" s="192"/>
      <c r="BP72" s="192"/>
      <c r="BQ72" s="192"/>
      <c r="BR72" s="192">
        <f t="shared" ref="BR72:CK72" si="123">BR45-SUM(BR62:BR70)</f>
        <v>613.57303370786508</v>
      </c>
      <c r="BS72" s="192">
        <f t="shared" si="123"/>
        <v>930.39225016995238</v>
      </c>
      <c r="BT72" s="192">
        <f t="shared" ca="1" si="123"/>
        <v>867.08173784977919</v>
      </c>
      <c r="BU72" s="192">
        <f t="shared" si="123"/>
        <v>678.89104322330468</v>
      </c>
      <c r="BV72" s="192">
        <f t="shared" si="123"/>
        <v>589</v>
      </c>
      <c r="BW72" s="192">
        <f t="shared" si="123"/>
        <v>1009.5028002489112</v>
      </c>
      <c r="BX72" s="192">
        <f t="shared" si="123"/>
        <v>882</v>
      </c>
      <c r="BY72" s="192">
        <f t="shared" si="123"/>
        <v>725</v>
      </c>
      <c r="BZ72" s="192">
        <f t="shared" si="123"/>
        <v>813</v>
      </c>
      <c r="CA72" s="192">
        <f t="shared" si="123"/>
        <v>1041</v>
      </c>
      <c r="CB72" s="192">
        <f t="shared" si="123"/>
        <v>1131</v>
      </c>
      <c r="CC72" s="192">
        <f t="shared" si="123"/>
        <v>918</v>
      </c>
      <c r="CD72" s="192">
        <f t="shared" si="123"/>
        <v>937</v>
      </c>
      <c r="CE72" s="192">
        <f t="shared" si="123"/>
        <v>456.38400000000001</v>
      </c>
      <c r="CF72" s="192">
        <f t="shared" si="123"/>
        <v>1173</v>
      </c>
      <c r="CG72" s="192">
        <f t="shared" si="123"/>
        <v>836</v>
      </c>
      <c r="CH72" s="192">
        <f t="shared" si="123"/>
        <v>1001</v>
      </c>
      <c r="CI72" s="192">
        <f t="shared" si="123"/>
        <v>1197</v>
      </c>
      <c r="CJ72" s="192">
        <f t="shared" si="123"/>
        <v>1175</v>
      </c>
      <c r="CK72" s="192">
        <f t="shared" si="123"/>
        <v>1110</v>
      </c>
      <c r="CL72" s="192"/>
      <c r="CM72" s="192"/>
      <c r="CN72" s="192"/>
      <c r="CO72" s="192"/>
      <c r="CP72" s="192"/>
      <c r="CQ72" s="192"/>
      <c r="CR72" s="192"/>
      <c r="CS72" s="192"/>
      <c r="CT72" s="192"/>
      <c r="CU72" s="192"/>
      <c r="CV72" s="192"/>
      <c r="CW72" s="192"/>
      <c r="CX72" s="192"/>
      <c r="CY72" s="192"/>
      <c r="CZ72" s="192"/>
      <c r="DA72" s="192"/>
      <c r="DB72" s="192"/>
      <c r="DC72" s="192"/>
      <c r="DD72" s="192"/>
      <c r="DE72" s="192"/>
      <c r="DF72" s="192"/>
      <c r="DG72" s="192"/>
      <c r="DH72" s="192"/>
      <c r="DI72" s="192"/>
    </row>
    <row r="73" spans="1:113" hidden="1" outlineLevel="1">
      <c r="A73" s="301" t="s">
        <v>464</v>
      </c>
      <c r="B73" s="773"/>
      <c r="C73" s="773"/>
      <c r="D73" s="773"/>
      <c r="E73" s="773"/>
      <c r="F73" s="773"/>
      <c r="G73" s="763"/>
      <c r="H73" s="777"/>
      <c r="I73" s="778"/>
      <c r="J73" s="738">
        <f>-(J33*(1-I38))/J58</f>
        <v>0.1612387268922699</v>
      </c>
      <c r="K73" s="738">
        <f t="shared" ref="K73:W73" si="124">-(K33*(1-J38))/K58</f>
        <v>0.1738816480674146</v>
      </c>
      <c r="L73" s="738">
        <f t="shared" ca="1" si="124"/>
        <v>0.17932241209881289</v>
      </c>
      <c r="M73" s="738">
        <f t="shared" si="124"/>
        <v>0.21766443866222002</v>
      </c>
      <c r="N73" s="738">
        <f t="shared" si="124"/>
        <v>0.24832553052200071</v>
      </c>
      <c r="O73" s="738">
        <f t="shared" si="124"/>
        <v>0.30475353883664635</v>
      </c>
      <c r="P73" s="738">
        <f t="shared" si="124"/>
        <v>0.3208503925661455</v>
      </c>
      <c r="Q73" s="738">
        <f t="shared" si="124"/>
        <v>0.3321796008165942</v>
      </c>
      <c r="R73" s="738">
        <f t="shared" si="124"/>
        <v>0.2964872725612846</v>
      </c>
      <c r="S73" s="738">
        <f t="shared" si="124"/>
        <v>0.22038481080267555</v>
      </c>
      <c r="T73" s="738">
        <f t="shared" si="124"/>
        <v>0.23756816412915643</v>
      </c>
      <c r="U73" s="738">
        <f t="shared" si="124"/>
        <v>0.32230451039986541</v>
      </c>
      <c r="V73" s="738">
        <f t="shared" si="124"/>
        <v>0.43564397276000077</v>
      </c>
      <c r="W73" s="738">
        <f t="shared" si="124"/>
        <v>0.47716137752974552</v>
      </c>
      <c r="X73" s="738">
        <f>-(X33*(1-W38))/X58</f>
        <v>0.52010256842237346</v>
      </c>
      <c r="Y73" s="738">
        <f>-(Y33*(1-X38))/Y58</f>
        <v>0.56678496445420268</v>
      </c>
      <c r="Z73" s="738">
        <f>-(Z33*(1-Y38))/Z58</f>
        <v>0.61752346811739933</v>
      </c>
      <c r="AA73" s="738">
        <f>-(AA33*(1-Z38))/AA58</f>
        <v>0.67265859095378577</v>
      </c>
      <c r="AB73" s="738">
        <f>-(AB33*(1-AA38))/AB58</f>
        <v>0.7325584725842913</v>
      </c>
      <c r="AD73" s="192"/>
      <c r="AE73" s="192"/>
      <c r="AF73" s="192"/>
      <c r="AG73" s="192"/>
      <c r="AH73" s="192"/>
      <c r="AI73" s="192"/>
      <c r="AJ73" s="192"/>
      <c r="AK73" s="192"/>
      <c r="AL73" s="192"/>
      <c r="AM73" s="192"/>
      <c r="AN73" s="192"/>
      <c r="AO73" s="192"/>
      <c r="AP73" s="192"/>
      <c r="AQ73" s="192"/>
      <c r="AR73" s="192"/>
      <c r="AS73" s="192"/>
      <c r="AT73" s="192"/>
      <c r="AU73" s="192"/>
      <c r="AV73" s="192"/>
      <c r="AW73" s="192"/>
      <c r="AX73" s="192"/>
      <c r="AY73" s="192"/>
      <c r="AZ73" s="192"/>
      <c r="BA73" s="192"/>
      <c r="BB73" s="192"/>
      <c r="BC73" s="192"/>
      <c r="BD73" s="192"/>
      <c r="BE73" s="192"/>
      <c r="BF73" s="192"/>
      <c r="BG73" s="192"/>
      <c r="BH73" s="192"/>
      <c r="BI73" s="192"/>
      <c r="BJ73" s="192"/>
      <c r="BK73" s="192"/>
      <c r="BL73" s="192"/>
      <c r="BM73" s="192"/>
      <c r="BN73" s="192"/>
      <c r="BO73" s="192"/>
      <c r="BP73" s="192"/>
      <c r="BQ73" s="192"/>
      <c r="BR73" s="192"/>
      <c r="BS73" s="192"/>
      <c r="BT73" s="192"/>
      <c r="BU73" s="192"/>
      <c r="BV73" s="192"/>
      <c r="BW73" s="192"/>
      <c r="BX73" s="192"/>
      <c r="BY73" s="192"/>
      <c r="BZ73" s="192"/>
      <c r="CA73" s="192"/>
      <c r="CB73" s="192"/>
      <c r="CC73" s="192"/>
      <c r="CD73" s="192"/>
      <c r="CE73" s="192"/>
      <c r="CF73" s="192"/>
      <c r="CG73" s="192"/>
      <c r="CH73" s="192"/>
      <c r="CI73" s="192"/>
      <c r="CJ73" s="192"/>
      <c r="CK73" s="192"/>
      <c r="CL73" s="192"/>
      <c r="CM73" s="192"/>
      <c r="CN73" s="192"/>
      <c r="CO73" s="192"/>
      <c r="CP73" s="192"/>
      <c r="CQ73" s="192"/>
      <c r="CR73" s="192"/>
      <c r="CS73" s="192"/>
      <c r="CT73" s="192"/>
      <c r="CU73" s="192"/>
      <c r="CV73" s="192"/>
      <c r="CW73" s="192"/>
      <c r="CX73" s="192"/>
      <c r="CY73" s="192"/>
      <c r="CZ73" s="192"/>
      <c r="DA73" s="192"/>
      <c r="DB73" s="192"/>
      <c r="DC73" s="192"/>
      <c r="DD73" s="192"/>
      <c r="DE73" s="192"/>
      <c r="DF73" s="192"/>
      <c r="DG73" s="192"/>
      <c r="DH73" s="192"/>
      <c r="DI73" s="192"/>
    </row>
    <row r="74" spans="1:113" hidden="1" outlineLevel="1">
      <c r="A74" s="301" t="s">
        <v>465</v>
      </c>
      <c r="B74" s="773"/>
      <c r="C74" s="773"/>
      <c r="D74" s="773"/>
      <c r="E74" s="773"/>
      <c r="F74" s="773"/>
      <c r="G74" s="763"/>
      <c r="H74" s="777"/>
      <c r="I74" s="778"/>
      <c r="J74" s="732">
        <f>J47-J73</f>
        <v>1.3598791308665374</v>
      </c>
      <c r="K74" s="732">
        <f t="shared" ref="K74:W74" ca="1" si="125">K47-K73</f>
        <v>1.4787000792689058</v>
      </c>
      <c r="L74" s="732">
        <f t="shared" ca="1" si="125"/>
        <v>1.5785253910150991</v>
      </c>
      <c r="M74" s="732">
        <f t="shared" si="125"/>
        <v>1.6866394805491289</v>
      </c>
      <c r="N74" s="732">
        <f t="shared" si="125"/>
        <v>1.801763616764821</v>
      </c>
      <c r="O74" s="732">
        <f t="shared" si="125"/>
        <v>1.9101674097799544</v>
      </c>
      <c r="P74" s="732">
        <f t="shared" si="125"/>
        <v>2.0621389757890767</v>
      </c>
      <c r="Q74" s="732">
        <f t="shared" si="125"/>
        <v>2.2633714608618689</v>
      </c>
      <c r="R74" s="732">
        <f t="shared" si="125"/>
        <v>2.5091709407686502</v>
      </c>
      <c r="S74" s="732">
        <f t="shared" si="125"/>
        <v>2.8134266646071611</v>
      </c>
      <c r="T74" s="732">
        <f t="shared" si="125"/>
        <v>3.1850040143485336</v>
      </c>
      <c r="U74" s="732">
        <f t="shared" ca="1" si="125"/>
        <v>3.6277088218884832</v>
      </c>
      <c r="V74" s="732">
        <f t="shared" ca="1" si="125"/>
        <v>3.8877780731673801</v>
      </c>
      <c r="W74" s="732">
        <f t="shared" ca="1" si="125"/>
        <v>4.2414339971646644</v>
      </c>
      <c r="X74" s="732">
        <f ca="1">X47-X73</f>
        <v>4.5518411686866695</v>
      </c>
      <c r="Y74" s="732">
        <f ca="1">Y47-Y73</f>
        <v>4.8664654656015145</v>
      </c>
      <c r="Z74" s="732">
        <f ca="1">Z47-Z73</f>
        <v>5.1861561130868159</v>
      </c>
      <c r="AA74" s="732">
        <f ca="1">AA47-AA73</f>
        <v>5.5116653026628724</v>
      </c>
      <c r="AB74" s="732">
        <f ca="1">AB47-AB73</f>
        <v>5.8437618754653489</v>
      </c>
      <c r="AD74" s="192"/>
      <c r="AE74" s="192"/>
      <c r="AF74" s="192"/>
      <c r="AG74" s="192"/>
      <c r="AH74" s="192"/>
      <c r="AI74" s="192"/>
      <c r="AJ74" s="192"/>
      <c r="AK74" s="192"/>
      <c r="AL74" s="192"/>
      <c r="AM74" s="192"/>
      <c r="AN74" s="192"/>
      <c r="AO74" s="192"/>
      <c r="AP74" s="192"/>
      <c r="AQ74" s="192"/>
      <c r="AR74" s="192"/>
      <c r="AS74" s="192"/>
      <c r="AT74" s="192"/>
      <c r="AU74" s="192"/>
      <c r="AV74" s="192"/>
      <c r="AW74" s="192"/>
      <c r="AX74" s="192"/>
      <c r="AY74" s="192"/>
      <c r="AZ74" s="192"/>
      <c r="BA74" s="192"/>
      <c r="BB74" s="192"/>
      <c r="BC74" s="192"/>
      <c r="BD74" s="192"/>
      <c r="BE74" s="192"/>
      <c r="BF74" s="192"/>
      <c r="BG74" s="192"/>
      <c r="BH74" s="192"/>
      <c r="BI74" s="192"/>
      <c r="BJ74" s="192"/>
      <c r="BK74" s="192"/>
      <c r="BL74" s="192"/>
      <c r="BM74" s="192"/>
      <c r="BN74" s="192"/>
      <c r="BO74" s="192"/>
      <c r="BP74" s="192"/>
      <c r="BQ74" s="192"/>
      <c r="BR74" s="192"/>
      <c r="BS74" s="192"/>
      <c r="BT74" s="192"/>
      <c r="BU74" s="192"/>
      <c r="BV74" s="192"/>
      <c r="BW74" s="192"/>
      <c r="BX74" s="192"/>
      <c r="BY74" s="192"/>
      <c r="BZ74" s="192"/>
      <c r="CA74" s="192"/>
      <c r="CB74" s="192"/>
      <c r="CC74" s="192"/>
      <c r="CD74" s="192"/>
      <c r="CE74" s="192"/>
      <c r="CF74" s="192"/>
      <c r="CG74" s="192"/>
      <c r="CH74" s="192"/>
      <c r="CI74" s="192"/>
      <c r="CJ74" s="192"/>
      <c r="CK74" s="192"/>
      <c r="CL74" s="192"/>
      <c r="CM74" s="192"/>
      <c r="CN74" s="192"/>
      <c r="CO74" s="192"/>
      <c r="CP74" s="192"/>
      <c r="CQ74" s="192"/>
      <c r="CR74" s="192"/>
      <c r="CS74" s="192"/>
      <c r="CT74" s="192"/>
      <c r="CU74" s="192"/>
      <c r="CV74" s="192"/>
      <c r="CW74" s="192"/>
      <c r="CX74" s="192"/>
      <c r="CY74" s="192"/>
      <c r="CZ74" s="192"/>
      <c r="DA74" s="192"/>
      <c r="DB74" s="192"/>
      <c r="DC74" s="192"/>
      <c r="DD74" s="192"/>
      <c r="DE74" s="192"/>
      <c r="DF74" s="192"/>
      <c r="DG74" s="192"/>
      <c r="DH74" s="192"/>
      <c r="DI74" s="192"/>
    </row>
    <row r="75" spans="1:113" hidden="1" outlineLevel="1">
      <c r="A75" s="301"/>
      <c r="B75" s="773"/>
      <c r="C75" s="773"/>
      <c r="D75" s="773"/>
      <c r="E75" s="773"/>
      <c r="F75" s="773"/>
      <c r="G75" s="763"/>
      <c r="H75" s="777"/>
      <c r="I75" s="778"/>
      <c r="J75" s="750"/>
      <c r="K75" s="12"/>
      <c r="L75" s="12"/>
      <c r="M75" s="12"/>
      <c r="N75" s="12"/>
      <c r="O75" s="12"/>
      <c r="P75" s="12"/>
      <c r="Q75" s="12"/>
      <c r="R75" s="12"/>
      <c r="S75" s="12"/>
      <c r="T75" s="12"/>
      <c r="U75" s="12"/>
      <c r="V75" s="12"/>
      <c r="W75" s="12"/>
      <c r="X75" s="12"/>
      <c r="Y75" s="12"/>
      <c r="Z75" s="12"/>
      <c r="AA75" s="12"/>
      <c r="AB75" s="12"/>
      <c r="AD75" s="192"/>
      <c r="AE75" s="192"/>
      <c r="AF75" s="192"/>
      <c r="AG75" s="192"/>
      <c r="AH75" s="192"/>
      <c r="AI75" s="192"/>
      <c r="AJ75" s="192"/>
      <c r="AK75" s="192"/>
      <c r="AL75" s="192"/>
      <c r="AM75" s="192"/>
      <c r="AN75" s="192"/>
      <c r="AO75" s="192"/>
      <c r="AP75" s="192"/>
      <c r="AQ75" s="192"/>
      <c r="AR75" s="192"/>
      <c r="AS75" s="192"/>
      <c r="AT75" s="192"/>
      <c r="AU75" s="192"/>
      <c r="AV75" s="192"/>
      <c r="AW75" s="192"/>
      <c r="AX75" s="192"/>
      <c r="AY75" s="192"/>
      <c r="AZ75" s="192"/>
      <c r="BA75" s="192"/>
      <c r="BB75" s="192"/>
      <c r="BC75" s="192"/>
      <c r="BD75" s="192"/>
      <c r="BE75" s="192"/>
      <c r="BF75" s="192"/>
      <c r="BG75" s="192"/>
      <c r="BH75" s="192"/>
      <c r="BI75" s="192"/>
      <c r="BJ75" s="192"/>
      <c r="BK75" s="192"/>
      <c r="BL75" s="192"/>
      <c r="BM75" s="192"/>
      <c r="BN75" s="192"/>
      <c r="BO75" s="192"/>
      <c r="BP75" s="192"/>
      <c r="BQ75" s="192"/>
      <c r="BR75" s="192"/>
      <c r="BS75" s="192"/>
      <c r="BT75" s="192"/>
      <c r="BU75" s="192"/>
      <c r="BV75" s="192"/>
      <c r="BW75" s="192"/>
      <c r="BX75" s="192"/>
      <c r="BY75" s="192"/>
      <c r="BZ75" s="192"/>
      <c r="CA75" s="192"/>
      <c r="CB75" s="192"/>
      <c r="CC75" s="192"/>
      <c r="CD75" s="192"/>
      <c r="CE75" s="192"/>
      <c r="CF75" s="192"/>
      <c r="CG75" s="192"/>
      <c r="CH75" s="192"/>
      <c r="CI75" s="192"/>
      <c r="CJ75" s="192"/>
      <c r="CK75" s="192"/>
      <c r="CL75" s="192"/>
      <c r="CM75" s="192"/>
      <c r="CN75" s="192"/>
      <c r="CO75" s="192"/>
      <c r="CP75" s="192"/>
      <c r="CQ75" s="192"/>
      <c r="CR75" s="192"/>
      <c r="CS75" s="192"/>
      <c r="CT75" s="192"/>
      <c r="CU75" s="192"/>
      <c r="CV75" s="192"/>
      <c r="CW75" s="192"/>
      <c r="CX75" s="192"/>
      <c r="CY75" s="192"/>
      <c r="CZ75" s="192"/>
      <c r="DA75" s="192"/>
      <c r="DB75" s="192"/>
      <c r="DC75" s="192"/>
      <c r="DD75" s="192"/>
      <c r="DE75" s="192"/>
      <c r="DF75" s="192"/>
      <c r="DG75" s="192"/>
      <c r="DH75" s="192"/>
      <c r="DI75" s="192"/>
    </row>
    <row r="76" spans="1:113" hidden="1" outlineLevel="1">
      <c r="A76" s="34" t="s">
        <v>164</v>
      </c>
      <c r="B76" s="773"/>
      <c r="C76" s="773"/>
      <c r="D76" s="773"/>
      <c r="E76" s="773"/>
      <c r="F76" s="779"/>
      <c r="G76" s="467"/>
      <c r="H76" s="467"/>
      <c r="I76" s="467"/>
      <c r="J76" s="763"/>
      <c r="K76" s="763"/>
      <c r="L76" s="763"/>
      <c r="M76" s="330"/>
      <c r="N76" s="330"/>
      <c r="O76" s="330"/>
      <c r="P76" s="330"/>
      <c r="Q76" s="330"/>
      <c r="R76" s="330"/>
      <c r="S76" s="330"/>
      <c r="T76" s="330"/>
      <c r="U76" s="330"/>
      <c r="V76" s="330"/>
      <c r="W76" s="330"/>
      <c r="X76" s="330"/>
      <c r="Y76" s="330"/>
      <c r="Z76" s="330"/>
      <c r="AA76" s="330"/>
      <c r="AB76" s="330"/>
      <c r="AD76" s="192"/>
      <c r="AE76" s="192"/>
      <c r="AF76" s="192"/>
      <c r="AG76" s="192"/>
      <c r="AH76" s="192"/>
      <c r="AI76" s="192"/>
      <c r="AJ76" s="192"/>
      <c r="AK76" s="192"/>
      <c r="AL76" s="192"/>
      <c r="AM76" s="192"/>
      <c r="AN76" s="192"/>
      <c r="AO76" s="192"/>
      <c r="AP76" s="192"/>
      <c r="AQ76" s="192"/>
      <c r="AR76" s="192"/>
      <c r="AS76" s="192"/>
      <c r="AT76" s="192"/>
      <c r="AU76" s="192"/>
      <c r="AV76" s="192"/>
      <c r="AW76" s="192"/>
      <c r="AX76" s="192"/>
      <c r="AY76" s="192"/>
      <c r="AZ76" s="192"/>
      <c r="BA76" s="192"/>
      <c r="BB76" s="192"/>
      <c r="BC76" s="192"/>
      <c r="BD76" s="192"/>
      <c r="BE76" s="192"/>
      <c r="BF76" s="192"/>
      <c r="BG76" s="192"/>
      <c r="BH76" s="192"/>
      <c r="BI76" s="192"/>
      <c r="BJ76" s="192"/>
      <c r="BK76" s="192"/>
      <c r="BL76" s="192"/>
      <c r="BM76" s="192"/>
      <c r="BN76" s="192"/>
      <c r="BO76" s="192"/>
      <c r="BP76" s="192"/>
      <c r="BQ76" s="192"/>
      <c r="BR76" s="192"/>
      <c r="BS76" s="192"/>
      <c r="BT76" s="192"/>
      <c r="BU76" s="192"/>
      <c r="BV76" s="192"/>
      <c r="BW76" s="192"/>
      <c r="BX76" s="192"/>
      <c r="BY76" s="192"/>
      <c r="BZ76" s="192"/>
      <c r="CA76" s="192"/>
      <c r="CB76" s="192"/>
      <c r="CC76" s="192"/>
      <c r="CD76" s="192"/>
      <c r="CE76" s="192"/>
      <c r="CF76" s="192"/>
      <c r="CG76" s="192"/>
      <c r="CH76" s="192"/>
      <c r="CI76" s="192"/>
      <c r="CJ76" s="192"/>
      <c r="CK76" s="192"/>
      <c r="CL76" s="192"/>
      <c r="CM76" s="192"/>
      <c r="CN76" s="192"/>
      <c r="CO76" s="192"/>
      <c r="CP76" s="192"/>
      <c r="CQ76" s="192"/>
      <c r="CR76" s="192"/>
      <c r="CS76" s="192"/>
      <c r="CT76" s="192"/>
      <c r="CU76" s="192"/>
      <c r="CV76" s="192"/>
      <c r="CW76" s="192"/>
      <c r="CX76" s="192"/>
      <c r="CY76" s="192"/>
      <c r="CZ76" s="192"/>
      <c r="DA76" s="192"/>
      <c r="DB76" s="192"/>
      <c r="DC76" s="192"/>
      <c r="DD76" s="192"/>
      <c r="DE76" s="192"/>
      <c r="DF76" s="192"/>
      <c r="DG76" s="192"/>
      <c r="DH76" s="192"/>
      <c r="DI76" s="192"/>
    </row>
    <row r="77" spans="1:113" hidden="1" outlineLevel="1">
      <c r="A77" s="301" t="s">
        <v>307</v>
      </c>
      <c r="B77" s="773"/>
      <c r="C77" s="773"/>
      <c r="D77" s="773"/>
      <c r="E77" s="773"/>
      <c r="F77" s="773">
        <f>313*(1-0.349)</f>
        <v>203.76300000000001</v>
      </c>
      <c r="G77" s="763">
        <v>7.5971512126088797E-2</v>
      </c>
      <c r="H77" s="780"/>
      <c r="I77" s="750"/>
      <c r="J77" s="726"/>
      <c r="K77" s="467"/>
      <c r="L77" s="467"/>
      <c r="M77" s="394"/>
      <c r="N77" s="394"/>
      <c r="O77" s="394"/>
      <c r="P77" s="394"/>
      <c r="Q77" s="394"/>
      <c r="R77" s="394"/>
      <c r="S77" s="394"/>
      <c r="T77" s="394"/>
      <c r="U77" s="394"/>
      <c r="V77" s="394"/>
      <c r="W77" s="394"/>
      <c r="X77" s="394"/>
      <c r="Y77" s="394"/>
      <c r="Z77" s="394"/>
      <c r="AA77" s="394"/>
      <c r="AB77" s="394"/>
      <c r="AD77" s="192"/>
      <c r="AE77" s="192"/>
      <c r="AF77" s="192"/>
      <c r="AG77" s="192"/>
      <c r="AH77" s="192"/>
      <c r="AI77" s="192"/>
      <c r="AJ77" s="192"/>
      <c r="AK77" s="192"/>
      <c r="AL77" s="192"/>
      <c r="AM77" s="192"/>
      <c r="AN77" s="192"/>
      <c r="AO77" s="192"/>
      <c r="AP77" s="192"/>
      <c r="AQ77" s="192"/>
      <c r="AR77" s="192"/>
      <c r="AS77" s="192"/>
      <c r="AT77" s="192"/>
      <c r="AU77" s="192"/>
      <c r="AV77" s="192"/>
      <c r="AW77" s="192"/>
      <c r="AX77" s="192"/>
      <c r="AY77" s="192"/>
      <c r="AZ77" s="192"/>
      <c r="BA77" s="192"/>
      <c r="BB77" s="192"/>
      <c r="BC77" s="192"/>
      <c r="BD77" s="192"/>
      <c r="BE77" s="192"/>
      <c r="BF77" s="192"/>
      <c r="BG77" s="192"/>
      <c r="BH77" s="192"/>
      <c r="BI77" s="192"/>
      <c r="BJ77" s="192"/>
      <c r="BK77" s="192"/>
      <c r="BL77" s="192"/>
      <c r="BM77" s="192"/>
      <c r="BN77" s="192"/>
      <c r="BO77" s="192"/>
      <c r="BP77" s="192"/>
      <c r="BQ77" s="192"/>
      <c r="BR77" s="192"/>
      <c r="BS77" s="192"/>
      <c r="BT77" s="192"/>
      <c r="BU77" s="192"/>
      <c r="BV77" s="192"/>
      <c r="BW77" s="192"/>
      <c r="BX77" s="192"/>
      <c r="BY77" s="192"/>
      <c r="BZ77" s="192"/>
      <c r="CA77" s="192"/>
      <c r="CB77" s="192"/>
      <c r="CC77" s="192"/>
      <c r="CD77" s="192"/>
      <c r="CE77" s="192"/>
      <c r="CF77" s="192"/>
      <c r="CG77" s="192"/>
      <c r="CH77" s="192"/>
      <c r="CI77" s="192"/>
      <c r="CJ77" s="192"/>
      <c r="CK77" s="192"/>
      <c r="CL77" s="192"/>
      <c r="CM77" s="192"/>
      <c r="CN77" s="192"/>
      <c r="CO77" s="192"/>
      <c r="CP77" s="192"/>
      <c r="CQ77" s="192"/>
      <c r="CR77" s="192"/>
      <c r="CS77" s="192"/>
      <c r="CT77" s="192"/>
      <c r="CU77" s="192"/>
      <c r="CV77" s="192"/>
      <c r="CW77" s="192"/>
      <c r="CX77" s="192"/>
      <c r="CY77" s="192"/>
      <c r="CZ77" s="192"/>
      <c r="DA77" s="192"/>
      <c r="DB77" s="192"/>
      <c r="DC77" s="192"/>
      <c r="DD77" s="192"/>
      <c r="DE77" s="192"/>
      <c r="DF77" s="192"/>
      <c r="DG77" s="192"/>
      <c r="DH77" s="192"/>
      <c r="DI77" s="192"/>
    </row>
    <row r="78" spans="1:113" hidden="1" outlineLevel="1">
      <c r="A78" s="15"/>
      <c r="I78" s="15"/>
      <c r="J78" s="15"/>
      <c r="N78" s="18"/>
      <c r="O78" s="18"/>
      <c r="P78" s="18"/>
      <c r="Q78" s="18"/>
      <c r="R78" s="18"/>
      <c r="S78" s="18"/>
      <c r="T78" s="18"/>
      <c r="U78" s="18"/>
      <c r="V78" s="18"/>
      <c r="W78" s="18"/>
      <c r="X78" s="18"/>
      <c r="Y78" s="18"/>
      <c r="Z78" s="18"/>
      <c r="AA78" s="18"/>
      <c r="AB78" s="18"/>
      <c r="AD78" s="192"/>
      <c r="AE78" s="192"/>
      <c r="AF78" s="192"/>
      <c r="AG78" s="192"/>
      <c r="AH78" s="192"/>
      <c r="AI78" s="192"/>
      <c r="AJ78" s="192"/>
      <c r="AK78" s="192"/>
      <c r="AL78" s="192"/>
      <c r="AM78" s="192"/>
      <c r="AN78" s="192"/>
      <c r="AO78" s="192"/>
      <c r="AP78" s="192"/>
      <c r="AQ78" s="192"/>
      <c r="AR78" s="192"/>
      <c r="AS78" s="192"/>
      <c r="AT78" s="192"/>
      <c r="AU78" s="192"/>
      <c r="AV78" s="192"/>
      <c r="AW78" s="192"/>
      <c r="AX78" s="192"/>
      <c r="AY78" s="192"/>
      <c r="AZ78" s="192"/>
      <c r="BA78" s="192"/>
      <c r="BB78" s="192"/>
      <c r="BC78" s="192"/>
      <c r="BD78" s="192"/>
      <c r="BE78" s="192"/>
      <c r="BF78" s="192"/>
      <c r="BG78" s="192"/>
      <c r="BH78" s="192"/>
      <c r="BI78" s="192"/>
      <c r="BJ78" s="192"/>
      <c r="BK78" s="192"/>
      <c r="BL78" s="192"/>
      <c r="BM78" s="192"/>
      <c r="BN78" s="192"/>
      <c r="BO78" s="192"/>
      <c r="BP78" s="192"/>
      <c r="BQ78" s="192"/>
      <c r="BR78" s="192"/>
      <c r="BS78" s="192"/>
      <c r="BT78" s="192"/>
      <c r="BU78" s="192"/>
      <c r="BV78" s="192"/>
      <c r="BW78" s="192"/>
      <c r="BX78" s="192"/>
      <c r="BY78" s="192"/>
      <c r="BZ78" s="192"/>
      <c r="CA78" s="192"/>
      <c r="CB78" s="192"/>
      <c r="CC78" s="192"/>
      <c r="CD78" s="192"/>
      <c r="CE78" s="192"/>
      <c r="CF78" s="192"/>
      <c r="CG78" s="192"/>
      <c r="CH78" s="192"/>
      <c r="CI78" s="192"/>
      <c r="CJ78" s="192"/>
      <c r="CK78" s="192"/>
      <c r="CL78" s="192"/>
      <c r="CM78" s="192"/>
      <c r="CN78" s="192"/>
      <c r="CO78" s="192"/>
      <c r="CP78" s="192"/>
      <c r="CQ78" s="192"/>
      <c r="CR78" s="192"/>
      <c r="CS78" s="192"/>
      <c r="CT78" s="192"/>
      <c r="CU78" s="192"/>
      <c r="CV78" s="192"/>
      <c r="CW78" s="192"/>
      <c r="CX78" s="192"/>
      <c r="CY78" s="192"/>
      <c r="CZ78" s="192"/>
      <c r="DA78" s="192"/>
      <c r="DB78" s="192"/>
      <c r="DC78" s="192"/>
      <c r="DD78" s="192"/>
      <c r="DE78" s="192"/>
      <c r="DF78" s="192"/>
      <c r="DG78" s="192"/>
      <c r="DH78" s="192"/>
      <c r="DI78" s="192"/>
    </row>
    <row r="79" spans="1:113" hidden="1" outlineLevel="1">
      <c r="A79" s="643" t="s">
        <v>314</v>
      </c>
      <c r="B79" s="781"/>
      <c r="C79" s="781"/>
      <c r="D79" s="781"/>
      <c r="E79" s="781">
        <v>1700</v>
      </c>
      <c r="F79" s="781"/>
      <c r="G79" s="498"/>
      <c r="H79" s="498"/>
      <c r="I79" s="731"/>
      <c r="J79" s="731"/>
      <c r="K79" s="498"/>
      <c r="L79" s="498"/>
      <c r="M79" s="498"/>
      <c r="N79" s="498"/>
      <c r="O79" s="498"/>
      <c r="P79" s="498"/>
      <c r="Q79" s="498"/>
      <c r="R79" s="498"/>
      <c r="S79" s="498"/>
      <c r="T79" s="498"/>
      <c r="U79" s="498"/>
      <c r="V79" s="498"/>
      <c r="W79" s="498"/>
      <c r="X79" s="498"/>
      <c r="Y79" s="498"/>
      <c r="Z79" s="498"/>
      <c r="AA79" s="498"/>
      <c r="AB79" s="498"/>
      <c r="AD79" s="192"/>
      <c r="AE79" s="192"/>
      <c r="AF79" s="192"/>
      <c r="AG79" s="192"/>
      <c r="AH79" s="192"/>
      <c r="AI79" s="192"/>
      <c r="AJ79" s="192"/>
      <c r="AK79" s="192"/>
      <c r="AL79" s="192"/>
      <c r="AM79" s="192"/>
      <c r="AN79" s="192"/>
      <c r="AO79" s="192"/>
      <c r="AP79" s="192"/>
      <c r="AQ79" s="192"/>
      <c r="AR79" s="192"/>
      <c r="AS79" s="192"/>
      <c r="AT79" s="192"/>
      <c r="AU79" s="192"/>
      <c r="AV79" s="192"/>
      <c r="AW79" s="192"/>
      <c r="AX79" s="192"/>
      <c r="AY79" s="192"/>
      <c r="AZ79" s="192"/>
      <c r="BA79" s="192"/>
      <c r="BB79" s="192"/>
      <c r="BC79" s="192"/>
      <c r="BD79" s="192"/>
      <c r="BE79" s="192"/>
      <c r="BF79" s="192"/>
      <c r="BG79" s="192"/>
      <c r="BH79" s="192"/>
      <c r="BI79" s="192"/>
      <c r="BJ79" s="192"/>
      <c r="BK79" s="192"/>
      <c r="BL79" s="192"/>
      <c r="BM79" s="192"/>
      <c r="BN79" s="192"/>
      <c r="BO79" s="192"/>
      <c r="BP79" s="192"/>
      <c r="BQ79" s="192"/>
      <c r="BR79" s="192"/>
      <c r="BS79" s="192"/>
      <c r="BT79" s="192"/>
      <c r="BU79" s="192"/>
      <c r="BV79" s="192"/>
      <c r="BW79" s="192"/>
      <c r="BX79" s="192"/>
      <c r="BY79" s="192"/>
      <c r="BZ79" s="192"/>
      <c r="CA79" s="192"/>
      <c r="CB79" s="192"/>
      <c r="CC79" s="192"/>
      <c r="CD79" s="192"/>
      <c r="CE79" s="192"/>
      <c r="CF79" s="192"/>
      <c r="CG79" s="192"/>
      <c r="CH79" s="192"/>
      <c r="CI79" s="192"/>
      <c r="CJ79" s="192"/>
      <c r="CK79" s="192"/>
      <c r="CL79" s="192"/>
      <c r="CM79" s="192"/>
      <c r="CN79" s="192"/>
      <c r="CO79" s="192"/>
      <c r="CP79" s="192"/>
      <c r="CQ79" s="192"/>
      <c r="CR79" s="192"/>
      <c r="CS79" s="192"/>
      <c r="CT79" s="192"/>
      <c r="CU79" s="192"/>
      <c r="CV79" s="192"/>
      <c r="CW79" s="192"/>
      <c r="CX79" s="192"/>
      <c r="CY79" s="192"/>
      <c r="CZ79" s="192"/>
      <c r="DA79" s="192"/>
      <c r="DB79" s="192"/>
      <c r="DC79" s="192"/>
      <c r="DD79" s="192"/>
      <c r="DE79" s="192"/>
      <c r="DF79" s="192"/>
      <c r="DG79" s="192"/>
      <c r="DH79" s="192"/>
      <c r="DI79" s="192"/>
    </row>
    <row r="80" spans="1:113" hidden="1" outlineLevel="1">
      <c r="A80" s="643" t="str">
        <f t="shared" ref="A80:A86" si="126">A62</f>
        <v>Asset impairment, exit, integration and implementation costs</v>
      </c>
      <c r="B80" s="781"/>
      <c r="C80" s="781"/>
      <c r="D80" s="781"/>
      <c r="E80" s="781"/>
      <c r="F80" s="781"/>
      <c r="G80" s="498"/>
      <c r="H80" s="498"/>
      <c r="I80" s="731"/>
      <c r="J80" s="731"/>
      <c r="K80" s="460">
        <v>338</v>
      </c>
      <c r="L80" s="460">
        <v>393</v>
      </c>
      <c r="M80" s="460">
        <v>84</v>
      </c>
      <c r="N80" s="460">
        <v>142</v>
      </c>
      <c r="O80" s="498"/>
      <c r="P80" s="498"/>
      <c r="Q80" s="498"/>
      <c r="R80" s="498"/>
      <c r="S80" s="498"/>
      <c r="T80" s="498"/>
      <c r="U80" s="498"/>
      <c r="V80" s="498"/>
      <c r="W80" s="498"/>
      <c r="X80" s="498"/>
      <c r="Y80" s="498"/>
      <c r="Z80" s="498"/>
      <c r="AA80" s="498"/>
      <c r="AB80" s="498"/>
      <c r="AD80" s="192"/>
      <c r="AE80" s="192"/>
      <c r="AF80" s="192"/>
      <c r="AG80" s="192"/>
      <c r="AH80" s="192"/>
      <c r="AI80" s="192"/>
      <c r="AJ80" s="192"/>
      <c r="AK80" s="192"/>
      <c r="AL80" s="192"/>
      <c r="AM80" s="192"/>
      <c r="AN80" s="192"/>
      <c r="AO80" s="192"/>
      <c r="AP80" s="192"/>
      <c r="AQ80" s="192"/>
      <c r="AR80" s="192"/>
      <c r="AS80" s="192"/>
      <c r="AT80" s="192"/>
      <c r="AU80" s="192"/>
      <c r="AV80" s="192"/>
      <c r="AW80" s="192"/>
      <c r="AX80" s="192"/>
      <c r="AY80" s="192"/>
      <c r="AZ80" s="192"/>
      <c r="BA80" s="192"/>
      <c r="BB80" s="192"/>
      <c r="BC80" s="192"/>
      <c r="BD80" s="192"/>
      <c r="BE80" s="192"/>
      <c r="BF80" s="192"/>
      <c r="BG80" s="192"/>
      <c r="BH80" s="192"/>
      <c r="BI80" s="192"/>
      <c r="BJ80" s="192"/>
      <c r="BK80" s="192"/>
      <c r="BL80" s="192"/>
      <c r="BM80" s="192"/>
      <c r="BN80" s="192"/>
      <c r="BO80" s="192"/>
      <c r="BP80" s="192"/>
      <c r="BQ80" s="192"/>
      <c r="BR80" s="192"/>
      <c r="BS80" s="192"/>
      <c r="BT80" s="192"/>
      <c r="BU80" s="192"/>
      <c r="BV80" s="192"/>
      <c r="BW80" s="192"/>
      <c r="BX80" s="192"/>
      <c r="BY80" s="192"/>
      <c r="BZ80" s="192"/>
      <c r="CA80" s="192"/>
      <c r="CB80" s="192"/>
      <c r="CC80" s="192"/>
      <c r="CD80" s="192"/>
      <c r="CE80" s="192"/>
      <c r="CF80" s="192"/>
      <c r="CG80" s="192"/>
      <c r="CH80" s="192"/>
      <c r="CI80" s="192"/>
      <c r="CJ80" s="192"/>
      <c r="CK80" s="192"/>
      <c r="CL80" s="192"/>
      <c r="CM80" s="192"/>
      <c r="CN80" s="192"/>
      <c r="CO80" s="192"/>
      <c r="CP80" s="192"/>
      <c r="CQ80" s="192"/>
      <c r="CR80" s="192"/>
      <c r="CS80" s="192"/>
      <c r="CT80" s="192"/>
      <c r="CU80" s="192"/>
      <c r="CV80" s="192"/>
      <c r="CW80" s="192"/>
      <c r="CX80" s="192"/>
      <c r="CY80" s="192"/>
      <c r="CZ80" s="192"/>
      <c r="DA80" s="192"/>
      <c r="DB80" s="192"/>
      <c r="DC80" s="192"/>
      <c r="DD80" s="192"/>
      <c r="DE80" s="192"/>
      <c r="DF80" s="192"/>
      <c r="DG80" s="192"/>
      <c r="DH80" s="192"/>
      <c r="DI80" s="192"/>
    </row>
    <row r="81" spans="1:113" hidden="1" outlineLevel="1">
      <c r="A81" s="643" t="str">
        <f t="shared" si="126"/>
        <v>Gain on sale of corporate headquarters</v>
      </c>
      <c r="B81" s="761"/>
      <c r="C81" s="761"/>
      <c r="D81" s="761"/>
      <c r="E81" s="761"/>
      <c r="F81" s="761"/>
      <c r="G81" s="460"/>
      <c r="H81" s="460"/>
      <c r="I81" s="311"/>
      <c r="J81" s="311"/>
      <c r="K81" s="460">
        <v>-263</v>
      </c>
      <c r="L81" s="460">
        <v>0</v>
      </c>
      <c r="M81" s="460">
        <v>0</v>
      </c>
      <c r="N81" s="460">
        <v>0</v>
      </c>
      <c r="O81" s="460"/>
      <c r="P81" s="460"/>
      <c r="Q81" s="460"/>
      <c r="R81" s="460"/>
      <c r="S81" s="460"/>
      <c r="T81" s="460"/>
      <c r="U81" s="460"/>
      <c r="V81" s="460"/>
      <c r="W81" s="460"/>
      <c r="X81" s="460"/>
      <c r="Y81" s="460"/>
      <c r="Z81" s="460"/>
      <c r="AA81" s="460"/>
      <c r="AB81" s="460"/>
      <c r="AD81" s="192"/>
      <c r="AE81" s="192"/>
      <c r="AF81" s="192"/>
      <c r="AG81" s="192"/>
      <c r="AH81" s="192"/>
      <c r="AI81" s="192"/>
      <c r="AJ81" s="192"/>
      <c r="AK81" s="192"/>
      <c r="AL81" s="192"/>
      <c r="AM81" s="192"/>
      <c r="AN81" s="192"/>
      <c r="AO81" s="192"/>
      <c r="AP81" s="192"/>
      <c r="AQ81" s="192"/>
      <c r="AR81" s="192"/>
      <c r="AS81" s="192"/>
      <c r="AT81" s="192"/>
      <c r="AU81" s="192"/>
      <c r="AV81" s="192"/>
      <c r="AW81" s="192"/>
      <c r="AX81" s="192"/>
      <c r="AY81" s="192"/>
      <c r="AZ81" s="192"/>
      <c r="BA81" s="192"/>
      <c r="BB81" s="192"/>
      <c r="BC81" s="192"/>
      <c r="BD81" s="192"/>
      <c r="BE81" s="192"/>
      <c r="BF81" s="192"/>
      <c r="BG81" s="192"/>
      <c r="BH81" s="192"/>
      <c r="BI81" s="192"/>
      <c r="BJ81" s="192"/>
      <c r="BK81" s="192"/>
      <c r="BL81" s="192"/>
      <c r="BM81" s="192"/>
      <c r="BN81" s="192"/>
      <c r="BO81" s="192"/>
      <c r="BP81" s="192"/>
      <c r="BQ81" s="192"/>
      <c r="BR81" s="192"/>
      <c r="BS81" s="192"/>
      <c r="BT81" s="192"/>
      <c r="BU81" s="192"/>
      <c r="BV81" s="192"/>
      <c r="BW81" s="192"/>
      <c r="BX81" s="192"/>
      <c r="BY81" s="192"/>
      <c r="BZ81" s="192"/>
      <c r="CA81" s="192"/>
      <c r="CB81" s="192"/>
      <c r="CC81" s="192"/>
      <c r="CD81" s="192"/>
      <c r="CE81" s="192"/>
      <c r="CF81" s="192"/>
      <c r="CG81" s="192"/>
      <c r="CH81" s="192"/>
      <c r="CI81" s="192"/>
      <c r="CJ81" s="192"/>
      <c r="CK81" s="192"/>
      <c r="CL81" s="192"/>
      <c r="CM81" s="192"/>
      <c r="CN81" s="192"/>
      <c r="CO81" s="192"/>
      <c r="CP81" s="192"/>
      <c r="CQ81" s="192"/>
      <c r="CR81" s="192"/>
      <c r="CS81" s="192"/>
      <c r="CT81" s="192"/>
      <c r="CU81" s="192"/>
      <c r="CV81" s="192"/>
      <c r="CW81" s="192"/>
      <c r="CX81" s="192"/>
      <c r="CY81" s="192"/>
      <c r="CZ81" s="192"/>
      <c r="DA81" s="192"/>
      <c r="DB81" s="192"/>
      <c r="DC81" s="192"/>
      <c r="DD81" s="192"/>
      <c r="DE81" s="192"/>
      <c r="DF81" s="192"/>
      <c r="DG81" s="192"/>
      <c r="DH81" s="192"/>
      <c r="DI81" s="192"/>
    </row>
    <row r="82" spans="1:113" hidden="1" outlineLevel="1">
      <c r="A82" s="643" t="str">
        <f t="shared" si="126"/>
        <v>Loss on early extinguishment of debt</v>
      </c>
      <c r="B82" s="761"/>
      <c r="C82" s="761"/>
      <c r="D82" s="761"/>
      <c r="E82" s="761"/>
      <c r="F82" s="761"/>
      <c r="G82" s="460"/>
      <c r="H82" s="460"/>
      <c r="I82" s="311"/>
      <c r="J82" s="311"/>
      <c r="K82" s="460">
        <v>256</v>
      </c>
      <c r="L82" s="460">
        <v>0</v>
      </c>
      <c r="M82" s="460">
        <v>0</v>
      </c>
      <c r="N82" s="460">
        <v>0</v>
      </c>
      <c r="O82" s="460"/>
      <c r="P82" s="460"/>
      <c r="Q82" s="460"/>
      <c r="R82" s="460"/>
      <c r="S82" s="460"/>
      <c r="T82" s="460"/>
      <c r="U82" s="460"/>
      <c r="V82" s="460"/>
      <c r="W82" s="460"/>
      <c r="X82" s="460"/>
      <c r="Y82" s="460"/>
      <c r="Z82" s="460"/>
      <c r="AA82" s="460"/>
      <c r="AB82" s="460"/>
      <c r="AD82" s="192"/>
      <c r="AE82" s="192"/>
      <c r="AF82" s="192"/>
      <c r="AG82" s="192"/>
      <c r="AH82" s="192"/>
      <c r="AI82" s="192"/>
      <c r="AJ82" s="192"/>
      <c r="AK82" s="192"/>
      <c r="AL82" s="192"/>
      <c r="AM82" s="192"/>
      <c r="AN82" s="192"/>
      <c r="AO82" s="192"/>
      <c r="AP82" s="192"/>
      <c r="AQ82" s="192"/>
      <c r="AR82" s="192"/>
      <c r="AS82" s="192"/>
      <c r="AT82" s="192"/>
      <c r="AU82" s="192"/>
      <c r="AV82" s="192"/>
      <c r="AW82" s="192"/>
      <c r="AX82" s="192"/>
      <c r="AY82" s="192"/>
      <c r="AZ82" s="192"/>
      <c r="BA82" s="192"/>
      <c r="BB82" s="192"/>
      <c r="BC82" s="192"/>
      <c r="BD82" s="192"/>
      <c r="BE82" s="192"/>
      <c r="BF82" s="192"/>
      <c r="BG82" s="192"/>
      <c r="BH82" s="192"/>
      <c r="BI82" s="192"/>
      <c r="BJ82" s="192"/>
      <c r="BK82" s="192"/>
      <c r="BL82" s="192"/>
      <c r="BM82" s="192"/>
      <c r="BN82" s="192"/>
      <c r="BO82" s="192"/>
      <c r="BP82" s="192"/>
      <c r="BQ82" s="192"/>
      <c r="BR82" s="192"/>
      <c r="BS82" s="192"/>
      <c r="BT82" s="192"/>
      <c r="BU82" s="192"/>
      <c r="BV82" s="192"/>
      <c r="BW82" s="192"/>
      <c r="BX82" s="192"/>
      <c r="BY82" s="192"/>
      <c r="BZ82" s="192"/>
      <c r="CA82" s="192"/>
      <c r="CB82" s="192"/>
      <c r="CC82" s="192"/>
      <c r="CD82" s="192"/>
      <c r="CE82" s="192"/>
      <c r="CF82" s="192"/>
      <c r="CG82" s="192"/>
      <c r="CH82" s="192"/>
      <c r="CI82" s="192"/>
      <c r="CJ82" s="192"/>
      <c r="CK82" s="192"/>
      <c r="CL82" s="192"/>
      <c r="CM82" s="192"/>
      <c r="CN82" s="192"/>
      <c r="CO82" s="192"/>
      <c r="CP82" s="192"/>
      <c r="CQ82" s="192"/>
      <c r="CR82" s="192"/>
      <c r="CS82" s="192"/>
      <c r="CT82" s="192"/>
      <c r="CU82" s="192"/>
      <c r="CV82" s="192"/>
      <c r="CW82" s="192"/>
      <c r="CX82" s="192"/>
      <c r="CY82" s="192"/>
      <c r="CZ82" s="192"/>
      <c r="DA82" s="192"/>
      <c r="DB82" s="192"/>
      <c r="DC82" s="192"/>
      <c r="DD82" s="192"/>
      <c r="DE82" s="192"/>
      <c r="DF82" s="192"/>
      <c r="DG82" s="192"/>
      <c r="DH82" s="192"/>
      <c r="DI82" s="192"/>
    </row>
    <row r="83" spans="1:113" hidden="1" outlineLevel="1">
      <c r="A83" s="643" t="str">
        <f t="shared" si="126"/>
        <v>SABMiller intangible asset impairments / gains on stock issuance</v>
      </c>
      <c r="B83" s="761"/>
      <c r="C83" s="761"/>
      <c r="D83" s="761"/>
      <c r="E83" s="761"/>
      <c r="F83" s="761"/>
      <c r="G83" s="460"/>
      <c r="H83" s="460"/>
      <c r="I83" s="311"/>
      <c r="J83" s="311"/>
      <c r="K83" s="460">
        <v>54</v>
      </c>
      <c r="L83" s="460">
        <v>-9</v>
      </c>
      <c r="M83" s="460">
        <v>69</v>
      </c>
      <c r="N83" s="460">
        <v>54</v>
      </c>
      <c r="O83" s="460"/>
      <c r="P83" s="460"/>
      <c r="Q83" s="460"/>
      <c r="R83" s="460"/>
      <c r="S83" s="460"/>
      <c r="T83" s="460"/>
      <c r="U83" s="460"/>
      <c r="V83" s="460"/>
      <c r="W83" s="460"/>
      <c r="X83" s="460"/>
      <c r="Y83" s="460"/>
      <c r="Z83" s="460"/>
      <c r="AA83" s="460"/>
      <c r="AB83" s="460"/>
      <c r="AD83" s="192"/>
      <c r="AE83" s="192"/>
      <c r="AF83" s="192"/>
      <c r="AG83" s="192"/>
      <c r="AH83" s="192"/>
      <c r="AI83" s="192"/>
      <c r="AJ83" s="192"/>
      <c r="AK83" s="192"/>
      <c r="AL83" s="192"/>
      <c r="AM83" s="192"/>
      <c r="AN83" s="192"/>
      <c r="AO83" s="192"/>
      <c r="AP83" s="192"/>
      <c r="AQ83" s="192"/>
      <c r="AR83" s="192"/>
      <c r="AS83" s="192"/>
      <c r="AT83" s="192"/>
      <c r="AU83" s="192"/>
      <c r="AV83" s="192"/>
      <c r="AW83" s="192"/>
      <c r="AX83" s="192"/>
      <c r="AY83" s="192"/>
      <c r="AZ83" s="192"/>
      <c r="BA83" s="192"/>
      <c r="BB83" s="192"/>
      <c r="BC83" s="192"/>
      <c r="BD83" s="192"/>
      <c r="BE83" s="192"/>
      <c r="BF83" s="192"/>
      <c r="BG83" s="192"/>
      <c r="BH83" s="192"/>
      <c r="BI83" s="192"/>
      <c r="BJ83" s="192"/>
      <c r="BK83" s="192"/>
      <c r="BL83" s="192"/>
      <c r="BM83" s="192"/>
      <c r="BN83" s="192"/>
      <c r="BO83" s="192"/>
      <c r="BP83" s="192"/>
      <c r="BQ83" s="192"/>
      <c r="BR83" s="192"/>
      <c r="BS83" s="192"/>
      <c r="BT83" s="192"/>
      <c r="BU83" s="192"/>
      <c r="BV83" s="192"/>
      <c r="BW83" s="192"/>
      <c r="BX83" s="192"/>
      <c r="BY83" s="192"/>
      <c r="BZ83" s="192"/>
      <c r="CA83" s="192"/>
      <c r="CB83" s="192"/>
      <c r="CC83" s="192"/>
      <c r="CD83" s="192"/>
      <c r="CE83" s="192"/>
      <c r="CF83" s="192"/>
      <c r="CG83" s="192"/>
      <c r="CH83" s="192"/>
      <c r="CI83" s="192"/>
      <c r="CJ83" s="192"/>
      <c r="CK83" s="192"/>
      <c r="CL83" s="192"/>
      <c r="CM83" s="192"/>
      <c r="CN83" s="192"/>
      <c r="CO83" s="192"/>
      <c r="CP83" s="192"/>
      <c r="CQ83" s="192"/>
      <c r="CR83" s="192"/>
      <c r="CS83" s="192"/>
      <c r="CT83" s="192"/>
      <c r="CU83" s="192"/>
      <c r="CV83" s="192"/>
      <c r="CW83" s="192"/>
      <c r="CX83" s="192"/>
      <c r="CY83" s="192"/>
      <c r="CZ83" s="192"/>
      <c r="DA83" s="192"/>
      <c r="DB83" s="192"/>
      <c r="DC83" s="192"/>
      <c r="DD83" s="192"/>
      <c r="DE83" s="192"/>
      <c r="DF83" s="192"/>
      <c r="DG83" s="192"/>
      <c r="DH83" s="192"/>
      <c r="DI83" s="192"/>
    </row>
    <row r="84" spans="1:113" hidden="1" outlineLevel="1">
      <c r="A84" s="643" t="str">
        <f t="shared" si="126"/>
        <v>Financing fees</v>
      </c>
      <c r="B84" s="761"/>
      <c r="C84" s="761"/>
      <c r="D84" s="761"/>
      <c r="E84" s="761"/>
      <c r="F84" s="761"/>
      <c r="G84" s="460"/>
      <c r="H84" s="460"/>
      <c r="I84" s="311"/>
      <c r="J84" s="311"/>
      <c r="K84" s="460">
        <v>38</v>
      </c>
      <c r="L84" s="460">
        <v>0</v>
      </c>
      <c r="M84" s="460">
        <v>0</v>
      </c>
      <c r="N84" s="460">
        <v>627</v>
      </c>
      <c r="O84" s="460"/>
      <c r="P84" s="460"/>
      <c r="Q84" s="460"/>
      <c r="R84" s="460"/>
      <c r="S84" s="460"/>
      <c r="T84" s="460"/>
      <c r="U84" s="460"/>
      <c r="V84" s="460"/>
      <c r="W84" s="460"/>
      <c r="X84" s="460"/>
      <c r="Y84" s="460"/>
      <c r="Z84" s="460"/>
      <c r="AA84" s="460"/>
      <c r="AB84" s="460"/>
      <c r="AD84" s="192"/>
      <c r="AE84" s="192"/>
      <c r="AF84" s="192"/>
      <c r="AG84" s="192"/>
      <c r="AH84" s="192"/>
      <c r="AI84" s="192"/>
      <c r="AJ84" s="192"/>
      <c r="AK84" s="192"/>
      <c r="AL84" s="192"/>
      <c r="AM84" s="192"/>
      <c r="AN84" s="192"/>
      <c r="AO84" s="192"/>
      <c r="AP84" s="192"/>
      <c r="AQ84" s="192"/>
      <c r="AR84" s="192"/>
      <c r="AS84" s="192"/>
      <c r="AT84" s="192"/>
      <c r="AU84" s="192"/>
      <c r="AV84" s="192"/>
      <c r="AW84" s="192"/>
      <c r="AX84" s="192"/>
      <c r="AY84" s="192"/>
      <c r="AZ84" s="192"/>
      <c r="BA84" s="192"/>
      <c r="BB84" s="192"/>
      <c r="BC84" s="192"/>
      <c r="BD84" s="192"/>
      <c r="BE84" s="192"/>
      <c r="BF84" s="192"/>
      <c r="BG84" s="192"/>
      <c r="BH84" s="192"/>
      <c r="BI84" s="192"/>
      <c r="BJ84" s="192"/>
      <c r="BK84" s="192"/>
      <c r="BL84" s="192"/>
      <c r="BM84" s="192"/>
      <c r="BN84" s="192"/>
      <c r="BO84" s="192"/>
      <c r="BP84" s="192"/>
      <c r="BQ84" s="192"/>
      <c r="BR84" s="192"/>
      <c r="BS84" s="192"/>
      <c r="BT84" s="192"/>
      <c r="BU84" s="192"/>
      <c r="BV84" s="192"/>
      <c r="BW84" s="192"/>
      <c r="BX84" s="192"/>
      <c r="BY84" s="192"/>
      <c r="BZ84" s="192"/>
      <c r="CA84" s="192"/>
      <c r="CB84" s="192"/>
      <c r="CC84" s="192"/>
      <c r="CD84" s="192"/>
      <c r="CE84" s="192"/>
      <c r="CF84" s="192"/>
      <c r="CG84" s="192"/>
      <c r="CH84" s="192"/>
      <c r="CI84" s="192"/>
      <c r="CJ84" s="192"/>
      <c r="CK84" s="192"/>
      <c r="CL84" s="192"/>
      <c r="CM84" s="192"/>
      <c r="CN84" s="192"/>
      <c r="CO84" s="192"/>
      <c r="CP84" s="192"/>
      <c r="CQ84" s="192"/>
      <c r="CR84" s="192"/>
      <c r="CS84" s="192"/>
      <c r="CT84" s="192"/>
      <c r="CU84" s="192"/>
      <c r="CV84" s="192"/>
      <c r="CW84" s="192"/>
      <c r="CX84" s="192"/>
      <c r="CY84" s="192"/>
      <c r="CZ84" s="192"/>
      <c r="DA84" s="192"/>
      <c r="DB84" s="192"/>
      <c r="DC84" s="192"/>
      <c r="DD84" s="192"/>
      <c r="DE84" s="192"/>
      <c r="DF84" s="192"/>
      <c r="DG84" s="192"/>
      <c r="DH84" s="192"/>
      <c r="DI84" s="192"/>
    </row>
    <row r="85" spans="1:113" hidden="1" outlineLevel="1">
      <c r="A85" s="643" t="str">
        <f t="shared" si="126"/>
        <v>AdjSmokelessment to third-party guarantee accrual</v>
      </c>
      <c r="B85" s="157"/>
      <c r="C85" s="157"/>
      <c r="D85" s="157"/>
      <c r="E85" s="157"/>
      <c r="F85" s="157"/>
      <c r="G85" s="157"/>
      <c r="H85" s="157"/>
      <c r="I85" s="158"/>
      <c r="J85" s="158"/>
      <c r="K85" s="460">
        <v>-6</v>
      </c>
      <c r="L85" s="460">
        <v>0</v>
      </c>
      <c r="M85" s="460">
        <v>0</v>
      </c>
      <c r="N85" s="460">
        <v>0</v>
      </c>
      <c r="O85" s="159"/>
      <c r="P85" s="159"/>
      <c r="Q85" s="159"/>
      <c r="R85" s="159"/>
      <c r="S85" s="159"/>
      <c r="T85" s="159"/>
      <c r="U85" s="159"/>
      <c r="V85" s="159"/>
      <c r="W85" s="159"/>
      <c r="X85" s="159"/>
      <c r="Y85" s="159"/>
      <c r="Z85" s="159"/>
      <c r="AA85" s="159"/>
      <c r="AB85" s="159"/>
      <c r="AD85" s="192"/>
      <c r="AE85" s="192"/>
      <c r="AF85" s="192"/>
      <c r="AG85" s="192"/>
      <c r="AH85" s="192"/>
      <c r="AI85" s="192"/>
      <c r="AJ85" s="192"/>
      <c r="AK85" s="192"/>
      <c r="AL85" s="192"/>
      <c r="AM85" s="192"/>
      <c r="AN85" s="192"/>
      <c r="AO85" s="192"/>
      <c r="AP85" s="192"/>
      <c r="AQ85" s="192"/>
      <c r="AR85" s="192"/>
      <c r="AS85" s="192"/>
      <c r="AT85" s="192"/>
      <c r="AU85" s="192"/>
      <c r="AV85" s="192"/>
      <c r="AW85" s="192"/>
      <c r="AX85" s="192"/>
      <c r="AY85" s="192"/>
      <c r="AZ85" s="192"/>
      <c r="BA85" s="192"/>
      <c r="BB85" s="192"/>
      <c r="BC85" s="192"/>
      <c r="BD85" s="192"/>
      <c r="BE85" s="192"/>
      <c r="BF85" s="192"/>
      <c r="BG85" s="192"/>
      <c r="BH85" s="192"/>
      <c r="BI85" s="192"/>
      <c r="BJ85" s="192"/>
      <c r="BK85" s="192"/>
      <c r="BL85" s="192"/>
      <c r="BM85" s="192"/>
      <c r="BN85" s="192"/>
      <c r="BO85" s="192"/>
      <c r="BP85" s="192"/>
      <c r="BQ85" s="192"/>
      <c r="BR85" s="192"/>
      <c r="BS85" s="192"/>
      <c r="BT85" s="192"/>
      <c r="BU85" s="192"/>
      <c r="BV85" s="192"/>
      <c r="BW85" s="192"/>
      <c r="BX85" s="192"/>
      <c r="BY85" s="192"/>
      <c r="BZ85" s="192"/>
      <c r="CA85" s="192"/>
      <c r="CB85" s="192"/>
      <c r="CC85" s="192"/>
      <c r="CD85" s="192"/>
      <c r="CE85" s="192"/>
      <c r="CF85" s="192"/>
      <c r="CG85" s="192"/>
      <c r="CH85" s="192"/>
      <c r="CI85" s="192"/>
      <c r="CJ85" s="192"/>
      <c r="CK85" s="192"/>
      <c r="CL85" s="192"/>
      <c r="CM85" s="192"/>
      <c r="CN85" s="192"/>
      <c r="CO85" s="192"/>
      <c r="CP85" s="192"/>
      <c r="CQ85" s="192"/>
      <c r="CR85" s="192"/>
      <c r="CS85" s="192"/>
      <c r="CT85" s="192"/>
      <c r="CU85" s="192"/>
      <c r="CV85" s="192"/>
      <c r="CW85" s="192"/>
      <c r="CX85" s="192"/>
      <c r="CY85" s="192"/>
      <c r="CZ85" s="192"/>
      <c r="DA85" s="192"/>
      <c r="DB85" s="192"/>
      <c r="DC85" s="192"/>
      <c r="DD85" s="192"/>
      <c r="DE85" s="192"/>
      <c r="DF85" s="192"/>
      <c r="DG85" s="192"/>
      <c r="DH85" s="192"/>
      <c r="DI85" s="192"/>
    </row>
    <row r="86" spans="1:113" hidden="1" outlineLevel="1">
      <c r="A86" s="643" t="str">
        <f t="shared" si="126"/>
        <v>Tax items</v>
      </c>
      <c r="B86" s="157"/>
      <c r="C86" s="157"/>
      <c r="D86" s="157"/>
      <c r="E86" s="157"/>
      <c r="F86" s="157"/>
      <c r="G86" s="157"/>
      <c r="H86" s="157"/>
      <c r="I86" s="158"/>
      <c r="J86" s="158"/>
      <c r="K86" s="460">
        <v>-58</v>
      </c>
      <c r="L86" s="460">
        <v>-81</v>
      </c>
      <c r="M86" s="460">
        <v>-110</v>
      </c>
      <c r="N86" s="460">
        <v>-77</v>
      </c>
      <c r="O86" s="159"/>
      <c r="P86" s="159"/>
      <c r="Q86" s="159"/>
      <c r="R86" s="159"/>
      <c r="S86" s="159"/>
      <c r="T86" s="159"/>
      <c r="U86" s="159"/>
      <c r="V86" s="159"/>
      <c r="W86" s="159"/>
      <c r="X86" s="159"/>
      <c r="Y86" s="159"/>
      <c r="Z86" s="159"/>
      <c r="AA86" s="159"/>
      <c r="AB86" s="159"/>
      <c r="AD86" s="192"/>
      <c r="AE86" s="192"/>
      <c r="AF86" s="192"/>
      <c r="AG86" s="192"/>
      <c r="AH86" s="192"/>
      <c r="AI86" s="192"/>
      <c r="AJ86" s="192"/>
      <c r="AK86" s="192"/>
      <c r="AL86" s="192"/>
      <c r="AM86" s="192"/>
      <c r="AN86" s="192"/>
      <c r="AO86" s="192"/>
      <c r="AP86" s="192"/>
      <c r="AQ86" s="192"/>
      <c r="AR86" s="192"/>
      <c r="AS86" s="192"/>
      <c r="AT86" s="192"/>
      <c r="AU86" s="192"/>
      <c r="AV86" s="192"/>
      <c r="AW86" s="192"/>
      <c r="AX86" s="192"/>
      <c r="AY86" s="192"/>
      <c r="AZ86" s="192"/>
      <c r="BA86" s="192"/>
      <c r="BB86" s="192"/>
      <c r="BC86" s="192"/>
      <c r="BD86" s="192"/>
      <c r="BE86" s="192"/>
      <c r="BF86" s="192"/>
      <c r="BG86" s="192"/>
      <c r="BH86" s="192"/>
      <c r="BI86" s="192"/>
      <c r="BJ86" s="192"/>
      <c r="BK86" s="192"/>
      <c r="BL86" s="192"/>
      <c r="BM86" s="192"/>
      <c r="BN86" s="192"/>
      <c r="BO86" s="192"/>
      <c r="BP86" s="192"/>
      <c r="BQ86" s="192"/>
      <c r="BR86" s="192"/>
      <c r="BS86" s="192"/>
      <c r="BT86" s="192"/>
      <c r="BU86" s="192"/>
      <c r="BV86" s="192"/>
      <c r="BW86" s="192"/>
      <c r="BX86" s="192"/>
      <c r="BY86" s="192"/>
      <c r="BZ86" s="192"/>
      <c r="CA86" s="192"/>
      <c r="CB86" s="192"/>
      <c r="CC86" s="192"/>
      <c r="CD86" s="192"/>
      <c r="CE86" s="192"/>
      <c r="CF86" s="192"/>
      <c r="CG86" s="192"/>
      <c r="CH86" s="192"/>
      <c r="CI86" s="192"/>
      <c r="CJ86" s="192"/>
      <c r="CK86" s="192"/>
      <c r="CL86" s="192"/>
      <c r="CM86" s="192"/>
      <c r="CN86" s="192"/>
      <c r="CO86" s="192"/>
      <c r="CP86" s="192"/>
      <c r="CQ86" s="192"/>
      <c r="CR86" s="192"/>
      <c r="CS86" s="192"/>
      <c r="CT86" s="192"/>
      <c r="CU86" s="192"/>
      <c r="CV86" s="192"/>
      <c r="CW86" s="192"/>
      <c r="CX86" s="192"/>
      <c r="CY86" s="192"/>
      <c r="CZ86" s="192"/>
      <c r="DA86" s="192"/>
      <c r="DB86" s="192"/>
      <c r="DC86" s="192"/>
      <c r="DD86" s="192"/>
      <c r="DE86" s="192"/>
      <c r="DF86" s="192"/>
      <c r="DG86" s="192"/>
      <c r="DH86" s="192"/>
      <c r="DI86" s="192"/>
    </row>
    <row r="87" spans="1:113" hidden="1" outlineLevel="1">
      <c r="A87" s="643" t="str">
        <f>A70</f>
        <v>Acquisition-Related Costs</v>
      </c>
      <c r="B87" s="157"/>
      <c r="C87" s="157"/>
      <c r="D87" s="157"/>
      <c r="E87" s="157"/>
      <c r="F87" s="157"/>
      <c r="G87" s="157"/>
      <c r="H87" s="157"/>
      <c r="I87" s="158"/>
      <c r="J87" s="158"/>
      <c r="K87" s="460">
        <v>0</v>
      </c>
      <c r="L87" s="460">
        <v>132</v>
      </c>
      <c r="M87" s="460">
        <v>14</v>
      </c>
      <c r="N87" s="460">
        <v>5</v>
      </c>
      <c r="O87" s="159"/>
      <c r="P87" s="159"/>
      <c r="Q87" s="159"/>
      <c r="R87" s="159"/>
      <c r="S87" s="159"/>
      <c r="T87" s="159"/>
      <c r="U87" s="159"/>
      <c r="V87" s="159"/>
      <c r="W87" s="159"/>
      <c r="X87" s="159"/>
      <c r="Y87" s="159"/>
      <c r="Z87" s="159"/>
      <c r="AA87" s="159"/>
      <c r="AB87" s="159"/>
      <c r="AD87" s="192"/>
      <c r="AE87" s="192"/>
      <c r="AF87" s="192"/>
      <c r="AG87" s="192"/>
      <c r="AH87" s="192"/>
      <c r="AI87" s="192"/>
      <c r="AJ87" s="192"/>
      <c r="AK87" s="192"/>
      <c r="AL87" s="192"/>
      <c r="AM87" s="192"/>
      <c r="AN87" s="192"/>
      <c r="AO87" s="192"/>
      <c r="AP87" s="192"/>
      <c r="AQ87" s="192"/>
      <c r="AR87" s="192"/>
      <c r="AS87" s="192"/>
      <c r="AT87" s="192"/>
      <c r="AU87" s="192"/>
      <c r="AV87" s="192"/>
      <c r="AW87" s="192"/>
      <c r="AX87" s="192"/>
      <c r="AY87" s="192"/>
      <c r="AZ87" s="192"/>
      <c r="BA87" s="192"/>
      <c r="BB87" s="192"/>
      <c r="BC87" s="192"/>
      <c r="BD87" s="192"/>
      <c r="BE87" s="192"/>
      <c r="BF87" s="192"/>
      <c r="BG87" s="192"/>
      <c r="BH87" s="192"/>
      <c r="BI87" s="192"/>
      <c r="BJ87" s="192"/>
      <c r="BK87" s="192"/>
      <c r="BL87" s="192"/>
      <c r="BM87" s="192"/>
      <c r="BN87" s="192"/>
      <c r="BO87" s="192"/>
      <c r="BP87" s="192"/>
      <c r="BQ87" s="192"/>
      <c r="BR87" s="192"/>
      <c r="BS87" s="192"/>
      <c r="BT87" s="192"/>
      <c r="BU87" s="192"/>
      <c r="BV87" s="192"/>
      <c r="BW87" s="192"/>
      <c r="BX87" s="192"/>
      <c r="BY87" s="192"/>
      <c r="BZ87" s="192"/>
      <c r="CA87" s="192"/>
      <c r="CB87" s="192"/>
      <c r="CC87" s="192"/>
      <c r="CD87" s="192"/>
      <c r="CE87" s="192"/>
      <c r="CF87" s="192"/>
      <c r="CG87" s="192"/>
      <c r="CH87" s="192"/>
      <c r="CI87" s="192"/>
      <c r="CJ87" s="192"/>
      <c r="CK87" s="192"/>
      <c r="CL87" s="192"/>
      <c r="CM87" s="192"/>
      <c r="CN87" s="192"/>
      <c r="CO87" s="192"/>
      <c r="CP87" s="192"/>
      <c r="CQ87" s="192"/>
      <c r="CR87" s="192"/>
      <c r="CS87" s="192"/>
      <c r="CT87" s="192"/>
      <c r="CU87" s="192"/>
      <c r="CV87" s="192"/>
      <c r="CW87" s="192"/>
      <c r="CX87" s="192"/>
      <c r="CY87" s="192"/>
      <c r="CZ87" s="192"/>
      <c r="DA87" s="192"/>
      <c r="DB87" s="192"/>
      <c r="DC87" s="192"/>
      <c r="DD87" s="192"/>
      <c r="DE87" s="192"/>
      <c r="DF87" s="192"/>
      <c r="DG87" s="192"/>
      <c r="DH87" s="192"/>
      <c r="DI87" s="192"/>
    </row>
    <row r="88" spans="1:113" hidden="1" outlineLevel="1">
      <c r="A88" s="307" t="s">
        <v>63</v>
      </c>
      <c r="B88" s="761"/>
      <c r="C88" s="761">
        <v>26</v>
      </c>
      <c r="D88" s="761">
        <v>-285</v>
      </c>
      <c r="E88" s="761">
        <f>-351.3688</f>
        <v>-351.36880000000002</v>
      </c>
      <c r="F88" s="761">
        <v>-201</v>
      </c>
      <c r="G88" s="460"/>
      <c r="H88" s="460"/>
      <c r="I88" s="311"/>
      <c r="J88" s="311"/>
      <c r="K88" s="460">
        <v>0</v>
      </c>
      <c r="L88" s="460">
        <v>0</v>
      </c>
      <c r="M88" s="460">
        <v>0</v>
      </c>
      <c r="N88" s="460">
        <v>102</v>
      </c>
      <c r="O88" s="460"/>
      <c r="P88" s="460"/>
      <c r="Q88" s="460"/>
      <c r="R88" s="460"/>
      <c r="S88" s="460"/>
      <c r="T88" s="460"/>
      <c r="U88" s="460"/>
      <c r="V88" s="460"/>
      <c r="W88" s="460"/>
      <c r="X88" s="460"/>
      <c r="Y88" s="460"/>
      <c r="Z88" s="460"/>
      <c r="AA88" s="460"/>
      <c r="AB88" s="460"/>
      <c r="AD88" s="192"/>
      <c r="AE88" s="192"/>
      <c r="AF88" s="192"/>
      <c r="AG88" s="192"/>
      <c r="AH88" s="192"/>
      <c r="AI88" s="192"/>
      <c r="AJ88" s="192"/>
      <c r="AK88" s="192"/>
      <c r="AL88" s="192"/>
      <c r="AM88" s="192"/>
      <c r="AN88" s="192"/>
      <c r="AO88" s="192"/>
      <c r="AP88" s="192"/>
      <c r="AQ88" s="192"/>
      <c r="AR88" s="192"/>
      <c r="AS88" s="192"/>
      <c r="AT88" s="192"/>
      <c r="AU88" s="192"/>
      <c r="AV88" s="192"/>
      <c r="AW88" s="192"/>
      <c r="AX88" s="192"/>
      <c r="AY88" s="192"/>
      <c r="AZ88" s="192"/>
      <c r="BA88" s="192"/>
      <c r="BB88" s="192"/>
      <c r="BC88" s="192"/>
      <c r="BD88" s="192"/>
      <c r="BE88" s="192"/>
      <c r="BF88" s="192"/>
      <c r="BG88" s="192"/>
      <c r="BH88" s="192"/>
      <c r="BI88" s="192"/>
      <c r="BJ88" s="192"/>
      <c r="BK88" s="192"/>
      <c r="BL88" s="192"/>
      <c r="BM88" s="192"/>
      <c r="BN88" s="192"/>
      <c r="BO88" s="192"/>
      <c r="BP88" s="192"/>
      <c r="BQ88" s="192"/>
      <c r="BR88" s="192"/>
      <c r="BS88" s="192"/>
      <c r="BT88" s="192"/>
      <c r="BU88" s="192"/>
      <c r="BV88" s="192"/>
      <c r="BW88" s="192"/>
      <c r="BX88" s="192"/>
      <c r="BY88" s="192"/>
      <c r="BZ88" s="192"/>
      <c r="CA88" s="192"/>
      <c r="CB88" s="192"/>
      <c r="CC88" s="192"/>
      <c r="CD88" s="192"/>
      <c r="CE88" s="192"/>
      <c r="CF88" s="192"/>
      <c r="CG88" s="192"/>
      <c r="CH88" s="192"/>
      <c r="CI88" s="192"/>
      <c r="CJ88" s="192"/>
      <c r="CK88" s="192"/>
      <c r="CL88" s="192"/>
      <c r="CM88" s="192"/>
      <c r="CN88" s="192"/>
      <c r="CO88" s="192"/>
      <c r="CP88" s="192"/>
      <c r="CQ88" s="192"/>
      <c r="CR88" s="192"/>
      <c r="CS88" s="192"/>
      <c r="CT88" s="192"/>
      <c r="CU88" s="192"/>
      <c r="CV88" s="192"/>
      <c r="CW88" s="192"/>
      <c r="CX88" s="192"/>
      <c r="CY88" s="192"/>
      <c r="CZ88" s="192"/>
      <c r="DA88" s="192"/>
      <c r="DB88" s="192"/>
      <c r="DC88" s="192"/>
      <c r="DD88" s="192"/>
      <c r="DE88" s="192"/>
      <c r="DF88" s="192"/>
      <c r="DG88" s="192"/>
      <c r="DH88" s="192"/>
      <c r="DI88" s="192"/>
    </row>
    <row r="89" spans="1:113" hidden="1" outlineLevel="1">
      <c r="A89" s="307" t="s">
        <v>400</v>
      </c>
      <c r="B89" s="761"/>
      <c r="C89" s="761"/>
      <c r="D89" s="761"/>
      <c r="E89" s="761"/>
      <c r="F89" s="761"/>
      <c r="G89" s="460"/>
      <c r="H89" s="460"/>
      <c r="I89" s="311"/>
      <c r="J89" s="311"/>
      <c r="K89" s="460">
        <v>0</v>
      </c>
      <c r="L89" s="460">
        <v>0</v>
      </c>
      <c r="M89" s="460">
        <v>0</v>
      </c>
      <c r="N89" s="460">
        <v>0</v>
      </c>
      <c r="O89" s="460"/>
      <c r="P89" s="460"/>
      <c r="Q89" s="460"/>
      <c r="R89" s="460"/>
      <c r="S89" s="460"/>
      <c r="T89" s="460"/>
      <c r="U89" s="460"/>
      <c r="V89" s="460"/>
      <c r="W89" s="460"/>
      <c r="X89" s="460"/>
      <c r="Y89" s="460"/>
      <c r="Z89" s="460"/>
      <c r="AA89" s="460"/>
      <c r="AB89" s="460"/>
      <c r="AD89" s="192"/>
      <c r="AE89" s="192"/>
      <c r="AF89" s="192"/>
      <c r="AG89" s="192"/>
      <c r="AH89" s="192"/>
      <c r="AI89" s="192"/>
      <c r="AJ89" s="192"/>
      <c r="AK89" s="192"/>
      <c r="AL89" s="192"/>
      <c r="AM89" s="192"/>
      <c r="AN89" s="192"/>
      <c r="AO89" s="192"/>
      <c r="AP89" s="192"/>
      <c r="AQ89" s="192"/>
      <c r="AR89" s="192"/>
      <c r="AS89" s="192"/>
      <c r="AT89" s="192"/>
      <c r="AU89" s="192"/>
      <c r="AV89" s="192"/>
      <c r="AW89" s="192"/>
      <c r="AX89" s="192"/>
      <c r="AY89" s="192"/>
      <c r="AZ89" s="192"/>
      <c r="BA89" s="192"/>
      <c r="BB89" s="192"/>
      <c r="BC89" s="192"/>
      <c r="BD89" s="192"/>
      <c r="BE89" s="192"/>
      <c r="BF89" s="192"/>
      <c r="BG89" s="192"/>
      <c r="BH89" s="192"/>
      <c r="BI89" s="192"/>
      <c r="BJ89" s="192"/>
      <c r="BK89" s="192"/>
      <c r="BL89" s="192"/>
      <c r="BM89" s="192"/>
      <c r="BN89" s="192"/>
      <c r="BO89" s="192"/>
      <c r="BP89" s="192"/>
      <c r="BQ89" s="192"/>
      <c r="BR89" s="192"/>
      <c r="BS89" s="192"/>
      <c r="BT89" s="192"/>
      <c r="BU89" s="192"/>
      <c r="BV89" s="192"/>
      <c r="BW89" s="192"/>
      <c r="BX89" s="192"/>
      <c r="BY89" s="192"/>
      <c r="BZ89" s="192"/>
      <c r="CA89" s="192"/>
      <c r="CB89" s="192"/>
      <c r="CC89" s="192"/>
      <c r="CD89" s="192"/>
      <c r="CE89" s="192"/>
      <c r="CF89" s="192"/>
      <c r="CG89" s="192"/>
      <c r="CH89" s="192"/>
      <c r="CI89" s="192"/>
      <c r="CJ89" s="192"/>
      <c r="CK89" s="192"/>
      <c r="CL89" s="192"/>
      <c r="CM89" s="192"/>
      <c r="CN89" s="192"/>
      <c r="CO89" s="192"/>
      <c r="CP89" s="192"/>
      <c r="CQ89" s="192"/>
      <c r="CR89" s="192"/>
      <c r="CS89" s="192"/>
      <c r="CT89" s="192"/>
      <c r="CU89" s="192"/>
      <c r="CV89" s="192"/>
      <c r="CW89" s="192"/>
      <c r="CX89" s="192"/>
      <c r="CY89" s="192"/>
      <c r="CZ89" s="192"/>
      <c r="DA89" s="192"/>
      <c r="DB89" s="192"/>
      <c r="DC89" s="192"/>
      <c r="DD89" s="192"/>
      <c r="DE89" s="192"/>
      <c r="DF89" s="192"/>
      <c r="DG89" s="192"/>
      <c r="DH89" s="192"/>
      <c r="DI89" s="192"/>
    </row>
    <row r="90" spans="1:113" hidden="1" outlineLevel="1">
      <c r="A90" s="643" t="s">
        <v>601</v>
      </c>
      <c r="B90" s="781"/>
      <c r="C90" s="781">
        <v>300</v>
      </c>
      <c r="D90" s="781">
        <v>-378</v>
      </c>
      <c r="E90" s="781">
        <f>E79+E88</f>
        <v>1348.6312</v>
      </c>
      <c r="F90" s="781">
        <v>200</v>
      </c>
      <c r="G90" s="498">
        <f>+G45-9416</f>
        <v>431.17976541449934</v>
      </c>
      <c r="H90" s="498">
        <f>+H45-10435</f>
        <v>-881.49439490622899</v>
      </c>
      <c r="I90" s="498">
        <f>+I45-12022</f>
        <v>-163.97452516670091</v>
      </c>
      <c r="J90" s="731">
        <f>J45-9786+625</f>
        <v>-5942.3146129823635</v>
      </c>
      <c r="K90" s="498">
        <f t="shared" ref="K90:W90" si="127">SUM(K80:K89)</f>
        <v>359</v>
      </c>
      <c r="L90" s="498">
        <f t="shared" si="127"/>
        <v>435</v>
      </c>
      <c r="M90" s="498">
        <f t="shared" si="127"/>
        <v>57</v>
      </c>
      <c r="N90" s="498">
        <f t="shared" si="127"/>
        <v>853</v>
      </c>
      <c r="O90" s="498">
        <f t="shared" si="127"/>
        <v>0</v>
      </c>
      <c r="P90" s="498">
        <f t="shared" si="127"/>
        <v>0</v>
      </c>
      <c r="Q90" s="498">
        <f t="shared" si="127"/>
        <v>0</v>
      </c>
      <c r="R90" s="498">
        <f t="shared" si="127"/>
        <v>0</v>
      </c>
      <c r="S90" s="498">
        <f t="shared" si="127"/>
        <v>0</v>
      </c>
      <c r="T90" s="498">
        <f t="shared" si="127"/>
        <v>0</v>
      </c>
      <c r="U90" s="498">
        <f t="shared" si="127"/>
        <v>0</v>
      </c>
      <c r="V90" s="498">
        <f t="shared" si="127"/>
        <v>0</v>
      </c>
      <c r="W90" s="498">
        <f t="shared" si="127"/>
        <v>0</v>
      </c>
      <c r="X90" s="498">
        <f>SUM(X80:X89)</f>
        <v>0</v>
      </c>
      <c r="Y90" s="498">
        <f>SUM(Y80:Y89)</f>
        <v>0</v>
      </c>
      <c r="Z90" s="498">
        <f>SUM(Z80:Z89)</f>
        <v>0</v>
      </c>
      <c r="AA90" s="498">
        <f>SUM(AA80:AA89)</f>
        <v>0</v>
      </c>
      <c r="AB90" s="498">
        <f>SUM(AB80:AB89)</f>
        <v>0</v>
      </c>
      <c r="AD90" s="192"/>
      <c r="AE90" s="192"/>
      <c r="AF90" s="192"/>
      <c r="AG90" s="192"/>
      <c r="AH90" s="192"/>
      <c r="AI90" s="192"/>
      <c r="AJ90" s="192"/>
      <c r="AK90" s="192"/>
      <c r="AL90" s="192"/>
      <c r="AM90" s="192"/>
      <c r="AN90" s="192"/>
      <c r="AO90" s="192"/>
      <c r="AP90" s="192"/>
      <c r="AQ90" s="192"/>
      <c r="AR90" s="192"/>
      <c r="AS90" s="192"/>
      <c r="AT90" s="192"/>
      <c r="AU90" s="192"/>
      <c r="AV90" s="192"/>
      <c r="AW90" s="192"/>
      <c r="AX90" s="192"/>
      <c r="AY90" s="192"/>
      <c r="AZ90" s="192"/>
      <c r="BA90" s="192"/>
      <c r="BB90" s="192"/>
      <c r="BC90" s="192"/>
      <c r="BD90" s="192"/>
      <c r="BE90" s="192"/>
      <c r="BF90" s="192"/>
      <c r="BG90" s="192"/>
      <c r="BH90" s="192"/>
      <c r="BI90" s="192"/>
      <c r="BJ90" s="192"/>
      <c r="BK90" s="192"/>
      <c r="BL90" s="192"/>
      <c r="BM90" s="192"/>
      <c r="BN90" s="192"/>
      <c r="BO90" s="192"/>
      <c r="BP90" s="192"/>
      <c r="BQ90" s="192"/>
      <c r="BR90" s="192"/>
      <c r="BS90" s="192"/>
      <c r="BT90" s="192"/>
      <c r="BU90" s="192"/>
      <c r="BV90" s="192"/>
      <c r="BW90" s="192"/>
      <c r="BX90" s="192"/>
      <c r="BY90" s="192"/>
      <c r="BZ90" s="192"/>
      <c r="CA90" s="192"/>
      <c r="CB90" s="192"/>
      <c r="CC90" s="192"/>
      <c r="CD90" s="192"/>
      <c r="CE90" s="192"/>
      <c r="CF90" s="192"/>
      <c r="CG90" s="192"/>
      <c r="CH90" s="192"/>
      <c r="CI90" s="192"/>
      <c r="CJ90" s="192"/>
      <c r="CK90" s="192"/>
      <c r="CL90" s="192"/>
      <c r="CM90" s="192"/>
      <c r="CN90" s="192"/>
      <c r="CO90" s="192"/>
      <c r="CP90" s="192"/>
      <c r="CQ90" s="192"/>
      <c r="CR90" s="192"/>
      <c r="CS90" s="192"/>
      <c r="CT90" s="192"/>
      <c r="CU90" s="192"/>
      <c r="CV90" s="192"/>
      <c r="CW90" s="192"/>
      <c r="CX90" s="192"/>
      <c r="CY90" s="192"/>
      <c r="CZ90" s="192"/>
      <c r="DA90" s="192"/>
      <c r="DB90" s="192"/>
      <c r="DC90" s="192"/>
      <c r="DD90" s="192"/>
      <c r="DE90" s="192"/>
      <c r="DF90" s="192"/>
      <c r="DG90" s="192"/>
      <c r="DH90" s="192"/>
      <c r="DI90" s="192"/>
    </row>
    <row r="91" spans="1:113" hidden="1" outlineLevel="1">
      <c r="A91" s="301" t="s">
        <v>28</v>
      </c>
      <c r="B91" s="782"/>
      <c r="C91" s="783">
        <f>C45+C90</f>
        <v>8569.8647999999994</v>
      </c>
      <c r="D91" s="773">
        <f>D45+D90</f>
        <v>8376.505000000001</v>
      </c>
      <c r="E91" s="773">
        <f>E45+E90</f>
        <v>10891.777999999998</v>
      </c>
      <c r="F91" s="773">
        <f>F45+F88</f>
        <v>8891.6029542196375</v>
      </c>
      <c r="G91" s="467">
        <f t="shared" ref="G91:W91" si="128">+G45-G90</f>
        <v>9416</v>
      </c>
      <c r="H91" s="467">
        <f t="shared" si="128"/>
        <v>10435</v>
      </c>
      <c r="I91" s="467">
        <f t="shared" si="128"/>
        <v>12022</v>
      </c>
      <c r="J91" s="467">
        <f t="shared" si="128"/>
        <v>9161</v>
      </c>
      <c r="K91" s="467">
        <f t="shared" ca="1" si="128"/>
        <v>3089.9380649509008</v>
      </c>
      <c r="L91" s="467">
        <f t="shared" si="128"/>
        <v>3205.5028002489116</v>
      </c>
      <c r="M91" s="467">
        <f t="shared" si="128"/>
        <v>3903</v>
      </c>
      <c r="N91" s="467">
        <f t="shared" si="128"/>
        <v>3378.384</v>
      </c>
      <c r="O91" s="467">
        <f t="shared" si="128"/>
        <v>4483</v>
      </c>
      <c r="P91" s="467">
        <f t="shared" si="128"/>
        <v>4763</v>
      </c>
      <c r="Q91" s="467">
        <f t="shared" si="128"/>
        <v>5134</v>
      </c>
      <c r="R91" s="467">
        <f t="shared" si="128"/>
        <v>5504</v>
      </c>
      <c r="S91" s="467">
        <f t="shared" si="128"/>
        <v>5922.0000000000009</v>
      </c>
      <c r="T91" s="467">
        <f t="shared" si="128"/>
        <v>6520</v>
      </c>
      <c r="U91" s="467">
        <f t="shared" ca="1" si="128"/>
        <v>7550.9278395412175</v>
      </c>
      <c r="V91" s="467">
        <f t="shared" ca="1" si="128"/>
        <v>8176.9351259309678</v>
      </c>
      <c r="W91" s="467">
        <f t="shared" ca="1" si="128"/>
        <v>8799.658914419746</v>
      </c>
      <c r="X91" s="467">
        <f ca="1">+X45-X90</f>
        <v>9328.5099221845867</v>
      </c>
      <c r="Y91" s="467">
        <f ca="1">+Y45-Y90</f>
        <v>9857.7253835319079</v>
      </c>
      <c r="Z91" s="467">
        <f ca="1">+Z45-Z90</f>
        <v>10389.47823666751</v>
      </c>
      <c r="AA91" s="467">
        <f ca="1">+AA45-AA90</f>
        <v>10925.712680847366</v>
      </c>
      <c r="AB91" s="467">
        <f ca="1">+AB45-AB90</f>
        <v>11468.361414711935</v>
      </c>
      <c r="AD91" s="192"/>
      <c r="AE91" s="192"/>
      <c r="AF91" s="192"/>
      <c r="AG91" s="192"/>
      <c r="AH91" s="192"/>
      <c r="AI91" s="192"/>
      <c r="AJ91" s="192"/>
      <c r="AK91" s="192"/>
      <c r="AL91" s="192"/>
      <c r="AM91" s="192"/>
      <c r="AN91" s="192"/>
      <c r="AO91" s="192"/>
      <c r="AP91" s="192"/>
      <c r="AQ91" s="192"/>
      <c r="AR91" s="192"/>
      <c r="AS91" s="192"/>
      <c r="AT91" s="192"/>
      <c r="AU91" s="192"/>
      <c r="AV91" s="192"/>
      <c r="AW91" s="192"/>
      <c r="AX91" s="192"/>
      <c r="AY91" s="192"/>
      <c r="AZ91" s="192"/>
      <c r="BA91" s="192"/>
      <c r="BB91" s="192"/>
      <c r="BC91" s="192"/>
      <c r="BD91" s="192"/>
      <c r="BE91" s="192"/>
      <c r="BF91" s="192"/>
      <c r="BG91" s="192"/>
      <c r="BH91" s="192"/>
      <c r="BI91" s="192"/>
      <c r="BJ91" s="192"/>
      <c r="BK91" s="192"/>
      <c r="BL91" s="192"/>
      <c r="BM91" s="192"/>
      <c r="BN91" s="192"/>
      <c r="BO91" s="192"/>
      <c r="BP91" s="192"/>
      <c r="BQ91" s="192"/>
      <c r="BR91" s="192"/>
      <c r="BS91" s="192"/>
      <c r="BT91" s="192"/>
      <c r="BU91" s="192"/>
      <c r="BV91" s="192"/>
      <c r="BW91" s="192"/>
      <c r="BX91" s="192"/>
      <c r="BY91" s="192"/>
      <c r="BZ91" s="192"/>
      <c r="CA91" s="192"/>
      <c r="CB91" s="192"/>
      <c r="CC91" s="192"/>
      <c r="CD91" s="192"/>
      <c r="CE91" s="192"/>
      <c r="CF91" s="192"/>
      <c r="CG91" s="192"/>
      <c r="CH91" s="192"/>
      <c r="CI91" s="192"/>
      <c r="CJ91" s="192"/>
      <c r="CK91" s="192"/>
      <c r="CL91" s="192"/>
      <c r="CM91" s="192"/>
      <c r="CN91" s="192"/>
      <c r="CO91" s="192"/>
      <c r="CP91" s="192"/>
      <c r="CQ91" s="192"/>
      <c r="CR91" s="192"/>
      <c r="CS91" s="192"/>
      <c r="CT91" s="192"/>
      <c r="CU91" s="192"/>
      <c r="CV91" s="192"/>
      <c r="CW91" s="192"/>
      <c r="CX91" s="192"/>
      <c r="CY91" s="192"/>
      <c r="CZ91" s="192"/>
      <c r="DA91" s="192"/>
      <c r="DB91" s="192"/>
      <c r="DC91" s="192"/>
      <c r="DD91" s="192"/>
      <c r="DE91" s="192"/>
      <c r="DF91" s="192"/>
      <c r="DG91" s="192"/>
      <c r="DH91" s="192"/>
      <c r="DI91" s="192"/>
    </row>
    <row r="92" spans="1:113" hidden="1" outlineLevel="1">
      <c r="A92" s="301" t="s">
        <v>393</v>
      </c>
      <c r="B92" s="784"/>
      <c r="C92" s="784"/>
      <c r="D92" s="784"/>
      <c r="E92" s="775">
        <v>5127</v>
      </c>
      <c r="F92" s="775">
        <f>+-CFS!H36</f>
        <v>5285</v>
      </c>
      <c r="G92" s="726">
        <f>+-CFS!I36</f>
        <v>5672</v>
      </c>
      <c r="H92" s="726">
        <v>6358</v>
      </c>
      <c r="I92" s="726">
        <f>+-CFS!K36</f>
        <v>6815</v>
      </c>
      <c r="J92" s="726">
        <f>+-CFS!M36</f>
        <v>6652</v>
      </c>
      <c r="K92" s="726">
        <f>+-CFS!O36</f>
        <v>4428</v>
      </c>
      <c r="L92" s="726">
        <f>+-CFS!P36</f>
        <v>2693</v>
      </c>
      <c r="M92" s="726">
        <f>+-CFS!Q36</f>
        <v>2958</v>
      </c>
      <c r="N92" s="726">
        <f>+-CFS!R36</f>
        <v>3222</v>
      </c>
      <c r="O92" s="726">
        <f>+-CFS!S36</f>
        <v>3400</v>
      </c>
      <c r="P92" s="726">
        <f>+-CFS!T36</f>
        <v>3612</v>
      </c>
      <c r="Q92" s="726">
        <f>+-CFS!U36</f>
        <v>3892</v>
      </c>
      <c r="R92" s="726">
        <f>+-CFS!V36</f>
        <v>4179</v>
      </c>
      <c r="S92" s="726">
        <f>+-CFS!W36</f>
        <v>4512</v>
      </c>
      <c r="T92" s="726">
        <f>+-CFS!X36</f>
        <v>4976.8014164970073</v>
      </c>
      <c r="U92" s="726">
        <f ca="1">+-CFS!Y36</f>
        <v>5586.5181056968231</v>
      </c>
      <c r="V92" s="726">
        <f ca="1">+-CFS!Z36</f>
        <v>6201.9166288488786</v>
      </c>
      <c r="W92" s="726">
        <f ca="1">+-CFS!AA36</f>
        <v>6682.4985637595146</v>
      </c>
      <c r="X92" s="726">
        <f ca="1">+-CFS!AB36</f>
        <v>7135.235056097029</v>
      </c>
      <c r="Y92" s="726">
        <f ca="1">+-CFS!AC36</f>
        <v>7551.4162028773681</v>
      </c>
      <c r="Z92" s="726">
        <f ca="1">+-CFS!AD36</f>
        <v>7968.7271282790734</v>
      </c>
      <c r="AA92" s="726">
        <f ca="1">+-CFS!AE36</f>
        <v>8388.7871332356935</v>
      </c>
      <c r="AB92" s="726">
        <f ca="1">+-CFS!AF36</f>
        <v>8813.1214562944679</v>
      </c>
      <c r="AD92" s="192"/>
      <c r="AE92" s="192"/>
      <c r="AF92" s="192"/>
      <c r="AG92" s="192"/>
      <c r="AH92" s="192"/>
      <c r="AI92" s="192"/>
      <c r="AJ92" s="192"/>
      <c r="AK92" s="192"/>
      <c r="AL92" s="192"/>
      <c r="AM92" s="192"/>
      <c r="AN92" s="192"/>
      <c r="AO92" s="192"/>
      <c r="AP92" s="192"/>
      <c r="AQ92" s="192"/>
      <c r="AR92" s="192"/>
      <c r="AS92" s="192"/>
      <c r="AT92" s="192"/>
      <c r="AU92" s="192"/>
      <c r="AV92" s="192"/>
      <c r="AW92" s="192"/>
      <c r="AX92" s="192"/>
      <c r="AY92" s="192"/>
      <c r="AZ92" s="192"/>
      <c r="BA92" s="192"/>
      <c r="BB92" s="192"/>
      <c r="BC92" s="192"/>
      <c r="BD92" s="192"/>
      <c r="BE92" s="192"/>
      <c r="BF92" s="192"/>
      <c r="BG92" s="192"/>
      <c r="BH92" s="192"/>
      <c r="BI92" s="192"/>
      <c r="BJ92" s="192"/>
      <c r="BK92" s="192"/>
      <c r="BL92" s="192"/>
      <c r="BM92" s="192"/>
      <c r="BN92" s="192"/>
      <c r="BO92" s="192"/>
      <c r="BP92" s="192"/>
      <c r="BQ92" s="192"/>
      <c r="BR92" s="192"/>
      <c r="BS92" s="192"/>
      <c r="BT92" s="192"/>
      <c r="BU92" s="192"/>
      <c r="BV92" s="192"/>
      <c r="BW92" s="192"/>
      <c r="BX92" s="192"/>
      <c r="BY92" s="192"/>
      <c r="BZ92" s="192"/>
      <c r="CA92" s="192"/>
      <c r="CB92" s="192"/>
      <c r="CC92" s="192"/>
      <c r="CD92" s="192"/>
      <c r="CE92" s="192"/>
      <c r="CF92" s="192"/>
      <c r="CG92" s="192"/>
      <c r="CH92" s="192"/>
      <c r="CI92" s="192"/>
      <c r="CJ92" s="192"/>
      <c r="CK92" s="192"/>
      <c r="CL92" s="192"/>
      <c r="CM92" s="192"/>
      <c r="CN92" s="192"/>
      <c r="CO92" s="192"/>
      <c r="CP92" s="192"/>
      <c r="CQ92" s="192"/>
      <c r="CR92" s="192"/>
      <c r="CS92" s="192"/>
      <c r="CT92" s="192"/>
      <c r="CU92" s="192"/>
      <c r="CV92" s="192"/>
      <c r="CW92" s="192"/>
      <c r="CX92" s="192"/>
      <c r="CY92" s="192"/>
      <c r="CZ92" s="192"/>
      <c r="DA92" s="192"/>
      <c r="DB92" s="192"/>
      <c r="DC92" s="192"/>
      <c r="DD92" s="192"/>
      <c r="DE92" s="192"/>
      <c r="DF92" s="192"/>
      <c r="DG92" s="192"/>
      <c r="DH92" s="192"/>
      <c r="DI92" s="192"/>
    </row>
    <row r="93" spans="1:113" hidden="1" outlineLevel="1">
      <c r="A93" s="301" t="s">
        <v>462</v>
      </c>
      <c r="B93" s="784"/>
      <c r="C93" s="784"/>
      <c r="D93" s="784"/>
      <c r="E93" s="784"/>
      <c r="F93" s="784"/>
      <c r="G93" s="420">
        <f t="shared" ref="G93:L93" si="129">G92/G458</f>
        <v>2.7493940862821136</v>
      </c>
      <c r="H93" s="420">
        <f t="shared" si="129"/>
        <v>3.0428332136874849</v>
      </c>
      <c r="I93" s="420">
        <f t="shared" si="129"/>
        <v>3.2382988833452124</v>
      </c>
      <c r="J93" s="420">
        <f t="shared" si="129"/>
        <v>3.1436672967863895</v>
      </c>
      <c r="K93" s="420">
        <f t="shared" si="129"/>
        <v>2.1217057977958791</v>
      </c>
      <c r="L93" s="420">
        <f t="shared" si="129"/>
        <v>1.3003380009657171</v>
      </c>
      <c r="M93" s="420">
        <v>1.4224573214715075</v>
      </c>
      <c r="N93" s="420">
        <v>1.5610465116279071</v>
      </c>
      <c r="O93" s="420">
        <v>1.6798418972332017</v>
      </c>
      <c r="P93" s="420">
        <v>1.8071294559099438</v>
      </c>
      <c r="Q93" s="420">
        <v>1.9676440849342771</v>
      </c>
      <c r="R93" s="420">
        <v>2.17</v>
      </c>
      <c r="S93" s="420">
        <f t="shared" ref="S93:AB93" si="130">S92/S458</f>
        <v>2.3114754098360657</v>
      </c>
      <c r="T93" s="420">
        <f t="shared" si="130"/>
        <v>2.6124941818881928</v>
      </c>
      <c r="U93" s="420">
        <f t="shared" ca="1" si="130"/>
        <v>2.9223986068331236</v>
      </c>
      <c r="V93" s="420">
        <f t="shared" ca="1" si="130"/>
        <v>3.2791629953302421</v>
      </c>
      <c r="W93" s="420">
        <f t="shared" ca="1" si="130"/>
        <v>3.5833214810959437</v>
      </c>
      <c r="X93" s="420">
        <f t="shared" ca="1" si="130"/>
        <v>3.8794524589085948</v>
      </c>
      <c r="Y93" s="420">
        <f t="shared" ca="1" si="130"/>
        <v>4.1620895019407662</v>
      </c>
      <c r="Z93" s="420">
        <f t="shared" ca="1" si="130"/>
        <v>4.4514207421272465</v>
      </c>
      <c r="AA93" s="420">
        <f t="shared" ca="1" si="130"/>
        <v>4.7483380006392322</v>
      </c>
      <c r="AB93" s="420">
        <f t="shared" ca="1" si="130"/>
        <v>5.0537219631491697</v>
      </c>
      <c r="AD93" s="192"/>
      <c r="AE93" s="192"/>
      <c r="AF93" s="192"/>
      <c r="AG93" s="192"/>
      <c r="AH93" s="192"/>
      <c r="AI93" s="192"/>
      <c r="AJ93" s="192"/>
      <c r="AK93" s="192"/>
      <c r="AL93" s="192"/>
      <c r="AM93" s="192"/>
      <c r="AN93" s="192"/>
      <c r="AO93" s="192"/>
      <c r="AP93" s="192"/>
      <c r="AQ93" s="192"/>
      <c r="AR93" s="192"/>
      <c r="AS93" s="192"/>
      <c r="AT93" s="192"/>
      <c r="AU93" s="192"/>
      <c r="AV93" s="192"/>
      <c r="AW93" s="192"/>
      <c r="AX93" s="192"/>
      <c r="AY93" s="192"/>
      <c r="AZ93" s="192"/>
      <c r="BA93" s="192"/>
      <c r="BB93" s="192"/>
      <c r="BC93" s="192"/>
      <c r="BD93" s="192"/>
      <c r="BE93" s="192"/>
      <c r="BF93" s="192"/>
      <c r="BG93" s="192"/>
      <c r="BH93" s="192"/>
      <c r="BI93" s="192"/>
      <c r="BJ93" s="192"/>
      <c r="BK93" s="192"/>
      <c r="BL93" s="192"/>
      <c r="BM93" s="192"/>
      <c r="BN93" s="192"/>
      <c r="BO93" s="192"/>
      <c r="BP93" s="192"/>
      <c r="BQ93" s="192"/>
      <c r="BR93" s="192"/>
      <c r="BS93" s="192"/>
      <c r="BT93" s="192"/>
      <c r="BU93" s="192"/>
      <c r="BV93" s="192"/>
      <c r="BW93" s="192"/>
      <c r="BX93" s="192"/>
      <c r="BY93" s="192"/>
      <c r="BZ93" s="192"/>
      <c r="CA93" s="192"/>
      <c r="CB93" s="192"/>
      <c r="CC93" s="192"/>
      <c r="CD93" s="192"/>
      <c r="CE93" s="192"/>
      <c r="CF93" s="192"/>
      <c r="CG93" s="192"/>
      <c r="CH93" s="192"/>
      <c r="CI93" s="192"/>
      <c r="CJ93" s="192"/>
      <c r="CK93" s="192"/>
      <c r="CL93" s="192"/>
      <c r="CM93" s="192"/>
      <c r="CN93" s="192"/>
      <c r="CO93" s="192"/>
      <c r="CP93" s="192"/>
      <c r="CQ93" s="192"/>
      <c r="CR93" s="192"/>
      <c r="CS93" s="192"/>
      <c r="CT93" s="192"/>
      <c r="CU93" s="192"/>
      <c r="CV93" s="192"/>
      <c r="CW93" s="192"/>
      <c r="CX93" s="192"/>
      <c r="CY93" s="192"/>
      <c r="CZ93" s="192"/>
      <c r="DA93" s="192"/>
      <c r="DB93" s="192"/>
      <c r="DC93" s="192"/>
      <c r="DD93" s="192"/>
      <c r="DE93" s="192"/>
      <c r="DF93" s="192"/>
      <c r="DG93" s="192"/>
      <c r="DH93" s="192"/>
      <c r="DI93" s="192"/>
    </row>
    <row r="94" spans="1:113" hidden="1" outlineLevel="1">
      <c r="A94" s="131"/>
      <c r="AD94" s="71"/>
      <c r="AE94" s="71"/>
      <c r="AF94" s="71"/>
      <c r="AG94" s="71"/>
      <c r="AH94" s="71"/>
      <c r="AI94" s="71"/>
      <c r="AJ94" s="71"/>
      <c r="AK94" s="71"/>
      <c r="AL94" s="71"/>
      <c r="AM94" s="71"/>
      <c r="AN94" s="71"/>
      <c r="AO94" s="71"/>
      <c r="AP94" s="71"/>
      <c r="AQ94" s="71"/>
      <c r="AR94" s="71"/>
      <c r="AS94" s="71"/>
      <c r="AT94" s="71"/>
      <c r="AU94" s="71"/>
      <c r="AV94" s="71"/>
      <c r="AW94" s="71"/>
      <c r="AX94" s="71"/>
      <c r="AY94" s="71"/>
      <c r="AZ94" s="71"/>
      <c r="BA94" s="71"/>
      <c r="BB94" s="71"/>
      <c r="BC94" s="71"/>
      <c r="BD94" s="71"/>
      <c r="BE94" s="71"/>
      <c r="BF94" s="71"/>
      <c r="BG94" s="71"/>
      <c r="BH94" s="71"/>
      <c r="BI94" s="71"/>
      <c r="BJ94" s="71"/>
      <c r="BK94" s="71"/>
      <c r="BL94" s="71"/>
      <c r="BM94" s="71"/>
      <c r="BN94" s="71"/>
      <c r="BO94" s="71"/>
      <c r="BP94" s="71"/>
      <c r="BQ94" s="71"/>
      <c r="BR94" s="71"/>
      <c r="BS94" s="71"/>
      <c r="BT94" s="71"/>
      <c r="BU94" s="71"/>
      <c r="BV94" s="71"/>
      <c r="BW94" s="71"/>
      <c r="BX94" s="71"/>
      <c r="BY94" s="71"/>
      <c r="BZ94" s="71"/>
      <c r="CA94" s="185"/>
      <c r="CB94" s="71"/>
      <c r="CC94" s="71"/>
      <c r="CD94" s="71"/>
      <c r="CE94" s="185"/>
      <c r="CF94" s="71"/>
      <c r="CG94" s="71"/>
      <c r="CH94" s="74"/>
      <c r="CI94" s="71"/>
      <c r="CJ94" s="71"/>
      <c r="CK94" s="71"/>
      <c r="CL94" s="71"/>
      <c r="CM94" s="71"/>
      <c r="CN94" s="71"/>
      <c r="CO94" s="71"/>
      <c r="CP94" s="71"/>
      <c r="CQ94" s="71"/>
      <c r="CR94" s="71"/>
      <c r="CS94" s="71"/>
      <c r="CT94" s="71"/>
      <c r="CU94" s="71"/>
      <c r="CV94" s="71"/>
      <c r="CW94" s="71"/>
      <c r="CX94" s="71"/>
      <c r="CY94" s="71"/>
      <c r="CZ94" s="71"/>
      <c r="DA94" s="71"/>
      <c r="DB94" s="71"/>
      <c r="DC94" s="71"/>
      <c r="DD94" s="71"/>
      <c r="DE94" s="71"/>
      <c r="DF94" s="71"/>
      <c r="DG94" s="71"/>
      <c r="DH94" s="71"/>
      <c r="DI94" s="71"/>
    </row>
    <row r="95" spans="1:113" collapsed="1">
      <c r="A95" s="195" t="s">
        <v>374</v>
      </c>
      <c r="B95" s="195"/>
      <c r="C95" s="195"/>
      <c r="D95" s="195"/>
      <c r="E95" s="195"/>
      <c r="F95" s="195"/>
      <c r="G95" s="195"/>
      <c r="H95" s="195"/>
      <c r="I95" s="195"/>
      <c r="J95" s="195"/>
      <c r="K95" s="195"/>
      <c r="L95" s="195"/>
      <c r="M95" s="195"/>
      <c r="N95" s="195"/>
      <c r="O95" s="195"/>
      <c r="P95" s="195"/>
      <c r="Q95" s="195"/>
      <c r="R95" s="195"/>
      <c r="S95" s="195"/>
      <c r="T95" s="195"/>
      <c r="U95" s="195"/>
      <c r="V95" s="195"/>
      <c r="W95" s="195"/>
      <c r="X95" s="195"/>
      <c r="Y95" s="195"/>
      <c r="Z95" s="195"/>
      <c r="AA95" s="195"/>
      <c r="AB95" s="195"/>
      <c r="AD95" s="195"/>
      <c r="AE95" s="195"/>
      <c r="AF95" s="195"/>
      <c r="AG95" s="195"/>
      <c r="AH95" s="195"/>
      <c r="AI95" s="195"/>
      <c r="AJ95" s="195"/>
      <c r="AK95" s="195"/>
      <c r="AL95" s="195"/>
      <c r="AM95" s="195"/>
      <c r="AN95" s="195"/>
      <c r="AO95" s="195"/>
      <c r="AP95" s="195"/>
      <c r="AQ95" s="195"/>
      <c r="AR95" s="195"/>
      <c r="AS95" s="195"/>
      <c r="AT95" s="195"/>
      <c r="AU95" s="195"/>
      <c r="AV95" s="195"/>
      <c r="AW95" s="195"/>
      <c r="AX95" s="195"/>
      <c r="AY95" s="195"/>
      <c r="AZ95" s="195"/>
      <c r="BA95" s="195"/>
      <c r="BB95" s="195"/>
      <c r="BC95" s="195"/>
      <c r="BD95" s="195"/>
      <c r="BE95" s="195"/>
      <c r="BF95" s="195"/>
      <c r="BG95" s="195"/>
      <c r="BH95" s="195"/>
      <c r="BI95" s="195"/>
      <c r="BJ95" s="195"/>
      <c r="BK95" s="195"/>
      <c r="BL95" s="195"/>
      <c r="BM95" s="195"/>
      <c r="BN95" s="195"/>
      <c r="BO95" s="195"/>
      <c r="BP95" s="195"/>
      <c r="BQ95" s="195"/>
      <c r="BR95" s="195"/>
      <c r="BS95" s="195"/>
      <c r="BT95" s="195"/>
      <c r="BU95" s="195"/>
      <c r="BV95" s="195"/>
      <c r="BW95" s="195"/>
      <c r="BX95" s="195"/>
      <c r="BY95" s="195"/>
      <c r="BZ95" s="195"/>
      <c r="CA95" s="195"/>
      <c r="CB95" s="195"/>
      <c r="CC95" s="195"/>
      <c r="CD95" s="195"/>
      <c r="CE95" s="195"/>
      <c r="CF95" s="195"/>
      <c r="CG95" s="195"/>
      <c r="CH95" s="195"/>
      <c r="CI95" s="195"/>
      <c r="CJ95" s="195"/>
      <c r="CK95" s="195"/>
      <c r="CL95" s="195"/>
      <c r="CM95" s="195"/>
      <c r="CN95" s="195"/>
      <c r="CO95" s="195"/>
      <c r="CP95" s="195"/>
      <c r="CQ95" s="195"/>
      <c r="CR95" s="195"/>
      <c r="CS95" s="195"/>
      <c r="CT95" s="195"/>
      <c r="CU95" s="195"/>
      <c r="CV95" s="195"/>
      <c r="CW95" s="195"/>
      <c r="CX95" s="195"/>
      <c r="CY95" s="195"/>
      <c r="CZ95" s="195"/>
      <c r="DA95" s="195"/>
      <c r="DB95" s="195"/>
      <c r="DC95" s="195"/>
      <c r="DD95" s="195"/>
      <c r="DE95" s="195"/>
      <c r="DF95" s="195"/>
      <c r="DG95" s="195"/>
      <c r="DH95" s="195"/>
      <c r="DI95" s="195"/>
    </row>
    <row r="96" spans="1:113">
      <c r="A96" s="643" t="s">
        <v>537</v>
      </c>
      <c r="AD96" s="506">
        <v>54.5</v>
      </c>
      <c r="AE96" s="506">
        <v>57.3</v>
      </c>
      <c r="AF96" s="506">
        <v>61.3</v>
      </c>
      <c r="AG96" s="506">
        <v>54.6</v>
      </c>
      <c r="AH96" s="506">
        <v>49.3</v>
      </c>
      <c r="AI96" s="506">
        <v>51.8</v>
      </c>
      <c r="AJ96" s="506">
        <v>54.8</v>
      </c>
      <c r="AK96" s="506">
        <v>52.3</v>
      </c>
      <c r="AL96" s="506">
        <v>52.8</v>
      </c>
      <c r="AM96" s="506">
        <v>53.7</v>
      </c>
      <c r="AN96" s="506">
        <v>54.1</v>
      </c>
      <c r="AO96" s="506">
        <v>51.4</v>
      </c>
      <c r="AP96" s="506">
        <v>51.6</v>
      </c>
      <c r="AQ96" s="506">
        <v>53.7</v>
      </c>
      <c r="AR96" s="506">
        <v>52.5</v>
      </c>
      <c r="AS96" s="506">
        <v>49.3</v>
      </c>
      <c r="AT96" s="506">
        <v>52.3</v>
      </c>
      <c r="AU96" s="506">
        <v>46.3</v>
      </c>
      <c r="AV96" s="506">
        <v>49.4</v>
      </c>
      <c r="AW96" s="506">
        <v>43.7</v>
      </c>
      <c r="AX96" s="506">
        <v>51.6</v>
      </c>
      <c r="AY96" s="506">
        <v>53.7</v>
      </c>
      <c r="AZ96" s="506">
        <v>52.5</v>
      </c>
      <c r="BA96" s="506">
        <v>49.3</v>
      </c>
      <c r="BB96" s="506">
        <v>43.1</v>
      </c>
      <c r="BC96" s="506">
        <v>48.6</v>
      </c>
      <c r="BD96" s="506">
        <v>48.3</v>
      </c>
      <c r="BE96" s="506">
        <v>47.1</v>
      </c>
      <c r="BF96" s="506">
        <v>42.8</v>
      </c>
      <c r="BG96" s="506">
        <v>49.3</v>
      </c>
      <c r="BH96" s="506">
        <v>47.9</v>
      </c>
      <c r="BI96" s="506">
        <v>45.5</v>
      </c>
      <c r="BJ96" s="506">
        <v>43.3</v>
      </c>
      <c r="BK96" s="506">
        <v>47.2</v>
      </c>
      <c r="BL96" s="506">
        <v>47.6</v>
      </c>
      <c r="BM96" s="506">
        <v>45.300000000000011</v>
      </c>
      <c r="BN96" s="506">
        <v>40.6</v>
      </c>
      <c r="BO96" s="506">
        <v>45.6</v>
      </c>
      <c r="BP96" s="506">
        <v>47.1</v>
      </c>
      <c r="BQ96" s="506">
        <v>41.800000000000004</v>
      </c>
      <c r="BR96" s="506">
        <v>40.1</v>
      </c>
      <c r="BS96" s="506">
        <v>43.6</v>
      </c>
      <c r="BT96" s="506">
        <v>44.9</v>
      </c>
      <c r="BU96" s="506">
        <v>40.800000000000004</v>
      </c>
      <c r="BV96" s="506">
        <v>34.4</v>
      </c>
      <c r="BW96" s="506">
        <v>40.6</v>
      </c>
      <c r="BX96" s="506">
        <v>37.5</v>
      </c>
      <c r="BY96" s="506">
        <v>36.199999999999996</v>
      </c>
      <c r="BZ96" s="506">
        <v>34.1</v>
      </c>
      <c r="CA96" s="506">
        <v>36.5</v>
      </c>
      <c r="CB96" s="506">
        <v>36.6</v>
      </c>
      <c r="CC96" s="506">
        <v>33.636000000000003</v>
      </c>
      <c r="CD96" s="506">
        <v>31.946999999999999</v>
      </c>
      <c r="CE96" s="506">
        <v>36.198999999999998</v>
      </c>
      <c r="CF96" s="506">
        <v>33.299999999999997</v>
      </c>
      <c r="CG96" s="506">
        <v>33.700000000000003</v>
      </c>
      <c r="CH96" s="507">
        <v>31.108000000000001</v>
      </c>
      <c r="CI96" s="507">
        <v>36.231000000000002</v>
      </c>
      <c r="CJ96" s="507">
        <v>33.701999999999998</v>
      </c>
      <c r="CK96" s="507">
        <v>33.832999999999998</v>
      </c>
      <c r="CL96" s="508">
        <v>29.501000000000001</v>
      </c>
      <c r="CM96" s="508">
        <v>33.819000000000003</v>
      </c>
      <c r="CN96" s="508">
        <v>34.116999999999997</v>
      </c>
      <c r="CO96" s="508">
        <v>31.875</v>
      </c>
      <c r="CP96" s="508">
        <v>28.748999999999999</v>
      </c>
      <c r="CQ96" s="508">
        <v>32.134</v>
      </c>
      <c r="CR96" s="508">
        <v>33.164999999999999</v>
      </c>
      <c r="CS96" s="508">
        <v>31.341999999999999</v>
      </c>
      <c r="CT96" s="508">
        <v>29.198</v>
      </c>
      <c r="CU96" s="508">
        <v>33.124000000000002</v>
      </c>
      <c r="CV96" s="508">
        <v>33.182000000000002</v>
      </c>
      <c r="CW96" s="508">
        <v>30.513999999999999</v>
      </c>
      <c r="CX96" s="508">
        <v>29.539000000000001</v>
      </c>
      <c r="CY96" s="508">
        <v>31.47</v>
      </c>
      <c r="CZ96" s="508">
        <v>32.863999999999997</v>
      </c>
      <c r="DA96" s="508">
        <v>29.056999999999999</v>
      </c>
      <c r="DB96" s="508">
        <f t="shared" ref="DB96:DI96" si="131">+DB296</f>
        <v>28.727</v>
      </c>
      <c r="DC96" s="508">
        <f t="shared" si="131"/>
        <v>30.568999999999999</v>
      </c>
      <c r="DD96" s="508">
        <f t="shared" ref="DD96:DE96" si="132">+DD296</f>
        <v>30.827999999999999</v>
      </c>
      <c r="DE96" s="508">
        <f t="shared" si="132"/>
        <v>26.481999999999999</v>
      </c>
      <c r="DF96" s="508">
        <f t="shared" si="131"/>
        <v>26.945926</v>
      </c>
      <c r="DG96" s="508">
        <f t="shared" si="131"/>
        <v>29.193394999999999</v>
      </c>
      <c r="DH96" s="508">
        <f t="shared" si="131"/>
        <v>29.749019999999998</v>
      </c>
      <c r="DI96" s="508">
        <f t="shared" si="131"/>
        <v>26.053418999999991</v>
      </c>
    </row>
    <row r="97" spans="1:113">
      <c r="A97" s="643" t="s">
        <v>362</v>
      </c>
      <c r="B97" s="784"/>
      <c r="C97" s="785">
        <f t="shared" ref="C97:J97" si="133">C263/B263-1</f>
        <v>1.7771373679154712E-2</v>
      </c>
      <c r="D97" s="785">
        <f t="shared" si="133"/>
        <v>-2.2652194431335593E-2</v>
      </c>
      <c r="E97" s="785">
        <f t="shared" si="133"/>
        <v>-7.4843070980202819E-2</v>
      </c>
      <c r="F97" s="785">
        <f t="shared" si="133"/>
        <v>-2.2964509394572064E-2</v>
      </c>
      <c r="G97" s="785">
        <f t="shared" si="133"/>
        <v>-5.3418803418803229E-4</v>
      </c>
      <c r="H97" s="785">
        <f t="shared" si="133"/>
        <v>-8.5515766969535001E-3</v>
      </c>
      <c r="I97" s="785">
        <f t="shared" si="133"/>
        <v>-1.132075471698113E-2</v>
      </c>
      <c r="J97" s="785">
        <f t="shared" si="133"/>
        <v>-4.5256270447110225E-2</v>
      </c>
      <c r="K97" s="785">
        <f t="shared" ref="K97:W97" si="134">K263/J263-1</f>
        <v>-3.2552826956025016E-2</v>
      </c>
      <c r="L97" s="785">
        <f t="shared" si="134"/>
        <v>-0.12219598583234959</v>
      </c>
      <c r="M97" s="785">
        <f t="shared" si="134"/>
        <v>-5.3127101546738276E-2</v>
      </c>
      <c r="N97" s="785">
        <f t="shared" si="134"/>
        <v>-4.0156250000000004E-2</v>
      </c>
      <c r="O97" s="785">
        <f t="shared" si="134"/>
        <v>-2.0126381838901919E-3</v>
      </c>
      <c r="P97" s="785">
        <f t="shared" si="134"/>
        <v>-4.1238489256639421E-2</v>
      </c>
      <c r="Q97" s="785">
        <f t="shared" si="134"/>
        <v>-3.0329745112596007E-2</v>
      </c>
      <c r="R97" s="785">
        <f t="shared" si="134"/>
        <v>5.0083738735147154E-3</v>
      </c>
      <c r="S97" s="785">
        <f t="shared" si="134"/>
        <v>-2.4504435874240227E-2</v>
      </c>
      <c r="T97" s="785">
        <f t="shared" si="134"/>
        <v>-5.1443911168957968E-2</v>
      </c>
      <c r="U97" s="785">
        <f t="shared" si="134"/>
        <v>-4.0000000000000036E-2</v>
      </c>
      <c r="V97" s="785">
        <f t="shared" si="134"/>
        <v>-3.7499999999999978E-2</v>
      </c>
      <c r="W97" s="785">
        <f t="shared" si="134"/>
        <v>-3.5000000000000031E-2</v>
      </c>
      <c r="X97" s="785">
        <f>X263/W263-1</f>
        <v>-3.2000000000000028E-2</v>
      </c>
      <c r="Y97" s="785">
        <f>Y263/X263-1</f>
        <v>-3.2000000000000028E-2</v>
      </c>
      <c r="Z97" s="785">
        <f>Z263/Y263-1</f>
        <v>-3.2000000000000028E-2</v>
      </c>
      <c r="AA97" s="785">
        <f>AA263/Z263-1</f>
        <v>-3.2000000000000028E-2</v>
      </c>
      <c r="AB97" s="785">
        <f>AB263/AA263-1</f>
        <v>-3.2000000000000028E-2</v>
      </c>
      <c r="AD97" s="506"/>
      <c r="AE97" s="506"/>
      <c r="AF97" s="506"/>
      <c r="AG97" s="506"/>
      <c r="AH97" s="509">
        <f t="shared" ref="AH97:BM97" si="135">AH96/AD96-1</f>
        <v>-9.5412844036697253E-2</v>
      </c>
      <c r="AI97" s="509">
        <f t="shared" si="135"/>
        <v>-9.5986038394415329E-2</v>
      </c>
      <c r="AJ97" s="509">
        <f t="shared" si="135"/>
        <v>-0.10603588907014683</v>
      </c>
      <c r="AK97" s="509">
        <f t="shared" si="135"/>
        <v>-4.2124542124542197E-2</v>
      </c>
      <c r="AL97" s="509">
        <f t="shared" si="135"/>
        <v>7.0993914807302216E-2</v>
      </c>
      <c r="AM97" s="509">
        <f t="shared" si="135"/>
        <v>3.6679536679536717E-2</v>
      </c>
      <c r="AN97" s="509">
        <f t="shared" si="135"/>
        <v>-1.2773722627737127E-2</v>
      </c>
      <c r="AO97" s="509">
        <f t="shared" si="135"/>
        <v>-1.7208413001912004E-2</v>
      </c>
      <c r="AP97" s="509">
        <f t="shared" si="135"/>
        <v>-2.2727272727272596E-2</v>
      </c>
      <c r="AQ97" s="509">
        <f t="shared" si="135"/>
        <v>0</v>
      </c>
      <c r="AR97" s="509">
        <f t="shared" si="135"/>
        <v>-2.957486136783738E-2</v>
      </c>
      <c r="AS97" s="509">
        <f t="shared" si="135"/>
        <v>-4.0856031128404746E-2</v>
      </c>
      <c r="AT97" s="509">
        <f t="shared" si="135"/>
        <v>1.3565891472868241E-2</v>
      </c>
      <c r="AU97" s="509">
        <f t="shared" si="135"/>
        <v>-0.13780260707635017</v>
      </c>
      <c r="AV97" s="509">
        <f t="shared" si="135"/>
        <v>-5.9047619047619126E-2</v>
      </c>
      <c r="AW97" s="509">
        <f t="shared" si="135"/>
        <v>-0.11359026369168346</v>
      </c>
      <c r="AX97" s="509">
        <f t="shared" si="135"/>
        <v>-1.338432122370925E-2</v>
      </c>
      <c r="AY97" s="509">
        <f t="shared" si="135"/>
        <v>0.15982721382289422</v>
      </c>
      <c r="AZ97" s="509">
        <f t="shared" si="135"/>
        <v>6.2753036437247056E-2</v>
      </c>
      <c r="BA97" s="509">
        <f t="shared" si="135"/>
        <v>0.12814645308924466</v>
      </c>
      <c r="BB97" s="509">
        <f t="shared" si="135"/>
        <v>-0.1647286821705426</v>
      </c>
      <c r="BC97" s="509">
        <f t="shared" si="135"/>
        <v>-9.4972067039106212E-2</v>
      </c>
      <c r="BD97" s="509">
        <f t="shared" si="135"/>
        <v>-8.0000000000000071E-2</v>
      </c>
      <c r="BE97" s="509">
        <f t="shared" si="135"/>
        <v>-4.4624746450304231E-2</v>
      </c>
      <c r="BF97" s="509">
        <f t="shared" si="135"/>
        <v>-6.9605568445476607E-3</v>
      </c>
      <c r="BG97" s="509">
        <f t="shared" si="135"/>
        <v>1.4403292181069949E-2</v>
      </c>
      <c r="BH97" s="509">
        <f t="shared" si="135"/>
        <v>-8.2815734989647449E-3</v>
      </c>
      <c r="BI97" s="509">
        <f t="shared" si="135"/>
        <v>-3.3970276008492561E-2</v>
      </c>
      <c r="BJ97" s="509">
        <f t="shared" si="135"/>
        <v>1.1682242990654235E-2</v>
      </c>
      <c r="BK97" s="509">
        <f t="shared" si="135"/>
        <v>-4.2596348884381241E-2</v>
      </c>
      <c r="BL97" s="509">
        <f t="shared" si="135"/>
        <v>-6.2630480167014113E-3</v>
      </c>
      <c r="BM97" s="509">
        <f t="shared" si="135"/>
        <v>-4.3956043956041579E-3</v>
      </c>
      <c r="BN97" s="509">
        <f t="shared" ref="BN97:CS97" si="136">BN96/BJ96-1</f>
        <v>-6.2355658198614217E-2</v>
      </c>
      <c r="BO97" s="509">
        <f t="shared" si="136"/>
        <v>-3.3898305084745783E-2</v>
      </c>
      <c r="BP97" s="509">
        <f t="shared" si="136"/>
        <v>-1.0504201680672232E-2</v>
      </c>
      <c r="BQ97" s="509">
        <f t="shared" si="136"/>
        <v>-7.7262693156733064E-2</v>
      </c>
      <c r="BR97" s="509">
        <f t="shared" si="136"/>
        <v>-1.2315270935960632E-2</v>
      </c>
      <c r="BS97" s="509">
        <f t="shared" si="136"/>
        <v>-4.3859649122807043E-2</v>
      </c>
      <c r="BT97" s="509">
        <f t="shared" si="136"/>
        <v>-4.6709129511677383E-2</v>
      </c>
      <c r="BU97" s="509">
        <f t="shared" si="136"/>
        <v>-2.3923444976076569E-2</v>
      </c>
      <c r="BV97" s="509">
        <f t="shared" si="136"/>
        <v>-0.14214463840399005</v>
      </c>
      <c r="BW97" s="509">
        <f t="shared" si="136"/>
        <v>-6.8807339449541316E-2</v>
      </c>
      <c r="BX97" s="509">
        <f t="shared" si="136"/>
        <v>-0.16481069042316254</v>
      </c>
      <c r="BY97" s="509">
        <f t="shared" si="136"/>
        <v>-0.11274509803921584</v>
      </c>
      <c r="BZ97" s="509">
        <f t="shared" si="136"/>
        <v>-8.720930232558044E-3</v>
      </c>
      <c r="CA97" s="509">
        <f t="shared" si="136"/>
        <v>-0.10098522167487689</v>
      </c>
      <c r="CB97" s="509">
        <f t="shared" si="136"/>
        <v>-2.399999999999991E-2</v>
      </c>
      <c r="CC97" s="509">
        <f t="shared" si="136"/>
        <v>-7.0828729281767755E-2</v>
      </c>
      <c r="CD97" s="509">
        <f t="shared" si="136"/>
        <v>-6.3137829912023546E-2</v>
      </c>
      <c r="CE97" s="509">
        <f t="shared" si="136"/>
        <v>-8.2465753424657562E-3</v>
      </c>
      <c r="CF97" s="509">
        <f t="shared" si="136"/>
        <v>-9.0163934426229608E-2</v>
      </c>
      <c r="CG97" s="509">
        <f t="shared" si="136"/>
        <v>1.9027232726840371E-3</v>
      </c>
      <c r="CH97" s="509">
        <f t="shared" si="136"/>
        <v>-2.6262246846339155E-2</v>
      </c>
      <c r="CI97" s="509">
        <f t="shared" si="136"/>
        <v>8.8400232050611649E-4</v>
      </c>
      <c r="CJ97" s="509">
        <f t="shared" si="136"/>
        <v>1.2072072072072171E-2</v>
      </c>
      <c r="CK97" s="509">
        <f t="shared" si="136"/>
        <v>3.9465875370918724E-3</v>
      </c>
      <c r="CL97" s="509">
        <f t="shared" si="136"/>
        <v>-5.1658737302301638E-2</v>
      </c>
      <c r="CM97" s="509">
        <f t="shared" si="136"/>
        <v>-6.6572824376914808E-2</v>
      </c>
      <c r="CN97" s="509">
        <f t="shared" si="136"/>
        <v>1.2313809269479448E-2</v>
      </c>
      <c r="CO97" s="509">
        <f t="shared" si="136"/>
        <v>-5.7872491354594602E-2</v>
      </c>
      <c r="CP97" s="509">
        <f t="shared" si="136"/>
        <v>-2.5490661333514186E-2</v>
      </c>
      <c r="CQ97" s="509">
        <f t="shared" si="136"/>
        <v>-4.9824063396315732E-2</v>
      </c>
      <c r="CR97" s="509">
        <f t="shared" si="136"/>
        <v>-2.7903977489228238E-2</v>
      </c>
      <c r="CS97" s="509">
        <f t="shared" si="136"/>
        <v>-1.6721568627451E-2</v>
      </c>
      <c r="CT97" s="509">
        <f t="shared" ref="CT97:DE97" si="137">CT96/CP96-1</f>
        <v>1.5617934536853451E-2</v>
      </c>
      <c r="CU97" s="509">
        <f t="shared" si="137"/>
        <v>3.0808489450426357E-2</v>
      </c>
      <c r="CV97" s="509">
        <f t="shared" si="137"/>
        <v>5.125885722900847E-4</v>
      </c>
      <c r="CW97" s="509">
        <f t="shared" si="137"/>
        <v>-2.6418224746346697E-2</v>
      </c>
      <c r="CX97" s="509">
        <f t="shared" si="137"/>
        <v>1.1678882115213396E-2</v>
      </c>
      <c r="CY97" s="509">
        <f t="shared" si="137"/>
        <v>-4.9933582900616003E-2</v>
      </c>
      <c r="CZ97" s="509">
        <f t="shared" si="137"/>
        <v>-9.583509131457002E-3</v>
      </c>
      <c r="DA97" s="509">
        <f t="shared" si="137"/>
        <v>-4.774857442485414E-2</v>
      </c>
      <c r="DB97" s="509">
        <f t="shared" si="137"/>
        <v>-2.7489082230271911E-2</v>
      </c>
      <c r="DC97" s="509">
        <f t="shared" si="137"/>
        <v>-2.8630441690498887E-2</v>
      </c>
      <c r="DD97" s="509">
        <f t="shared" si="137"/>
        <v>-6.195228821811094E-2</v>
      </c>
      <c r="DE97" s="509">
        <f t="shared" si="137"/>
        <v>-8.8618921430292152E-2</v>
      </c>
      <c r="DF97" s="509">
        <f t="shared" ref="DF97" si="138">DF96/DB96-1</f>
        <v>-6.2000000000000055E-2</v>
      </c>
      <c r="DG97" s="509">
        <f t="shared" ref="DG97" si="139">DG96/DC96-1</f>
        <v>-4.500000000000004E-2</v>
      </c>
      <c r="DH97" s="509">
        <f t="shared" ref="DH97" si="140">DH96/DD96-1</f>
        <v>-3.5000000000000031E-2</v>
      </c>
      <c r="DI97" s="509">
        <f t="shared" ref="DI97" si="141">DI96/DE96-1</f>
        <v>-1.6183860735594302E-2</v>
      </c>
    </row>
    <row r="98" spans="1:113">
      <c r="A98" s="643" t="s">
        <v>108</v>
      </c>
      <c r="C98" s="785">
        <f t="shared" ref="C98:J98" si="142">C166/B166-1</f>
        <v>-7.1707000162416712E-2</v>
      </c>
      <c r="D98" s="785">
        <f t="shared" si="142"/>
        <v>0.12789782171288611</v>
      </c>
      <c r="E98" s="785">
        <f t="shared" si="142"/>
        <v>-2.4338788489878249E-2</v>
      </c>
      <c r="F98" s="785">
        <f t="shared" si="142"/>
        <v>-3.4851182905113243E-2</v>
      </c>
      <c r="G98" s="785">
        <f t="shared" si="142"/>
        <v>5.9370057986294134E-2</v>
      </c>
      <c r="H98" s="785">
        <f t="shared" si="142"/>
        <v>7.1810661193008718E-2</v>
      </c>
      <c r="I98" s="785">
        <f t="shared" si="142"/>
        <v>2.0282621942373069E-2</v>
      </c>
      <c r="J98" s="785">
        <f t="shared" si="142"/>
        <v>-0.78368693475911499</v>
      </c>
      <c r="K98" s="785">
        <f t="shared" ref="K98:T98" si="143">K166/J166-1</f>
        <v>2.9384696292400703E-2</v>
      </c>
      <c r="L98" s="785">
        <f t="shared" si="143"/>
        <v>7.4398109713263993E-2</v>
      </c>
      <c r="M98" s="785">
        <f t="shared" si="143"/>
        <v>4.0418449833570236E-3</v>
      </c>
      <c r="N98" s="785">
        <f t="shared" si="143"/>
        <v>1.071513142315883E-2</v>
      </c>
      <c r="O98" s="785">
        <f t="shared" si="143"/>
        <v>2.501025010250113E-2</v>
      </c>
      <c r="P98" s="785">
        <f t="shared" si="143"/>
        <v>9.3142857142856084E-3</v>
      </c>
      <c r="Q98" s="785">
        <f t="shared" si="143"/>
        <v>1.5984675895745593E-2</v>
      </c>
      <c r="R98" s="785">
        <f t="shared" si="143"/>
        <v>4.8905460907215259E-2</v>
      </c>
      <c r="S98" s="785">
        <f t="shared" si="143"/>
        <v>2.7309074285946977E-2</v>
      </c>
      <c r="T98" s="785">
        <f t="shared" si="143"/>
        <v>8.1191498164141507E-3</v>
      </c>
      <c r="U98" s="785">
        <f t="shared" ref="U98:AB98" si="144">U166/T166-1</f>
        <v>4.9471783494943189E-3</v>
      </c>
      <c r="V98" s="785">
        <f t="shared" si="144"/>
        <v>1.4245247194571542E-2</v>
      </c>
      <c r="W98" s="785">
        <f t="shared" si="144"/>
        <v>1.7346594956539896E-2</v>
      </c>
      <c r="X98" s="785">
        <f t="shared" si="144"/>
        <v>1.8720849991456179E-2</v>
      </c>
      <c r="Y98" s="785">
        <f t="shared" si="144"/>
        <v>1.9107962766065745E-2</v>
      </c>
      <c r="Z98" s="785">
        <f t="shared" si="144"/>
        <v>1.95059992056692E-2</v>
      </c>
      <c r="AA98" s="785">
        <f t="shared" si="144"/>
        <v>1.9914961783703999E-2</v>
      </c>
      <c r="AB98" s="785">
        <f t="shared" si="144"/>
        <v>2.0334827699191926E-2</v>
      </c>
      <c r="AD98" s="497"/>
      <c r="AE98" s="497"/>
      <c r="AF98" s="497"/>
      <c r="AG98" s="497"/>
      <c r="AH98" s="374">
        <f t="shared" ref="AH98:BM98" si="145">AH11/AD11-1</f>
        <v>6.0377770498962757E-2</v>
      </c>
      <c r="AI98" s="374">
        <f t="shared" si="145"/>
        <v>4.2795175624206427E-2</v>
      </c>
      <c r="AJ98" s="374">
        <f t="shared" si="145"/>
        <v>6.8635921805810574E-2</v>
      </c>
      <c r="AK98" s="374">
        <f t="shared" si="145"/>
        <v>3.4398301855984359E-2</v>
      </c>
      <c r="AL98" s="374">
        <f t="shared" si="145"/>
        <v>3.6037891268533739E-2</v>
      </c>
      <c r="AM98" s="374">
        <f t="shared" si="145"/>
        <v>4.961193121290508E-2</v>
      </c>
      <c r="AN98" s="374">
        <f t="shared" si="145"/>
        <v>5.9629086866441749E-3</v>
      </c>
      <c r="AO98" s="374">
        <f t="shared" si="145"/>
        <v>9.0502499342277609E-3</v>
      </c>
      <c r="AP98" s="374">
        <f t="shared" si="145"/>
        <v>-0.2344464321208507</v>
      </c>
      <c r="AQ98" s="374">
        <f t="shared" si="145"/>
        <v>-0.20622492871296694</v>
      </c>
      <c r="AR98" s="374">
        <f t="shared" si="145"/>
        <v>-0.20424976139046569</v>
      </c>
      <c r="AS98" s="374">
        <f t="shared" si="145"/>
        <v>-0.17745215622881572</v>
      </c>
      <c r="AT98" s="374">
        <f t="shared" si="145"/>
        <v>2.8365571855121452E-2</v>
      </c>
      <c r="AU98" s="374">
        <f t="shared" si="145"/>
        <v>-3.1660983925961839E-3</v>
      </c>
      <c r="AV98" s="374">
        <f t="shared" si="145"/>
        <v>-2.6324095701029004E-2</v>
      </c>
      <c r="AW98" s="374">
        <f t="shared" si="145"/>
        <v>-9.1289463674400939E-2</v>
      </c>
      <c r="AX98" s="374">
        <f t="shared" si="145"/>
        <v>-9.3101054093290392E-2</v>
      </c>
      <c r="AY98" s="374">
        <f t="shared" si="145"/>
        <v>-6.0414121671145793E-2</v>
      </c>
      <c r="AZ98" s="374">
        <f t="shared" si="145"/>
        <v>-1.4846991701244816E-2</v>
      </c>
      <c r="BA98" s="374">
        <f t="shared" si="145"/>
        <v>6.9206083437979737E-2</v>
      </c>
      <c r="BB98" s="374">
        <f t="shared" si="145"/>
        <v>7.3427060133630206E-2</v>
      </c>
      <c r="BC98" s="374">
        <f t="shared" si="145"/>
        <v>5.8838060443739293E-2</v>
      </c>
      <c r="BD98" s="374">
        <f t="shared" si="145"/>
        <v>4.6462652188219877E-2</v>
      </c>
      <c r="BE98" s="374">
        <f t="shared" si="145"/>
        <v>6.3617382226282215E-2</v>
      </c>
      <c r="BF98" s="374">
        <f t="shared" si="145"/>
        <v>6.2957919989625966E-2</v>
      </c>
      <c r="BG98" s="374">
        <f t="shared" si="145"/>
        <v>5.7833988212180776E-2</v>
      </c>
      <c r="BH98" s="374">
        <f t="shared" si="145"/>
        <v>8.2133199169863502E-2</v>
      </c>
      <c r="BI98" s="374">
        <f t="shared" si="145"/>
        <v>9.0117170725722451E-2</v>
      </c>
      <c r="BJ98" s="374">
        <f t="shared" si="145"/>
        <v>1.8726363303647631E-2</v>
      </c>
      <c r="BK98" s="374">
        <f t="shared" si="145"/>
        <v>3.4184561810795211E-2</v>
      </c>
      <c r="BL98" s="374">
        <f t="shared" si="145"/>
        <v>1.9759400244086622E-2</v>
      </c>
      <c r="BM98" s="374">
        <f t="shared" si="145"/>
        <v>9.5666854248734889E-3</v>
      </c>
      <c r="BN98" s="374">
        <f t="shared" ref="BN98:CS98" si="146">BN11/BJ11-1</f>
        <v>-0.79372492665109873</v>
      </c>
      <c r="BO98" s="374">
        <f t="shared" si="146"/>
        <v>-0.78057130029743527</v>
      </c>
      <c r="BP98" s="374">
        <f t="shared" si="146"/>
        <v>-0.77107197811591721</v>
      </c>
      <c r="BQ98" s="374">
        <f t="shared" si="146"/>
        <v>-0.79593088071348939</v>
      </c>
      <c r="BR98" s="374">
        <f t="shared" si="146"/>
        <v>4.5283018867924518E-2</v>
      </c>
      <c r="BS98" s="374">
        <f t="shared" si="146"/>
        <v>4.143222506393851E-2</v>
      </c>
      <c r="BT98" s="374">
        <f t="shared" si="146"/>
        <v>5.650983320886227E-2</v>
      </c>
      <c r="BU98" s="374">
        <f t="shared" si="146"/>
        <v>2.2125102431029831E-2</v>
      </c>
      <c r="BV98" s="374">
        <f t="shared" si="146"/>
        <v>5.8594834768119997E-2</v>
      </c>
      <c r="BW98" s="374">
        <f t="shared" si="146"/>
        <v>0.12819253438113942</v>
      </c>
      <c r="BX98" s="374">
        <f t="shared" si="146"/>
        <v>1.7436380772855697E-2</v>
      </c>
      <c r="BY98" s="374">
        <f t="shared" si="146"/>
        <v>9.5670764297167254E-2</v>
      </c>
      <c r="BZ98" s="374">
        <f t="shared" si="146"/>
        <v>3.6463798530954827E-2</v>
      </c>
      <c r="CA98" s="374">
        <f t="shared" si="146"/>
        <v>-5.5071832825424494E-2</v>
      </c>
      <c r="CB98" s="374">
        <f t="shared" si="146"/>
        <v>3.3117183881426593E-2</v>
      </c>
      <c r="CC98" s="374">
        <f t="shared" si="146"/>
        <v>9.512195121951228E-3</v>
      </c>
      <c r="CD98" s="374">
        <f t="shared" si="146"/>
        <v>-2.0248038471273322E-3</v>
      </c>
      <c r="CE98" s="374">
        <f t="shared" si="146"/>
        <v>3.4784611840589674E-2</v>
      </c>
      <c r="CF98" s="374">
        <f t="shared" si="146"/>
        <v>-2.9589778076664408E-2</v>
      </c>
      <c r="CG98" s="374">
        <f t="shared" si="146"/>
        <v>4.1072722879922585E-2</v>
      </c>
      <c r="CH98" s="374">
        <f t="shared" si="146"/>
        <v>1.2934313974131362E-2</v>
      </c>
      <c r="CI98" s="374">
        <f t="shared" si="146"/>
        <v>1.9590382902938464E-2</v>
      </c>
      <c r="CJ98" s="374">
        <f t="shared" si="146"/>
        <v>3.1647031647031643E-2</v>
      </c>
      <c r="CK98" s="374">
        <f t="shared" si="146"/>
        <v>3.5042933395219356E-2</v>
      </c>
      <c r="CL98" s="374">
        <f t="shared" si="146"/>
        <v>-5.2578868302454174E-3</v>
      </c>
      <c r="CM98" s="374">
        <f t="shared" si="146"/>
        <v>-1.1790393013100475E-2</v>
      </c>
      <c r="CN98" s="374">
        <f t="shared" si="146"/>
        <v>6.5830721003134807E-2</v>
      </c>
      <c r="CO98" s="374">
        <f t="shared" si="146"/>
        <v>-1.255605381165914E-2</v>
      </c>
      <c r="CP98" s="374">
        <f t="shared" si="146"/>
        <v>8.8943695813124002E-3</v>
      </c>
      <c r="CQ98" s="374">
        <f t="shared" si="146"/>
        <v>9.9425541316835453E-3</v>
      </c>
      <c r="CR98" s="374">
        <f t="shared" si="146"/>
        <v>-1.4705882352941124E-3</v>
      </c>
      <c r="CS98" s="374">
        <f t="shared" si="146"/>
        <v>4.7456857402361496E-2</v>
      </c>
      <c r="CT98" s="374">
        <f t="shared" ref="CT98:DE98" si="147">CT11/CP11-1</f>
        <v>6.577856301097551E-2</v>
      </c>
      <c r="CU98" s="374">
        <f t="shared" si="147"/>
        <v>6.6509819759922983E-2</v>
      </c>
      <c r="CV98" s="374">
        <f t="shared" si="147"/>
        <v>4.7338523038081171E-2</v>
      </c>
      <c r="CW98" s="374">
        <f t="shared" si="147"/>
        <v>1.841446726642082E-2</v>
      </c>
      <c r="CX98" s="374">
        <f t="shared" si="147"/>
        <v>6.039325842696619E-2</v>
      </c>
      <c r="CY98" s="374">
        <f t="shared" si="147"/>
        <v>1.2274038492310346E-3</v>
      </c>
      <c r="CZ98" s="374">
        <f t="shared" si="147"/>
        <v>4.3190036159099998E-2</v>
      </c>
      <c r="DA98" s="374">
        <f t="shared" si="147"/>
        <v>7.4615721352158104E-3</v>
      </c>
      <c r="DB98" s="374">
        <f t="shared" si="147"/>
        <v>1.3024282560706313E-2</v>
      </c>
      <c r="DC98" s="374">
        <f t="shared" si="147"/>
        <v>3.8311821348084418E-2</v>
      </c>
      <c r="DD98" s="374">
        <f t="shared" si="147"/>
        <v>-1.3479684190256136E-2</v>
      </c>
      <c r="DE98" s="374">
        <f t="shared" si="147"/>
        <v>-4.0143672089584248E-3</v>
      </c>
      <c r="DF98" s="374">
        <f t="shared" ref="DF98" si="148">DF11/DB11-1</f>
        <v>-7.4629248809640059E-3</v>
      </c>
      <c r="DG98" s="374">
        <f t="shared" ref="DG98" si="149">DG11/DC11-1</f>
        <v>-1.5572067460067895E-3</v>
      </c>
      <c r="DH98" s="374">
        <f t="shared" ref="DH98" si="150">DH11/DD11-1</f>
        <v>8.972902421032547E-3</v>
      </c>
      <c r="DI98" s="374">
        <f t="shared" ref="DI98" si="151">DI11/DE11-1</f>
        <v>1.9646033455579248E-2</v>
      </c>
    </row>
    <row r="99" spans="1:113">
      <c r="A99" s="643" t="s">
        <v>545</v>
      </c>
      <c r="C99" s="785">
        <f t="shared" ref="C99:W99" si="152">C16/B16-1</f>
        <v>-0.1321034842214992</v>
      </c>
      <c r="D99" s="785">
        <f t="shared" si="152"/>
        <v>0.11246587807097352</v>
      </c>
      <c r="E99" s="785">
        <f t="shared" si="152"/>
        <v>-1.364305578275804E-2</v>
      </c>
      <c r="F99" s="785">
        <f t="shared" si="152"/>
        <v>-4.3584980761576242E-2</v>
      </c>
      <c r="G99" s="785">
        <f t="shared" si="152"/>
        <v>3.5340223347437139E-2</v>
      </c>
      <c r="H99" s="785">
        <f t="shared" si="152"/>
        <v>-7.5067832378655441E-2</v>
      </c>
      <c r="I99" s="785">
        <f t="shared" si="152"/>
        <v>0.17800231783282627</v>
      </c>
      <c r="J99" s="785">
        <f t="shared" si="152"/>
        <v>-0.774495034894088</v>
      </c>
      <c r="K99" s="785">
        <f t="shared" si="152"/>
        <v>3.7218813905930404E-2</v>
      </c>
      <c r="L99" s="785">
        <f t="shared" si="152"/>
        <v>0.14261303890641419</v>
      </c>
      <c r="M99" s="785">
        <f t="shared" si="152"/>
        <v>3.094443805360636E-2</v>
      </c>
      <c r="N99" s="785">
        <f t="shared" si="152"/>
        <v>3.2358848471323309E-2</v>
      </c>
      <c r="O99" s="785">
        <f t="shared" si="152"/>
        <v>4.1720709035884207E-2</v>
      </c>
      <c r="P99" s="785">
        <f t="shared" si="152"/>
        <v>4.056858269350494E-2</v>
      </c>
      <c r="Q99" s="785">
        <f t="shared" si="152"/>
        <v>1.5754312493768019E-2</v>
      </c>
      <c r="R99" s="785">
        <f t="shared" si="152"/>
        <v>7.8429598863513084E-2</v>
      </c>
      <c r="S99" s="785">
        <f t="shared" si="152"/>
        <v>5.616601060524351E-2</v>
      </c>
      <c r="T99" s="785">
        <f t="shared" si="152"/>
        <v>2.9992243385331463E-2</v>
      </c>
      <c r="U99" s="785">
        <f t="shared" si="152"/>
        <v>-5.3888542872609912E-3</v>
      </c>
      <c r="V99" s="785">
        <f t="shared" si="152"/>
        <v>4.5269587738377082E-2</v>
      </c>
      <c r="W99" s="785">
        <f t="shared" si="152"/>
        <v>5.8849532101198809E-2</v>
      </c>
      <c r="X99" s="785">
        <f>X16/W16-1</f>
        <v>4.8339795199098257E-2</v>
      </c>
      <c r="Y99" s="785">
        <f>Y16/X16-1</f>
        <v>4.5768666372752564E-2</v>
      </c>
      <c r="Z99" s="785">
        <f>Z16/Y16-1</f>
        <v>4.3586592589494488E-2</v>
      </c>
      <c r="AA99" s="785">
        <f>AA16/Z16-1</f>
        <v>4.1732564046589093E-2</v>
      </c>
      <c r="AB99" s="785">
        <f>AB16/AA16-1</f>
        <v>4.0157718548204491E-2</v>
      </c>
      <c r="AD99" s="497"/>
      <c r="AE99" s="497"/>
      <c r="AF99" s="497"/>
      <c r="AG99" s="497"/>
      <c r="AH99" s="374"/>
      <c r="AI99" s="374"/>
      <c r="AJ99" s="374"/>
      <c r="AK99" s="374"/>
      <c r="AL99" s="374"/>
      <c r="AM99" s="374"/>
      <c r="AN99" s="374"/>
      <c r="AO99" s="374"/>
      <c r="AP99" s="374"/>
      <c r="AQ99" s="374"/>
      <c r="AR99" s="374"/>
      <c r="AS99" s="374"/>
      <c r="AT99" s="374">
        <f t="shared" ref="AT99:BY99" si="153">AT16/AP16-1</f>
        <v>3.9084707220011339E-2</v>
      </c>
      <c r="AU99" s="374">
        <f t="shared" si="153"/>
        <v>2.7143416416546939E-2</v>
      </c>
      <c r="AV99" s="374">
        <f t="shared" si="153"/>
        <v>2.7578891540705364E-2</v>
      </c>
      <c r="AW99" s="374">
        <f t="shared" si="153"/>
        <v>-0.13841730558598031</v>
      </c>
      <c r="AX99" s="374">
        <f t="shared" si="153"/>
        <v>-6.9484338667760936E-2</v>
      </c>
      <c r="AY99" s="374">
        <f t="shared" si="153"/>
        <v>-6.0869012831914482E-2</v>
      </c>
      <c r="AZ99" s="374">
        <f t="shared" si="153"/>
        <v>-5.8709677419354844E-2</v>
      </c>
      <c r="BA99" s="374">
        <f t="shared" si="153"/>
        <v>9.8363260765930383E-2</v>
      </c>
      <c r="BB99" s="374">
        <f t="shared" si="153"/>
        <v>7.8788769660443903E-2</v>
      </c>
      <c r="BC99" s="374">
        <f t="shared" si="153"/>
        <v>3.5187164328521536E-2</v>
      </c>
      <c r="BD99" s="374">
        <f t="shared" si="153"/>
        <v>2.5359835503769634E-2</v>
      </c>
      <c r="BE99" s="374">
        <f t="shared" si="153"/>
        <v>5.193865740740744E-2</v>
      </c>
      <c r="BF99" s="374">
        <f t="shared" si="153"/>
        <v>5.2323204796293821E-2</v>
      </c>
      <c r="BG99" s="374">
        <f t="shared" si="153"/>
        <v>5.8024046001045493E-2</v>
      </c>
      <c r="BH99" s="374">
        <f t="shared" si="153"/>
        <v>8.6229946524064127E-2</v>
      </c>
      <c r="BI99" s="374">
        <f t="shared" si="153"/>
        <v>8.5545317012790445E-2</v>
      </c>
      <c r="BJ99" s="374">
        <f t="shared" si="153"/>
        <v>8.1574517674478653E-3</v>
      </c>
      <c r="BK99" s="374">
        <f t="shared" si="153"/>
        <v>4.0760869565217295E-2</v>
      </c>
      <c r="BL99" s="374">
        <f t="shared" si="153"/>
        <v>1.9323076923076998E-2</v>
      </c>
      <c r="BM99" s="374">
        <f t="shared" si="153"/>
        <v>1.7737235525148831E-2</v>
      </c>
      <c r="BN99" s="374">
        <f t="shared" si="153"/>
        <v>-0.78718212175699975</v>
      </c>
      <c r="BO99" s="374">
        <f t="shared" si="153"/>
        <v>-0.77581295988606691</v>
      </c>
      <c r="BP99" s="374">
        <f t="shared" si="153"/>
        <v>-0.7680511953634388</v>
      </c>
      <c r="BQ99" s="374">
        <f t="shared" si="153"/>
        <v>-0.78351798829826969</v>
      </c>
      <c r="BR99" s="374">
        <f t="shared" si="153"/>
        <v>3.4399517199758645E-2</v>
      </c>
      <c r="BS99" s="374">
        <f t="shared" si="153"/>
        <v>7.9407093700369913E-3</v>
      </c>
      <c r="BT99" s="374">
        <f t="shared" si="153"/>
        <v>4.8412285268089494E-2</v>
      </c>
      <c r="BU99" s="374">
        <f t="shared" si="153"/>
        <v>1.035077630822312E-2</v>
      </c>
      <c r="BV99" s="374">
        <f t="shared" si="153"/>
        <v>0.19136522753792296</v>
      </c>
      <c r="BW99" s="374">
        <f t="shared" si="153"/>
        <v>0.2899159663865547</v>
      </c>
      <c r="BX99" s="374">
        <f t="shared" si="153"/>
        <v>0.13455809334657398</v>
      </c>
      <c r="BY99" s="374">
        <f t="shared" si="153"/>
        <v>8.7080250426863959E-2</v>
      </c>
      <c r="BZ99" s="374">
        <f t="shared" ref="BZ99:DE99" si="154">BZ16/BV16-1</f>
        <v>4.8971596474045143E-2</v>
      </c>
      <c r="CA99" s="374">
        <f t="shared" si="154"/>
        <v>-3.3387622149837148E-2</v>
      </c>
      <c r="CB99" s="374">
        <f t="shared" si="154"/>
        <v>8.3588621444201205E-2</v>
      </c>
      <c r="CC99" s="374">
        <f t="shared" si="154"/>
        <v>0.18010471204188483</v>
      </c>
      <c r="CD99" s="374">
        <f t="shared" si="154"/>
        <v>2.8011204481792618E-3</v>
      </c>
      <c r="CE99" s="374">
        <f t="shared" si="154"/>
        <v>3.7068239258635227E-2</v>
      </c>
      <c r="CF99" s="374">
        <f t="shared" si="154"/>
        <v>-1.2116316639741553E-2</v>
      </c>
      <c r="CG99" s="374">
        <f t="shared" si="154"/>
        <v>3.6823425022182832E-2</v>
      </c>
      <c r="CH99" s="374">
        <f t="shared" si="154"/>
        <v>2.5139664804469275E-2</v>
      </c>
      <c r="CI99" s="374">
        <f t="shared" si="154"/>
        <v>1.2997562956945652E-2</v>
      </c>
      <c r="CJ99" s="374">
        <f t="shared" si="154"/>
        <v>1.5535568274734235E-2</v>
      </c>
      <c r="CK99" s="374">
        <f t="shared" si="154"/>
        <v>1.9683354728284197E-2</v>
      </c>
      <c r="CL99" s="374">
        <f t="shared" si="154"/>
        <v>-4.9954586739328066E-3</v>
      </c>
      <c r="CM99" s="374">
        <f t="shared" si="154"/>
        <v>9.6230954290297266E-3</v>
      </c>
      <c r="CN99" s="374">
        <f t="shared" si="154"/>
        <v>7.7294685990338063E-2</v>
      </c>
      <c r="CO99" s="374">
        <f t="shared" si="154"/>
        <v>1.0490977759127107E-2</v>
      </c>
      <c r="CP99" s="374">
        <f t="shared" si="154"/>
        <v>2.9820780623712517E-2</v>
      </c>
      <c r="CQ99" s="374">
        <f t="shared" si="154"/>
        <v>1.6679904686258906E-2</v>
      </c>
      <c r="CR99" s="374">
        <f t="shared" si="154"/>
        <v>-7.473841554559435E-4</v>
      </c>
      <c r="CS99" s="374">
        <f t="shared" si="154"/>
        <v>9.0946843853820569E-2</v>
      </c>
      <c r="CT99" s="374">
        <f t="shared" si="154"/>
        <v>9.6910451603378522E-2</v>
      </c>
      <c r="CU99" s="374">
        <f t="shared" si="154"/>
        <v>0.12149077582914392</v>
      </c>
      <c r="CV99" s="374">
        <f t="shared" si="154"/>
        <v>9.1997008227374666E-2</v>
      </c>
      <c r="CW99" s="374">
        <f t="shared" si="154"/>
        <v>3.5381019223448718E-2</v>
      </c>
      <c r="CX99" s="374">
        <f t="shared" si="154"/>
        <v>7.7979797979798038E-2</v>
      </c>
      <c r="CY99" s="374">
        <f t="shared" si="154"/>
        <v>2.994884121630359E-2</v>
      </c>
      <c r="CZ99" s="374">
        <f t="shared" si="154"/>
        <v>7.8767123287671215E-2</v>
      </c>
      <c r="DA99" s="374">
        <f t="shared" si="154"/>
        <v>3.9726547873711215E-2</v>
      </c>
      <c r="DB99" s="374">
        <f t="shared" si="154"/>
        <v>4.1604197901049522E-2</v>
      </c>
      <c r="DC99" s="374">
        <f t="shared" si="154"/>
        <v>5.4785255326344373E-2</v>
      </c>
      <c r="DD99" s="374">
        <f t="shared" si="154"/>
        <v>1.0476190476190528E-2</v>
      </c>
      <c r="DE99" s="374">
        <f t="shared" si="154"/>
        <v>1.4851485148514865E-2</v>
      </c>
      <c r="DF99" s="374">
        <f t="shared" ref="DF99" si="155">DF16/DB16-1</f>
        <v>-1.7797441565614691E-2</v>
      </c>
      <c r="DG99" s="374">
        <f t="shared" ref="DG99" si="156">DG16/DC16-1</f>
        <v>-1.1786799382519142E-2</v>
      </c>
      <c r="DH99" s="374">
        <f t="shared" ref="DH99" si="157">DH16/DD16-1</f>
        <v>-1.2666539558631174E-3</v>
      </c>
      <c r="DI99" s="374">
        <f t="shared" ref="DI99" si="158">DI16/DE16-1</f>
        <v>9.0075537767868585E-3</v>
      </c>
    </row>
    <row r="100" spans="1:113">
      <c r="A100" s="643" t="s">
        <v>52</v>
      </c>
      <c r="C100" s="785">
        <f t="shared" ref="C100:J100" si="159">C187/B187-1</f>
        <v>5.2877242115089595E-2</v>
      </c>
      <c r="D100" s="785">
        <f t="shared" si="159"/>
        <v>0.12780240658644715</v>
      </c>
      <c r="E100" s="785">
        <f t="shared" si="159"/>
        <v>-1.6116352201257844E-2</v>
      </c>
      <c r="F100" s="785">
        <f t="shared" si="159"/>
        <v>-5.116717082358313E-2</v>
      </c>
      <c r="G100" s="785">
        <f t="shared" si="159"/>
        <v>1.7353905380612877E-2</v>
      </c>
      <c r="H100" s="785">
        <f t="shared" si="159"/>
        <v>6.0072133861526655E-2</v>
      </c>
      <c r="I100" s="785">
        <f t="shared" si="159"/>
        <v>9.2475877070667734E-2</v>
      </c>
      <c r="J100" s="785">
        <f t="shared" si="159"/>
        <v>-0.74380966967886863</v>
      </c>
      <c r="K100" s="785">
        <f t="shared" ref="K100:W100" si="160">K187/J187-1</f>
        <v>5.3607014746911208E-2</v>
      </c>
      <c r="L100" s="785">
        <f t="shared" si="160"/>
        <v>0.22716096084736148</v>
      </c>
      <c r="M100" s="785">
        <f t="shared" si="160"/>
        <v>4.5930949445129432E-2</v>
      </c>
      <c r="N100" s="785">
        <f t="shared" si="160"/>
        <v>5.3639846743295028E-2</v>
      </c>
      <c r="O100" s="785">
        <f t="shared" si="160"/>
        <v>5.132867132867136E-2</v>
      </c>
      <c r="P100" s="785">
        <f t="shared" si="160"/>
        <v>2.7936676865770949E-2</v>
      </c>
      <c r="Q100" s="785">
        <f t="shared" si="160"/>
        <v>2.083602950692387E-2</v>
      </c>
      <c r="R100" s="785">
        <f t="shared" si="160"/>
        <v>0.10395537525354959</v>
      </c>
      <c r="S100" s="785">
        <f t="shared" si="160"/>
        <v>7.7055581074873647E-2</v>
      </c>
      <c r="T100" s="785">
        <f t="shared" si="160"/>
        <v>6.9303763727476486E-2</v>
      </c>
      <c r="U100" s="785">
        <f t="shared" si="160"/>
        <v>-1.7136591469589235E-2</v>
      </c>
      <c r="V100" s="785">
        <f>V187/U187-1</f>
        <v>6.1735852938435309E-2</v>
      </c>
      <c r="W100" s="785">
        <f t="shared" si="160"/>
        <v>6.6618282195522571E-2</v>
      </c>
      <c r="X100" s="785">
        <f>X187/W187-1</f>
        <v>5.3627921502531484E-2</v>
      </c>
      <c r="Y100" s="785">
        <f>Y187/X187-1</f>
        <v>5.037093285441574E-2</v>
      </c>
      <c r="Z100" s="785">
        <f>Z187/Y187-1</f>
        <v>4.7619746906790494E-2</v>
      </c>
      <c r="AA100" s="785">
        <f>AA187/Z187-1</f>
        <v>4.5288638006507398E-2</v>
      </c>
      <c r="AB100" s="785">
        <f>AB187/AA187-1</f>
        <v>4.3310243170909368E-2</v>
      </c>
      <c r="AD100" s="497"/>
      <c r="AE100" s="497"/>
      <c r="AF100" s="497"/>
      <c r="AG100" s="497"/>
      <c r="AH100" s="374">
        <f t="shared" ref="AH100:BM100" si="161">AH22/AD22-1</f>
        <v>-3.5002692514808365E-3</v>
      </c>
      <c r="AI100" s="374">
        <f t="shared" si="161"/>
        <v>9.4488188976378229E-3</v>
      </c>
      <c r="AJ100" s="374">
        <f t="shared" si="161"/>
        <v>1.2641898864809153E-2</v>
      </c>
      <c r="AK100" s="374">
        <f t="shared" si="161"/>
        <v>2.1147161066048747E-2</v>
      </c>
      <c r="AL100" s="374">
        <f t="shared" si="161"/>
        <v>5.3499054309646077E-2</v>
      </c>
      <c r="AM100" s="374">
        <f t="shared" si="161"/>
        <v>5.3302132085283338E-2</v>
      </c>
      <c r="AN100" s="374">
        <f t="shared" si="161"/>
        <v>5.375796178343939E-2</v>
      </c>
      <c r="AO100" s="374">
        <f t="shared" si="161"/>
        <v>5.0780141843971727E-2</v>
      </c>
      <c r="AP100" s="374">
        <f t="shared" si="161"/>
        <v>0.10156450371890235</v>
      </c>
      <c r="AQ100" s="374">
        <f t="shared" si="161"/>
        <v>0.12317946186126871</v>
      </c>
      <c r="AR100" s="374">
        <f t="shared" si="161"/>
        <v>0.1230657640232109</v>
      </c>
      <c r="AS100" s="374">
        <f t="shared" si="161"/>
        <v>0.16576673866090719</v>
      </c>
      <c r="AT100" s="374">
        <f t="shared" si="161"/>
        <v>3.911525029103613E-2</v>
      </c>
      <c r="AU100" s="374">
        <f t="shared" si="161"/>
        <v>5.736263736263747E-2</v>
      </c>
      <c r="AV100" s="374">
        <f t="shared" si="161"/>
        <v>6.6738428417654205E-3</v>
      </c>
      <c r="AW100" s="374">
        <f t="shared" si="161"/>
        <v>-0.17253358036127842</v>
      </c>
      <c r="AX100" s="374">
        <f t="shared" si="161"/>
        <v>-0.11136007170064977</v>
      </c>
      <c r="AY100" s="374">
        <f t="shared" si="161"/>
        <v>-6.7449594678860914E-2</v>
      </c>
      <c r="AZ100" s="374">
        <f t="shared" si="161"/>
        <v>-7.4101796407185616E-2</v>
      </c>
      <c r="BA100" s="374">
        <f t="shared" si="161"/>
        <v>7.5426812202630922E-2</v>
      </c>
      <c r="BB100" s="374">
        <f t="shared" si="161"/>
        <v>4.6646495209278882E-2</v>
      </c>
      <c r="BC100" s="374">
        <f t="shared" si="161"/>
        <v>-2.0171625989078401E-2</v>
      </c>
      <c r="BD100" s="374">
        <f t="shared" si="161"/>
        <v>1.235708511375444E-2</v>
      </c>
      <c r="BE100" s="374">
        <f t="shared" si="161"/>
        <v>3.6564736499674622E-2</v>
      </c>
      <c r="BF100" s="374">
        <f t="shared" si="161"/>
        <v>0.30257769212238017</v>
      </c>
      <c r="BG100" s="374">
        <f t="shared" si="161"/>
        <v>0.30914467697907178</v>
      </c>
      <c r="BH100" s="374">
        <f t="shared" si="161"/>
        <v>0.29249372575861288</v>
      </c>
      <c r="BI100" s="374">
        <f t="shared" si="161"/>
        <v>0.3374340949033392</v>
      </c>
      <c r="BJ100" s="374">
        <f t="shared" si="161"/>
        <v>-0.18180136859626406</v>
      </c>
      <c r="BK100" s="374">
        <f t="shared" si="161"/>
        <v>5.994787141615987E-2</v>
      </c>
      <c r="BL100" s="374">
        <f t="shared" si="161"/>
        <v>-0.1609885260370697</v>
      </c>
      <c r="BM100" s="374">
        <f t="shared" si="161"/>
        <v>-0.19091421062511738</v>
      </c>
      <c r="BN100" s="374">
        <f t="shared" ref="BN100:CS100" si="162">BN22/BJ22-1</f>
        <v>-0.74457504520795659</v>
      </c>
      <c r="BO100" s="374">
        <f t="shared" si="162"/>
        <v>-0.78327868852459015</v>
      </c>
      <c r="BP100" s="374">
        <f t="shared" si="162"/>
        <v>-0.72291184515043128</v>
      </c>
      <c r="BQ100" s="374">
        <f t="shared" si="162"/>
        <v>-0.74013921113689096</v>
      </c>
      <c r="BR100" s="374">
        <f t="shared" si="162"/>
        <v>4.6902654867256643E-2</v>
      </c>
      <c r="BS100" s="374">
        <f t="shared" si="162"/>
        <v>9.9092284417549248E-2</v>
      </c>
      <c r="BT100" s="374">
        <f t="shared" si="162"/>
        <v>9.2634776006074393E-2</v>
      </c>
      <c r="BU100" s="374">
        <f t="shared" si="162"/>
        <v>8.2142857142857073E-2</v>
      </c>
      <c r="BV100" s="374">
        <f t="shared" si="162"/>
        <v>0.26120033812341514</v>
      </c>
      <c r="BW100" s="374">
        <f t="shared" si="162"/>
        <v>0.25533379215416385</v>
      </c>
      <c r="BX100" s="374">
        <f t="shared" si="162"/>
        <v>0.19041000694927024</v>
      </c>
      <c r="BY100" s="374">
        <f t="shared" si="162"/>
        <v>0.2037953795379539</v>
      </c>
      <c r="BZ100" s="374">
        <f t="shared" si="162"/>
        <v>2.4128686327077764E-2</v>
      </c>
      <c r="CA100" s="374">
        <f t="shared" si="162"/>
        <v>-8.2236842105263275E-3</v>
      </c>
      <c r="CB100" s="374">
        <f t="shared" si="162"/>
        <v>8.4063047285463988E-2</v>
      </c>
      <c r="CC100" s="374">
        <f t="shared" si="162"/>
        <v>9.1158327621658763E-2</v>
      </c>
      <c r="CD100" s="374">
        <f t="shared" si="162"/>
        <v>4.7774869109947549E-2</v>
      </c>
      <c r="CE100" s="374">
        <f t="shared" si="162"/>
        <v>4.4776119402984982E-2</v>
      </c>
      <c r="CF100" s="374">
        <f t="shared" si="162"/>
        <v>3.8233710285406675E-2</v>
      </c>
      <c r="CG100" s="374">
        <f t="shared" si="162"/>
        <v>8.7311557788944727E-2</v>
      </c>
      <c r="CH100" s="374">
        <f t="shared" si="162"/>
        <v>6.3710181136789501E-2</v>
      </c>
      <c r="CI100" s="374">
        <f t="shared" si="162"/>
        <v>4.2328042328042326E-2</v>
      </c>
      <c r="CJ100" s="374">
        <f t="shared" si="162"/>
        <v>3.7863070539419175E-2</v>
      </c>
      <c r="CK100" s="374">
        <f t="shared" si="162"/>
        <v>6.4702484113229319E-2</v>
      </c>
      <c r="CL100" s="374">
        <f t="shared" si="162"/>
        <v>1.8790369935408169E-2</v>
      </c>
      <c r="CM100" s="374">
        <f t="shared" si="162"/>
        <v>2.9949238578680148E-2</v>
      </c>
      <c r="CN100" s="374">
        <f t="shared" si="162"/>
        <v>4.447776111944024E-2</v>
      </c>
      <c r="CO100" s="374">
        <f t="shared" si="162"/>
        <v>1.6277807921866616E-2</v>
      </c>
      <c r="CP100" s="374">
        <f t="shared" si="162"/>
        <v>3.5158501440922141E-2</v>
      </c>
      <c r="CQ100" s="374">
        <f t="shared" si="162"/>
        <v>-3.9428289797930338E-3</v>
      </c>
      <c r="CR100" s="374">
        <f t="shared" si="162"/>
        <v>-4.784688995215336E-3</v>
      </c>
      <c r="CS100" s="374">
        <f t="shared" si="162"/>
        <v>6.300053390282967E-2</v>
      </c>
      <c r="CT100" s="374">
        <f t="shared" ref="CT100:DE100" si="163">CT22/CP22-1</f>
        <v>9.4654788418708335E-2</v>
      </c>
      <c r="CU100" s="374">
        <f t="shared" si="163"/>
        <v>0.13854527461652655</v>
      </c>
      <c r="CV100" s="374">
        <f t="shared" si="163"/>
        <v>0.12307692307692308</v>
      </c>
      <c r="CW100" s="374">
        <f t="shared" si="163"/>
        <v>5.7257659467604194E-2</v>
      </c>
      <c r="CX100" s="374">
        <f t="shared" si="163"/>
        <v>0.12563580874872837</v>
      </c>
      <c r="CY100" s="374">
        <f t="shared" si="163"/>
        <v>8.2138200782268633E-2</v>
      </c>
      <c r="CZ100" s="374">
        <f t="shared" si="163"/>
        <v>6.8065068493150749E-2</v>
      </c>
      <c r="DA100" s="374">
        <f t="shared" si="163"/>
        <v>3.6104513064133092E-2</v>
      </c>
      <c r="DB100" s="374">
        <f t="shared" si="163"/>
        <v>4.7446904654315336E-2</v>
      </c>
      <c r="DC100" s="374">
        <f t="shared" si="163"/>
        <v>6.2248995983935851E-2</v>
      </c>
      <c r="DD100" s="374">
        <f t="shared" si="163"/>
        <v>7.7354709418837597E-2</v>
      </c>
      <c r="DE100" s="374">
        <f t="shared" si="163"/>
        <v>9.0325538743695644E-2</v>
      </c>
      <c r="DF100" s="374">
        <f t="shared" ref="DF100" si="164">DF22/DB22-1</f>
        <v>-2.5130607440806196E-2</v>
      </c>
      <c r="DG100" s="374">
        <f t="shared" ref="DG100" si="165">DG22/DC22-1</f>
        <v>-2.7311237728889992E-2</v>
      </c>
      <c r="DH100" s="374">
        <f t="shared" ref="DH100" si="166">DH22/DD22-1</f>
        <v>-1.3221949749157025E-2</v>
      </c>
      <c r="DI100" s="374">
        <f t="shared" ref="DI100" si="167">DI22/DE22-1</f>
        <v>-2.4521880075991653E-3</v>
      </c>
    </row>
    <row r="101" spans="1:113">
      <c r="A101" s="643" t="s">
        <v>375</v>
      </c>
      <c r="C101" s="785">
        <f t="shared" ref="C101:J101" si="168">C35/B35-1</f>
        <v>5.8216654384672939E-3</v>
      </c>
      <c r="D101" s="785">
        <f t="shared" si="168"/>
        <v>7.04080885046523E-2</v>
      </c>
      <c r="E101" s="785">
        <f t="shared" si="168"/>
        <v>7.4401095140314899E-2</v>
      </c>
      <c r="F101" s="785">
        <f t="shared" si="168"/>
        <v>-5.9533668853921085E-2</v>
      </c>
      <c r="G101" s="785">
        <f t="shared" si="168"/>
        <v>2.0762066045723948E-2</v>
      </c>
      <c r="H101" s="785">
        <f t="shared" si="168"/>
        <v>6.1251576083349857E-2</v>
      </c>
      <c r="I101" s="785">
        <f t="shared" si="168"/>
        <v>0.12568784392196108</v>
      </c>
      <c r="J101" s="785">
        <f t="shared" si="168"/>
        <v>-0.72803021886457064</v>
      </c>
      <c r="K101" s="785">
        <f t="shared" ref="K101:W101" ca="1" si="169">K35/J35-1</f>
        <v>0.11198242897201682</v>
      </c>
      <c r="L101" s="785">
        <f t="shared" ca="1" si="169"/>
        <v>5.6199458024916327E-2</v>
      </c>
      <c r="M101" s="785">
        <f t="shared" si="169"/>
        <v>6.6207848435750227E-2</v>
      </c>
      <c r="N101" s="785">
        <f t="shared" si="169"/>
        <v>6.1913534051004637E-2</v>
      </c>
      <c r="O101" s="785">
        <f t="shared" si="169"/>
        <v>8.9321370811084266E-2</v>
      </c>
      <c r="P101" s="785">
        <f t="shared" si="169"/>
        <v>4.871231286028288E-2</v>
      </c>
      <c r="Q101" s="785">
        <f t="shared" si="169"/>
        <v>5.4785744791913782E-2</v>
      </c>
      <c r="R101" s="785">
        <f t="shared" si="169"/>
        <v>8.6267011584748587E-2</v>
      </c>
      <c r="S101" s="785">
        <f t="shared" si="169"/>
        <v>6.2580244357009818E-2</v>
      </c>
      <c r="T101" s="785">
        <f t="shared" si="169"/>
        <v>8.1531718809548792E-2</v>
      </c>
      <c r="U101" s="785">
        <f t="shared" ca="1" si="169"/>
        <v>7.8788878043241084E-3</v>
      </c>
      <c r="V101" s="785">
        <f t="shared" ca="1" si="169"/>
        <v>8.2904683992819805E-2</v>
      </c>
      <c r="W101" s="785">
        <f t="shared" ca="1" si="169"/>
        <v>7.6156136608443559E-2</v>
      </c>
      <c r="X101" s="785">
        <f ca="1">X35/W35-1</f>
        <v>6.0099034849887989E-2</v>
      </c>
      <c r="Y101" s="785">
        <f ca="1">Y35/X35-1</f>
        <v>5.6730974803250067E-2</v>
      </c>
      <c r="Z101" s="785">
        <f ca="1">Z35/Y35-1</f>
        <v>5.3942753774003149E-2</v>
      </c>
      <c r="AA101" s="785">
        <f ca="1">AA35/Z35-1</f>
        <v>5.161322175807892E-2</v>
      </c>
      <c r="AB101" s="785">
        <f ca="1">AB35/AA35-1</f>
        <v>4.9667124673324681E-2</v>
      </c>
      <c r="AD101" s="497"/>
      <c r="AE101" s="497"/>
      <c r="AF101" s="497"/>
      <c r="AG101" s="497"/>
      <c r="AH101" s="374">
        <f t="shared" ref="AH101:BM101" si="170">AH35/AD35-1</f>
        <v>1.4474512271869022E-2</v>
      </c>
      <c r="AI101" s="374">
        <f t="shared" si="170"/>
        <v>2.6203534430225384E-2</v>
      </c>
      <c r="AJ101" s="374">
        <f t="shared" si="170"/>
        <v>1.5981059485054683E-2</v>
      </c>
      <c r="AK101" s="374">
        <f t="shared" si="170"/>
        <v>3.4137931034482705E-2</v>
      </c>
      <c r="AL101" s="374">
        <f t="shared" si="170"/>
        <v>4.004342431761776E-2</v>
      </c>
      <c r="AM101" s="374">
        <f t="shared" si="170"/>
        <v>4.1300475059382391E-2</v>
      </c>
      <c r="AN101" s="374">
        <f t="shared" si="170"/>
        <v>5.5665598601805977E-2</v>
      </c>
      <c r="AO101" s="374">
        <f t="shared" si="170"/>
        <v>5.6052017339113025E-2</v>
      </c>
      <c r="AP101" s="374">
        <f t="shared" si="170"/>
        <v>7.7644567713459178E-2</v>
      </c>
      <c r="AQ101" s="374">
        <f t="shared" si="170"/>
        <v>0.11843118245844142</v>
      </c>
      <c r="AR101" s="374">
        <f t="shared" si="170"/>
        <v>0.14330454457658459</v>
      </c>
      <c r="AS101" s="374">
        <f t="shared" si="170"/>
        <v>0.21964889015187405</v>
      </c>
      <c r="AT101" s="374">
        <f t="shared" si="170"/>
        <v>0.10669858445529901</v>
      </c>
      <c r="AU101" s="374">
        <f t="shared" si="170"/>
        <v>0.1041568407500415</v>
      </c>
      <c r="AV101" s="374">
        <f t="shared" si="170"/>
        <v>2.0888390109691235E-2</v>
      </c>
      <c r="AW101" s="374">
        <f t="shared" si="170"/>
        <v>-0.18736651349427225</v>
      </c>
      <c r="AX101" s="374">
        <f t="shared" si="170"/>
        <v>-0.12525631407851967</v>
      </c>
      <c r="AY101" s="374">
        <f t="shared" si="170"/>
        <v>-6.7726852920803715E-2</v>
      </c>
      <c r="AZ101" s="374">
        <f t="shared" si="170"/>
        <v>-8.9621749408983487E-2</v>
      </c>
      <c r="BA101" s="374">
        <f t="shared" si="170"/>
        <v>7.5342465753424737E-2</v>
      </c>
      <c r="BB101" s="374">
        <f t="shared" si="170"/>
        <v>5.2857265372630913E-2</v>
      </c>
      <c r="BC101" s="374">
        <f t="shared" si="170"/>
        <v>-2.6667574780040337E-2</v>
      </c>
      <c r="BD101" s="374">
        <f t="shared" si="170"/>
        <v>1.9761614168116726E-2</v>
      </c>
      <c r="BE101" s="374">
        <f t="shared" si="170"/>
        <v>4.5474744482298934E-2</v>
      </c>
      <c r="BF101" s="374">
        <f t="shared" si="170"/>
        <v>0.34754276405104534</v>
      </c>
      <c r="BG101" s="374">
        <f t="shared" si="170"/>
        <v>0.3399491094147582</v>
      </c>
      <c r="BH101" s="374">
        <f t="shared" si="170"/>
        <v>0.31448943213649105</v>
      </c>
      <c r="BI101" s="374">
        <f t="shared" si="170"/>
        <v>0.36752621139132891</v>
      </c>
      <c r="BJ101" s="374">
        <f t="shared" si="170"/>
        <v>-0.18980455369736049</v>
      </c>
      <c r="BK101" s="374">
        <f t="shared" si="170"/>
        <v>7.5199392328142878E-2</v>
      </c>
      <c r="BL101" s="374">
        <f t="shared" si="170"/>
        <v>-0.15013560635412626</v>
      </c>
      <c r="BM101" s="374">
        <f t="shared" si="170"/>
        <v>-0.18524658101947777</v>
      </c>
      <c r="BN101" s="374">
        <f t="shared" ref="BN101:CS101" si="171">BN35/BJ35-1</f>
        <v>-0.74782392439691625</v>
      </c>
      <c r="BO101" s="374">
        <f t="shared" si="171"/>
        <v>-0.7688096079123985</v>
      </c>
      <c r="BP101" s="374">
        <f t="shared" si="171"/>
        <v>-0.70207431046273072</v>
      </c>
      <c r="BQ101" s="374">
        <f t="shared" si="171"/>
        <v>-0.71083418107833163</v>
      </c>
      <c r="BR101" s="374">
        <f t="shared" si="171"/>
        <v>0.22583826429980269</v>
      </c>
      <c r="BS101" s="374">
        <f t="shared" si="171"/>
        <v>0.15202444614209321</v>
      </c>
      <c r="BT101" s="374">
        <f t="shared" ca="1" si="171"/>
        <v>0.13978497470368501</v>
      </c>
      <c r="BU101" s="374">
        <f t="shared" si="171"/>
        <v>5.8546183209567726E-2</v>
      </c>
      <c r="BV101" s="374">
        <f t="shared" si="171"/>
        <v>3.6202735317779622E-2</v>
      </c>
      <c r="BW101" s="374">
        <f t="shared" si="171"/>
        <v>8.6206896551724199E-2</v>
      </c>
      <c r="BX101" s="374">
        <f t="shared" ca="1" si="171"/>
        <v>4.01172170020756E-2</v>
      </c>
      <c r="BY101" s="374">
        <f t="shared" si="171"/>
        <v>5.9159332093736694E-2</v>
      </c>
      <c r="BZ101" s="374">
        <f t="shared" si="171"/>
        <v>4.2701863354037251E-2</v>
      </c>
      <c r="CA101" s="374">
        <f t="shared" si="171"/>
        <v>-1.5262515262515208E-2</v>
      </c>
      <c r="CB101" s="374">
        <f t="shared" si="171"/>
        <v>0.1168206149560056</v>
      </c>
      <c r="CC101" s="374">
        <f t="shared" si="171"/>
        <v>0.13312319859152932</v>
      </c>
      <c r="CD101" s="374">
        <f t="shared" si="171"/>
        <v>6.5743944636678098E-2</v>
      </c>
      <c r="CE101" s="374">
        <f t="shared" si="171"/>
        <v>7.1623937857846265E-2</v>
      </c>
      <c r="CF101" s="374">
        <f t="shared" si="171"/>
        <v>3.1749269154939253E-2</v>
      </c>
      <c r="CG101" s="374">
        <f t="shared" si="171"/>
        <v>8.3645544877015698E-2</v>
      </c>
      <c r="CH101" s="374">
        <f t="shared" si="171"/>
        <v>8.7621239519973804E-2</v>
      </c>
      <c r="CI101" s="374">
        <f t="shared" si="171"/>
        <v>7.3336736430151372E-2</v>
      </c>
      <c r="CJ101" s="374">
        <f t="shared" si="171"/>
        <v>6.2565893516077997E-2</v>
      </c>
      <c r="CK101" s="374">
        <f t="shared" si="171"/>
        <v>0.13904547162720782</v>
      </c>
      <c r="CL101" s="374">
        <f t="shared" si="171"/>
        <v>7.9579806529625152E-2</v>
      </c>
      <c r="CM101" s="374">
        <f t="shared" si="171"/>
        <v>3.8459099556119369E-2</v>
      </c>
      <c r="CN101" s="374">
        <f t="shared" si="171"/>
        <v>6.5610368670738994E-2</v>
      </c>
      <c r="CO101" s="374">
        <f t="shared" si="171"/>
        <v>1.4450676344440749E-2</v>
      </c>
      <c r="CP101" s="374">
        <f t="shared" si="171"/>
        <v>4.3717185859293073E-2</v>
      </c>
      <c r="CQ101" s="374">
        <f t="shared" si="171"/>
        <v>1.297591060360892E-2</v>
      </c>
      <c r="CR101" s="374">
        <f t="shared" si="171"/>
        <v>4.0794948642593143E-2</v>
      </c>
      <c r="CS101" s="374">
        <f t="shared" si="171"/>
        <v>9.9258488356966268E-2</v>
      </c>
      <c r="CT101" s="374">
        <f t="shared" ref="CT101:DE101" si="172">CT35/CP35-1</f>
        <v>0.10268620678091156</v>
      </c>
      <c r="CU101" s="374">
        <f t="shared" si="172"/>
        <v>0.16227620712520352</v>
      </c>
      <c r="CV101" s="374">
        <f t="shared" si="172"/>
        <v>7.5875758338225685E-2</v>
      </c>
      <c r="CW101" s="374">
        <f t="shared" si="172"/>
        <v>3.3846153846153859E-2</v>
      </c>
      <c r="CX101" s="374">
        <f t="shared" si="172"/>
        <v>0.11161461026124497</v>
      </c>
      <c r="CY101" s="374">
        <f t="shared" si="172"/>
        <v>8.9336652663243532E-2</v>
      </c>
      <c r="CZ101" s="374">
        <f t="shared" si="172"/>
        <v>0.11012654938544308</v>
      </c>
      <c r="DA101" s="374">
        <f t="shared" si="172"/>
        <v>-6.5447573260073222E-2</v>
      </c>
      <c r="DB101" s="374">
        <f t="shared" si="172"/>
        <v>2.043719734070204E-2</v>
      </c>
      <c r="DC101" s="374">
        <f t="shared" si="172"/>
        <v>3.2240658302981284E-2</v>
      </c>
      <c r="DD101" s="374">
        <f t="shared" si="172"/>
        <v>5.9556970420480138E-2</v>
      </c>
      <c r="DE101" s="374">
        <f t="shared" si="172"/>
        <v>0.24206142634044769</v>
      </c>
      <c r="DF101" s="374">
        <f t="shared" ref="DF101" ca="1" si="173">DF35/DB35-1</f>
        <v>4.2872656456677483E-2</v>
      </c>
      <c r="DG101" s="374">
        <f t="shared" ref="DG101" ca="1" si="174">DG35/DC35-1</f>
        <v>-3.5231923406850552E-2</v>
      </c>
      <c r="DH101" s="374">
        <f t="shared" ref="DH101" ca="1" si="175">DH35/DD35-1</f>
        <v>1.1349798534341593E-2</v>
      </c>
      <c r="DI101" s="374">
        <f t="shared" ref="DI101" ca="1" si="176">DI35/DE35-1</f>
        <v>1.7913716975426208E-2</v>
      </c>
    </row>
    <row r="102" spans="1:113">
      <c r="A102" s="643" t="s">
        <v>376</v>
      </c>
      <c r="C102" s="785"/>
      <c r="D102" s="785"/>
      <c r="E102" s="785"/>
      <c r="F102" s="785"/>
      <c r="G102" s="785"/>
      <c r="H102" s="785"/>
      <c r="I102" s="785"/>
      <c r="J102" s="785"/>
      <c r="K102" s="785"/>
      <c r="L102" s="785"/>
      <c r="M102" s="785"/>
      <c r="N102" s="785"/>
      <c r="O102" s="785"/>
      <c r="P102" s="785">
        <f t="shared" ref="P102:W102" si="177">P45/O45-1</f>
        <v>6.245817532902076E-2</v>
      </c>
      <c r="Q102" s="785">
        <f t="shared" si="177"/>
        <v>7.789208482049137E-2</v>
      </c>
      <c r="R102" s="785">
        <f t="shared" si="177"/>
        <v>7.2068562524347568E-2</v>
      </c>
      <c r="S102" s="785">
        <f t="shared" si="177"/>
        <v>7.5944767441860739E-2</v>
      </c>
      <c r="T102" s="785">
        <f t="shared" si="177"/>
        <v>0.10097939885173912</v>
      </c>
      <c r="U102" s="785">
        <f t="shared" ca="1" si="177"/>
        <v>0.15811776680080025</v>
      </c>
      <c r="V102" s="785">
        <f t="shared" ca="1" si="177"/>
        <v>8.2904683992819805E-2</v>
      </c>
      <c r="W102" s="785">
        <f t="shared" ca="1" si="177"/>
        <v>7.6156136608443337E-2</v>
      </c>
      <c r="X102" s="785">
        <f ca="1">X45/W45-1</f>
        <v>6.0099034849887989E-2</v>
      </c>
      <c r="Y102" s="785">
        <f ca="1">Y45/X45-1</f>
        <v>5.6730974803250067E-2</v>
      </c>
      <c r="Z102" s="785">
        <f ca="1">Z45/Y45-1</f>
        <v>5.3942753774003149E-2</v>
      </c>
      <c r="AA102" s="785">
        <f ca="1">AA45/Z45-1</f>
        <v>5.161322175807892E-2</v>
      </c>
      <c r="AB102" s="785">
        <f ca="1">AB45/AA45-1</f>
        <v>4.9667124673324459E-2</v>
      </c>
      <c r="AD102" s="497"/>
      <c r="AE102" s="497"/>
      <c r="AF102" s="497"/>
      <c r="AG102" s="497"/>
      <c r="AH102" s="374">
        <f t="shared" ref="AH102:BM102" si="178">AH45/AD45-1</f>
        <v>9.52380952380949E-3</v>
      </c>
      <c r="AI102" s="374">
        <f t="shared" si="178"/>
        <v>2.3601847101077489E-2</v>
      </c>
      <c r="AJ102" s="374">
        <f t="shared" si="178"/>
        <v>1.2437810945273631E-2</v>
      </c>
      <c r="AK102" s="374">
        <f t="shared" si="178"/>
        <v>3.7790697674418672E-2</v>
      </c>
      <c r="AL102" s="374">
        <f t="shared" si="178"/>
        <v>5.0366876310272479E-2</v>
      </c>
      <c r="AM102" s="374">
        <f t="shared" si="178"/>
        <v>4.8170426065162752E-2</v>
      </c>
      <c r="AN102" s="374">
        <f t="shared" si="178"/>
        <v>6.3931203931203884E-2</v>
      </c>
      <c r="AO102" s="374">
        <f t="shared" si="178"/>
        <v>5.3837535014005455E-2</v>
      </c>
      <c r="AP102" s="374">
        <f t="shared" si="178"/>
        <v>0.13889027493638029</v>
      </c>
      <c r="AQ102" s="374">
        <f t="shared" si="178"/>
        <v>0.1689780498302329</v>
      </c>
      <c r="AR102" s="374">
        <f t="shared" si="178"/>
        <v>0.11950098436561807</v>
      </c>
      <c r="AS102" s="374">
        <f t="shared" si="178"/>
        <v>0.24116208601350286</v>
      </c>
      <c r="AT102" s="374">
        <f t="shared" si="178"/>
        <v>5.2061162347477596E-2</v>
      </c>
      <c r="AU102" s="374">
        <f t="shared" si="178"/>
        <v>5.1923541082861124E-2</v>
      </c>
      <c r="AV102" s="374">
        <f t="shared" si="178"/>
        <v>6.7388105680909138E-2</v>
      </c>
      <c r="AW102" s="374">
        <f t="shared" si="178"/>
        <v>-0.20591069707677478</v>
      </c>
      <c r="AX102" s="374">
        <f t="shared" si="178"/>
        <v>-0.1243825681085523</v>
      </c>
      <c r="AY102" s="374">
        <f t="shared" si="178"/>
        <v>-3.580789897774117E-2</v>
      </c>
      <c r="AZ102" s="374">
        <f t="shared" si="178"/>
        <v>-6.6246642199061845E-2</v>
      </c>
      <c r="BA102" s="374">
        <f t="shared" si="178"/>
        <v>0.1300438142400655</v>
      </c>
      <c r="BB102" s="374">
        <f t="shared" si="178"/>
        <v>0.106310813598679</v>
      </c>
      <c r="BC102" s="374">
        <f t="shared" si="178"/>
        <v>0.11399945929052646</v>
      </c>
      <c r="BD102" s="374">
        <f t="shared" si="178"/>
        <v>6.2043312522576111E-2</v>
      </c>
      <c r="BE102" s="374">
        <f t="shared" si="178"/>
        <v>4.694336309011149E-2</v>
      </c>
      <c r="BF102" s="374">
        <f t="shared" si="178"/>
        <v>0.54533943292287002</v>
      </c>
      <c r="BG102" s="374">
        <f t="shared" si="178"/>
        <v>0.24708025413570844</v>
      </c>
      <c r="BH102" s="374">
        <f t="shared" si="178"/>
        <v>0.37045726460885486</v>
      </c>
      <c r="BI102" s="374">
        <f t="shared" si="178"/>
        <v>0.46953745553800763</v>
      </c>
      <c r="BJ102" s="374">
        <f t="shared" si="178"/>
        <v>-0.27166027054686837</v>
      </c>
      <c r="BK102" s="374">
        <f t="shared" si="178"/>
        <v>8.1289762911357144E-2</v>
      </c>
      <c r="BL102" s="374">
        <f t="shared" si="178"/>
        <v>-0.18831116567365191</v>
      </c>
      <c r="BM102" s="374">
        <f t="shared" si="178"/>
        <v>-0.17429603380257708</v>
      </c>
      <c r="BN102" s="374">
        <f t="shared" ref="BN102:CS102" si="179">BN45/BJ45-1</f>
        <v>-0.7578077033501156</v>
      </c>
      <c r="BO102" s="374">
        <f t="shared" si="179"/>
        <v>-0.77760917360472159</v>
      </c>
      <c r="BP102" s="374">
        <f t="shared" si="179"/>
        <v>-0.68940611500884574</v>
      </c>
      <c r="BQ102" s="374">
        <f t="shared" si="179"/>
        <v>-0.72162856318342272</v>
      </c>
      <c r="BR102" s="374">
        <f t="shared" si="179"/>
        <v>0.22785569061423683</v>
      </c>
      <c r="BS102" s="374">
        <f t="shared" si="179"/>
        <v>0.15228433886118831</v>
      </c>
      <c r="BT102" s="374">
        <f t="shared" ca="1" si="179"/>
        <v>7.2928220799674204E-2</v>
      </c>
      <c r="BU102" s="374">
        <f t="shared" si="179"/>
        <v>3.23849707660262E-2</v>
      </c>
      <c r="BV102" s="374">
        <f t="shared" si="179"/>
        <v>4.1649228637813396E-2</v>
      </c>
      <c r="BW102" s="374">
        <f t="shared" si="179"/>
        <v>7.869987425566749E-2</v>
      </c>
      <c r="BX102" s="374">
        <f t="shared" ca="1" si="179"/>
        <v>4.9331472031304502E-2</v>
      </c>
      <c r="BY102" s="374">
        <f t="shared" si="179"/>
        <v>4.8515350134465729E-2</v>
      </c>
      <c r="BZ102" s="374">
        <f t="shared" si="179"/>
        <v>6.7817509247842134E-2</v>
      </c>
      <c r="CA102" s="374">
        <f t="shared" si="179"/>
        <v>1.796711941591278E-2</v>
      </c>
      <c r="CB102" s="374">
        <f t="shared" si="179"/>
        <v>0.13326653306613223</v>
      </c>
      <c r="CC102" s="374">
        <f t="shared" si="179"/>
        <v>0.14089775561097251</v>
      </c>
      <c r="CD102" s="374">
        <f t="shared" si="179"/>
        <v>6.2355658198614217E-2</v>
      </c>
      <c r="CE102" s="374">
        <f t="shared" si="179"/>
        <v>7.0977099236641195E-2</v>
      </c>
      <c r="CF102" s="374">
        <f t="shared" si="179"/>
        <v>2.4756852343059244E-2</v>
      </c>
      <c r="CG102" s="374">
        <f t="shared" si="179"/>
        <v>0.12568306010928953</v>
      </c>
      <c r="CH102" s="374">
        <f t="shared" si="179"/>
        <v>8.8043478260869668E-2</v>
      </c>
      <c r="CI102" s="374">
        <f t="shared" si="179"/>
        <v>6.647992131035374E-2</v>
      </c>
      <c r="CJ102" s="374">
        <f t="shared" si="179"/>
        <v>1.380500431406384E-2</v>
      </c>
      <c r="CK102" s="374">
        <f t="shared" si="179"/>
        <v>7.7669902912621325E-2</v>
      </c>
      <c r="CL102" s="374">
        <f t="shared" si="179"/>
        <v>8.6913086913086968E-2</v>
      </c>
      <c r="CM102" s="374">
        <f t="shared" si="179"/>
        <v>3.6758563074352546E-2</v>
      </c>
      <c r="CN102" s="374">
        <f t="shared" si="179"/>
        <v>0.10382978723404257</v>
      </c>
      <c r="CO102" s="374">
        <f t="shared" si="179"/>
        <v>2.4324324324324298E-2</v>
      </c>
      <c r="CP102" s="374">
        <f t="shared" si="179"/>
        <v>5.1470588235294157E-2</v>
      </c>
      <c r="CQ102" s="374">
        <f t="shared" si="179"/>
        <v>3.3037872683319813E-2</v>
      </c>
      <c r="CR102" s="374">
        <f t="shared" si="179"/>
        <v>5.0115651503469527E-2</v>
      </c>
      <c r="CS102" s="374">
        <f t="shared" si="179"/>
        <v>0.14248021108179421</v>
      </c>
      <c r="CT102" s="374">
        <f t="shared" ref="CT102:DE102" si="180">CT45/CP45-1</f>
        <v>8.9160839160839167E-2</v>
      </c>
      <c r="CU102" s="374">
        <f t="shared" si="180"/>
        <v>0.13884555382215291</v>
      </c>
      <c r="CV102" s="374">
        <f t="shared" si="180"/>
        <v>8.2966226138032395E-2</v>
      </c>
      <c r="CW102" s="374">
        <f t="shared" si="180"/>
        <v>1.8475750577367167E-2</v>
      </c>
      <c r="CX102" s="374">
        <f t="shared" si="180"/>
        <v>0.13402889245585881</v>
      </c>
      <c r="CY102" s="374">
        <f t="shared" si="180"/>
        <v>8.4246575342465713E-2</v>
      </c>
      <c r="CZ102" s="374">
        <f t="shared" si="180"/>
        <v>9.0847457627118544E-2</v>
      </c>
      <c r="DA102" s="374">
        <f t="shared" si="180"/>
        <v>-4.5351473922902175E-3</v>
      </c>
      <c r="DB102" s="374">
        <f t="shared" si="180"/>
        <v>-2.1231422505307851E-3</v>
      </c>
      <c r="DC102" s="374">
        <f t="shared" si="180"/>
        <v>3.9166140240050495E-2</v>
      </c>
      <c r="DD102" s="374">
        <f t="shared" si="180"/>
        <v>7.0851460534493427E-2</v>
      </c>
      <c r="DE102" s="374">
        <f t="shared" si="180"/>
        <v>0.32270311313591504</v>
      </c>
      <c r="DF102" s="374">
        <f t="shared" ref="DF102" ca="1" si="181">DF45/DB45-1</f>
        <v>0.2413956704421647</v>
      </c>
      <c r="DG102" s="374">
        <f t="shared" ref="DG102" ca="1" si="182">DG45/DC45-1</f>
        <v>0.14438501953382921</v>
      </c>
      <c r="DH102" s="374">
        <f t="shared" ref="DH102" ca="1" si="183">DH45/DD45-1</f>
        <v>0.19562324934796393</v>
      </c>
      <c r="DI102" s="374">
        <f t="shared" ref="DI102" ca="1" si="184">DI45/DE45-1</f>
        <v>6.658308177845873E-2</v>
      </c>
    </row>
    <row r="103" spans="1:113">
      <c r="A103" s="643" t="s">
        <v>211</v>
      </c>
      <c r="C103" s="785">
        <f t="shared" ref="C103:J103" si="185">C47/B47-1</f>
        <v>9.9717937248042121E-2</v>
      </c>
      <c r="D103" s="785">
        <f t="shared" si="185"/>
        <v>8.8301527944877334E-2</v>
      </c>
      <c r="E103" s="785">
        <f t="shared" si="185"/>
        <v>0.12858890905418852</v>
      </c>
      <c r="F103" s="785">
        <f t="shared" si="185"/>
        <v>-1.8047236818756751E-3</v>
      </c>
      <c r="G103" s="785">
        <f t="shared" si="185"/>
        <v>6.9601562040386922E-2</v>
      </c>
      <c r="H103" s="785">
        <f t="shared" si="185"/>
        <v>-4.2127403187746881E-2</v>
      </c>
      <c r="I103" s="785">
        <f t="shared" si="185"/>
        <v>0.23237551657319555</v>
      </c>
      <c r="J103" s="785">
        <f t="shared" si="185"/>
        <v>-0.73004000215319054</v>
      </c>
      <c r="K103" s="785">
        <f t="shared" ref="K103:W103" ca="1" si="186">K47/J47-1</f>
        <v>8.6425827497160546E-2</v>
      </c>
      <c r="L103" s="785">
        <f t="shared" ca="1" si="186"/>
        <v>6.3697954561837244E-2</v>
      </c>
      <c r="M103" s="785">
        <f t="shared" si="186"/>
        <v>8.3315583885021027E-2</v>
      </c>
      <c r="N103" s="785">
        <f t="shared" si="186"/>
        <v>7.655565196539027E-2</v>
      </c>
      <c r="O103" s="785">
        <f t="shared" si="186"/>
        <v>8.0402260334836884E-2</v>
      </c>
      <c r="P103" s="785">
        <f t="shared" si="186"/>
        <v>7.5880098494528259E-2</v>
      </c>
      <c r="Q103" s="785">
        <f t="shared" si="186"/>
        <v>8.9199597843759859E-2</v>
      </c>
      <c r="R103" s="785">
        <f t="shared" si="186"/>
        <v>8.0948957141918854E-2</v>
      </c>
      <c r="S103" s="785">
        <f t="shared" si="186"/>
        <v>8.131897926694176E-2</v>
      </c>
      <c r="T103" s="785">
        <f t="shared" si="186"/>
        <v>0.12814267010949854</v>
      </c>
      <c r="U103" s="785">
        <f t="shared" ca="1" si="186"/>
        <v>0.1541066561363964</v>
      </c>
      <c r="V103" s="785">
        <f t="shared" ca="1" si="186"/>
        <v>9.4533532478662918E-2</v>
      </c>
      <c r="W103" s="785">
        <f t="shared" ca="1" si="186"/>
        <v>9.1402903664998147E-2</v>
      </c>
      <c r="X103" s="785">
        <f ca="1">X47/W47-1</f>
        <v>7.488422599437583E-2</v>
      </c>
      <c r="Y103" s="785">
        <f ca="1">Y47/X47-1</f>
        <v>7.1236336929994204E-2</v>
      </c>
      <c r="Z103" s="785">
        <f ca="1">Z47/Y47-1</f>
        <v>6.8178184664442032E-2</v>
      </c>
      <c r="AA103" s="785">
        <f ca="1">AA47/Z47-1</f>
        <v>6.5586720818495259E-2</v>
      </c>
      <c r="AB103" s="785">
        <f ca="1">AB47/AA47-1</f>
        <v>6.3385498750735625E-2</v>
      </c>
      <c r="AD103" s="497"/>
      <c r="AE103" s="497"/>
      <c r="AF103" s="497"/>
      <c r="AG103" s="497"/>
      <c r="AH103" s="374"/>
      <c r="AI103" s="374"/>
      <c r="AJ103" s="374"/>
      <c r="AK103" s="374"/>
      <c r="AL103" s="374"/>
      <c r="AM103" s="374"/>
      <c r="AN103" s="374"/>
      <c r="AO103" s="374"/>
      <c r="AP103" s="374">
        <f t="shared" ref="AP103:BU103" si="187">AP47/AL47-1</f>
        <v>0.18436413517385808</v>
      </c>
      <c r="AQ103" s="374">
        <f t="shared" si="187"/>
        <v>0.20003149644886586</v>
      </c>
      <c r="AR103" s="374">
        <f t="shared" si="187"/>
        <v>0.14542948127871824</v>
      </c>
      <c r="AS103" s="374">
        <f t="shared" si="187"/>
        <v>0.26956396441198116</v>
      </c>
      <c r="AT103" s="374">
        <f t="shared" si="187"/>
        <v>8.0167817076244985E-2</v>
      </c>
      <c r="AU103" s="374">
        <f t="shared" si="187"/>
        <v>8.2131627950456032E-2</v>
      </c>
      <c r="AV103" s="374">
        <f t="shared" si="187"/>
        <v>0.1091970782016809</v>
      </c>
      <c r="AW103" s="374">
        <f t="shared" si="187"/>
        <v>-0.16138949884618314</v>
      </c>
      <c r="AX103" s="374">
        <f t="shared" si="187"/>
        <v>-6.8154193805719299E-2</v>
      </c>
      <c r="AY103" s="374">
        <f t="shared" si="187"/>
        <v>2.5968825089727421E-2</v>
      </c>
      <c r="AZ103" s="374">
        <f t="shared" si="187"/>
        <v>-2.6884464081829207E-2</v>
      </c>
      <c r="BA103" s="374">
        <f t="shared" si="187"/>
        <v>0.14274714157512003</v>
      </c>
      <c r="BB103" s="374">
        <f t="shared" si="187"/>
        <v>9.6102020272610611E-2</v>
      </c>
      <c r="BC103" s="374">
        <f t="shared" si="187"/>
        <v>9.6171145926517099E-2</v>
      </c>
      <c r="BD103" s="374">
        <f t="shared" si="187"/>
        <v>4.7762773045065599E-2</v>
      </c>
      <c r="BE103" s="374">
        <f t="shared" si="187"/>
        <v>3.8316103190677575E-2</v>
      </c>
      <c r="BF103" s="374">
        <f t="shared" si="187"/>
        <v>0.52900235097942816</v>
      </c>
      <c r="BG103" s="374">
        <f t="shared" si="187"/>
        <v>0.23214158314701994</v>
      </c>
      <c r="BH103" s="374">
        <f t="shared" si="187"/>
        <v>0.35014934147172561</v>
      </c>
      <c r="BI103" s="374">
        <f t="shared" si="187"/>
        <v>0.44502181638460914</v>
      </c>
      <c r="BJ103" s="374">
        <f t="shared" si="187"/>
        <v>-0.27859353784294771</v>
      </c>
      <c r="BK103" s="374">
        <f t="shared" si="187"/>
        <v>7.3573613318745457E-2</v>
      </c>
      <c r="BL103" s="374">
        <f t="shared" si="187"/>
        <v>-0.19408968134280025</v>
      </c>
      <c r="BM103" s="374">
        <f t="shared" si="187"/>
        <v>-0.17899198052976628</v>
      </c>
      <c r="BN103" s="374">
        <f t="shared" si="187"/>
        <v>-0.7590691215618337</v>
      </c>
      <c r="BO103" s="374">
        <f t="shared" si="187"/>
        <v>-0.77908056848635387</v>
      </c>
      <c r="BP103" s="374">
        <f t="shared" si="187"/>
        <v>-0.69087325664791588</v>
      </c>
      <c r="BQ103" s="374">
        <f t="shared" si="187"/>
        <v>-0.72281088641671631</v>
      </c>
      <c r="BR103" s="374">
        <f t="shared" si="187"/>
        <v>0.2220693772748672</v>
      </c>
      <c r="BS103" s="374">
        <f t="shared" si="187"/>
        <v>0.16773642769649166</v>
      </c>
      <c r="BT103" s="374">
        <f t="shared" ca="1" si="187"/>
        <v>9.7289392962758514E-2</v>
      </c>
      <c r="BU103" s="374">
        <f t="shared" si="187"/>
        <v>5.6823069107830859E-2</v>
      </c>
      <c r="BV103" s="374">
        <f t="shared" ref="BV103:DA103" si="188">BV47/BR47-1</f>
        <v>6.936606829677805E-2</v>
      </c>
      <c r="BW103" s="374">
        <f t="shared" si="188"/>
        <v>8.965908923359156E-2</v>
      </c>
      <c r="BX103" s="374">
        <f t="shared" ca="1" si="188"/>
        <v>4.8318603815058037E-2</v>
      </c>
      <c r="BY103" s="374">
        <f t="shared" si="188"/>
        <v>4.699796178405391E-2</v>
      </c>
      <c r="BZ103" s="374">
        <f t="shared" si="188"/>
        <v>6.2676356097876695E-2</v>
      </c>
      <c r="CA103" s="374">
        <f t="shared" si="188"/>
        <v>1.2091407326932258E-2</v>
      </c>
      <c r="CB103" s="374">
        <f t="shared" si="188"/>
        <v>0.12890781563126241</v>
      </c>
      <c r="CC103" s="374">
        <f t="shared" si="188"/>
        <v>0.13596592093253901</v>
      </c>
      <c r="CD103" s="374">
        <f t="shared" si="188"/>
        <v>5.8787285066469241E-2</v>
      </c>
      <c r="CE103" s="374">
        <f t="shared" si="188"/>
        <v>7.2631874919845796E-2</v>
      </c>
      <c r="CF103" s="374">
        <f t="shared" si="188"/>
        <v>3.7728458068920778E-2</v>
      </c>
      <c r="CG103" s="374">
        <f t="shared" si="188"/>
        <v>0.14717187036100876</v>
      </c>
      <c r="CH103" s="374">
        <f t="shared" si="188"/>
        <v>0.11478987644820671</v>
      </c>
      <c r="CI103" s="374">
        <f t="shared" si="188"/>
        <v>9.0537541414412503E-2</v>
      </c>
      <c r="CJ103" s="374">
        <f t="shared" si="188"/>
        <v>2.8831758330576829E-2</v>
      </c>
      <c r="CK103" s="374">
        <f t="shared" si="188"/>
        <v>9.3730557203420384E-2</v>
      </c>
      <c r="CL103" s="374">
        <f t="shared" si="188"/>
        <v>0.10373500688028892</v>
      </c>
      <c r="CM103" s="374">
        <f t="shared" si="188"/>
        <v>5.1258682837630465E-2</v>
      </c>
      <c r="CN103" s="374">
        <f t="shared" si="188"/>
        <v>0.11819393861947036</v>
      </c>
      <c r="CO103" s="374">
        <f t="shared" si="188"/>
        <v>3.5122924128948352E-2</v>
      </c>
      <c r="CP103" s="374">
        <f t="shared" si="188"/>
        <v>6.04710917599669E-2</v>
      </c>
      <c r="CQ103" s="374">
        <f t="shared" si="188"/>
        <v>4.4516071268690061E-2</v>
      </c>
      <c r="CR103" s="374">
        <f t="shared" si="188"/>
        <v>6.1807222522232808E-2</v>
      </c>
      <c r="CS103" s="374">
        <f t="shared" si="188"/>
        <v>0.15523887333752984</v>
      </c>
      <c r="CT103" s="374">
        <f t="shared" si="188"/>
        <v>0.10024080700581184</v>
      </c>
      <c r="CU103" s="374">
        <f t="shared" si="188"/>
        <v>0.14929367816914518</v>
      </c>
      <c r="CV103" s="374">
        <f t="shared" si="188"/>
        <v>9.2921993283325843E-2</v>
      </c>
      <c r="CW103" s="374">
        <f t="shared" si="188"/>
        <v>2.31500401006699E-2</v>
      </c>
      <c r="CX103" s="374">
        <f t="shared" si="188"/>
        <v>0.13982658618007093</v>
      </c>
      <c r="CY103" s="374">
        <f t="shared" si="188"/>
        <v>8.8685660604870931E-2</v>
      </c>
      <c r="CZ103" s="374">
        <f t="shared" si="188"/>
        <v>9.4200472353431541E-2</v>
      </c>
      <c r="DA103" s="374">
        <f t="shared" si="188"/>
        <v>3.1380143698453988E-3</v>
      </c>
      <c r="DB103" s="374">
        <f t="shared" ref="DB103:DI103" si="189">DB47/CX47-1</f>
        <v>6.6256491789384864E-3</v>
      </c>
      <c r="DC103" s="374">
        <f t="shared" si="189"/>
        <v>5.0455580977267767E-2</v>
      </c>
      <c r="DD103" s="374">
        <f t="shared" si="189"/>
        <v>9.154154097301892E-2</v>
      </c>
      <c r="DE103" s="374">
        <f t="shared" si="189"/>
        <v>0.35123162724784951</v>
      </c>
      <c r="DF103" s="374">
        <f t="shared" ca="1" si="189"/>
        <v>0.26655412151612667</v>
      </c>
      <c r="DG103" s="374">
        <f t="shared" ca="1" si="189"/>
        <v>0.16626563916715709</v>
      </c>
      <c r="DH103" s="374">
        <f t="shared" ca="1" si="189"/>
        <v>0.20952830205319906</v>
      </c>
      <c r="DI103" s="374">
        <f t="shared" ca="1" si="189"/>
        <v>7.5434965439922452E-2</v>
      </c>
    </row>
    <row r="104" spans="1:113">
      <c r="A104" s="643"/>
      <c r="AD104" s="497"/>
      <c r="AE104" s="497"/>
      <c r="AF104" s="497"/>
      <c r="AG104" s="497"/>
      <c r="AH104" s="374"/>
      <c r="AI104" s="374"/>
      <c r="AJ104" s="374"/>
      <c r="AK104" s="374"/>
      <c r="AL104" s="374"/>
      <c r="AM104" s="374"/>
      <c r="AN104" s="374"/>
      <c r="AO104" s="374"/>
      <c r="AP104" s="374"/>
      <c r="AQ104" s="374"/>
      <c r="AR104" s="374"/>
      <c r="AS104" s="374"/>
      <c r="AT104" s="374"/>
      <c r="AU104" s="374"/>
      <c r="AV104" s="374"/>
      <c r="AW104" s="374"/>
      <c r="AX104" s="374"/>
      <c r="AY104" s="374"/>
      <c r="AZ104" s="374"/>
      <c r="BA104" s="374"/>
      <c r="BB104" s="374"/>
      <c r="BC104" s="374"/>
      <c r="BD104" s="374"/>
      <c r="BE104" s="374"/>
      <c r="BF104" s="374"/>
      <c r="BG104" s="374"/>
      <c r="BH104" s="374"/>
      <c r="BI104" s="374"/>
      <c r="BJ104" s="374"/>
      <c r="BK104" s="374"/>
      <c r="BL104" s="374"/>
      <c r="BM104" s="374"/>
      <c r="BN104" s="374"/>
      <c r="BO104" s="374"/>
      <c r="BP104" s="374"/>
      <c r="BQ104" s="374"/>
      <c r="BR104" s="374"/>
      <c r="BS104" s="374"/>
      <c r="BT104" s="374"/>
      <c r="BU104" s="374"/>
      <c r="BV104" s="374"/>
      <c r="BW104" s="374"/>
      <c r="BX104" s="374"/>
      <c r="BY104" s="374"/>
      <c r="BZ104" s="374"/>
      <c r="CA104" s="374"/>
      <c r="CB104" s="374"/>
      <c r="CC104" s="374"/>
      <c r="CD104" s="374"/>
      <c r="CE104" s="374"/>
      <c r="CF104" s="374"/>
      <c r="CG104" s="374"/>
      <c r="CH104" s="497"/>
      <c r="CI104" s="497"/>
      <c r="CJ104" s="497"/>
      <c r="CK104" s="497"/>
      <c r="CL104" s="497"/>
      <c r="CM104" s="497"/>
      <c r="CN104" s="497"/>
      <c r="CO104" s="497"/>
      <c r="CP104" s="497"/>
      <c r="CQ104" s="497"/>
      <c r="CR104" s="497"/>
      <c r="CS104" s="497"/>
      <c r="CT104" s="497"/>
      <c r="CU104" s="497"/>
      <c r="CV104" s="497"/>
      <c r="CW104" s="497"/>
      <c r="CX104" s="497"/>
      <c r="CY104" s="497"/>
      <c r="CZ104" s="497"/>
      <c r="DA104" s="497"/>
      <c r="DB104" s="497"/>
      <c r="DC104" s="497"/>
      <c r="DD104" s="497"/>
      <c r="DE104" s="497"/>
      <c r="DF104" s="497"/>
      <c r="DG104" s="497"/>
      <c r="DH104" s="497"/>
      <c r="DI104" s="497"/>
    </row>
    <row r="105" spans="1:113">
      <c r="A105" s="195" t="s">
        <v>146</v>
      </c>
      <c r="B105" s="195"/>
      <c r="C105" s="195"/>
      <c r="D105" s="195"/>
      <c r="E105" s="195"/>
      <c r="F105" s="195"/>
      <c r="G105" s="195"/>
      <c r="H105" s="195"/>
      <c r="I105" s="195"/>
      <c r="J105" s="195"/>
      <c r="K105" s="195"/>
      <c r="L105" s="195"/>
      <c r="M105" s="195"/>
      <c r="N105" s="195"/>
      <c r="O105" s="195"/>
      <c r="P105" s="195"/>
      <c r="Q105" s="195"/>
      <c r="R105" s="195"/>
      <c r="S105" s="195"/>
      <c r="T105" s="195"/>
      <c r="U105" s="195"/>
      <c r="V105" s="195"/>
      <c r="W105" s="195"/>
      <c r="X105" s="195"/>
      <c r="Y105" s="195"/>
      <c r="Z105" s="195"/>
      <c r="AA105" s="195"/>
      <c r="AB105" s="195"/>
      <c r="AD105" s="195"/>
      <c r="AE105" s="195"/>
      <c r="AF105" s="195"/>
      <c r="AG105" s="195"/>
      <c r="AH105" s="195"/>
      <c r="AI105" s="195"/>
      <c r="AJ105" s="195"/>
      <c r="AK105" s="195"/>
      <c r="AL105" s="195"/>
      <c r="AM105" s="195"/>
      <c r="AN105" s="195"/>
      <c r="AO105" s="195"/>
      <c r="AP105" s="195"/>
      <c r="AQ105" s="195"/>
      <c r="AR105" s="195"/>
      <c r="AS105" s="195"/>
      <c r="AT105" s="195"/>
      <c r="AU105" s="195"/>
      <c r="AV105" s="195"/>
      <c r="AW105" s="195"/>
      <c r="AX105" s="195"/>
      <c r="AY105" s="195"/>
      <c r="AZ105" s="195"/>
      <c r="BA105" s="195"/>
      <c r="BB105" s="195"/>
      <c r="BC105" s="195"/>
      <c r="BD105" s="195"/>
      <c r="BE105" s="195"/>
      <c r="BF105" s="195"/>
      <c r="BG105" s="195"/>
      <c r="BH105" s="195"/>
      <c r="BI105" s="195"/>
      <c r="BJ105" s="195"/>
      <c r="BK105" s="195"/>
      <c r="BL105" s="195"/>
      <c r="BM105" s="195"/>
      <c r="BN105" s="195"/>
      <c r="BO105" s="195"/>
      <c r="BP105" s="195"/>
      <c r="BQ105" s="195"/>
      <c r="BR105" s="195"/>
      <c r="BS105" s="195"/>
      <c r="BT105" s="195"/>
      <c r="BU105" s="195"/>
      <c r="BV105" s="195"/>
      <c r="BW105" s="195"/>
      <c r="BX105" s="195"/>
      <c r="BY105" s="195"/>
      <c r="BZ105" s="195"/>
      <c r="CA105" s="195"/>
      <c r="CB105" s="195"/>
      <c r="CC105" s="195"/>
      <c r="CD105" s="195"/>
      <c r="CE105" s="195"/>
      <c r="CF105" s="195"/>
      <c r="CG105" s="195"/>
      <c r="CH105" s="195"/>
      <c r="CI105" s="195"/>
      <c r="CJ105" s="195"/>
      <c r="CK105" s="195"/>
      <c r="CL105" s="195"/>
      <c r="CM105" s="195"/>
      <c r="CN105" s="195"/>
      <c r="CO105" s="195"/>
      <c r="CP105" s="195"/>
      <c r="CQ105" s="195"/>
      <c r="CR105" s="195"/>
      <c r="CS105" s="195"/>
      <c r="CT105" s="195"/>
      <c r="CU105" s="195"/>
      <c r="CV105" s="195"/>
      <c r="CW105" s="195"/>
      <c r="CX105" s="195"/>
      <c r="CY105" s="195"/>
      <c r="CZ105" s="195"/>
      <c r="DA105" s="195"/>
      <c r="DB105" s="195"/>
      <c r="DC105" s="195"/>
      <c r="DD105" s="195"/>
      <c r="DE105" s="195"/>
      <c r="DF105" s="195"/>
      <c r="DG105" s="195"/>
      <c r="DH105" s="195"/>
      <c r="DI105" s="195"/>
    </row>
    <row r="106" spans="1:113">
      <c r="A106" s="643" t="s">
        <v>222</v>
      </c>
      <c r="B106" s="786">
        <f t="shared" ref="B106:W106" si="190">B14</f>
        <v>0.48583725840506742</v>
      </c>
      <c r="C106" s="786">
        <f t="shared" si="190"/>
        <v>0.51928965094917334</v>
      </c>
      <c r="D106" s="786">
        <f t="shared" si="190"/>
        <v>0.52586674939889866</v>
      </c>
      <c r="E106" s="786">
        <f t="shared" si="190"/>
        <v>0.52066904095649957</v>
      </c>
      <c r="F106" s="786">
        <f t="shared" si="190"/>
        <v>0.52500658935160782</v>
      </c>
      <c r="G106" s="786">
        <f t="shared" si="190"/>
        <v>0.53578092927785037</v>
      </c>
      <c r="H106" s="786">
        <f t="shared" si="190"/>
        <v>0.59939645416823839</v>
      </c>
      <c r="I106" s="786">
        <f t="shared" si="190"/>
        <v>0.53746942722256985</v>
      </c>
      <c r="J106" s="786">
        <f t="shared" si="190"/>
        <v>0.51781488298711542</v>
      </c>
      <c r="K106" s="786">
        <f t="shared" si="190"/>
        <v>0.51414522000127727</v>
      </c>
      <c r="L106" s="786">
        <f t="shared" si="190"/>
        <v>0.48329766999524487</v>
      </c>
      <c r="M106" s="786">
        <f t="shared" si="190"/>
        <v>0.46945299550082881</v>
      </c>
      <c r="N106" s="786">
        <f t="shared" si="190"/>
        <v>0.45809172377438062</v>
      </c>
      <c r="O106" s="786">
        <f t="shared" si="190"/>
        <v>0.44925714285714285</v>
      </c>
      <c r="P106" s="786">
        <f t="shared" si="190"/>
        <v>0.43220291003793238</v>
      </c>
      <c r="Q106" s="786">
        <f t="shared" si="190"/>
        <v>0.43233165181168143</v>
      </c>
      <c r="R106" s="786">
        <f t="shared" si="190"/>
        <v>0.41635316828768526</v>
      </c>
      <c r="S106" s="786">
        <f t="shared" si="190"/>
        <v>0.39995862853596731</v>
      </c>
      <c r="T106" s="786">
        <f t="shared" ref="T106" si="191">T14</f>
        <v>0.38693957115009736</v>
      </c>
      <c r="U106" s="786">
        <f t="shared" si="190"/>
        <v>0.39324498972075594</v>
      </c>
      <c r="V106" s="786">
        <f t="shared" si="190"/>
        <v>0.37468520438517594</v>
      </c>
      <c r="W106" s="786">
        <f t="shared" si="190"/>
        <v>0.34917531347220154</v>
      </c>
      <c r="X106" s="786">
        <f>X14</f>
        <v>0.33025281794243067</v>
      </c>
      <c r="Y106" s="786">
        <f>Y14</f>
        <v>0.31273168008007313</v>
      </c>
      <c r="Z106" s="786">
        <f>Z14</f>
        <v>0.2964984956059542</v>
      </c>
      <c r="AA106" s="786">
        <f>AA14</f>
        <v>0.28144948015924715</v>
      </c>
      <c r="AB106" s="786">
        <f>AB14</f>
        <v>0.26748960332506755</v>
      </c>
      <c r="AD106" s="412"/>
      <c r="AE106" s="412"/>
      <c r="AF106" s="412"/>
      <c r="AG106" s="412"/>
      <c r="AH106" s="412"/>
      <c r="AI106" s="412"/>
      <c r="AJ106" s="412"/>
      <c r="AK106" s="412"/>
      <c r="AL106" s="412"/>
      <c r="AM106" s="412"/>
      <c r="AN106" s="412"/>
      <c r="AO106" s="412"/>
      <c r="AP106" s="412">
        <f t="shared" ref="AP106:BU106" si="192">AP14</f>
        <v>0.54329482019992215</v>
      </c>
      <c r="AQ106" s="412">
        <f t="shared" si="192"/>
        <v>0.53342669264490994</v>
      </c>
      <c r="AR106" s="412">
        <f t="shared" si="192"/>
        <v>0.52389369357995075</v>
      </c>
      <c r="AS106" s="412">
        <f t="shared" si="192"/>
        <v>0.53695955369595538</v>
      </c>
      <c r="AT106" s="412">
        <f t="shared" si="192"/>
        <v>0.53853436849081615</v>
      </c>
      <c r="AU106" s="412">
        <f t="shared" si="192"/>
        <v>0.51924016613730761</v>
      </c>
      <c r="AV106" s="412">
        <f t="shared" si="192"/>
        <v>0.49753630705394192</v>
      </c>
      <c r="AW106" s="412">
        <f t="shared" si="192"/>
        <v>0.56097390819031678</v>
      </c>
      <c r="AX106" s="412">
        <f t="shared" si="192"/>
        <v>0.52651726057906456</v>
      </c>
      <c r="AY106" s="412">
        <f t="shared" si="192"/>
        <v>0.5194729212307172</v>
      </c>
      <c r="AZ106" s="412">
        <f t="shared" si="192"/>
        <v>0.51990786442908854</v>
      </c>
      <c r="BA106" s="412">
        <f t="shared" si="192"/>
        <v>0.54900169646352603</v>
      </c>
      <c r="BB106" s="412">
        <f t="shared" si="192"/>
        <v>0.52415224016079875</v>
      </c>
      <c r="BC106" s="412">
        <f t="shared" si="192"/>
        <v>0.53020628683693516</v>
      </c>
      <c r="BD106" s="412">
        <f t="shared" si="192"/>
        <v>0.52958933400415065</v>
      </c>
      <c r="BE106" s="412">
        <f t="shared" si="192"/>
        <v>0.55395374516900808</v>
      </c>
      <c r="BF106" s="412">
        <f t="shared" si="192"/>
        <v>0.52891301695742343</v>
      </c>
      <c r="BG106" s="412">
        <f t="shared" si="192"/>
        <v>0.5301218804410911</v>
      </c>
      <c r="BH106" s="412">
        <f t="shared" si="192"/>
        <v>0.52780845004939847</v>
      </c>
      <c r="BI106" s="412">
        <f t="shared" si="192"/>
        <v>0.55582442318514347</v>
      </c>
      <c r="BJ106" s="412">
        <f t="shared" si="192"/>
        <v>0.53380037123525537</v>
      </c>
      <c r="BK106" s="412">
        <f t="shared" si="192"/>
        <v>0.52713395813457542</v>
      </c>
      <c r="BL106" s="412">
        <f t="shared" si="192"/>
        <v>0.52801048612298396</v>
      </c>
      <c r="BM106" s="412">
        <f t="shared" si="192"/>
        <v>0.55222965440356742</v>
      </c>
      <c r="BN106" s="412">
        <f t="shared" si="192"/>
        <v>0.51901306240928879</v>
      </c>
      <c r="BO106" s="412">
        <f t="shared" si="192"/>
        <v>0.51687979539641948</v>
      </c>
      <c r="BP106" s="412">
        <f t="shared" si="192"/>
        <v>0.5217824246950461</v>
      </c>
      <c r="BQ106" s="412">
        <f t="shared" si="192"/>
        <v>0.52499317126468181</v>
      </c>
      <c r="BR106" s="412">
        <f t="shared" si="192"/>
        <v>0.52402110524854206</v>
      </c>
      <c r="BS106" s="412">
        <f t="shared" si="192"/>
        <v>0.53241650294695486</v>
      </c>
      <c r="BT106" s="412">
        <f t="shared" si="192"/>
        <v>0.52544769085768139</v>
      </c>
      <c r="BU106" s="412">
        <f t="shared" si="192"/>
        <v>0.53046499198289687</v>
      </c>
      <c r="BV106" s="412">
        <f t="shared" ref="BV106:DC106" si="193">BV14</f>
        <v>0.46432318992654775</v>
      </c>
      <c r="BW106" s="412">
        <f t="shared" si="193"/>
        <v>0.46538963865912059</v>
      </c>
      <c r="BX106" s="412">
        <f t="shared" si="193"/>
        <v>0.47081982399258915</v>
      </c>
      <c r="BY106" s="412">
        <f t="shared" si="193"/>
        <v>0.49975609756097561</v>
      </c>
      <c r="BZ106" s="412">
        <f t="shared" si="193"/>
        <v>0.45785876993166286</v>
      </c>
      <c r="CA106" s="412">
        <f t="shared" si="193"/>
        <v>0.45312140059894035</v>
      </c>
      <c r="CB106" s="412">
        <f t="shared" si="193"/>
        <v>0.44496749607711278</v>
      </c>
      <c r="CC106" s="412">
        <f t="shared" si="193"/>
        <v>0.45542401546267214</v>
      </c>
      <c r="CD106" s="412">
        <f t="shared" si="193"/>
        <v>0.45523712908952574</v>
      </c>
      <c r="CE106" s="412">
        <f t="shared" si="193"/>
        <v>0.45191451469278715</v>
      </c>
      <c r="CF106" s="412">
        <f t="shared" si="193"/>
        <v>0.43497343497343499</v>
      </c>
      <c r="CG106" s="412">
        <f t="shared" si="193"/>
        <v>0.45764678579716872</v>
      </c>
      <c r="CH106" s="412">
        <f t="shared" si="193"/>
        <v>0.44867300951427141</v>
      </c>
      <c r="CI106" s="412">
        <f t="shared" si="193"/>
        <v>0.45545851528384279</v>
      </c>
      <c r="CJ106" s="412">
        <f t="shared" si="193"/>
        <v>0.44379758172861622</v>
      </c>
      <c r="CK106" s="412">
        <f t="shared" si="193"/>
        <v>0.46569506726457399</v>
      </c>
      <c r="CL106" s="412">
        <f t="shared" si="193"/>
        <v>0.44852756103699976</v>
      </c>
      <c r="CM106" s="412">
        <f t="shared" si="193"/>
        <v>0.45045851528384279</v>
      </c>
      <c r="CN106" s="412">
        <f t="shared" si="193"/>
        <v>0.43781512605042017</v>
      </c>
      <c r="CO106" s="412">
        <f t="shared" si="193"/>
        <v>0.45322434150772023</v>
      </c>
      <c r="CP106" s="412">
        <f t="shared" si="193"/>
        <v>0.43708896123483826</v>
      </c>
      <c r="CQ106" s="412">
        <f t="shared" si="193"/>
        <v>0.43994749507766351</v>
      </c>
      <c r="CR106" s="412">
        <f t="shared" si="193"/>
        <v>0.4374079528718704</v>
      </c>
      <c r="CS106" s="412">
        <f t="shared" si="193"/>
        <v>0.43052243659223932</v>
      </c>
      <c r="CT106" s="412">
        <f t="shared" si="193"/>
        <v>0.42064606741573035</v>
      </c>
      <c r="CU106" s="412">
        <f t="shared" si="193"/>
        <v>0.41107554134682628</v>
      </c>
      <c r="CV106" s="412">
        <f t="shared" si="193"/>
        <v>0.41341904379268785</v>
      </c>
      <c r="CW106" s="412">
        <f t="shared" si="193"/>
        <v>0.42103507071275237</v>
      </c>
      <c r="CX106" s="412">
        <f t="shared" si="193"/>
        <v>0.41103752759381901</v>
      </c>
      <c r="CY106" s="412">
        <f t="shared" si="193"/>
        <v>0.3941815201802909</v>
      </c>
      <c r="CZ106" s="412">
        <f t="shared" si="193"/>
        <v>0.39341421143847488</v>
      </c>
      <c r="DA106" s="412">
        <f t="shared" si="193"/>
        <v>0.40249313331924785</v>
      </c>
      <c r="DB106" s="412">
        <f t="shared" si="193"/>
        <v>0.39442144258008283</v>
      </c>
      <c r="DC106" s="412">
        <f t="shared" si="193"/>
        <v>0.38456985003946331</v>
      </c>
      <c r="DD106" s="412">
        <f t="shared" ref="DD106:DE106" si="194">DD14</f>
        <v>0.37868436463009952</v>
      </c>
      <c r="DE106" s="412">
        <f t="shared" si="194"/>
        <v>0.39117522274077215</v>
      </c>
      <c r="DF106" s="412">
        <f t="shared" ref="DF106:DI106" si="195">DF14</f>
        <v>0.40072686115074141</v>
      </c>
      <c r="DG106" s="412">
        <f t="shared" si="195"/>
        <v>0.3908752686101219</v>
      </c>
      <c r="DH106" s="412">
        <f t="shared" si="195"/>
        <v>0.38498978320075811</v>
      </c>
      <c r="DI106" s="412">
        <f t="shared" si="195"/>
        <v>0.39752739771944312</v>
      </c>
    </row>
    <row r="107" spans="1:113">
      <c r="A107" s="643" t="s">
        <v>223</v>
      </c>
      <c r="B107" s="786">
        <f t="shared" ref="B107:W107" si="196">B17</f>
        <v>0.40371102467640119</v>
      </c>
      <c r="C107" s="786">
        <f t="shared" si="196"/>
        <v>0.48071034905082671</v>
      </c>
      <c r="D107" s="786">
        <f t="shared" si="196"/>
        <v>0.4741332506011014</v>
      </c>
      <c r="E107" s="786">
        <f t="shared" si="196"/>
        <v>0.47933095904350037</v>
      </c>
      <c r="F107" s="786">
        <f t="shared" si="196"/>
        <v>0.47499341064839218</v>
      </c>
      <c r="G107" s="786">
        <f t="shared" si="196"/>
        <v>0.46421907072214963</v>
      </c>
      <c r="H107" s="786">
        <f t="shared" si="196"/>
        <v>0.40060354583176161</v>
      </c>
      <c r="I107" s="786">
        <f t="shared" si="196"/>
        <v>0.4625305727774302</v>
      </c>
      <c r="J107" s="786">
        <f t="shared" si="196"/>
        <v>0.48218511701288458</v>
      </c>
      <c r="K107" s="786">
        <f t="shared" si="196"/>
        <v>0.48585477999872279</v>
      </c>
      <c r="L107" s="786">
        <f t="shared" si="196"/>
        <v>0.51670233000475507</v>
      </c>
      <c r="M107" s="786">
        <f t="shared" si="196"/>
        <v>0.53054700449917125</v>
      </c>
      <c r="N107" s="786">
        <f t="shared" si="196"/>
        <v>0.54190827622561943</v>
      </c>
      <c r="O107" s="786">
        <f t="shared" si="196"/>
        <v>0.55074285714285709</v>
      </c>
      <c r="P107" s="786">
        <f t="shared" si="196"/>
        <v>0.56779708996206757</v>
      </c>
      <c r="Q107" s="786">
        <f t="shared" si="196"/>
        <v>0.56766834818831857</v>
      </c>
      <c r="R107" s="786">
        <f t="shared" si="196"/>
        <v>0.5836468317123148</v>
      </c>
      <c r="S107" s="786">
        <f t="shared" si="196"/>
        <v>0.60004137146403269</v>
      </c>
      <c r="T107" s="786">
        <f t="shared" ref="T107" si="197">T17</f>
        <v>0.61306042884990264</v>
      </c>
      <c r="U107" s="786">
        <f t="shared" si="196"/>
        <v>0.60675501027924406</v>
      </c>
      <c r="V107" s="786">
        <f t="shared" si="196"/>
        <v>0.62531479561482406</v>
      </c>
      <c r="W107" s="786">
        <f t="shared" si="196"/>
        <v>0.65082468652779846</v>
      </c>
      <c r="X107" s="786">
        <f>X17</f>
        <v>0.66974718205756933</v>
      </c>
      <c r="Y107" s="786">
        <f>Y17</f>
        <v>0.68726831991992687</v>
      </c>
      <c r="Z107" s="786">
        <f>Z17</f>
        <v>0.7035015043940458</v>
      </c>
      <c r="AA107" s="786">
        <f>AA17</f>
        <v>0.71855051984075291</v>
      </c>
      <c r="AB107" s="786">
        <f>AB17</f>
        <v>0.73251039667493245</v>
      </c>
      <c r="AD107" s="412"/>
      <c r="AE107" s="412"/>
      <c r="AF107" s="412"/>
      <c r="AG107" s="412"/>
      <c r="AH107" s="412"/>
      <c r="AI107" s="412"/>
      <c r="AJ107" s="412"/>
      <c r="AK107" s="412"/>
      <c r="AL107" s="412"/>
      <c r="AM107" s="412"/>
      <c r="AN107" s="412"/>
      <c r="AO107" s="412"/>
      <c r="AP107" s="412">
        <f t="shared" ref="AP107:BU107" si="198">AP17</f>
        <v>0.45670517980007791</v>
      </c>
      <c r="AQ107" s="412">
        <f t="shared" si="198"/>
        <v>0.46657330735509012</v>
      </c>
      <c r="AR107" s="412">
        <f t="shared" si="198"/>
        <v>0.47610630642004925</v>
      </c>
      <c r="AS107" s="412">
        <f t="shared" si="198"/>
        <v>0.46304044630404462</v>
      </c>
      <c r="AT107" s="412">
        <f t="shared" si="198"/>
        <v>0.46146563150918385</v>
      </c>
      <c r="AU107" s="412">
        <f t="shared" si="198"/>
        <v>0.48075983386269239</v>
      </c>
      <c r="AV107" s="412">
        <f t="shared" si="198"/>
        <v>0.50246369294605808</v>
      </c>
      <c r="AW107" s="412">
        <f t="shared" si="198"/>
        <v>0.43902609180968327</v>
      </c>
      <c r="AX107" s="412">
        <f t="shared" si="198"/>
        <v>0.47348273942093544</v>
      </c>
      <c r="AY107" s="412">
        <f t="shared" si="198"/>
        <v>0.4805270787692828</v>
      </c>
      <c r="AZ107" s="412">
        <f t="shared" si="198"/>
        <v>0.48009213557091146</v>
      </c>
      <c r="BA107" s="412">
        <f t="shared" si="198"/>
        <v>0.45099830353647397</v>
      </c>
      <c r="BB107" s="412">
        <f t="shared" si="198"/>
        <v>0.47584775983920119</v>
      </c>
      <c r="BC107" s="412">
        <f t="shared" si="198"/>
        <v>0.46979371316306484</v>
      </c>
      <c r="BD107" s="412">
        <f t="shared" si="198"/>
        <v>0.4704106659958493</v>
      </c>
      <c r="BE107" s="412">
        <f t="shared" si="198"/>
        <v>0.44604625483099197</v>
      </c>
      <c r="BF107" s="412">
        <f t="shared" si="198"/>
        <v>0.47108698304257657</v>
      </c>
      <c r="BG107" s="412">
        <f t="shared" si="198"/>
        <v>0.4698781195589089</v>
      </c>
      <c r="BH107" s="412">
        <f t="shared" si="198"/>
        <v>0.47219154995060147</v>
      </c>
      <c r="BI107" s="412">
        <f t="shared" si="198"/>
        <v>0.44417557681485648</v>
      </c>
      <c r="BJ107" s="412">
        <f t="shared" si="198"/>
        <v>0.46619962876474463</v>
      </c>
      <c r="BK107" s="412">
        <f t="shared" si="198"/>
        <v>0.47286604186542452</v>
      </c>
      <c r="BL107" s="412">
        <f t="shared" si="198"/>
        <v>0.47198951387701599</v>
      </c>
      <c r="BM107" s="412">
        <f t="shared" si="198"/>
        <v>0.44777034559643253</v>
      </c>
      <c r="BN107" s="412">
        <f t="shared" si="198"/>
        <v>0.48098693759071115</v>
      </c>
      <c r="BO107" s="412">
        <f t="shared" si="198"/>
        <v>0.48312020460358057</v>
      </c>
      <c r="BP107" s="412">
        <f t="shared" si="198"/>
        <v>0.47821757530495396</v>
      </c>
      <c r="BQ107" s="412">
        <f t="shared" si="198"/>
        <v>0.47500682873531824</v>
      </c>
      <c r="BR107" s="412">
        <f t="shared" si="198"/>
        <v>0.47597889475145794</v>
      </c>
      <c r="BS107" s="412">
        <f t="shared" si="198"/>
        <v>0.46758349705304519</v>
      </c>
      <c r="BT107" s="412">
        <f t="shared" si="198"/>
        <v>0.47455230914231855</v>
      </c>
      <c r="BU107" s="412">
        <f t="shared" si="198"/>
        <v>0.46953500801710313</v>
      </c>
      <c r="BV107" s="412">
        <f t="shared" ref="BV107:DC107" si="199">BV17</f>
        <v>0.53567681007345225</v>
      </c>
      <c r="BW107" s="412">
        <f t="shared" si="199"/>
        <v>0.53461036134087936</v>
      </c>
      <c r="BX107" s="412">
        <f t="shared" si="199"/>
        <v>0.52918017600741085</v>
      </c>
      <c r="BY107" s="412">
        <f t="shared" si="199"/>
        <v>0.46585365853658539</v>
      </c>
      <c r="BZ107" s="412">
        <f t="shared" si="199"/>
        <v>0.54214123006833714</v>
      </c>
      <c r="CA107" s="412">
        <f t="shared" si="199"/>
        <v>0.54687859940105965</v>
      </c>
      <c r="CB107" s="412">
        <f t="shared" si="199"/>
        <v>0.55503250392288728</v>
      </c>
      <c r="CC107" s="412">
        <f t="shared" si="199"/>
        <v>0.54457598453732781</v>
      </c>
      <c r="CD107" s="412">
        <f t="shared" si="199"/>
        <v>0.54476287091047426</v>
      </c>
      <c r="CE107" s="412">
        <f t="shared" si="199"/>
        <v>0.54808548530721279</v>
      </c>
      <c r="CF107" s="412">
        <f t="shared" si="199"/>
        <v>0.56502656502656501</v>
      </c>
      <c r="CG107" s="412">
        <f t="shared" si="199"/>
        <v>0.54235321420283134</v>
      </c>
      <c r="CH107" s="412">
        <f t="shared" si="199"/>
        <v>0.55132699048572864</v>
      </c>
      <c r="CI107" s="412">
        <f t="shared" si="199"/>
        <v>0.54454148471615715</v>
      </c>
      <c r="CJ107" s="412">
        <f t="shared" si="199"/>
        <v>0.55620241827138384</v>
      </c>
      <c r="CK107" s="412">
        <f t="shared" si="199"/>
        <v>0.53430493273542601</v>
      </c>
      <c r="CL107" s="412">
        <f t="shared" si="199"/>
        <v>0.55147243896300024</v>
      </c>
      <c r="CM107" s="412">
        <f t="shared" si="199"/>
        <v>0.55634114007954039</v>
      </c>
      <c r="CN107" s="412">
        <f t="shared" si="199"/>
        <v>0.56218487394957983</v>
      </c>
      <c r="CO107" s="412">
        <f t="shared" si="199"/>
        <v>0.54677565849227971</v>
      </c>
      <c r="CP107" s="412">
        <f t="shared" si="199"/>
        <v>0.5629110387651618</v>
      </c>
      <c r="CQ107" s="412">
        <f t="shared" si="199"/>
        <v>0.56005250492233649</v>
      </c>
      <c r="CR107" s="412">
        <f t="shared" si="199"/>
        <v>0.5625920471281296</v>
      </c>
      <c r="CS107" s="412">
        <f t="shared" si="199"/>
        <v>0.56947756340776068</v>
      </c>
      <c r="CT107" s="412">
        <f t="shared" si="199"/>
        <v>0.5793539325842697</v>
      </c>
      <c r="CU107" s="412">
        <f t="shared" si="199"/>
        <v>0.58892445865317367</v>
      </c>
      <c r="CV107" s="412">
        <f t="shared" si="199"/>
        <v>0.58658095620731221</v>
      </c>
      <c r="CW107" s="412">
        <f t="shared" si="199"/>
        <v>0.57896492928724763</v>
      </c>
      <c r="CX107" s="412">
        <f t="shared" si="199"/>
        <v>0.58896247240618105</v>
      </c>
      <c r="CY107" s="412">
        <f t="shared" si="199"/>
        <v>0.60581847981970904</v>
      </c>
      <c r="CZ107" s="412">
        <f t="shared" si="199"/>
        <v>0.60658578856152512</v>
      </c>
      <c r="DA107" s="412">
        <f t="shared" si="199"/>
        <v>0.59750686668075215</v>
      </c>
      <c r="DB107" s="412">
        <f t="shared" si="199"/>
        <v>0.60557855741991717</v>
      </c>
      <c r="DC107" s="412">
        <f t="shared" si="199"/>
        <v>0.61543014996053669</v>
      </c>
      <c r="DD107" s="412">
        <f t="shared" ref="DD107:DE107" si="200">DD17</f>
        <v>0.62131563536990042</v>
      </c>
      <c r="DE107" s="412">
        <f t="shared" si="200"/>
        <v>0.60882477725922779</v>
      </c>
      <c r="DF107" s="412">
        <f t="shared" ref="DF107:DI107" si="201">DF17</f>
        <v>0.59927313884925848</v>
      </c>
      <c r="DG107" s="412">
        <f t="shared" si="201"/>
        <v>0.6091247313898781</v>
      </c>
      <c r="DH107" s="412">
        <f t="shared" si="201"/>
        <v>0.61501021679924195</v>
      </c>
      <c r="DI107" s="412">
        <f t="shared" si="201"/>
        <v>0.60247260228055688</v>
      </c>
    </row>
    <row r="108" spans="1:113">
      <c r="A108" s="643" t="s">
        <v>224</v>
      </c>
      <c r="B108" s="786">
        <f t="shared" ref="B108:W108" si="202">B20</f>
        <v>0.20329706025661848</v>
      </c>
      <c r="C108" s="786">
        <f t="shared" si="202"/>
        <v>0.19986002974367947</v>
      </c>
      <c r="D108" s="786">
        <f t="shared" si="202"/>
        <v>0.19329868921119989</v>
      </c>
      <c r="E108" s="786">
        <f t="shared" si="202"/>
        <v>0.19527473925209871</v>
      </c>
      <c r="F108" s="786">
        <f t="shared" si="202"/>
        <v>0.1960002635740643</v>
      </c>
      <c r="G108" s="786">
        <f t="shared" si="202"/>
        <v>0.20121913292280899</v>
      </c>
      <c r="H108" s="786">
        <f t="shared" si="202"/>
        <v>0.14048399733047037</v>
      </c>
      <c r="I108" s="786">
        <f t="shared" si="202"/>
        <v>0.18400546044024799</v>
      </c>
      <c r="J108" s="786">
        <f t="shared" si="202"/>
        <v>0.15231396266105707</v>
      </c>
      <c r="K108" s="786">
        <f t="shared" si="202"/>
        <v>0.14822147008110351</v>
      </c>
      <c r="L108" s="786">
        <f t="shared" si="202"/>
        <v>0.13106276747503567</v>
      </c>
      <c r="M108" s="786">
        <f t="shared" si="202"/>
        <v>0.12881837556239639</v>
      </c>
      <c r="N108" s="786">
        <f t="shared" si="202"/>
        <v>0.12311837404088327</v>
      </c>
      <c r="O108" s="786">
        <f t="shared" si="202"/>
        <v>0.1212</v>
      </c>
      <c r="P108" s="786">
        <f t="shared" si="202"/>
        <v>0.13032893619430447</v>
      </c>
      <c r="Q108" s="786">
        <f t="shared" si="202"/>
        <v>0.1281112724536119</v>
      </c>
      <c r="R108" s="786">
        <f t="shared" si="202"/>
        <v>0.12102039437032662</v>
      </c>
      <c r="S108" s="786">
        <f t="shared" si="202"/>
        <v>0.11501267001086</v>
      </c>
      <c r="T108" s="786">
        <f t="shared" ref="T108" si="203">T20</f>
        <v>9.8594439314660914E-2</v>
      </c>
      <c r="U108" s="786">
        <f t="shared" si="202"/>
        <v>0.10359443931466092</v>
      </c>
      <c r="V108" s="786">
        <f t="shared" si="202"/>
        <v>9.8594439314660914E-2</v>
      </c>
      <c r="W108" s="786">
        <f t="shared" si="202"/>
        <v>9.8594439314660914E-2</v>
      </c>
      <c r="X108" s="786">
        <f>X20</f>
        <v>9.8594439314660914E-2</v>
      </c>
      <c r="Y108" s="786">
        <f>Y20</f>
        <v>9.8594439314660914E-2</v>
      </c>
      <c r="Z108" s="786">
        <f>Z20</f>
        <v>9.8594439314660914E-2</v>
      </c>
      <c r="AA108" s="786">
        <f>AA20</f>
        <v>9.8594439314660914E-2</v>
      </c>
      <c r="AB108" s="786">
        <f>AB20</f>
        <v>9.8594439314660914E-2</v>
      </c>
      <c r="AD108" s="412"/>
      <c r="AE108" s="412"/>
      <c r="AF108" s="412"/>
      <c r="AG108" s="412"/>
      <c r="AH108" s="412"/>
      <c r="AI108" s="412"/>
      <c r="AJ108" s="412"/>
      <c r="AK108" s="412"/>
      <c r="AL108" s="412"/>
      <c r="AM108" s="412"/>
      <c r="AN108" s="412"/>
      <c r="AO108" s="412"/>
      <c r="AP108" s="412">
        <f t="shared" ref="AP108:BU108" si="204">AP20</f>
        <v>0.22952096585745813</v>
      </c>
      <c r="AQ108" s="412">
        <f t="shared" si="204"/>
        <v>0.19447150511446665</v>
      </c>
      <c r="AR108" s="412">
        <f t="shared" si="204"/>
        <v>0.1982829366832902</v>
      </c>
      <c r="AS108" s="412">
        <f t="shared" si="204"/>
        <v>0.16419424369215163</v>
      </c>
      <c r="AT108" s="412">
        <f t="shared" si="204"/>
        <v>0.19333459572050748</v>
      </c>
      <c r="AU108" s="412">
        <f t="shared" si="204"/>
        <v>0.20009772782799903</v>
      </c>
      <c r="AV108" s="412">
        <f t="shared" si="204"/>
        <v>0.19482624481327801</v>
      </c>
      <c r="AW108" s="412">
        <f t="shared" si="204"/>
        <v>0.20496721082740338</v>
      </c>
      <c r="AX108" s="412">
        <f t="shared" si="204"/>
        <v>0.19974944320712695</v>
      </c>
      <c r="AY108" s="412">
        <f t="shared" si="204"/>
        <v>0.19034122304636966</v>
      </c>
      <c r="AZ108" s="412">
        <f t="shared" si="204"/>
        <v>0.197499177360974</v>
      </c>
      <c r="BA108" s="412">
        <f t="shared" si="204"/>
        <v>0.20240114837530992</v>
      </c>
      <c r="BB108" s="412">
        <f t="shared" si="204"/>
        <v>0.20858458146923425</v>
      </c>
      <c r="BC108" s="412">
        <f t="shared" si="204"/>
        <v>0.20186640471512771</v>
      </c>
      <c r="BD108" s="412">
        <f t="shared" si="204"/>
        <v>0.19608829633356392</v>
      </c>
      <c r="BE108" s="412">
        <f t="shared" si="204"/>
        <v>0.20348444880682168</v>
      </c>
      <c r="BF108" s="412">
        <f t="shared" si="204"/>
        <v>0.14127119677930949</v>
      </c>
      <c r="BG108" s="412">
        <f t="shared" si="204"/>
        <v>0.13586767266395822</v>
      </c>
      <c r="BH108" s="412">
        <f t="shared" si="204"/>
        <v>0.14296507235427441</v>
      </c>
      <c r="BI108" s="412">
        <f t="shared" si="204"/>
        <v>0.14440067529544176</v>
      </c>
      <c r="BJ108" s="412">
        <f t="shared" si="204"/>
        <v>0.20130531105921801</v>
      </c>
      <c r="BK108" s="412">
        <f t="shared" si="204"/>
        <v>0.13053482238060496</v>
      </c>
      <c r="BL108" s="412">
        <f t="shared" si="204"/>
        <v>0.20111700005698979</v>
      </c>
      <c r="BM108" s="412">
        <f t="shared" si="204"/>
        <v>0.20752508361204014</v>
      </c>
      <c r="BN108" s="412">
        <f t="shared" si="204"/>
        <v>0.15297532656023222</v>
      </c>
      <c r="BO108" s="412">
        <f t="shared" si="204"/>
        <v>0.14501278772378517</v>
      </c>
      <c r="BP108" s="412">
        <f t="shared" si="204"/>
        <v>0.15036096589494649</v>
      </c>
      <c r="BQ108" s="412">
        <f t="shared" si="204"/>
        <v>0.16907948647910406</v>
      </c>
      <c r="BR108" s="412">
        <f t="shared" si="204"/>
        <v>0.14745903915579006</v>
      </c>
      <c r="BS108" s="412">
        <f t="shared" si="204"/>
        <v>0.11075638506876227</v>
      </c>
      <c r="BT108" s="412">
        <f t="shared" si="204"/>
        <v>0.13548539114043356</v>
      </c>
      <c r="BU108" s="412">
        <f t="shared" si="204"/>
        <v>0.14564404061998931</v>
      </c>
      <c r="BV108" s="412">
        <f t="shared" ref="BV108:DC108" si="205">BV20</f>
        <v>0.14428121720881426</v>
      </c>
      <c r="BW108" s="412">
        <f t="shared" si="205"/>
        <v>0.13757074444928166</v>
      </c>
      <c r="BX108" s="412">
        <f t="shared" si="205"/>
        <v>0.13246873552570634</v>
      </c>
      <c r="BY108" s="412">
        <f t="shared" si="205"/>
        <v>0.11</v>
      </c>
      <c r="BZ108" s="412">
        <f t="shared" si="205"/>
        <v>0.155403695267021</v>
      </c>
      <c r="CA108" s="412">
        <f t="shared" si="205"/>
        <v>0.13015434231743839</v>
      </c>
      <c r="CB108" s="412">
        <f t="shared" si="205"/>
        <v>0.13875812598072182</v>
      </c>
      <c r="CC108" s="412">
        <f t="shared" si="205"/>
        <v>0.15994201497946364</v>
      </c>
      <c r="CD108" s="412">
        <f t="shared" si="205"/>
        <v>0.13872685772254628</v>
      </c>
      <c r="CE108" s="412">
        <f t="shared" si="205"/>
        <v>0.12733748886910062</v>
      </c>
      <c r="CF108" s="412">
        <f t="shared" si="205"/>
        <v>0.11965811965811966</v>
      </c>
      <c r="CG108" s="412">
        <f t="shared" si="205"/>
        <v>0.14063587839405894</v>
      </c>
      <c r="CH108" s="412">
        <f t="shared" si="205"/>
        <v>0.12493740610916375</v>
      </c>
      <c r="CI108" s="412">
        <f t="shared" si="205"/>
        <v>0.11441048034934498</v>
      </c>
      <c r="CJ108" s="412">
        <f t="shared" si="205"/>
        <v>0.10815047021943573</v>
      </c>
      <c r="CK108" s="412">
        <f t="shared" si="205"/>
        <v>0.1210762331838565</v>
      </c>
      <c r="CL108" s="412">
        <f t="shared" si="205"/>
        <v>0.11477472942360936</v>
      </c>
      <c r="CM108" s="412">
        <f t="shared" si="205"/>
        <v>0.10804242156429518</v>
      </c>
      <c r="CN108" s="412">
        <f t="shared" si="205"/>
        <v>0.123109243697479</v>
      </c>
      <c r="CO108" s="412">
        <f t="shared" si="205"/>
        <v>0.12148047229791099</v>
      </c>
      <c r="CP108" s="412">
        <f t="shared" si="205"/>
        <v>0.1148449574993116</v>
      </c>
      <c r="CQ108" s="412">
        <f t="shared" si="205"/>
        <v>0.11791730474732007</v>
      </c>
      <c r="CR108" s="412">
        <f t="shared" si="205"/>
        <v>0.1249737008205344</v>
      </c>
      <c r="CS108" s="412">
        <f t="shared" si="205"/>
        <v>0.13787123347062649</v>
      </c>
      <c r="CT108" s="412">
        <f t="shared" si="205"/>
        <v>0.11914794007490637</v>
      </c>
      <c r="CU108" s="412">
        <f t="shared" si="205"/>
        <v>0.11692604516063512</v>
      </c>
      <c r="CV108" s="412">
        <f t="shared" si="205"/>
        <v>0.11731619124146243</v>
      </c>
      <c r="CW108" s="412">
        <f t="shared" si="205"/>
        <v>0.13089676758333274</v>
      </c>
      <c r="CX108" s="412">
        <f t="shared" si="205"/>
        <v>0.10044150110375276</v>
      </c>
      <c r="CY108" s="412">
        <f t="shared" si="205"/>
        <v>9.567711534521614E-2</v>
      </c>
      <c r="CZ108" s="412">
        <f t="shared" si="205"/>
        <v>0.12613133063739648</v>
      </c>
      <c r="DA108" s="412">
        <f t="shared" si="205"/>
        <v>0.13669976758926686</v>
      </c>
      <c r="DB108" s="412">
        <f t="shared" si="205"/>
        <v>0.10045761603835258</v>
      </c>
      <c r="DC108" s="412">
        <f t="shared" si="205"/>
        <v>9.3528018942383578E-2</v>
      </c>
      <c r="DD108" s="412">
        <f t="shared" ref="DD108:DE108" si="206">DD20</f>
        <v>9.6623072418504777E-2</v>
      </c>
      <c r="DE108" s="412">
        <f t="shared" si="206"/>
        <v>0.10436996181586763</v>
      </c>
      <c r="DF108" s="412">
        <f t="shared" ref="DF108:DI108" si="207">DF20</f>
        <v>0.10314361619690143</v>
      </c>
      <c r="DG108" s="412">
        <f t="shared" si="207"/>
        <v>0.10068464721415737</v>
      </c>
      <c r="DH108" s="412">
        <f t="shared" si="207"/>
        <v>0.10185956329017196</v>
      </c>
      <c r="DI108" s="412">
        <f t="shared" si="207"/>
        <v>0.10895055552757746</v>
      </c>
    </row>
    <row r="109" spans="1:113">
      <c r="A109" s="643" t="s">
        <v>225</v>
      </c>
      <c r="B109" s="746">
        <f t="shared" ref="B109:W109" si="208">B114/B11</f>
        <v>0.23331167776514536</v>
      </c>
      <c r="C109" s="746">
        <f t="shared" si="208"/>
        <v>0.25138658035167527</v>
      </c>
      <c r="D109" s="746">
        <f t="shared" si="208"/>
        <v>0.24863104009927867</v>
      </c>
      <c r="E109" s="746">
        <f t="shared" si="208"/>
        <v>0.26760048333757314</v>
      </c>
      <c r="F109" s="746">
        <f t="shared" si="208"/>
        <v>0.26213264364786504</v>
      </c>
      <c r="G109" s="746">
        <f t="shared" si="208"/>
        <v>0.25261242769173353</v>
      </c>
      <c r="H109" s="746">
        <f t="shared" si="208"/>
        <v>0.24925282186692976</v>
      </c>
      <c r="I109" s="746">
        <f t="shared" si="208"/>
        <v>0.2684574256299414</v>
      </c>
      <c r="J109" s="746">
        <f t="shared" si="208"/>
        <v>0.33532737312647909</v>
      </c>
      <c r="K109" s="746">
        <f t="shared" ca="1" si="208"/>
        <v>0.35481192924196947</v>
      </c>
      <c r="L109" s="746">
        <f t="shared" si="208"/>
        <v>0.40717015984491023</v>
      </c>
      <c r="M109" s="746">
        <f t="shared" si="208"/>
        <v>0.43008176512376206</v>
      </c>
      <c r="N109" s="746">
        <f t="shared" si="208"/>
        <v>0.44910264228692709</v>
      </c>
      <c r="O109" s="746">
        <f t="shared" si="208"/>
        <v>0.46960336134453784</v>
      </c>
      <c r="P109" s="746">
        <f t="shared" si="208"/>
        <v>0.48046930939051724</v>
      </c>
      <c r="Q109" s="746">
        <f t="shared" si="208"/>
        <v>0.48218653351070195</v>
      </c>
      <c r="R109" s="746">
        <f t="shared" si="208"/>
        <v>0.49613682189451691</v>
      </c>
      <c r="S109" s="746">
        <f t="shared" si="208"/>
        <v>0.50690690507986824</v>
      </c>
      <c r="T109" s="746">
        <f t="shared" ref="T109" si="209">T114/T11</f>
        <v>0.53797749734961198</v>
      </c>
      <c r="U109" s="746">
        <f t="shared" ca="1" si="208"/>
        <v>0.53857474863977473</v>
      </c>
      <c r="V109" s="746">
        <f t="shared" ca="1" si="208"/>
        <v>0.56947816302503507</v>
      </c>
      <c r="W109" s="746">
        <f t="shared" ca="1" si="208"/>
        <v>0.59872514391972254</v>
      </c>
      <c r="X109" s="746">
        <f ca="1">X114/X11</f>
        <v>0.62122558811384843</v>
      </c>
      <c r="Y109" s="746">
        <f ca="1">Y114/Y11</f>
        <v>0.64246508239634792</v>
      </c>
      <c r="Z109" s="746">
        <f ca="1">Z114/Z11</f>
        <v>0.66256224790412355</v>
      </c>
      <c r="AA109" s="746">
        <f ca="1">AA114/AA11</f>
        <v>0.68162605100406204</v>
      </c>
      <c r="AB109" s="746">
        <f ca="1">AB114/AB11</f>
        <v>0.69975665191824288</v>
      </c>
      <c r="AD109" s="412">
        <f t="shared" ref="AD109:BI109" si="210">AD23</f>
        <v>0.20275139207337045</v>
      </c>
      <c r="AE109" s="412">
        <f t="shared" si="210"/>
        <v>0.20154464663563268</v>
      </c>
      <c r="AF109" s="412">
        <f t="shared" si="210"/>
        <v>0.20930986067609894</v>
      </c>
      <c r="AG109" s="412">
        <f t="shared" si="210"/>
        <v>0.18788439558047135</v>
      </c>
      <c r="AH109" s="412">
        <f t="shared" si="210"/>
        <v>0.19053747940691929</v>
      </c>
      <c r="AI109" s="412">
        <f t="shared" si="210"/>
        <v>0.19509968041394005</v>
      </c>
      <c r="AJ109" s="412">
        <f t="shared" si="210"/>
        <v>0.19834251351761079</v>
      </c>
      <c r="AK109" s="412">
        <f t="shared" si="210"/>
        <v>0.18547750591949486</v>
      </c>
      <c r="AL109" s="412">
        <f t="shared" si="210"/>
        <v>0.19374875770224606</v>
      </c>
      <c r="AM109" s="412">
        <f t="shared" si="210"/>
        <v>0.19578560726886085</v>
      </c>
      <c r="AN109" s="412">
        <f t="shared" si="210"/>
        <v>0.20776611242276585</v>
      </c>
      <c r="AO109" s="412">
        <f t="shared" si="210"/>
        <v>0.19314804192522292</v>
      </c>
      <c r="AP109" s="412">
        <f t="shared" si="210"/>
        <v>0.21649276677251877</v>
      </c>
      <c r="AQ109" s="412">
        <f t="shared" si="210"/>
        <v>0.2187394836786693</v>
      </c>
      <c r="AR109" s="412">
        <f t="shared" si="210"/>
        <v>0.23005299390817691</v>
      </c>
      <c r="AS109" s="412">
        <f t="shared" si="210"/>
        <v>0.21782777581597135</v>
      </c>
      <c r="AT109" s="412">
        <f t="shared" si="210"/>
        <v>0.21858164364776178</v>
      </c>
      <c r="AU109" s="412">
        <f t="shared" si="210"/>
        <v>0.22958721068957288</v>
      </c>
      <c r="AV109" s="412">
        <f t="shared" si="210"/>
        <v>0.23169160638192449</v>
      </c>
      <c r="AW109" s="412">
        <f t="shared" si="210"/>
        <v>0.19164342415790603</v>
      </c>
      <c r="AX109" s="412">
        <f t="shared" si="210"/>
        <v>0.2059724746819008</v>
      </c>
      <c r="AY109" s="412">
        <f t="shared" si="210"/>
        <v>0.2164578398120317</v>
      </c>
      <c r="AZ109" s="412">
        <f t="shared" si="210"/>
        <v>0.20782930107526881</v>
      </c>
      <c r="BA109" s="412">
        <f t="shared" si="210"/>
        <v>0.18665597979209173</v>
      </c>
      <c r="BB109" s="412">
        <f t="shared" si="210"/>
        <v>0.19093836246550139</v>
      </c>
      <c r="BC109" s="412">
        <f t="shared" si="210"/>
        <v>0.19237670123845785</v>
      </c>
      <c r="BD109" s="412">
        <f t="shared" si="210"/>
        <v>0.19349284831361468</v>
      </c>
      <c r="BE109" s="412">
        <f t="shared" si="210"/>
        <v>0.17847380920374603</v>
      </c>
      <c r="BF109" s="412">
        <f t="shared" si="210"/>
        <v>0.22959660297239914</v>
      </c>
      <c r="BG109" s="412">
        <f t="shared" si="210"/>
        <v>0.23309976102717808</v>
      </c>
      <c r="BH109" s="412">
        <f t="shared" si="210"/>
        <v>0.22784861038490931</v>
      </c>
      <c r="BI109" s="412">
        <f t="shared" si="210"/>
        <v>0.21802480252118037</v>
      </c>
      <c r="BJ109" s="412">
        <f t="shared" ref="BJ109:CO109" si="211">BJ23</f>
        <v>0.26489431770552663</v>
      </c>
      <c r="BK109" s="412">
        <f t="shared" si="211"/>
        <v>0.34233121948481959</v>
      </c>
      <c r="BL109" s="412">
        <f t="shared" si="211"/>
        <v>0.2708725138200262</v>
      </c>
      <c r="BM109" s="412">
        <f t="shared" si="211"/>
        <v>0.24024526198439242</v>
      </c>
      <c r="BN109" s="412">
        <f t="shared" si="211"/>
        <v>0.32801161103047893</v>
      </c>
      <c r="BO109" s="412">
        <f t="shared" si="211"/>
        <v>0.3381074168797954</v>
      </c>
      <c r="BP109" s="412">
        <f t="shared" si="211"/>
        <v>0.32785660941000749</v>
      </c>
      <c r="BQ109" s="412">
        <f t="shared" si="211"/>
        <v>0.30592734225621415</v>
      </c>
      <c r="BR109" s="412">
        <f t="shared" si="211"/>
        <v>0.32851985559566788</v>
      </c>
      <c r="BS109" s="412">
        <f t="shared" si="211"/>
        <v>0.35682711198428291</v>
      </c>
      <c r="BT109" s="412">
        <f t="shared" si="211"/>
        <v>0.33906691800188499</v>
      </c>
      <c r="BU109" s="412">
        <f t="shared" si="211"/>
        <v>0.32389096739711382</v>
      </c>
      <c r="BV109" s="412">
        <f t="shared" si="211"/>
        <v>0.39139559286463799</v>
      </c>
      <c r="BW109" s="412">
        <f t="shared" si="211"/>
        <v>0.39703961689159772</v>
      </c>
      <c r="BX109" s="412">
        <f t="shared" si="211"/>
        <v>0.39671144048170448</v>
      </c>
      <c r="BY109" s="412">
        <f t="shared" si="211"/>
        <v>0.35585365853658535</v>
      </c>
      <c r="BZ109" s="412">
        <f t="shared" si="211"/>
        <v>0.38673753480131612</v>
      </c>
      <c r="CA109" s="412">
        <f t="shared" si="211"/>
        <v>0.41672425708362126</v>
      </c>
      <c r="CB109" s="412">
        <f t="shared" si="211"/>
        <v>0.41627437794216543</v>
      </c>
      <c r="CC109" s="412">
        <f t="shared" si="211"/>
        <v>0.38463396955786422</v>
      </c>
      <c r="CD109" s="412">
        <f t="shared" si="211"/>
        <v>0.40603601318792798</v>
      </c>
      <c r="CE109" s="412">
        <f t="shared" si="211"/>
        <v>0.42074799643811223</v>
      </c>
      <c r="CF109" s="412">
        <f t="shared" si="211"/>
        <v>0.44536844536844539</v>
      </c>
      <c r="CG109" s="412">
        <f t="shared" si="211"/>
        <v>0.40171733580877234</v>
      </c>
      <c r="CH109" s="412">
        <f t="shared" si="211"/>
        <v>0.42638958437656482</v>
      </c>
      <c r="CI109" s="412">
        <f t="shared" si="211"/>
        <v>0.43013100436681223</v>
      </c>
      <c r="CJ109" s="412">
        <f t="shared" si="211"/>
        <v>0.44805194805194803</v>
      </c>
      <c r="CK109" s="412">
        <f t="shared" si="211"/>
        <v>0.41322869955156949</v>
      </c>
      <c r="CL109" s="412">
        <f t="shared" si="211"/>
        <v>0.43669770953939091</v>
      </c>
      <c r="CM109" s="412">
        <f t="shared" si="211"/>
        <v>0.44829871851524528</v>
      </c>
      <c r="CN109" s="412">
        <f t="shared" si="211"/>
        <v>0.43907563025210083</v>
      </c>
      <c r="CO109" s="412">
        <f t="shared" si="211"/>
        <v>0.42529518619436874</v>
      </c>
      <c r="CP109" s="412">
        <f t="shared" ref="CP109:DC109" si="212">CP23</f>
        <v>0.44806608126585018</v>
      </c>
      <c r="CQ109" s="412">
        <f t="shared" si="212"/>
        <v>0.4421352001750164</v>
      </c>
      <c r="CR109" s="412">
        <f t="shared" si="212"/>
        <v>0.43761834630759522</v>
      </c>
      <c r="CS109" s="412">
        <f t="shared" si="212"/>
        <v>0.43160632993713416</v>
      </c>
      <c r="CT109" s="412">
        <f t="shared" si="212"/>
        <v>0.46020599250936328</v>
      </c>
      <c r="CU109" s="412">
        <f t="shared" si="212"/>
        <v>0.47199841349253857</v>
      </c>
      <c r="CV109" s="412">
        <f t="shared" si="212"/>
        <v>0.46926476496584973</v>
      </c>
      <c r="CW109" s="412">
        <f t="shared" si="212"/>
        <v>0.44806816170391489</v>
      </c>
      <c r="CX109" s="412">
        <f t="shared" si="212"/>
        <v>0.48852097130242828</v>
      </c>
      <c r="CY109" s="412">
        <f t="shared" si="212"/>
        <v>0.51014136447449299</v>
      </c>
      <c r="CZ109" s="412">
        <f t="shared" si="212"/>
        <v>0.48045445792412861</v>
      </c>
      <c r="DA109" s="412">
        <f t="shared" si="212"/>
        <v>0.46080709909148532</v>
      </c>
      <c r="DB109" s="412">
        <f t="shared" si="212"/>
        <v>0.5051209413815646</v>
      </c>
      <c r="DC109" s="412">
        <f t="shared" si="212"/>
        <v>0.52190213101815308</v>
      </c>
      <c r="DD109" s="412">
        <f t="shared" ref="DD109:DE109" si="213">DD23</f>
        <v>0.52469256295139566</v>
      </c>
      <c r="DE109" s="412">
        <f t="shared" si="213"/>
        <v>0.50445481544336024</v>
      </c>
      <c r="DF109" s="412">
        <f t="shared" ref="DF109:DI109" si="214">DF23</f>
        <v>0.4961295226523571</v>
      </c>
      <c r="DG109" s="412">
        <f t="shared" si="214"/>
        <v>0.50844008417572073</v>
      </c>
      <c r="DH109" s="412">
        <f t="shared" si="214"/>
        <v>0.51315065350906996</v>
      </c>
      <c r="DI109" s="412">
        <f t="shared" si="214"/>
        <v>0.49352204675297934</v>
      </c>
    </row>
    <row r="110" spans="1:113">
      <c r="A110" s="643" t="s">
        <v>226</v>
      </c>
      <c r="B110" s="746">
        <f t="shared" ref="B110:W110" si="215">B35/B11</f>
        <v>0.22039954523306804</v>
      </c>
      <c r="C110" s="746">
        <f t="shared" si="215"/>
        <v>0.23880675356486747</v>
      </c>
      <c r="D110" s="746">
        <f t="shared" si="215"/>
        <v>0.22663460792678197</v>
      </c>
      <c r="E110" s="746">
        <f t="shared" si="215"/>
        <v>0.24957071991859578</v>
      </c>
      <c r="F110" s="746">
        <f t="shared" si="215"/>
        <v>0.2431882577754349</v>
      </c>
      <c r="G110" s="746">
        <f t="shared" si="215"/>
        <v>0.23432543384959881</v>
      </c>
      <c r="H110" s="746">
        <f t="shared" si="215"/>
        <v>0.23201694570989176</v>
      </c>
      <c r="I110" s="746">
        <f t="shared" si="215"/>
        <v>0.25598657641772365</v>
      </c>
      <c r="J110" s="746">
        <f t="shared" si="215"/>
        <v>0.32185117012884562</v>
      </c>
      <c r="K110" s="746">
        <f t="shared" ca="1" si="215"/>
        <v>0.34767647820722869</v>
      </c>
      <c r="L110" s="746">
        <f t="shared" si="215"/>
        <v>0.34178737334942755</v>
      </c>
      <c r="M110" s="746">
        <f t="shared" si="215"/>
        <v>0.3629493947709323</v>
      </c>
      <c r="N110" s="746">
        <f t="shared" si="215"/>
        <v>0.3813348217515789</v>
      </c>
      <c r="O110" s="746">
        <f t="shared" si="215"/>
        <v>0.40526050420168069</v>
      </c>
      <c r="P110" s="746">
        <f t="shared" si="215"/>
        <v>0.4210796247389858</v>
      </c>
      <c r="Q110" s="746">
        <f t="shared" si="215"/>
        <v>0.43716091013422592</v>
      </c>
      <c r="R110" s="746">
        <f t="shared" si="215"/>
        <v>0.4527323892683795</v>
      </c>
      <c r="S110" s="746">
        <f t="shared" si="215"/>
        <v>0.4682763005393501</v>
      </c>
      <c r="T110" s="746">
        <f t="shared" ref="T110" si="216">T35/T11</f>
        <v>0.5023767996990528</v>
      </c>
      <c r="U110" s="746">
        <f t="shared" ca="1" si="215"/>
        <v>0.50384237206474047</v>
      </c>
      <c r="V110" s="746">
        <f t="shared" ca="1" si="215"/>
        <v>0.53795003349746118</v>
      </c>
      <c r="W110" s="746">
        <f t="shared" ca="1" si="215"/>
        <v>0.56904719847392959</v>
      </c>
      <c r="X110" s="746">
        <f ca="1">X35/X11</f>
        <v>0.59216063545897268</v>
      </c>
      <c r="Y110" s="746">
        <f ca="1">Y35/Y11</f>
        <v>0.61402178023439979</v>
      </c>
      <c r="Z110" s="746">
        <f ca="1">Z35/Z11</f>
        <v>0.63476213621270527</v>
      </c>
      <c r="AA110" s="746">
        <f ca="1">AA35/AA11</f>
        <v>0.65449010959233989</v>
      </c>
      <c r="AB110" s="746">
        <f ca="1">AB35/AB11</f>
        <v>0.67330520610775058</v>
      </c>
      <c r="AD110" s="412">
        <f t="shared" ref="AD110:BI110" si="217">AD35/AD11</f>
        <v>0.17349055573752592</v>
      </c>
      <c r="AE110" s="412">
        <f t="shared" si="217"/>
        <v>0.17361404993652138</v>
      </c>
      <c r="AF110" s="412">
        <f t="shared" si="217"/>
        <v>0.18247110919105736</v>
      </c>
      <c r="AG110" s="412">
        <f t="shared" si="217"/>
        <v>0.15784030914929517</v>
      </c>
      <c r="AH110" s="412">
        <f t="shared" si="217"/>
        <v>0.16598023064250411</v>
      </c>
      <c r="AI110" s="412">
        <f t="shared" si="217"/>
        <v>0.17085172221376757</v>
      </c>
      <c r="AJ110" s="412">
        <f t="shared" si="217"/>
        <v>0.17348021628177271</v>
      </c>
      <c r="AK110" s="412">
        <f t="shared" si="217"/>
        <v>0.15780057879505394</v>
      </c>
      <c r="AL110" s="412">
        <f t="shared" si="217"/>
        <v>0.16662194394752533</v>
      </c>
      <c r="AM110" s="412">
        <f t="shared" si="217"/>
        <v>0.16949881591029917</v>
      </c>
      <c r="AN110" s="412">
        <f t="shared" si="217"/>
        <v>0.18205153965941628</v>
      </c>
      <c r="AO110" s="412">
        <f t="shared" si="217"/>
        <v>0.16515096209000366</v>
      </c>
      <c r="AP110" s="412">
        <f t="shared" si="217"/>
        <v>0.23454822796313124</v>
      </c>
      <c r="AQ110" s="412">
        <f t="shared" si="217"/>
        <v>0.2388242815392109</v>
      </c>
      <c r="AR110" s="412">
        <f t="shared" si="217"/>
        <v>0.26156492645666307</v>
      </c>
      <c r="AS110" s="412">
        <f t="shared" si="217"/>
        <v>0.24488081653353619</v>
      </c>
      <c r="AT110" s="412">
        <f t="shared" si="217"/>
        <v>0.25241431547055482</v>
      </c>
      <c r="AU110" s="412">
        <f t="shared" si="217"/>
        <v>0.26453701441485461</v>
      </c>
      <c r="AV110" s="412">
        <f t="shared" si="217"/>
        <v>0.27424792531120334</v>
      </c>
      <c r="AW110" s="412">
        <f t="shared" si="217"/>
        <v>0.21898981442723595</v>
      </c>
      <c r="AX110" s="412">
        <f t="shared" si="217"/>
        <v>0.24346464365256124</v>
      </c>
      <c r="AY110" s="412">
        <f t="shared" si="217"/>
        <v>0.26247814131275632</v>
      </c>
      <c r="AZ110" s="412">
        <f t="shared" si="217"/>
        <v>0.25343205001645275</v>
      </c>
      <c r="BA110" s="412">
        <f t="shared" si="217"/>
        <v>0.2202466396972465</v>
      </c>
      <c r="BB110" s="412">
        <f t="shared" si="217"/>
        <v>0.23879919600596511</v>
      </c>
      <c r="BC110" s="412">
        <f t="shared" si="217"/>
        <v>0.2412819253438114</v>
      </c>
      <c r="BD110" s="412">
        <f t="shared" si="217"/>
        <v>0.24696559964782089</v>
      </c>
      <c r="BE110" s="412">
        <f t="shared" si="217"/>
        <v>0.21648978590270535</v>
      </c>
      <c r="BF110" s="412">
        <f t="shared" si="217"/>
        <v>0.30273270708795902</v>
      </c>
      <c r="BG110" s="412">
        <f t="shared" si="217"/>
        <v>0.30562971561230412</v>
      </c>
      <c r="BH110" s="412">
        <f t="shared" si="217"/>
        <v>0.2999941884116929</v>
      </c>
      <c r="BI110" s="412">
        <f t="shared" si="217"/>
        <v>0.27158131682611142</v>
      </c>
      <c r="BJ110" s="412">
        <f t="shared" ref="BJ110:CO110" si="218">BJ35/BJ11</f>
        <v>0.24076402610622119</v>
      </c>
      <c r="BK110" s="412">
        <f t="shared" si="218"/>
        <v>0.31775071552836859</v>
      </c>
      <c r="BL110" s="412">
        <f t="shared" si="218"/>
        <v>0.25001424744970652</v>
      </c>
      <c r="BM110" s="412">
        <f t="shared" si="218"/>
        <v>0.21917502787068005</v>
      </c>
      <c r="BN110" s="412">
        <f t="shared" si="218"/>
        <v>0.29433962264150942</v>
      </c>
      <c r="BO110" s="412">
        <f t="shared" si="218"/>
        <v>0.33478260869565218</v>
      </c>
      <c r="BP110" s="412">
        <f t="shared" si="218"/>
        <v>0.32536718944485937</v>
      </c>
      <c r="BQ110" s="412">
        <f t="shared" si="218"/>
        <v>0.3105708822726031</v>
      </c>
      <c r="BR110" s="412">
        <f t="shared" si="218"/>
        <v>0.34518189391835602</v>
      </c>
      <c r="BS110" s="412">
        <f t="shared" si="218"/>
        <v>0.37033398821218072</v>
      </c>
      <c r="BT110" s="412">
        <f t="shared" ca="1" si="218"/>
        <v>0.35101295050370318</v>
      </c>
      <c r="BU110" s="412">
        <f t="shared" si="218"/>
        <v>0.32163736245571312</v>
      </c>
      <c r="BV110" s="412">
        <f t="shared" si="218"/>
        <v>0.33788037775445962</v>
      </c>
      <c r="BW110" s="412">
        <f t="shared" si="218"/>
        <v>0.35655202437962558</v>
      </c>
      <c r="BX110" s="412">
        <f t="shared" si="218"/>
        <v>0.35883778102397834</v>
      </c>
      <c r="BY110" s="412">
        <f t="shared" si="218"/>
        <v>0.31091932457786114</v>
      </c>
      <c r="BZ110" s="412">
        <f t="shared" si="218"/>
        <v>0.33991394583649709</v>
      </c>
      <c r="CA110" s="412">
        <f t="shared" si="218"/>
        <v>0.37157337019120018</v>
      </c>
      <c r="CB110" s="412">
        <f t="shared" si="218"/>
        <v>0.3879109141975553</v>
      </c>
      <c r="CC110" s="412">
        <f t="shared" si="218"/>
        <v>0.34899023634580673</v>
      </c>
      <c r="CD110" s="412">
        <f t="shared" si="218"/>
        <v>0.36299622562694872</v>
      </c>
      <c r="CE110" s="412">
        <f t="shared" si="218"/>
        <v>0.3848017390393379</v>
      </c>
      <c r="CF110" s="412">
        <f t="shared" si="218"/>
        <v>0.4124305300775889</v>
      </c>
      <c r="CG110" s="412">
        <f t="shared" si="218"/>
        <v>0.36326157290486394</v>
      </c>
      <c r="CH110" s="412">
        <f t="shared" si="218"/>
        <v>0.38976111225662025</v>
      </c>
      <c r="CI110" s="412">
        <f t="shared" si="218"/>
        <v>0.40508605188800412</v>
      </c>
      <c r="CJ110" s="412">
        <f t="shared" si="218"/>
        <v>0.42479123310766309</v>
      </c>
      <c r="CK110" s="412">
        <f t="shared" si="218"/>
        <v>0.39976259562120814</v>
      </c>
      <c r="CL110" s="412">
        <f t="shared" si="218"/>
        <v>0.42300232451399888</v>
      </c>
      <c r="CM110" s="412">
        <f t="shared" si="218"/>
        <v>0.42568428166671002</v>
      </c>
      <c r="CN110" s="412">
        <f t="shared" si="218"/>
        <v>0.4247034107760751</v>
      </c>
      <c r="CO110" s="412">
        <f t="shared" si="218"/>
        <v>0.41069615857242081</v>
      </c>
      <c r="CP110" s="412">
        <f t="shared" ref="CP110:DC110" si="219">CP35/CP11</f>
        <v>0.43760259653040695</v>
      </c>
      <c r="CQ110" s="412">
        <f t="shared" si="219"/>
        <v>0.42696282188219853</v>
      </c>
      <c r="CR110" s="412">
        <f t="shared" si="219"/>
        <v>0.44268016484944495</v>
      </c>
      <c r="CS110" s="412">
        <f t="shared" si="219"/>
        <v>0.43100700067583936</v>
      </c>
      <c r="CT110" s="412">
        <f t="shared" si="219"/>
        <v>0.45275666446353824</v>
      </c>
      <c r="CU110" s="412">
        <f t="shared" si="219"/>
        <v>0.46530160342304555</v>
      </c>
      <c r="CV110" s="412">
        <f t="shared" si="219"/>
        <v>0.4547420414529813</v>
      </c>
      <c r="CW110" s="412">
        <f t="shared" si="219"/>
        <v>0.43753790254524527</v>
      </c>
      <c r="CX110" s="412">
        <f t="shared" si="219"/>
        <v>0.47462667186079727</v>
      </c>
      <c r="CY110" s="412">
        <f t="shared" si="219"/>
        <v>0.50624871952468753</v>
      </c>
      <c r="CZ110" s="412">
        <f t="shared" si="219"/>
        <v>0.48392066243019449</v>
      </c>
      <c r="DA110" s="412">
        <f t="shared" si="219"/>
        <v>0.40587365307416018</v>
      </c>
      <c r="DB110" s="412">
        <f t="shared" si="219"/>
        <v>0.47809980387884071</v>
      </c>
      <c r="DC110" s="412">
        <f t="shared" si="219"/>
        <v>0.50328860826098387</v>
      </c>
      <c r="DD110" s="412">
        <f t="shared" ref="DD110:DE110" si="220">DD35/DD11</f>
        <v>0.51974754375691323</v>
      </c>
      <c r="DE110" s="412">
        <f t="shared" si="220"/>
        <v>0.50615188799321176</v>
      </c>
      <c r="DF110" s="412">
        <f t="shared" ref="DF110:DI110" ca="1" si="221">DF35/DF11</f>
        <v>0.50234618436066569</v>
      </c>
      <c r="DG110" s="412">
        <f t="shared" ca="1" si="221"/>
        <v>0.48631407412009037</v>
      </c>
      <c r="DH110" s="412">
        <f t="shared" ca="1" si="221"/>
        <v>0.52097194325633822</v>
      </c>
      <c r="DI110" s="412">
        <f t="shared" ca="1" si="221"/>
        <v>0.50529196677716015</v>
      </c>
    </row>
    <row r="111" spans="1:113">
      <c r="A111" s="643" t="s">
        <v>227</v>
      </c>
      <c r="B111" s="746">
        <f t="shared" ref="B111:W111" si="222">B45/B11</f>
        <v>0.12917943803800552</v>
      </c>
      <c r="C111" s="746">
        <f t="shared" si="222"/>
        <v>0.144691886974018</v>
      </c>
      <c r="D111" s="746">
        <f t="shared" si="222"/>
        <v>0.13580245094237184</v>
      </c>
      <c r="E111" s="746">
        <f t="shared" si="222"/>
        <v>0.15172899389468328</v>
      </c>
      <c r="F111" s="746">
        <f t="shared" si="222"/>
        <v>0.14978589473872625</v>
      </c>
      <c r="G111" s="746">
        <f t="shared" si="222"/>
        <v>0.15312526848004135</v>
      </c>
      <c r="H111" s="746">
        <f t="shared" si="222"/>
        <v>0.1386052520833034</v>
      </c>
      <c r="I111" s="746">
        <f t="shared" si="222"/>
        <v>0.16861989469929611</v>
      </c>
      <c r="J111" s="746">
        <f t="shared" si="222"/>
        <v>0.21158857395593192</v>
      </c>
      <c r="K111" s="746">
        <f t="shared" ca="1" si="222"/>
        <v>0.22025276613774192</v>
      </c>
      <c r="L111" s="746">
        <f t="shared" si="222"/>
        <v>0.21638747029534663</v>
      </c>
      <c r="M111" s="746">
        <f t="shared" si="222"/>
        <v>0.23443049964480228</v>
      </c>
      <c r="N111" s="746">
        <f t="shared" si="222"/>
        <v>0.24784068412112692</v>
      </c>
      <c r="O111" s="746">
        <f t="shared" si="222"/>
        <v>0.25617142857142855</v>
      </c>
      <c r="P111" s="746">
        <f t="shared" si="222"/>
        <v>0.26965974070090021</v>
      </c>
      <c r="Q111" s="746">
        <f t="shared" si="222"/>
        <v>0.28609102774112372</v>
      </c>
      <c r="R111" s="746">
        <f t="shared" si="222"/>
        <v>0.2924088092708203</v>
      </c>
      <c r="S111" s="746">
        <f t="shared" si="222"/>
        <v>0.30625226250193932</v>
      </c>
      <c r="T111" s="746">
        <f t="shared" ref="T111" si="223">T45/T11</f>
        <v>0.33446188570842311</v>
      </c>
      <c r="U111" s="746">
        <f t="shared" ca="1" si="222"/>
        <v>0.38543941462952647</v>
      </c>
      <c r="V111" s="746">
        <f t="shared" ca="1" si="222"/>
        <v>0.41153177562555782</v>
      </c>
      <c r="W111" s="746">
        <f t="shared" ca="1" si="222"/>
        <v>0.43532110683255609</v>
      </c>
      <c r="X111" s="746">
        <f ca="1">X45/X11</f>
        <v>0.45300288612611406</v>
      </c>
      <c r="Y111" s="746">
        <f ca="1">Y45/Y11</f>
        <v>0.46972666187931589</v>
      </c>
      <c r="Z111" s="746">
        <f ca="1">Z45/Z11</f>
        <v>0.48559303420271949</v>
      </c>
      <c r="AA111" s="746">
        <f ca="1">AA45/AA11</f>
        <v>0.50068493383814006</v>
      </c>
      <c r="AB111" s="746">
        <f ca="1">AB45/AB11</f>
        <v>0.51507848267242917</v>
      </c>
      <c r="AD111" s="412">
        <f t="shared" ref="AD111:BI111" si="224">AD45/AD11</f>
        <v>0.10317720275139207</v>
      </c>
      <c r="AE111" s="412">
        <f t="shared" si="224"/>
        <v>0.10309987304274228</v>
      </c>
      <c r="AF111" s="412">
        <f t="shared" si="224"/>
        <v>0.10854303920509774</v>
      </c>
      <c r="AG111" s="412">
        <f t="shared" si="224"/>
        <v>9.3615631633375065E-2</v>
      </c>
      <c r="AH111" s="412">
        <f t="shared" si="224"/>
        <v>9.8228995057660626E-2</v>
      </c>
      <c r="AI111" s="412">
        <f t="shared" si="224"/>
        <v>0.10120225232080353</v>
      </c>
      <c r="AJ111" s="412">
        <f t="shared" si="224"/>
        <v>0.10283490828237909</v>
      </c>
      <c r="AK111" s="412">
        <f t="shared" si="224"/>
        <v>9.3922651933701654E-2</v>
      </c>
      <c r="AL111" s="412">
        <f t="shared" si="224"/>
        <v>9.958755714569667E-2</v>
      </c>
      <c r="AM111" s="412">
        <f t="shared" si="224"/>
        <v>0.10106326422115895</v>
      </c>
      <c r="AN111" s="412">
        <f t="shared" si="224"/>
        <v>0.10876073742904506</v>
      </c>
      <c r="AO111" s="412">
        <f t="shared" si="224"/>
        <v>9.8091463732596335E-2</v>
      </c>
      <c r="AP111" s="412">
        <f t="shared" si="224"/>
        <v>0.14815331688952355</v>
      </c>
      <c r="AQ111" s="412">
        <f t="shared" si="224"/>
        <v>0.1488340233804189</v>
      </c>
      <c r="AR111" s="412">
        <f t="shared" si="224"/>
        <v>0.15301001081055485</v>
      </c>
      <c r="AS111" s="412">
        <f t="shared" si="224"/>
        <v>0.14801255230125523</v>
      </c>
      <c r="AT111" s="412">
        <f t="shared" si="224"/>
        <v>0.15156706431862652</v>
      </c>
      <c r="AU111" s="412">
        <f t="shared" si="224"/>
        <v>0.15705927803567066</v>
      </c>
      <c r="AV111" s="412">
        <f t="shared" si="224"/>
        <v>0.16773657935684647</v>
      </c>
      <c r="AW111" s="412">
        <f t="shared" si="224"/>
        <v>0.12934282126412724</v>
      </c>
      <c r="AX111" s="412">
        <f t="shared" si="224"/>
        <v>0.14633908685968819</v>
      </c>
      <c r="AY111" s="412">
        <f t="shared" si="224"/>
        <v>0.16117240453165918</v>
      </c>
      <c r="AZ111" s="412">
        <f t="shared" si="224"/>
        <v>0.15898504382681772</v>
      </c>
      <c r="BA111" s="412">
        <f t="shared" si="224"/>
        <v>0.13670241626002097</v>
      </c>
      <c r="BB111" s="412">
        <f t="shared" si="224"/>
        <v>0.1508220914655114</v>
      </c>
      <c r="BC111" s="412">
        <f t="shared" si="224"/>
        <v>0.16956886818516698</v>
      </c>
      <c r="BD111" s="412">
        <f t="shared" si="224"/>
        <v>0.16135215359507235</v>
      </c>
      <c r="BE111" s="412">
        <f t="shared" si="224"/>
        <v>0.1345593723959678</v>
      </c>
      <c r="BF111" s="412">
        <f t="shared" si="224"/>
        <v>0.21926674698451781</v>
      </c>
      <c r="BG111" s="412">
        <f t="shared" si="224"/>
        <v>0.19990470110272782</v>
      </c>
      <c r="BH111" s="412">
        <f t="shared" si="224"/>
        <v>0.20434289533329458</v>
      </c>
      <c r="BI111" s="412">
        <f t="shared" si="224"/>
        <v>0.1813933795739778</v>
      </c>
      <c r="BJ111" s="412">
        <f t="shared" ref="BJ111:CO111" si="225">BJ45/BJ11</f>
        <v>0.15676504400934074</v>
      </c>
      <c r="BK111" s="412">
        <f t="shared" si="225"/>
        <v>0.20900999187394562</v>
      </c>
      <c r="BL111" s="412">
        <f t="shared" si="225"/>
        <v>0.16264899982903064</v>
      </c>
      <c r="BM111" s="412">
        <f t="shared" si="225"/>
        <v>0.14835793922137469</v>
      </c>
      <c r="BN111" s="412">
        <f t="shared" si="225"/>
        <v>0.18406143518283069</v>
      </c>
      <c r="BO111" s="412">
        <f t="shared" si="225"/>
        <v>0.21183147364370911</v>
      </c>
      <c r="BP111" s="412">
        <f t="shared" si="225"/>
        <v>0.22067104031678481</v>
      </c>
      <c r="BQ111" s="412">
        <f t="shared" si="225"/>
        <v>0.20237561101156987</v>
      </c>
      <c r="BR111" s="412">
        <f t="shared" si="225"/>
        <v>0.21621022874420023</v>
      </c>
      <c r="BS111" s="412">
        <f t="shared" si="225"/>
        <v>0.23437923628928103</v>
      </c>
      <c r="BT111" s="412">
        <f t="shared" ca="1" si="225"/>
        <v>0.22410031523321847</v>
      </c>
      <c r="BU111" s="412">
        <f t="shared" si="225"/>
        <v>0.20440701315427703</v>
      </c>
      <c r="BV111" s="412">
        <f t="shared" si="225"/>
        <v>0.21274921301154251</v>
      </c>
      <c r="BW111" s="412">
        <f t="shared" si="225"/>
        <v>0.22409725734630195</v>
      </c>
      <c r="BX111" s="412">
        <f t="shared" si="225"/>
        <v>0.23112552107457157</v>
      </c>
      <c r="BY111" s="412">
        <f t="shared" si="225"/>
        <v>0.19560975609756098</v>
      </c>
      <c r="BZ111" s="412">
        <f t="shared" si="225"/>
        <v>0.21918501645153127</v>
      </c>
      <c r="CA111" s="412">
        <f t="shared" si="225"/>
        <v>0.24141902787376179</v>
      </c>
      <c r="CB111" s="412">
        <f t="shared" si="225"/>
        <v>0.25353059852051107</v>
      </c>
      <c r="CC111" s="412">
        <f t="shared" si="225"/>
        <v>0.22106789079487799</v>
      </c>
      <c r="CD111" s="412">
        <f t="shared" si="225"/>
        <v>0.23332487953335024</v>
      </c>
      <c r="CE111" s="412">
        <f t="shared" si="225"/>
        <v>0.24986286731967944</v>
      </c>
      <c r="CF111" s="412">
        <f t="shared" si="225"/>
        <v>0.26772926772926775</v>
      </c>
      <c r="CG111" s="412">
        <f t="shared" si="225"/>
        <v>0.23903457878858203</v>
      </c>
      <c r="CH111" s="412">
        <f t="shared" si="225"/>
        <v>0.25062593890836254</v>
      </c>
      <c r="CI111" s="412">
        <f t="shared" si="225"/>
        <v>0.26135371179039302</v>
      </c>
      <c r="CJ111" s="412">
        <f t="shared" si="225"/>
        <v>0.26309896999552174</v>
      </c>
      <c r="CK111" s="412">
        <f t="shared" si="225"/>
        <v>0.24887892376681614</v>
      </c>
      <c r="CL111" s="412">
        <f t="shared" si="225"/>
        <v>0.27384847722124339</v>
      </c>
      <c r="CM111" s="412">
        <f t="shared" si="225"/>
        <v>0.27419354838709675</v>
      </c>
      <c r="CN111" s="412">
        <f t="shared" si="225"/>
        <v>0.27247899159663863</v>
      </c>
      <c r="CO111" s="412">
        <f t="shared" si="225"/>
        <v>0.25817438692098094</v>
      </c>
      <c r="CP111" s="412">
        <f t="shared" ref="CP111:DC111" si="226">CP45/CP11</f>
        <v>0.28540512080630992</v>
      </c>
      <c r="CQ111" s="412">
        <f t="shared" si="226"/>
        <v>0.28046379348063882</v>
      </c>
      <c r="CR111" s="412">
        <f t="shared" si="226"/>
        <v>0.28655585945718492</v>
      </c>
      <c r="CS111" s="412">
        <f t="shared" si="226"/>
        <v>0.28159549100368525</v>
      </c>
      <c r="CT111" s="412">
        <f t="shared" si="226"/>
        <v>0.29166666666666669</v>
      </c>
      <c r="CU111" s="412">
        <f t="shared" si="226"/>
        <v>0.29948617283750817</v>
      </c>
      <c r="CV111" s="412">
        <f t="shared" si="226"/>
        <v>0.29630373644033747</v>
      </c>
      <c r="CW111" s="412">
        <f t="shared" si="226"/>
        <v>0.28161243607329189</v>
      </c>
      <c r="CX111" s="412">
        <f t="shared" si="226"/>
        <v>0.31192052980132451</v>
      </c>
      <c r="CY111" s="412">
        <f t="shared" si="226"/>
        <v>0.32431878713378404</v>
      </c>
      <c r="CZ111" s="412">
        <f t="shared" si="226"/>
        <v>0.30984016945888698</v>
      </c>
      <c r="DA111" s="412">
        <f t="shared" si="226"/>
        <v>0.27825903232622018</v>
      </c>
      <c r="DB111" s="412">
        <f t="shared" si="226"/>
        <v>0.30725648289387664</v>
      </c>
      <c r="DC111" s="412">
        <f t="shared" si="226"/>
        <v>0.324585635359116</v>
      </c>
      <c r="DD111" s="412">
        <f t="shared" ref="DD111:DE111" si="227">DD45/DD11</f>
        <v>0.33632637126683584</v>
      </c>
      <c r="DE111" s="412">
        <f t="shared" si="227"/>
        <v>0.36953754773016545</v>
      </c>
      <c r="DF111" s="412">
        <f t="shared" ref="DF111:DI111" ca="1" si="228">DF45/DF11</f>
        <v>0.38429483103590922</v>
      </c>
      <c r="DG111" s="412">
        <f t="shared" ca="1" si="228"/>
        <v>0.37203026670186917</v>
      </c>
      <c r="DH111" s="412">
        <f t="shared" ca="1" si="228"/>
        <v>0.39854353659109876</v>
      </c>
      <c r="DI111" s="412">
        <f t="shared" ca="1" si="228"/>
        <v>0.38654835458452746</v>
      </c>
    </row>
    <row r="112" spans="1:113">
      <c r="A112" s="643"/>
      <c r="AD112" s="497"/>
      <c r="AE112" s="497"/>
      <c r="AF112" s="497"/>
      <c r="AG112" s="497"/>
      <c r="AH112" s="497"/>
      <c r="AI112" s="497"/>
      <c r="AJ112" s="497"/>
      <c r="AK112" s="497"/>
      <c r="AL112" s="497"/>
      <c r="AM112" s="497"/>
      <c r="AN112" s="497"/>
      <c r="AO112" s="497"/>
      <c r="AP112" s="497"/>
      <c r="AQ112" s="497"/>
      <c r="AR112" s="497"/>
      <c r="AS112" s="497"/>
      <c r="AT112" s="497"/>
      <c r="AU112" s="497"/>
      <c r="AV112" s="497"/>
      <c r="AW112" s="497"/>
      <c r="AX112" s="497"/>
      <c r="AY112" s="497"/>
      <c r="AZ112" s="497"/>
      <c r="BA112" s="497"/>
      <c r="BB112" s="497"/>
      <c r="BC112" s="497"/>
      <c r="BD112" s="497"/>
      <c r="BE112" s="497"/>
      <c r="BF112" s="497"/>
      <c r="BG112" s="497"/>
      <c r="BH112" s="497"/>
      <c r="BI112" s="497"/>
      <c r="BJ112" s="497"/>
      <c r="BK112" s="497"/>
      <c r="BL112" s="497"/>
      <c r="BM112" s="497"/>
      <c r="BN112" s="497"/>
      <c r="BO112" s="497"/>
      <c r="BP112" s="497"/>
      <c r="BQ112" s="497"/>
      <c r="BR112" s="497"/>
      <c r="BS112" s="497"/>
      <c r="BT112" s="497"/>
      <c r="BU112" s="497"/>
      <c r="BV112" s="497"/>
      <c r="BW112" s="497"/>
      <c r="BX112" s="497"/>
      <c r="BY112" s="497"/>
      <c r="BZ112" s="412"/>
      <c r="CA112" s="412"/>
      <c r="CB112" s="412"/>
      <c r="CC112" s="412"/>
      <c r="CD112" s="497"/>
      <c r="CE112" s="497"/>
      <c r="CF112" s="497"/>
      <c r="CG112" s="497"/>
      <c r="CH112" s="497"/>
      <c r="CI112" s="497"/>
      <c r="CJ112" s="497"/>
      <c r="CK112" s="497"/>
      <c r="CL112" s="497"/>
      <c r="CM112" s="497"/>
      <c r="CN112" s="497"/>
      <c r="CO112" s="510"/>
      <c r="CP112" s="497"/>
      <c r="CQ112" s="497"/>
      <c r="CR112" s="497"/>
      <c r="CS112" s="510"/>
      <c r="CT112" s="497"/>
      <c r="CU112" s="497"/>
      <c r="CV112" s="497"/>
      <c r="CW112" s="510"/>
      <c r="CX112" s="497"/>
      <c r="CY112" s="497"/>
      <c r="CZ112" s="497"/>
      <c r="DA112" s="510"/>
      <c r="DB112" s="497"/>
      <c r="DC112" s="497"/>
      <c r="DD112" s="497"/>
      <c r="DE112" s="510"/>
      <c r="DF112" s="497"/>
      <c r="DG112" s="497"/>
      <c r="DH112" s="497"/>
      <c r="DI112" s="510"/>
    </row>
    <row r="113" spans="1:221" s="410" customFormat="1">
      <c r="A113" s="195" t="s">
        <v>343</v>
      </c>
      <c r="B113" s="787"/>
      <c r="C113" s="787"/>
      <c r="D113" s="787"/>
      <c r="E113" s="787"/>
      <c r="F113" s="788"/>
      <c r="G113" s="788"/>
      <c r="H113" s="789"/>
      <c r="I113" s="789"/>
      <c r="J113" s="789"/>
      <c r="K113" s="789"/>
      <c r="L113" s="789"/>
      <c r="M113" s="789"/>
      <c r="N113" s="790"/>
      <c r="O113" s="790"/>
      <c r="P113" s="790"/>
      <c r="Q113" s="790"/>
      <c r="R113" s="790"/>
      <c r="S113" s="790"/>
      <c r="T113" s="790"/>
      <c r="U113" s="790"/>
      <c r="V113" s="790"/>
      <c r="W113" s="790"/>
      <c r="X113" s="790"/>
      <c r="Y113" s="790"/>
      <c r="Z113" s="790"/>
      <c r="AA113" s="790"/>
      <c r="AB113" s="790"/>
      <c r="AC113" s="6"/>
      <c r="AD113" s="790"/>
      <c r="AE113" s="790"/>
      <c r="AF113" s="790"/>
      <c r="AG113" s="790"/>
      <c r="AH113" s="790"/>
      <c r="AI113" s="790"/>
      <c r="AJ113" s="790"/>
      <c r="AK113" s="790"/>
      <c r="AL113" s="790"/>
      <c r="AM113" s="790"/>
      <c r="AN113" s="790"/>
      <c r="AO113" s="790"/>
      <c r="AP113" s="790"/>
      <c r="AQ113" s="790"/>
      <c r="AR113" s="790"/>
      <c r="AS113" s="790"/>
      <c r="AT113" s="790"/>
      <c r="AU113" s="790"/>
      <c r="AV113" s="790"/>
      <c r="AW113" s="790"/>
      <c r="AX113" s="790"/>
      <c r="AY113" s="790"/>
      <c r="AZ113" s="790"/>
      <c r="BA113" s="790"/>
      <c r="BB113" s="790"/>
      <c r="BC113" s="790"/>
      <c r="BD113" s="790"/>
      <c r="BE113" s="790"/>
      <c r="BF113" s="790"/>
      <c r="BG113" s="790"/>
      <c r="BH113" s="790"/>
      <c r="BI113" s="790"/>
      <c r="BJ113" s="790"/>
      <c r="BK113" s="790"/>
      <c r="BL113" s="790"/>
      <c r="BM113" s="790"/>
      <c r="BN113" s="790"/>
      <c r="BO113" s="790"/>
      <c r="BP113" s="790"/>
      <c r="BQ113" s="790"/>
      <c r="BR113" s="790"/>
      <c r="BS113" s="790"/>
      <c r="BT113" s="790"/>
      <c r="BU113" s="790"/>
      <c r="BV113" s="790"/>
      <c r="BW113" s="790"/>
      <c r="BX113" s="790"/>
      <c r="BY113" s="790"/>
      <c r="BZ113" s="790"/>
      <c r="CA113" s="790"/>
      <c r="CB113" s="790"/>
      <c r="CC113" s="790"/>
      <c r="CD113" s="790"/>
      <c r="CE113" s="790"/>
      <c r="CF113" s="790"/>
      <c r="CG113" s="790"/>
      <c r="CH113" s="790"/>
      <c r="CI113" s="790"/>
      <c r="CJ113" s="790"/>
      <c r="CK113" s="790"/>
      <c r="CL113" s="790"/>
      <c r="CM113" s="790"/>
      <c r="CN113" s="790"/>
      <c r="CO113" s="790"/>
      <c r="CP113" s="790"/>
      <c r="CQ113" s="790"/>
      <c r="CR113" s="790"/>
      <c r="CS113" s="790"/>
      <c r="CT113" s="790"/>
      <c r="CU113" s="790"/>
      <c r="CV113" s="790"/>
      <c r="CW113" s="790"/>
      <c r="CX113" s="790"/>
      <c r="CY113" s="790"/>
      <c r="CZ113" s="790"/>
      <c r="DA113" s="790"/>
      <c r="DB113" s="790"/>
      <c r="DC113" s="790"/>
      <c r="DD113" s="790"/>
      <c r="DE113" s="790"/>
      <c r="DF113" s="790"/>
      <c r="DG113" s="790"/>
      <c r="DH113" s="790"/>
      <c r="DI113" s="790"/>
      <c r="DJ113" s="3"/>
      <c r="DK113" s="6"/>
      <c r="DL113" s="6"/>
      <c r="DM113" s="6"/>
      <c r="DN113" s="6"/>
      <c r="DO113" s="6"/>
      <c r="DP113" s="6"/>
      <c r="DQ113"/>
      <c r="DR113"/>
      <c r="DS113"/>
      <c r="DT113"/>
      <c r="DU113"/>
      <c r="DV113"/>
      <c r="DW113" s="6"/>
      <c r="DX113" s="6"/>
      <c r="DY113" s="6"/>
      <c r="DZ113" s="6"/>
      <c r="EA113" s="6"/>
      <c r="EB113" s="6"/>
      <c r="EC113" s="6"/>
      <c r="ED113" s="6"/>
      <c r="EE113" s="6"/>
      <c r="EF113" s="6"/>
      <c r="EG113" s="6"/>
      <c r="EH113" s="6"/>
      <c r="EI113" s="6"/>
      <c r="EJ113" s="6"/>
      <c r="EK113" s="6"/>
      <c r="EL113" s="6"/>
      <c r="EM113" s="6"/>
      <c r="EN113" s="6"/>
      <c r="EO113" s="6"/>
      <c r="EP113" s="6"/>
      <c r="EQ113" s="6"/>
      <c r="ER113" s="6"/>
      <c r="ES113" s="6"/>
      <c r="ET113" s="6"/>
      <c r="EU113" s="6"/>
      <c r="EV113" s="6"/>
      <c r="EW113" s="6"/>
      <c r="EX113" s="6"/>
      <c r="EY113" s="6"/>
      <c r="EZ113" s="6"/>
      <c r="FA113" s="6"/>
      <c r="FB113" s="6"/>
      <c r="FC113" s="6"/>
      <c r="FD113" s="6"/>
      <c r="FE113" s="6"/>
      <c r="FF113" s="6"/>
      <c r="FG113" s="6"/>
      <c r="FH113" s="6"/>
      <c r="FI113" s="6"/>
      <c r="FJ113" s="6"/>
      <c r="FK113" s="6"/>
      <c r="FL113" s="6"/>
      <c r="FM113" s="6"/>
      <c r="FN113" s="6"/>
      <c r="FO113" s="6"/>
      <c r="FP113" s="6"/>
      <c r="FQ113" s="6"/>
      <c r="FR113" s="6"/>
      <c r="FS113" s="6"/>
      <c r="FT113" s="6"/>
      <c r="FU113" s="6"/>
      <c r="FV113" s="6"/>
      <c r="FW113" s="6"/>
      <c r="FX113" s="6"/>
      <c r="FY113" s="6"/>
      <c r="FZ113" s="6"/>
      <c r="GA113" s="6"/>
      <c r="GH113" s="3"/>
      <c r="GI113" s="3"/>
      <c r="GJ113" s="3"/>
      <c r="GK113" s="3"/>
      <c r="GL113" s="3"/>
      <c r="GM113" s="3"/>
      <c r="GN113" s="3"/>
      <c r="GO113" s="3"/>
      <c r="GP113" s="3"/>
      <c r="GQ113" s="3"/>
      <c r="GR113" s="3"/>
      <c r="GS113" s="3"/>
      <c r="GT113" s="3"/>
      <c r="GU113" s="3"/>
      <c r="GV113" s="3"/>
      <c r="GW113" s="3"/>
      <c r="GX113" s="3"/>
      <c r="GY113" s="3"/>
      <c r="GZ113" s="3"/>
      <c r="HA113" s="3"/>
      <c r="HB113" s="3"/>
      <c r="HC113" s="3"/>
      <c r="HD113" s="3"/>
      <c r="HE113" s="3"/>
      <c r="HF113" s="3"/>
      <c r="HG113" s="3"/>
      <c r="HH113" s="3"/>
      <c r="HI113" s="3"/>
      <c r="HJ113" s="3"/>
      <c r="HK113" s="3"/>
      <c r="HL113" s="3"/>
      <c r="HM113" s="3"/>
    </row>
    <row r="114" spans="1:221" s="410" customFormat="1">
      <c r="A114" s="931" t="s">
        <v>402</v>
      </c>
      <c r="B114" s="726">
        <f>B35+B32</f>
        <v>14365</v>
      </c>
      <c r="C114" s="726">
        <f>C35+C32</f>
        <v>14368</v>
      </c>
      <c r="D114" s="726">
        <f>D35+D32</f>
        <v>16028</v>
      </c>
      <c r="E114" s="726">
        <f>E35+E32</f>
        <v>16831</v>
      </c>
      <c r="F114" s="726">
        <f>F35+F32</f>
        <v>15912.5</v>
      </c>
      <c r="G114" s="726">
        <f t="shared" ref="G114:W114" si="229">G35+G32</f>
        <v>16245</v>
      </c>
      <c r="H114" s="726">
        <f t="shared" si="229"/>
        <v>17180</v>
      </c>
      <c r="I114" s="726">
        <f t="shared" si="229"/>
        <v>18879</v>
      </c>
      <c r="J114" s="726">
        <f t="shared" si="229"/>
        <v>5101</v>
      </c>
      <c r="K114" s="726">
        <f t="shared" ca="1" si="229"/>
        <v>5556</v>
      </c>
      <c r="L114" s="726">
        <f t="shared" si="229"/>
        <v>6850.2307692307695</v>
      </c>
      <c r="M114" s="726">
        <f t="shared" si="229"/>
        <v>7264.9411764705883</v>
      </c>
      <c r="N114" s="726">
        <f t="shared" si="229"/>
        <v>7667.5294117647063</v>
      </c>
      <c r="O114" s="726">
        <f t="shared" si="229"/>
        <v>8218.0588235294126</v>
      </c>
      <c r="P114" s="726">
        <f t="shared" si="229"/>
        <v>8486.5294117647063</v>
      </c>
      <c r="Q114" s="726">
        <f t="shared" si="229"/>
        <v>8653</v>
      </c>
      <c r="R114" s="726">
        <f t="shared" si="229"/>
        <v>9338.7647058823532</v>
      </c>
      <c r="S114" s="726">
        <f>S35+S32</f>
        <v>9802.0588235294126</v>
      </c>
      <c r="T114" s="726">
        <f t="shared" si="229"/>
        <v>10487.333333333336</v>
      </c>
      <c r="U114" s="726">
        <f t="shared" ca="1" si="229"/>
        <v>10550.916457484826</v>
      </c>
      <c r="V114" s="726">
        <f t="shared" ca="1" si="229"/>
        <v>11315.252601361601</v>
      </c>
      <c r="W114" s="726">
        <f t="shared" ca="1" si="229"/>
        <v>12102.737421383434</v>
      </c>
      <c r="X114" s="726">
        <f ca="1">X35+X32</f>
        <v>12792.653733825566</v>
      </c>
      <c r="Y114" s="726">
        <f ca="1">Y35+Y32</f>
        <v>13482.82919567074</v>
      </c>
      <c r="Z114" s="726">
        <f ca="1">Z35+Z32</f>
        <v>14175.81301663335</v>
      </c>
      <c r="AA114" s="726">
        <f ca="1">AA35+AA32</f>
        <v>14874.12519478471</v>
      </c>
      <c r="AB114" s="726">
        <f ca="1">AB35+AB32</f>
        <v>15580.270689837436</v>
      </c>
      <c r="AC114" s="6"/>
      <c r="AD114" s="6"/>
      <c r="AE114" s="6"/>
      <c r="AF114" s="6"/>
      <c r="AG114" s="6"/>
      <c r="AH114" s="6"/>
      <c r="AI114" s="6"/>
      <c r="AJ114" s="6"/>
      <c r="AK114" s="6"/>
      <c r="AL114" s="6"/>
      <c r="AM114" s="6"/>
      <c r="AN114" s="6"/>
      <c r="AO114" s="6"/>
      <c r="AP114" s="6"/>
      <c r="AQ114" s="6"/>
      <c r="AR114" s="6"/>
      <c r="AS114" s="6"/>
      <c r="AT114" s="6"/>
      <c r="AU114" s="6"/>
      <c r="AV114" s="6"/>
      <c r="AW114" s="6"/>
      <c r="AX114" s="6"/>
      <c r="AY114" s="6"/>
      <c r="AZ114" s="6"/>
      <c r="BA114" s="6"/>
      <c r="BB114" s="6"/>
      <c r="BC114" s="6"/>
      <c r="BD114" s="6"/>
      <c r="BE114" s="6"/>
      <c r="BF114" s="6"/>
      <c r="BG114" s="6"/>
      <c r="BH114" s="6"/>
      <c r="BI114" s="6"/>
      <c r="BJ114" s="6"/>
      <c r="BK114" s="6"/>
      <c r="BL114" s="6"/>
      <c r="BM114" s="6"/>
      <c r="BN114" s="6"/>
      <c r="BO114" s="6"/>
      <c r="BP114" s="6"/>
      <c r="BQ114" s="6"/>
      <c r="BR114" s="6"/>
      <c r="BS114" s="6"/>
      <c r="BT114" s="6"/>
      <c r="BU114" s="6"/>
      <c r="BV114" s="6"/>
      <c r="BW114" s="6"/>
      <c r="BX114" s="6"/>
      <c r="BY114" s="6"/>
      <c r="BZ114" s="6"/>
      <c r="CA114" s="6"/>
      <c r="CB114" s="6"/>
      <c r="CC114" s="6"/>
      <c r="CD114" s="6"/>
      <c r="CE114" s="6"/>
      <c r="CF114" s="6"/>
      <c r="CG114" s="6"/>
      <c r="CH114" s="6"/>
      <c r="CI114" s="6"/>
      <c r="CJ114" s="6"/>
      <c r="CK114" s="6"/>
      <c r="CL114" s="6"/>
      <c r="CM114" s="6"/>
      <c r="CN114" s="6"/>
      <c r="CO114" s="6"/>
      <c r="CP114" s="6"/>
      <c r="CQ114" s="6"/>
      <c r="CR114" s="6"/>
      <c r="CS114" s="6"/>
      <c r="CT114" s="6"/>
      <c r="CU114" s="6"/>
      <c r="CV114" s="6"/>
      <c r="CW114" s="6"/>
      <c r="CX114" s="6"/>
      <c r="CY114" s="6"/>
      <c r="CZ114" s="6"/>
      <c r="DA114" s="6"/>
      <c r="DB114" s="6"/>
      <c r="DC114" s="6"/>
      <c r="DD114" s="6"/>
      <c r="DE114" s="6"/>
      <c r="DF114" s="6"/>
      <c r="DG114" s="6"/>
      <c r="DH114" s="6"/>
      <c r="DI114" s="6"/>
      <c r="DJ114" s="3"/>
      <c r="DK114" s="6"/>
      <c r="DL114" s="6"/>
      <c r="DM114" s="6"/>
      <c r="DN114" s="6"/>
      <c r="DO114" s="6"/>
      <c r="DP114" s="6"/>
      <c r="DQ114"/>
      <c r="DR114"/>
      <c r="DS114"/>
      <c r="DT114"/>
      <c r="DU114"/>
      <c r="DV114"/>
      <c r="DW114" s="6"/>
      <c r="DX114" s="6"/>
      <c r="DY114" s="6"/>
      <c r="DZ114" s="6"/>
      <c r="EA114" s="6"/>
      <c r="EB114" s="6"/>
      <c r="EC114" s="6"/>
      <c r="ED114" s="6"/>
      <c r="EE114" s="6"/>
      <c r="EF114" s="6"/>
      <c r="EG114" s="6"/>
      <c r="EH114" s="6"/>
      <c r="EI114" s="6"/>
      <c r="EJ114" s="6"/>
      <c r="EK114" s="6"/>
      <c r="EL114" s="6"/>
      <c r="EM114" s="6"/>
      <c r="EN114" s="6"/>
      <c r="EO114" s="6"/>
      <c r="EP114" s="6"/>
      <c r="EQ114" s="6"/>
      <c r="ER114" s="6"/>
      <c r="ES114" s="6"/>
      <c r="ET114" s="6"/>
      <c r="EU114" s="6"/>
      <c r="EV114" s="6"/>
      <c r="EW114" s="6"/>
      <c r="EX114" s="6"/>
      <c r="EY114" s="6"/>
      <c r="EZ114" s="6"/>
      <c r="FA114" s="6"/>
      <c r="FB114" s="6"/>
      <c r="FC114" s="6"/>
      <c r="FD114" s="6"/>
      <c r="FE114" s="6"/>
      <c r="FF114" s="6"/>
      <c r="FG114" s="6"/>
      <c r="FH114" s="6"/>
      <c r="FI114" s="6"/>
      <c r="FJ114" s="6"/>
      <c r="FK114" s="6"/>
      <c r="FL114" s="6"/>
      <c r="FM114" s="6"/>
      <c r="FN114" s="6"/>
      <c r="FO114" s="6"/>
      <c r="FP114" s="6"/>
      <c r="FQ114" s="6"/>
      <c r="FR114" s="6"/>
      <c r="FS114" s="6"/>
      <c r="FT114" s="6"/>
      <c r="FU114" s="6"/>
      <c r="FV114" s="6"/>
      <c r="FW114" s="6"/>
      <c r="FX114" s="6"/>
      <c r="FY114" s="6"/>
      <c r="FZ114" s="6"/>
      <c r="GA114" s="6"/>
      <c r="GH114" s="3"/>
      <c r="GI114" s="3"/>
      <c r="GJ114" s="3"/>
      <c r="GK114" s="3"/>
      <c r="GL114" s="3"/>
      <c r="GM114" s="3"/>
      <c r="GN114" s="3"/>
      <c r="GO114" s="3"/>
      <c r="GP114" s="3"/>
      <c r="GQ114" s="3"/>
      <c r="GR114" s="3"/>
      <c r="GS114" s="3"/>
      <c r="GT114" s="3"/>
      <c r="GU114" s="3"/>
      <c r="GV114" s="3"/>
      <c r="GW114" s="3"/>
      <c r="GX114" s="3"/>
      <c r="GY114" s="3"/>
      <c r="GZ114" s="3"/>
      <c r="HA114" s="3"/>
      <c r="HB114" s="3"/>
      <c r="HC114" s="3"/>
      <c r="HD114" s="3"/>
      <c r="HE114" s="3"/>
      <c r="HF114" s="3"/>
      <c r="HG114" s="3"/>
      <c r="HH114" s="3"/>
      <c r="HI114" s="3"/>
      <c r="HJ114" s="3"/>
      <c r="HK114" s="3"/>
      <c r="HL114" s="3"/>
      <c r="HM114" s="3"/>
    </row>
    <row r="115" spans="1:221" s="410" customFormat="1">
      <c r="A115" s="931" t="s">
        <v>484</v>
      </c>
      <c r="B115" s="726">
        <f>B114+CFS!F12</f>
        <v>16702</v>
      </c>
      <c r="C115" s="726">
        <f>C114+CFS!G12</f>
        <v>15699</v>
      </c>
      <c r="D115" s="726">
        <f>D114+CFS!H12</f>
        <v>17468</v>
      </c>
      <c r="E115" s="726">
        <f>E114+CFS!I12</f>
        <v>18438</v>
      </c>
      <c r="F115" s="726">
        <f>F114+CFS!J12</f>
        <v>17587.5</v>
      </c>
      <c r="G115" s="726">
        <f>G114+CFS!K12</f>
        <v>18049</v>
      </c>
      <c r="H115" s="726">
        <f>H114+CFS!L12</f>
        <v>18093</v>
      </c>
      <c r="I115" s="726">
        <f>I114+CFS!M12</f>
        <v>19859</v>
      </c>
      <c r="J115" s="726">
        <f>J114+CFS!N12</f>
        <v>5311</v>
      </c>
      <c r="K115" s="726">
        <f ca="1">K114+CFS!O12</f>
        <v>5771</v>
      </c>
      <c r="L115" s="726">
        <f>L114+CFS!P12</f>
        <v>7141.2307692307695</v>
      </c>
      <c r="M115" s="726">
        <f>M114+CFS!Q12</f>
        <v>7540.9411764705883</v>
      </c>
      <c r="N115" s="726">
        <f>N114+CFS!R12</f>
        <v>7920.5294117647063</v>
      </c>
      <c r="O115" s="726">
        <f>O114+CFS!S12</f>
        <v>8443.0588235294126</v>
      </c>
      <c r="P115" s="726">
        <f>P114+CFS!T12</f>
        <v>8698.5294117647063</v>
      </c>
      <c r="Q115" s="726">
        <f>Q114+CFS!U12</f>
        <v>8861</v>
      </c>
      <c r="R115" s="726">
        <f>R114+CFS!V12</f>
        <v>9563.7647058823532</v>
      </c>
      <c r="S115" s="726">
        <f>S114+CFS!W12</f>
        <v>10006.058823529413</v>
      </c>
      <c r="T115" s="726">
        <f>T114+CFS!X12</f>
        <v>10690.424031166702</v>
      </c>
      <c r="U115" s="726">
        <f ca="1">U114+CFS!Y12</f>
        <v>10761.453608055532</v>
      </c>
      <c r="V115" s="726">
        <f ca="1">V114+CFS!Z12</f>
        <v>11533.608527306511</v>
      </c>
      <c r="W115" s="726">
        <f ca="1">W114+CFS!AA12</f>
        <v>12329.303061471261</v>
      </c>
      <c r="X115" s="726">
        <f ca="1">X114+CFS!AB12</f>
        <v>13027.839573763455</v>
      </c>
      <c r="Y115" s="726">
        <f ca="1">Y114+CFS!AC12</f>
        <v>13727.066245451193</v>
      </c>
      <c r="Z115" s="726">
        <f ca="1">Z114+CFS!AD12</f>
        <v>14429.553836748495</v>
      </c>
      <c r="AA115" s="726">
        <f ca="1">AA114+CFS!AE12</f>
        <v>15137.844973751284</v>
      </c>
      <c r="AB115" s="726">
        <f ca="1">AB114+CFS!AF12</f>
        <v>15854.468375598008</v>
      </c>
      <c r="AC115" s="6"/>
      <c r="AD115" s="6"/>
      <c r="AE115" s="6"/>
      <c r="AF115" s="6"/>
      <c r="AG115" s="6"/>
      <c r="AH115" s="6"/>
      <c r="AI115" s="6"/>
      <c r="AJ115" s="6"/>
      <c r="AK115" s="6"/>
      <c r="AL115" s="6"/>
      <c r="AM115" s="6"/>
      <c r="AN115" s="6"/>
      <c r="AO115" s="6"/>
      <c r="AP115" s="6"/>
      <c r="AQ115" s="6"/>
      <c r="AR115" s="6"/>
      <c r="AS115" s="6"/>
      <c r="AT115" s="6"/>
      <c r="AU115" s="6"/>
      <c r="AV115" s="6"/>
      <c r="AW115" s="6"/>
      <c r="AX115" s="6"/>
      <c r="AY115" s="6"/>
      <c r="AZ115" s="6"/>
      <c r="BA115" s="6"/>
      <c r="BB115" s="6"/>
      <c r="BC115" s="6"/>
      <c r="BD115" s="6"/>
      <c r="BE115" s="6"/>
      <c r="BF115" s="6"/>
      <c r="BG115" s="6"/>
      <c r="BH115" s="6"/>
      <c r="BI115" s="6"/>
      <c r="BJ115" s="6"/>
      <c r="BK115" s="6"/>
      <c r="BL115" s="6"/>
      <c r="BM115" s="6"/>
      <c r="BN115" s="6"/>
      <c r="BO115" s="6"/>
      <c r="BP115" s="6"/>
      <c r="BQ115" s="6"/>
      <c r="BR115" s="6"/>
      <c r="BS115" s="6"/>
      <c r="BT115" s="6"/>
      <c r="BU115" s="6"/>
      <c r="BV115" s="6"/>
      <c r="BW115" s="6"/>
      <c r="BX115" s="6"/>
      <c r="BY115" s="6"/>
      <c r="BZ115" s="6"/>
      <c r="CA115" s="6"/>
      <c r="CB115" s="6"/>
      <c r="CC115" s="6"/>
      <c r="CD115" s="6"/>
      <c r="CE115" s="6"/>
      <c r="CF115" s="6"/>
      <c r="CG115" s="6"/>
      <c r="CH115" s="6"/>
      <c r="CI115" s="6"/>
      <c r="CJ115" s="6"/>
      <c r="CK115" s="6"/>
      <c r="CL115" s="6"/>
      <c r="CM115" s="6"/>
      <c r="CN115" s="6"/>
      <c r="CO115" s="6"/>
      <c r="CP115" s="6"/>
      <c r="CQ115" s="6"/>
      <c r="CR115" s="6"/>
      <c r="CS115" s="6"/>
      <c r="CT115" s="6"/>
      <c r="CU115" s="6"/>
      <c r="CV115" s="6"/>
      <c r="CW115" s="6"/>
      <c r="CX115" s="6"/>
      <c r="CY115" s="6"/>
      <c r="CZ115" s="6"/>
      <c r="DA115" s="6"/>
      <c r="DB115" s="6"/>
      <c r="DC115" s="6"/>
      <c r="DD115" s="6"/>
      <c r="DE115" s="6"/>
      <c r="DF115" s="6"/>
      <c r="DG115" s="6"/>
      <c r="DH115" s="6"/>
      <c r="DI115" s="6"/>
      <c r="DJ115" s="3"/>
      <c r="DK115" s="6"/>
      <c r="DL115" s="6"/>
      <c r="DM115" s="6"/>
      <c r="DN115" s="6"/>
      <c r="DO115" s="6"/>
      <c r="DP115" s="6"/>
      <c r="DQ115"/>
      <c r="DR115"/>
      <c r="DS115"/>
      <c r="DT115"/>
      <c r="DU115"/>
      <c r="DV115"/>
      <c r="DW115" s="6"/>
      <c r="DX115" s="6"/>
      <c r="DY115" s="6"/>
      <c r="DZ115" s="6"/>
      <c r="EA115" s="6"/>
      <c r="EB115" s="6"/>
      <c r="EC115" s="6"/>
      <c r="ED115" s="6"/>
      <c r="EE115" s="6"/>
      <c r="EF115" s="6"/>
      <c r="EG115" s="6"/>
      <c r="EH115" s="6"/>
      <c r="EI115" s="6"/>
      <c r="EJ115" s="6"/>
      <c r="EK115" s="6"/>
      <c r="EL115" s="6"/>
      <c r="EM115" s="6"/>
      <c r="EN115" s="6"/>
      <c r="EO115" s="6"/>
      <c r="EP115" s="6"/>
      <c r="EQ115" s="6"/>
      <c r="ER115" s="6"/>
      <c r="ES115" s="6"/>
      <c r="ET115" s="6"/>
      <c r="EU115" s="6"/>
      <c r="EV115" s="6"/>
      <c r="EW115" s="6"/>
      <c r="EX115" s="6"/>
      <c r="EY115" s="6"/>
      <c r="EZ115" s="6"/>
      <c r="FA115" s="6"/>
      <c r="FB115" s="6"/>
      <c r="FC115" s="6"/>
      <c r="FD115" s="6"/>
      <c r="FE115" s="6"/>
      <c r="FF115" s="6"/>
      <c r="FG115" s="6"/>
      <c r="FH115" s="6"/>
      <c r="FI115" s="6"/>
      <c r="FJ115" s="6"/>
      <c r="FK115" s="6"/>
      <c r="FL115" s="6"/>
      <c r="FM115" s="6"/>
      <c r="FN115" s="6"/>
      <c r="FO115" s="6"/>
      <c r="FP115" s="6"/>
      <c r="FQ115" s="6"/>
      <c r="FR115" s="6"/>
      <c r="FS115" s="6"/>
      <c r="FT115" s="6"/>
      <c r="FU115" s="6"/>
      <c r="FV115" s="6"/>
      <c r="FW115" s="6"/>
      <c r="FX115" s="6"/>
      <c r="FY115" s="6"/>
      <c r="FZ115" s="6"/>
      <c r="GA115" s="6"/>
      <c r="GH115" s="3"/>
      <c r="GI115" s="3"/>
      <c r="GJ115" s="3"/>
      <c r="GK115" s="3"/>
      <c r="GL115" s="3"/>
      <c r="GM115" s="3"/>
      <c r="GN115" s="3"/>
      <c r="GO115" s="3"/>
      <c r="GP115" s="3"/>
      <c r="GQ115" s="3"/>
      <c r="GR115" s="3"/>
      <c r="GS115" s="3"/>
      <c r="GT115" s="3"/>
      <c r="GU115" s="3"/>
      <c r="GV115" s="3"/>
      <c r="GW115" s="3"/>
      <c r="GX115" s="3"/>
      <c r="GY115" s="3"/>
      <c r="GZ115" s="3"/>
      <c r="HA115" s="3"/>
      <c r="HB115" s="3"/>
      <c r="HC115" s="3"/>
      <c r="HD115" s="3"/>
      <c r="HE115" s="3"/>
      <c r="HF115" s="3"/>
      <c r="HG115" s="3"/>
      <c r="HH115" s="3"/>
      <c r="HI115" s="3"/>
      <c r="HJ115" s="3"/>
      <c r="HK115" s="3"/>
      <c r="HL115" s="3"/>
      <c r="HM115" s="3"/>
    </row>
    <row r="116" spans="1:221" s="410" customFormat="1" ht="6" customHeight="1">
      <c r="A116" s="931"/>
      <c r="B116" s="726"/>
      <c r="C116" s="726"/>
      <c r="D116" s="726"/>
      <c r="E116" s="726"/>
      <c r="F116" s="726"/>
      <c r="G116" s="726"/>
      <c r="H116" s="726"/>
      <c r="I116" s="726"/>
      <c r="J116" s="726"/>
      <c r="K116" s="726"/>
      <c r="L116" s="726"/>
      <c r="M116" s="726"/>
      <c r="N116" s="726"/>
      <c r="O116" s="726"/>
      <c r="P116" s="726"/>
      <c r="Q116" s="726"/>
      <c r="R116" s="726"/>
      <c r="S116" s="726"/>
      <c r="T116" s="726"/>
      <c r="U116" s="726"/>
      <c r="V116" s="726"/>
      <c r="W116" s="726"/>
      <c r="X116" s="726"/>
      <c r="Y116" s="726"/>
      <c r="Z116" s="726"/>
      <c r="AA116" s="726"/>
      <c r="AB116" s="726"/>
      <c r="AC116" s="6"/>
      <c r="AD116" s="6"/>
      <c r="AE116" s="6"/>
      <c r="AF116" s="6"/>
      <c r="AG116" s="6"/>
      <c r="AH116" s="6"/>
      <c r="AI116" s="6"/>
      <c r="AJ116" s="6"/>
      <c r="AK116" s="6"/>
      <c r="AL116" s="6"/>
      <c r="AM116" s="6"/>
      <c r="AN116" s="6"/>
      <c r="AO116" s="6"/>
      <c r="AP116" s="6"/>
      <c r="AQ116" s="6"/>
      <c r="AR116" s="6"/>
      <c r="AS116" s="6"/>
      <c r="AT116" s="6"/>
      <c r="AU116" s="6"/>
      <c r="AV116" s="6"/>
      <c r="AW116" s="6"/>
      <c r="AX116" s="6"/>
      <c r="AY116" s="6"/>
      <c r="AZ116" s="6"/>
      <c r="BA116" s="6"/>
      <c r="BB116" s="6"/>
      <c r="BC116" s="6"/>
      <c r="BD116" s="6"/>
      <c r="BE116" s="6"/>
      <c r="BF116" s="6"/>
      <c r="BG116" s="6"/>
      <c r="BH116" s="6"/>
      <c r="BI116" s="6"/>
      <c r="BJ116" s="6"/>
      <c r="BK116" s="6"/>
      <c r="BL116" s="6"/>
      <c r="BM116" s="6"/>
      <c r="BN116" s="6"/>
      <c r="BO116" s="6"/>
      <c r="BP116" s="6"/>
      <c r="BQ116" s="6"/>
      <c r="BR116" s="6"/>
      <c r="BS116" s="6"/>
      <c r="BT116" s="6"/>
      <c r="BU116" s="6"/>
      <c r="BV116" s="6"/>
      <c r="BW116" s="6"/>
      <c r="BX116" s="6"/>
      <c r="BY116" s="6"/>
      <c r="BZ116" s="6"/>
      <c r="CA116" s="6"/>
      <c r="CB116" s="6"/>
      <c r="CC116" s="6"/>
      <c r="CD116" s="6"/>
      <c r="CE116" s="6"/>
      <c r="CF116" s="6"/>
      <c r="CG116" s="6"/>
      <c r="CH116" s="6"/>
      <c r="CI116" s="6"/>
      <c r="CJ116" s="6"/>
      <c r="CK116" s="6"/>
      <c r="CL116" s="6"/>
      <c r="CM116" s="6"/>
      <c r="CN116" s="6"/>
      <c r="CO116" s="6"/>
      <c r="CP116" s="6"/>
      <c r="CQ116" s="6"/>
      <c r="CR116" s="6"/>
      <c r="CS116" s="6"/>
      <c r="CT116" s="6"/>
      <c r="CU116" s="6"/>
      <c r="CV116" s="6"/>
      <c r="CW116" s="6"/>
      <c r="CX116" s="6"/>
      <c r="CY116" s="6"/>
      <c r="CZ116" s="6"/>
      <c r="DA116" s="6"/>
      <c r="DB116" s="6"/>
      <c r="DC116" s="6"/>
      <c r="DD116" s="6"/>
      <c r="DE116" s="6"/>
      <c r="DF116" s="6"/>
      <c r="DG116" s="6"/>
      <c r="DH116" s="6"/>
      <c r="DI116" s="6"/>
      <c r="DJ116" s="3"/>
      <c r="DK116" s="6"/>
      <c r="DL116" s="6"/>
      <c r="DM116" s="6"/>
      <c r="DN116" s="6"/>
      <c r="DO116" s="6"/>
      <c r="DP116" s="6"/>
      <c r="DQ116"/>
      <c r="DR116"/>
      <c r="DS116"/>
      <c r="DT116"/>
      <c r="DU116"/>
      <c r="DV116"/>
      <c r="DW116" s="6"/>
      <c r="DX116" s="6"/>
      <c r="DY116" s="6"/>
      <c r="DZ116" s="6"/>
      <c r="EA116" s="6"/>
      <c r="EB116" s="6"/>
      <c r="EC116" s="6"/>
      <c r="ED116" s="6"/>
      <c r="EE116" s="6"/>
      <c r="EF116" s="6"/>
      <c r="EG116" s="6"/>
      <c r="EH116" s="6"/>
      <c r="EI116" s="6"/>
      <c r="EJ116" s="6"/>
      <c r="EK116" s="6"/>
      <c r="EL116" s="6"/>
      <c r="EM116" s="6"/>
      <c r="EN116" s="6"/>
      <c r="EO116" s="6"/>
      <c r="EP116" s="6"/>
      <c r="EQ116" s="6"/>
      <c r="ER116" s="6"/>
      <c r="ES116" s="6"/>
      <c r="ET116" s="6"/>
      <c r="EU116" s="6"/>
      <c r="EV116" s="6"/>
      <c r="EW116" s="6"/>
      <c r="EX116" s="6"/>
      <c r="EY116" s="6"/>
      <c r="EZ116" s="6"/>
      <c r="FA116" s="6"/>
      <c r="FB116" s="6"/>
      <c r="FC116" s="6"/>
      <c r="FD116" s="6"/>
      <c r="FE116" s="6"/>
      <c r="FF116" s="6"/>
      <c r="FG116" s="6"/>
      <c r="FH116" s="6"/>
      <c r="FI116" s="6"/>
      <c r="FJ116" s="6"/>
      <c r="FK116" s="6"/>
      <c r="FL116" s="6"/>
      <c r="FM116" s="6"/>
      <c r="FN116" s="6"/>
      <c r="FO116" s="6"/>
      <c r="FP116" s="6"/>
      <c r="FQ116" s="6"/>
      <c r="FR116" s="6"/>
      <c r="FS116" s="6"/>
      <c r="FT116" s="6"/>
      <c r="FU116" s="6"/>
      <c r="FV116" s="6"/>
      <c r="FW116" s="6"/>
      <c r="FX116" s="6"/>
      <c r="FY116" s="6"/>
      <c r="FZ116" s="6"/>
      <c r="GA116" s="6"/>
      <c r="GH116" s="3"/>
      <c r="GI116" s="3"/>
      <c r="GJ116" s="3"/>
      <c r="GK116" s="3"/>
      <c r="GL116" s="3"/>
      <c r="GM116" s="3"/>
      <c r="GN116" s="3"/>
      <c r="GO116" s="3"/>
      <c r="GP116" s="3"/>
      <c r="GQ116" s="3"/>
      <c r="GR116" s="3"/>
      <c r="GS116" s="3"/>
      <c r="GT116" s="3"/>
      <c r="GU116" s="3"/>
      <c r="GV116" s="3"/>
      <c r="GW116" s="3"/>
      <c r="GX116" s="3"/>
      <c r="GY116" s="3"/>
      <c r="GZ116" s="3"/>
      <c r="HA116" s="3"/>
      <c r="HB116" s="3"/>
      <c r="HC116" s="3"/>
      <c r="HD116" s="3"/>
      <c r="HE116" s="3"/>
      <c r="HF116" s="3"/>
      <c r="HG116" s="3"/>
      <c r="HH116" s="3"/>
      <c r="HI116" s="3"/>
      <c r="HJ116" s="3"/>
      <c r="HK116" s="3"/>
      <c r="HL116" s="3"/>
      <c r="HM116" s="3"/>
    </row>
    <row r="117" spans="1:221" s="410" customFormat="1">
      <c r="A117" s="931" t="s">
        <v>696</v>
      </c>
      <c r="B117" s="791"/>
      <c r="C117" s="791"/>
      <c r="D117" s="791"/>
      <c r="E117" s="467"/>
      <c r="F117" s="467"/>
      <c r="G117" s="467"/>
      <c r="H117" s="467"/>
      <c r="I117" s="726"/>
      <c r="J117" s="726"/>
      <c r="K117" s="726"/>
      <c r="L117" s="726">
        <f>+L114-L175</f>
        <v>6218.2307692307695</v>
      </c>
      <c r="M117" s="726">
        <f t="shared" ref="M117:W117" si="230">+M114-M175</f>
        <v>6437.9411764705883</v>
      </c>
      <c r="N117" s="726">
        <f t="shared" si="230"/>
        <v>6771.5294117647063</v>
      </c>
      <c r="O117" s="726">
        <f t="shared" si="230"/>
        <v>7259.0588235294126</v>
      </c>
      <c r="P117" s="726">
        <f t="shared" si="230"/>
        <v>7460.5294117647063</v>
      </c>
      <c r="Q117" s="726">
        <f t="shared" si="230"/>
        <v>7593</v>
      </c>
      <c r="R117" s="726">
        <f t="shared" si="230"/>
        <v>8226.7647058823532</v>
      </c>
      <c r="S117" s="726">
        <f t="shared" si="230"/>
        <v>8568.0588235294126</v>
      </c>
      <c r="T117" s="726">
        <f t="shared" si="230"/>
        <v>9115.3333333333358</v>
      </c>
      <c r="U117" s="726">
        <f t="shared" ca="1" si="230"/>
        <v>9076.439007057741</v>
      </c>
      <c r="V117" s="726">
        <f t="shared" ca="1" si="230"/>
        <v>9737.9579829446611</v>
      </c>
      <c r="W117" s="726">
        <f t="shared" ca="1" si="230"/>
        <v>10382.290269078738</v>
      </c>
      <c r="X117" s="726">
        <f ca="1">+X114-X175</f>
        <v>10950.996518664961</v>
      </c>
      <c r="Y117" s="726">
        <f ca="1">+Y114-Y175</f>
        <v>11512.001492036135</v>
      </c>
      <c r="Z117" s="726">
        <f ca="1">+Z114-Z175</f>
        <v>12067.347911197518</v>
      </c>
      <c r="AA117" s="726">
        <f ca="1">+AA114-AA175</f>
        <v>12619.017571084363</v>
      </c>
      <c r="AB117" s="726">
        <f ca="1">+AB114-AB175</f>
        <v>13168.943544165855</v>
      </c>
      <c r="AC117" s="6"/>
      <c r="AD117" s="6"/>
      <c r="AE117" s="6"/>
      <c r="AF117" s="6"/>
      <c r="AG117" s="6"/>
      <c r="AH117" s="6"/>
      <c r="AI117" s="6"/>
      <c r="AJ117" s="6"/>
      <c r="AK117" s="6"/>
      <c r="AL117" s="6"/>
      <c r="AM117" s="6"/>
      <c r="AN117" s="6"/>
      <c r="AO117" s="6"/>
      <c r="AP117" s="6"/>
      <c r="AQ117" s="6"/>
      <c r="AR117" s="6"/>
      <c r="AS117" s="6"/>
      <c r="AT117" s="6"/>
      <c r="AU117" s="6"/>
      <c r="AV117" s="6"/>
      <c r="AW117" s="6"/>
      <c r="AX117" s="6"/>
      <c r="AY117" s="6"/>
      <c r="AZ117" s="6"/>
      <c r="BA117" s="6"/>
      <c r="BB117" s="6"/>
      <c r="BC117" s="6"/>
      <c r="BD117" s="6"/>
      <c r="BE117" s="6"/>
      <c r="BF117" s="6"/>
      <c r="BG117" s="6"/>
      <c r="BH117" s="6"/>
      <c r="BI117" s="6"/>
      <c r="BJ117" s="6"/>
      <c r="BK117" s="6"/>
      <c r="BL117" s="6"/>
      <c r="BM117" s="6"/>
      <c r="BN117" s="6"/>
      <c r="BO117" s="6"/>
      <c r="BP117" s="6"/>
      <c r="BQ117" s="6"/>
      <c r="BR117" s="6"/>
      <c r="BS117" s="6"/>
      <c r="BT117" s="6"/>
      <c r="BU117" s="6"/>
      <c r="BV117" s="6"/>
      <c r="BW117" s="6"/>
      <c r="BX117" s="6"/>
      <c r="BY117" s="6"/>
      <c r="BZ117" s="6"/>
      <c r="CA117" s="6"/>
      <c r="CB117" s="6"/>
      <c r="CC117" s="6"/>
      <c r="CD117" s="6"/>
      <c r="CE117" s="6"/>
      <c r="CF117" s="6"/>
      <c r="CG117" s="6"/>
      <c r="CH117" s="6"/>
      <c r="CI117" s="6"/>
      <c r="CJ117" s="6"/>
      <c r="CK117" s="6"/>
      <c r="CL117" s="6"/>
      <c r="CM117" s="6"/>
      <c r="CN117" s="6"/>
      <c r="CO117" s="6"/>
      <c r="CP117" s="6"/>
      <c r="CQ117" s="6"/>
      <c r="CR117" s="6"/>
      <c r="CS117" s="6"/>
      <c r="CT117" s="6"/>
      <c r="CU117" s="6"/>
      <c r="CV117" s="6"/>
      <c r="CW117" s="6"/>
      <c r="CX117" s="6"/>
      <c r="CY117" s="6"/>
      <c r="CZ117" s="6"/>
      <c r="DA117" s="6"/>
      <c r="DB117" s="6"/>
      <c r="DC117" s="6"/>
      <c r="DD117" s="6"/>
      <c r="DE117" s="6"/>
      <c r="DF117" s="6"/>
      <c r="DG117" s="6"/>
      <c r="DH117" s="6"/>
      <c r="DI117" s="6"/>
      <c r="DJ117" s="3"/>
      <c r="DK117" s="6"/>
      <c r="DL117" s="6"/>
      <c r="DM117" s="6"/>
      <c r="DN117" s="6"/>
      <c r="DO117" s="6"/>
      <c r="DP117" s="6"/>
      <c r="DQ117"/>
      <c r="DR117"/>
      <c r="DS117"/>
      <c r="DT117"/>
      <c r="DU117"/>
      <c r="DV117"/>
      <c r="DW117" s="6"/>
      <c r="DX117" s="6"/>
      <c r="DY117" s="6"/>
      <c r="DZ117" s="6"/>
      <c r="EA117" s="6"/>
      <c r="EB117" s="6"/>
      <c r="EC117" s="6"/>
      <c r="ED117" s="6"/>
      <c r="EE117" s="6"/>
      <c r="EF117" s="6"/>
      <c r="EG117" s="6"/>
      <c r="EH117" s="6"/>
      <c r="EI117" s="6"/>
      <c r="EJ117" s="6"/>
      <c r="EK117" s="6"/>
      <c r="EL117" s="6"/>
      <c r="EM117" s="6"/>
      <c r="EN117" s="6"/>
      <c r="EO117" s="6"/>
      <c r="EP117" s="6"/>
      <c r="EQ117" s="6"/>
      <c r="ER117" s="6"/>
      <c r="ES117" s="6"/>
      <c r="ET117" s="6"/>
      <c r="EU117" s="6"/>
      <c r="EV117" s="6"/>
      <c r="EW117" s="6"/>
      <c r="EX117" s="6"/>
      <c r="EY117" s="6"/>
      <c r="EZ117" s="6"/>
      <c r="FA117" s="6"/>
      <c r="FB117" s="6"/>
      <c r="FC117" s="6"/>
      <c r="FD117" s="6"/>
      <c r="FE117" s="6"/>
      <c r="FF117" s="6"/>
      <c r="FG117" s="6"/>
      <c r="FH117" s="6"/>
      <c r="FI117" s="6"/>
      <c r="FJ117" s="6"/>
      <c r="FK117" s="6"/>
      <c r="FL117" s="6"/>
      <c r="FM117" s="6"/>
      <c r="FN117" s="6"/>
      <c r="FO117" s="6"/>
      <c r="FP117" s="6"/>
      <c r="FQ117" s="6"/>
      <c r="FR117" s="6"/>
      <c r="FS117" s="6"/>
      <c r="FT117" s="6"/>
      <c r="FU117" s="6"/>
      <c r="FV117" s="6"/>
      <c r="FW117" s="6"/>
      <c r="FX117" s="6"/>
      <c r="FY117" s="6"/>
      <c r="FZ117" s="6"/>
      <c r="GA117" s="6"/>
      <c r="GH117" s="3"/>
      <c r="GI117" s="3"/>
      <c r="GJ117" s="3"/>
      <c r="GK117" s="3"/>
      <c r="GL117" s="3"/>
      <c r="GM117" s="3"/>
      <c r="GN117" s="3"/>
      <c r="GO117" s="3"/>
      <c r="GP117" s="3"/>
      <c r="GQ117" s="3"/>
      <c r="GR117" s="3"/>
      <c r="GS117" s="3"/>
      <c r="GT117" s="3"/>
      <c r="GU117" s="3"/>
      <c r="GV117" s="3"/>
      <c r="GW117" s="3"/>
      <c r="GX117" s="3"/>
      <c r="GY117" s="3"/>
      <c r="GZ117" s="3"/>
      <c r="HA117" s="3"/>
      <c r="HB117" s="3"/>
      <c r="HC117" s="3"/>
      <c r="HD117" s="3"/>
      <c r="HE117" s="3"/>
      <c r="HF117" s="3"/>
      <c r="HG117" s="3"/>
      <c r="HH117" s="3"/>
      <c r="HI117" s="3"/>
      <c r="HJ117" s="3"/>
      <c r="HK117" s="3"/>
      <c r="HL117" s="3"/>
      <c r="HM117" s="3"/>
    </row>
    <row r="118" spans="1:221" s="410" customFormat="1">
      <c r="A118" s="931" t="s">
        <v>697</v>
      </c>
      <c r="B118" s="791"/>
      <c r="C118" s="791"/>
      <c r="D118" s="791"/>
      <c r="E118" s="467"/>
      <c r="F118" s="467"/>
      <c r="G118" s="467"/>
      <c r="H118" s="467"/>
      <c r="I118" s="726"/>
      <c r="J118" s="726"/>
      <c r="K118" s="726"/>
      <c r="L118" s="726">
        <f>L117+CFS!P12</f>
        <v>6509.2307692307695</v>
      </c>
      <c r="M118" s="726">
        <f>M117+CFS!Q12</f>
        <v>6713.9411764705883</v>
      </c>
      <c r="N118" s="726">
        <f>N117+CFS!R12</f>
        <v>7024.5294117647063</v>
      </c>
      <c r="O118" s="726">
        <f>O117+CFS!S12</f>
        <v>7484.0588235294126</v>
      </c>
      <c r="P118" s="726">
        <f>P117+CFS!T12</f>
        <v>7672.5294117647063</v>
      </c>
      <c r="Q118" s="726">
        <f>Q117+CFS!U12</f>
        <v>7801</v>
      </c>
      <c r="R118" s="726">
        <f>R117+CFS!V12</f>
        <v>8451.7647058823532</v>
      </c>
      <c r="S118" s="726">
        <f>S117+CFS!W12</f>
        <v>8772.0588235294126</v>
      </c>
      <c r="T118" s="726">
        <f>T117+CFS!X12</f>
        <v>9318.4240311667018</v>
      </c>
      <c r="U118" s="726">
        <f ca="1">U117+CFS!Y12</f>
        <v>9286.9761576284473</v>
      </c>
      <c r="V118" s="726">
        <f ca="1">V117+CFS!Z12</f>
        <v>9956.3139088895714</v>
      </c>
      <c r="W118" s="726">
        <f ca="1">W117+CFS!AA12</f>
        <v>10608.855909166565</v>
      </c>
      <c r="X118" s="726">
        <f ca="1">X117+CFS!AB12</f>
        <v>11186.182358602849</v>
      </c>
      <c r="Y118" s="726">
        <f ca="1">Y117+CFS!AC12</f>
        <v>11756.238541816589</v>
      </c>
      <c r="Z118" s="726">
        <f ca="1">Z117+CFS!AD12</f>
        <v>12321.088731312662</v>
      </c>
      <c r="AA118" s="726">
        <f ca="1">AA117+CFS!AE12</f>
        <v>12882.737350050937</v>
      </c>
      <c r="AB118" s="726">
        <f ca="1">AB117+CFS!AF12</f>
        <v>13443.141229926427</v>
      </c>
      <c r="AC118" s="6"/>
      <c r="AD118" s="6"/>
      <c r="AE118" s="6"/>
      <c r="AF118" s="6"/>
      <c r="AG118" s="6"/>
      <c r="AH118" s="6"/>
      <c r="AI118" s="6"/>
      <c r="AJ118" s="6"/>
      <c r="AK118" s="6"/>
      <c r="AL118" s="6"/>
      <c r="AM118" s="6"/>
      <c r="AN118" s="6"/>
      <c r="AO118" s="6"/>
      <c r="AP118" s="6"/>
      <c r="AQ118" s="6"/>
      <c r="AR118" s="6"/>
      <c r="AS118" s="6"/>
      <c r="AT118" s="6"/>
      <c r="AU118" s="6"/>
      <c r="AV118" s="6"/>
      <c r="AW118" s="6"/>
      <c r="AX118" s="6"/>
      <c r="AY118" s="6"/>
      <c r="AZ118" s="6"/>
      <c r="BA118" s="6"/>
      <c r="BB118" s="6"/>
      <c r="BC118" s="6"/>
      <c r="BD118" s="6"/>
      <c r="BE118" s="6"/>
      <c r="BF118" s="6"/>
      <c r="BG118" s="6"/>
      <c r="BH118" s="6"/>
      <c r="BI118" s="6"/>
      <c r="BJ118" s="6"/>
      <c r="BK118" s="6"/>
      <c r="BL118" s="6"/>
      <c r="BM118" s="6"/>
      <c r="BN118" s="6"/>
      <c r="BO118" s="6"/>
      <c r="BP118" s="6"/>
      <c r="BQ118" s="6"/>
      <c r="BR118" s="6"/>
      <c r="BS118" s="6"/>
      <c r="BT118" s="6"/>
      <c r="BU118" s="6"/>
      <c r="BV118" s="6"/>
      <c r="BW118" s="6"/>
      <c r="BX118" s="6"/>
      <c r="BY118" s="6"/>
      <c r="BZ118" s="6"/>
      <c r="CA118" s="6"/>
      <c r="CB118" s="6"/>
      <c r="CC118" s="6"/>
      <c r="CD118" s="6"/>
      <c r="CE118" s="6"/>
      <c r="CF118" s="6"/>
      <c r="CG118" s="6"/>
      <c r="CH118" s="6"/>
      <c r="CI118" s="6"/>
      <c r="CJ118" s="6"/>
      <c r="CK118" s="6"/>
      <c r="CL118" s="6"/>
      <c r="CM118" s="6"/>
      <c r="CN118" s="6"/>
      <c r="CO118" s="6"/>
      <c r="CP118" s="6"/>
      <c r="CQ118" s="6"/>
      <c r="CR118" s="6"/>
      <c r="CS118" s="6"/>
      <c r="CT118" s="6"/>
      <c r="CU118" s="6"/>
      <c r="CV118" s="6"/>
      <c r="CW118" s="6"/>
      <c r="CX118" s="6"/>
      <c r="CY118" s="6"/>
      <c r="CZ118" s="6"/>
      <c r="DA118" s="6"/>
      <c r="DB118" s="6"/>
      <c r="DC118" s="6"/>
      <c r="DD118" s="6"/>
      <c r="DE118" s="6"/>
      <c r="DF118" s="6"/>
      <c r="DG118" s="6"/>
      <c r="DH118" s="6"/>
      <c r="DI118" s="6"/>
      <c r="DJ118" s="3"/>
      <c r="DK118" s="6"/>
      <c r="DL118" s="6"/>
      <c r="DM118" s="6"/>
      <c r="DN118" s="6"/>
      <c r="DO118" s="6"/>
      <c r="DP118" s="6"/>
      <c r="DQ118"/>
      <c r="DR118"/>
      <c r="DS118"/>
      <c r="DT118"/>
      <c r="DU118"/>
      <c r="DV118"/>
      <c r="DW118" s="6"/>
      <c r="DX118" s="6"/>
      <c r="DY118" s="6"/>
      <c r="DZ118" s="6"/>
      <c r="EA118" s="6"/>
      <c r="EB118" s="6"/>
      <c r="EC118" s="6"/>
      <c r="ED118" s="6"/>
      <c r="EE118" s="6"/>
      <c r="EF118" s="6"/>
      <c r="EG118" s="6"/>
      <c r="EH118" s="6"/>
      <c r="EI118" s="6"/>
      <c r="EJ118" s="6"/>
      <c r="EK118" s="6"/>
      <c r="EL118" s="6"/>
      <c r="EM118" s="6"/>
      <c r="EN118" s="6"/>
      <c r="EO118" s="6"/>
      <c r="EP118" s="6"/>
      <c r="EQ118" s="6"/>
      <c r="ER118" s="6"/>
      <c r="ES118" s="6"/>
      <c r="ET118" s="6"/>
      <c r="EU118" s="6"/>
      <c r="EV118" s="6"/>
      <c r="EW118" s="6"/>
      <c r="EX118" s="6"/>
      <c r="EY118" s="6"/>
      <c r="EZ118" s="6"/>
      <c r="FA118" s="6"/>
      <c r="FB118" s="6"/>
      <c r="FC118" s="6"/>
      <c r="FD118" s="6"/>
      <c r="FE118" s="6"/>
      <c r="FF118" s="6"/>
      <c r="FG118" s="6"/>
      <c r="FH118" s="6"/>
      <c r="FI118" s="6"/>
      <c r="FJ118" s="6"/>
      <c r="FK118" s="6"/>
      <c r="FL118" s="6"/>
      <c r="FM118" s="6"/>
      <c r="FN118" s="6"/>
      <c r="FO118" s="6"/>
      <c r="FP118" s="6"/>
      <c r="FQ118" s="6"/>
      <c r="FR118" s="6"/>
      <c r="FS118" s="6"/>
      <c r="FT118" s="6"/>
      <c r="FU118" s="6"/>
      <c r="FV118" s="6"/>
      <c r="FW118" s="6"/>
      <c r="FX118" s="6"/>
      <c r="FY118" s="6"/>
      <c r="FZ118" s="6"/>
      <c r="GA118" s="6"/>
      <c r="GH118" s="3"/>
      <c r="GI118" s="3"/>
      <c r="GJ118" s="3"/>
      <c r="GK118" s="3"/>
      <c r="GL118" s="3"/>
      <c r="GM118" s="3"/>
      <c r="GN118" s="3"/>
      <c r="GO118" s="3"/>
      <c r="GP118" s="3"/>
      <c r="GQ118" s="3"/>
      <c r="GR118" s="3"/>
      <c r="GS118" s="3"/>
      <c r="GT118" s="3"/>
      <c r="GU118" s="3"/>
      <c r="GV118" s="3"/>
      <c r="GW118" s="3"/>
      <c r="GX118" s="3"/>
      <c r="GY118" s="3"/>
      <c r="GZ118" s="3"/>
      <c r="HA118" s="3"/>
      <c r="HB118" s="3"/>
      <c r="HC118" s="3"/>
      <c r="HD118" s="3"/>
      <c r="HE118" s="3"/>
      <c r="HF118" s="3"/>
      <c r="HG118" s="3"/>
      <c r="HH118" s="3"/>
      <c r="HI118" s="3"/>
      <c r="HJ118" s="3"/>
      <c r="HK118" s="3"/>
      <c r="HL118" s="3"/>
      <c r="HM118" s="3"/>
    </row>
    <row r="119" spans="1:221" s="410" customFormat="1" ht="6" customHeight="1">
      <c r="A119" s="300"/>
      <c r="B119" s="6"/>
      <c r="C119" s="6"/>
      <c r="D119" s="6"/>
      <c r="E119" s="6"/>
      <c r="F119" s="6"/>
      <c r="G119" s="6"/>
      <c r="H119" s="6"/>
      <c r="I119" s="300"/>
      <c r="J119" s="300"/>
      <c r="K119" s="6"/>
      <c r="L119" s="6"/>
      <c r="M119" s="6"/>
      <c r="N119" s="330"/>
      <c r="O119" s="330"/>
      <c r="P119" s="330"/>
      <c r="Q119" s="330"/>
      <c r="R119" s="330"/>
      <c r="S119" s="330"/>
      <c r="T119" s="330"/>
      <c r="U119" s="330"/>
      <c r="V119" s="330"/>
      <c r="W119" s="330"/>
      <c r="X119" s="330"/>
      <c r="Y119" s="330"/>
      <c r="Z119" s="330"/>
      <c r="AA119" s="330"/>
      <c r="AB119" s="330"/>
      <c r="AC119" s="6"/>
      <c r="AD119" s="6"/>
      <c r="AE119" s="6"/>
      <c r="AF119" s="6"/>
      <c r="AG119" s="6"/>
      <c r="AH119" s="6"/>
      <c r="AI119" s="6"/>
      <c r="AJ119" s="6"/>
      <c r="AK119" s="6"/>
      <c r="AL119" s="6"/>
      <c r="AM119" s="6"/>
      <c r="AN119" s="6"/>
      <c r="AO119" s="6"/>
      <c r="AP119" s="6"/>
      <c r="AQ119" s="6"/>
      <c r="AR119" s="6"/>
      <c r="AS119" s="6"/>
      <c r="AT119" s="6"/>
      <c r="AU119" s="6"/>
      <c r="AV119" s="6"/>
      <c r="AW119" s="6"/>
      <c r="AX119" s="6"/>
      <c r="AY119" s="6"/>
      <c r="AZ119" s="6"/>
      <c r="BA119" s="6"/>
      <c r="BB119" s="6"/>
      <c r="BC119" s="6"/>
      <c r="BD119" s="6"/>
      <c r="BE119" s="6"/>
      <c r="BF119" s="6"/>
      <c r="BG119" s="6"/>
      <c r="BH119" s="6"/>
      <c r="BI119" s="6"/>
      <c r="BJ119" s="6"/>
      <c r="BK119" s="6"/>
      <c r="BL119" s="6"/>
      <c r="BM119" s="6"/>
      <c r="BN119" s="6"/>
      <c r="BO119" s="6"/>
      <c r="BP119" s="6"/>
      <c r="BQ119" s="6"/>
      <c r="BR119" s="6"/>
      <c r="BS119" s="6"/>
      <c r="BT119" s="6"/>
      <c r="BU119" s="6"/>
      <c r="BV119" s="6"/>
      <c r="BW119" s="6"/>
      <c r="BX119" s="6"/>
      <c r="BY119" s="6"/>
      <c r="BZ119" s="6"/>
      <c r="CA119" s="6"/>
      <c r="CB119" s="6"/>
      <c r="CC119" s="6"/>
      <c r="CD119" s="6"/>
      <c r="CE119" s="6"/>
      <c r="CF119" s="6"/>
      <c r="CG119" s="6"/>
      <c r="CH119" s="6"/>
      <c r="CI119" s="6"/>
      <c r="CJ119" s="6"/>
      <c r="CK119" s="6"/>
      <c r="CL119" s="6"/>
      <c r="CM119" s="6"/>
      <c r="CN119" s="6"/>
      <c r="CO119" s="6"/>
      <c r="CP119" s="6"/>
      <c r="CQ119" s="6"/>
      <c r="CR119" s="6"/>
      <c r="CS119" s="6"/>
      <c r="CT119" s="6"/>
      <c r="CU119" s="6"/>
      <c r="CV119" s="6"/>
      <c r="CW119" s="6"/>
      <c r="CX119" s="6"/>
      <c r="CY119" s="6"/>
      <c r="CZ119" s="6"/>
      <c r="DA119" s="6"/>
      <c r="DB119" s="6"/>
      <c r="DC119" s="6"/>
      <c r="DD119" s="6"/>
      <c r="DE119" s="6"/>
      <c r="DF119" s="6"/>
      <c r="DG119" s="6"/>
      <c r="DH119" s="6"/>
      <c r="DI119" s="6"/>
      <c r="DJ119" s="3"/>
      <c r="DK119" s="6"/>
      <c r="DL119" s="6"/>
      <c r="DM119" s="6"/>
      <c r="DN119" s="6"/>
      <c r="DO119" s="6"/>
      <c r="DP119" s="6"/>
      <c r="DQ119"/>
      <c r="DR119"/>
      <c r="DS119"/>
      <c r="DT119"/>
      <c r="DU119"/>
      <c r="DV119"/>
      <c r="DW119" s="6"/>
      <c r="DX119" s="6"/>
      <c r="DY119" s="6"/>
      <c r="DZ119" s="6"/>
      <c r="EA119" s="6"/>
      <c r="EB119" s="6"/>
      <c r="EC119" s="6"/>
      <c r="ED119" s="6"/>
      <c r="EE119" s="6"/>
      <c r="EF119" s="6"/>
      <c r="EG119" s="6"/>
      <c r="EH119" s="6"/>
      <c r="EI119" s="6"/>
      <c r="EJ119" s="6"/>
      <c r="EK119" s="6"/>
      <c r="EL119" s="6"/>
      <c r="EM119" s="6"/>
      <c r="EN119" s="6"/>
      <c r="EO119" s="6"/>
      <c r="EP119" s="6"/>
      <c r="EQ119" s="6"/>
      <c r="ER119" s="6"/>
      <c r="ES119" s="6"/>
      <c r="ET119" s="6"/>
      <c r="EU119" s="6"/>
      <c r="EV119" s="6"/>
      <c r="EW119" s="6"/>
      <c r="EX119" s="6"/>
      <c r="EY119" s="6"/>
      <c r="EZ119" s="6"/>
      <c r="FA119" s="6"/>
      <c r="FB119" s="6"/>
      <c r="FC119" s="6"/>
      <c r="FD119" s="6"/>
      <c r="FE119" s="6"/>
      <c r="FF119" s="6"/>
      <c r="FG119" s="6"/>
      <c r="FH119" s="6"/>
      <c r="FI119" s="6"/>
      <c r="FJ119" s="6"/>
      <c r="FK119" s="6"/>
      <c r="FL119" s="6"/>
      <c r="FM119" s="6"/>
      <c r="FN119" s="6"/>
      <c r="FO119" s="6"/>
      <c r="FP119" s="6"/>
      <c r="FQ119" s="6"/>
      <c r="FR119" s="6"/>
      <c r="FS119" s="6"/>
      <c r="FT119" s="6"/>
      <c r="FU119" s="6"/>
      <c r="FV119" s="6"/>
      <c r="FW119" s="6"/>
      <c r="FX119" s="6"/>
      <c r="FY119" s="6"/>
      <c r="FZ119" s="6"/>
      <c r="GA119" s="6"/>
      <c r="GH119" s="3"/>
      <c r="GI119" s="3"/>
      <c r="GJ119" s="3"/>
      <c r="GK119" s="3"/>
      <c r="GL119" s="3"/>
      <c r="GM119" s="3"/>
      <c r="GN119" s="3"/>
      <c r="GO119" s="3"/>
      <c r="GP119" s="3"/>
      <c r="GQ119" s="3"/>
      <c r="GR119" s="3"/>
      <c r="GS119" s="3"/>
      <c r="GT119" s="3"/>
      <c r="GU119" s="3"/>
      <c r="GV119" s="3"/>
      <c r="GW119" s="3"/>
      <c r="GX119" s="3"/>
      <c r="GY119" s="3"/>
      <c r="GZ119" s="3"/>
      <c r="HA119" s="3"/>
      <c r="HB119" s="3"/>
      <c r="HC119" s="3"/>
      <c r="HD119" s="3"/>
      <c r="HE119" s="3"/>
      <c r="HF119" s="3"/>
      <c r="HG119" s="3"/>
      <c r="HH119" s="3"/>
      <c r="HI119" s="3"/>
      <c r="HJ119" s="3"/>
      <c r="HK119" s="3"/>
      <c r="HL119" s="3"/>
      <c r="HM119" s="3"/>
    </row>
    <row r="120" spans="1:221" s="410" customFormat="1">
      <c r="A120" s="931" t="s">
        <v>598</v>
      </c>
      <c r="B120" s="726">
        <f t="shared" ref="B120:J120" si="231">B114+B33</f>
        <v>14365</v>
      </c>
      <c r="C120" s="726">
        <f t="shared" si="231"/>
        <v>14368</v>
      </c>
      <c r="D120" s="726">
        <f t="shared" si="231"/>
        <v>16028</v>
      </c>
      <c r="E120" s="726">
        <f t="shared" si="231"/>
        <v>16831</v>
      </c>
      <c r="F120" s="726">
        <f t="shared" si="231"/>
        <v>15912.5</v>
      </c>
      <c r="G120" s="726">
        <f t="shared" si="231"/>
        <v>16245</v>
      </c>
      <c r="H120" s="726">
        <f t="shared" si="231"/>
        <v>17180</v>
      </c>
      <c r="I120" s="726">
        <f t="shared" si="231"/>
        <v>18879</v>
      </c>
      <c r="J120" s="726">
        <f t="shared" si="231"/>
        <v>4591</v>
      </c>
      <c r="K120" s="726">
        <f ca="1">+K114+K33</f>
        <v>5004</v>
      </c>
      <c r="L120" s="726">
        <f t="shared" ref="L120:W120" si="232">+L114+L33</f>
        <v>6264</v>
      </c>
      <c r="M120" s="726">
        <f t="shared" si="232"/>
        <v>6550</v>
      </c>
      <c r="N120" s="726">
        <f t="shared" si="232"/>
        <v>6874</v>
      </c>
      <c r="O120" s="726">
        <f t="shared" si="232"/>
        <v>7269.0000000000009</v>
      </c>
      <c r="P120" s="726">
        <f t="shared" si="232"/>
        <v>7472</v>
      </c>
      <c r="Q120" s="726">
        <f t="shared" si="232"/>
        <v>7627</v>
      </c>
      <c r="R120" s="726">
        <f t="shared" si="232"/>
        <v>8450</v>
      </c>
      <c r="S120" s="726">
        <f t="shared" si="232"/>
        <v>9136</v>
      </c>
      <c r="T120" s="726">
        <f t="shared" si="232"/>
        <v>9795.3333333333358</v>
      </c>
      <c r="U120" s="726">
        <f t="shared" ca="1" si="232"/>
        <v>9625.4704574848256</v>
      </c>
      <c r="V120" s="726">
        <f t="shared" ca="1" si="232"/>
        <v>10238.209225375434</v>
      </c>
      <c r="W120" s="726">
        <f t="shared" ca="1" si="232"/>
        <v>10939.530575318373</v>
      </c>
      <c r="X120" s="726">
        <f ca="1">+X114+X33</f>
        <v>11542.206374305626</v>
      </c>
      <c r="Y120" s="726">
        <f ca="1">+Y114+Y33</f>
        <v>12138.598284186804</v>
      </c>
      <c r="Z120" s="726">
        <f ca="1">+Z114+Z33</f>
        <v>12730.764786788121</v>
      </c>
      <c r="AA120" s="726">
        <f ca="1">+AA114+AA33</f>
        <v>13320.698347701087</v>
      </c>
      <c r="AB120" s="726">
        <f ca="1">+AB114+AB33</f>
        <v>13910.336829222542</v>
      </c>
      <c r="AC120" s="6"/>
      <c r="AD120" s="6"/>
      <c r="AE120" s="6"/>
      <c r="AF120" s="6"/>
      <c r="AG120" s="6"/>
      <c r="AH120" s="6"/>
      <c r="AI120" s="6"/>
      <c r="AJ120" s="6"/>
      <c r="AK120" s="6"/>
      <c r="AL120" s="6"/>
      <c r="AM120" s="6"/>
      <c r="AN120" s="6"/>
      <c r="AO120" s="6"/>
      <c r="AP120" s="6"/>
      <c r="AQ120" s="6"/>
      <c r="AR120" s="6"/>
      <c r="AS120" s="6"/>
      <c r="AT120" s="6"/>
      <c r="AU120" s="6"/>
      <c r="AV120" s="6"/>
      <c r="AW120" s="6"/>
      <c r="AX120" s="6"/>
      <c r="AY120" s="6"/>
      <c r="AZ120" s="6"/>
      <c r="BA120" s="6"/>
      <c r="BB120" s="6"/>
      <c r="BC120" s="6"/>
      <c r="BD120" s="6"/>
      <c r="BE120" s="6"/>
      <c r="BF120" s="6"/>
      <c r="BG120" s="6"/>
      <c r="BH120" s="6"/>
      <c r="BI120" s="6"/>
      <c r="BJ120" s="6"/>
      <c r="BK120" s="6"/>
      <c r="BL120" s="6"/>
      <c r="BM120" s="6"/>
      <c r="BN120" s="6"/>
      <c r="BO120" s="6"/>
      <c r="BP120" s="6"/>
      <c r="BQ120" s="6"/>
      <c r="BR120" s="6"/>
      <c r="BS120" s="6"/>
      <c r="BT120" s="6"/>
      <c r="BU120" s="6"/>
      <c r="BV120" s="6"/>
      <c r="BW120" s="6"/>
      <c r="BX120" s="6"/>
      <c r="BY120" s="6"/>
      <c r="BZ120" s="6"/>
      <c r="CA120" s="6"/>
      <c r="CB120" s="6"/>
      <c r="CC120" s="6"/>
      <c r="CD120" s="6"/>
      <c r="CE120" s="6"/>
      <c r="CF120" s="6"/>
      <c r="CG120" s="6"/>
      <c r="CH120" s="6"/>
      <c r="CI120" s="6"/>
      <c r="CJ120" s="6"/>
      <c r="CK120" s="6"/>
      <c r="CL120" s="6"/>
      <c r="CM120" s="6"/>
      <c r="CN120" s="6"/>
      <c r="CO120" s="6"/>
      <c r="CP120" s="6"/>
      <c r="CQ120" s="6"/>
      <c r="CR120" s="6"/>
      <c r="CS120" s="6"/>
      <c r="CT120" s="6"/>
      <c r="CU120" s="6"/>
      <c r="CV120" s="6"/>
      <c r="CW120" s="6"/>
      <c r="CX120" s="6"/>
      <c r="CY120" s="6"/>
      <c r="CZ120" s="6"/>
      <c r="DA120" s="6"/>
      <c r="DB120" s="6"/>
      <c r="DC120" s="6"/>
      <c r="DD120" s="6"/>
      <c r="DE120" s="6"/>
      <c r="DF120" s="6"/>
      <c r="DG120" s="6"/>
      <c r="DH120" s="6"/>
      <c r="DI120" s="6"/>
      <c r="DJ120" s="3"/>
      <c r="DK120" s="6"/>
      <c r="DL120" s="6"/>
      <c r="DM120" s="6"/>
      <c r="DN120" s="6"/>
      <c r="DO120" s="6"/>
      <c r="DP120" s="6"/>
      <c r="DQ120"/>
      <c r="DR120"/>
      <c r="DS120"/>
      <c r="DT120"/>
      <c r="DU120"/>
      <c r="DV120"/>
      <c r="DW120" s="6"/>
      <c r="DX120" s="6"/>
      <c r="DY120" s="6"/>
      <c r="DZ120" s="6"/>
      <c r="EA120" s="6"/>
      <c r="EB120" s="6"/>
      <c r="EC120" s="6"/>
      <c r="ED120" s="6"/>
      <c r="EE120" s="6"/>
      <c r="EF120" s="6"/>
      <c r="EG120" s="6"/>
      <c r="EH120" s="6"/>
      <c r="EI120" s="6"/>
      <c r="EJ120" s="6"/>
      <c r="EK120" s="6"/>
      <c r="EL120" s="6"/>
      <c r="EM120" s="6"/>
      <c r="EN120" s="6"/>
      <c r="EO120" s="6"/>
      <c r="EP120" s="6"/>
      <c r="EQ120" s="6"/>
      <c r="ER120" s="6"/>
      <c r="ES120" s="6"/>
      <c r="ET120" s="6"/>
      <c r="EU120" s="6"/>
      <c r="EV120" s="6"/>
      <c r="EW120" s="6"/>
      <c r="EX120" s="6"/>
      <c r="EY120" s="6"/>
      <c r="EZ120" s="6"/>
      <c r="FA120" s="6"/>
      <c r="FB120" s="6"/>
      <c r="FC120" s="6"/>
      <c r="FD120" s="6"/>
      <c r="FE120" s="6"/>
      <c r="FF120" s="6"/>
      <c r="FG120" s="6"/>
      <c r="FH120" s="6"/>
      <c r="FI120" s="6"/>
      <c r="FJ120" s="6"/>
      <c r="FK120" s="6"/>
      <c r="FL120" s="6"/>
      <c r="FM120" s="6"/>
      <c r="FN120" s="6"/>
      <c r="FO120" s="6"/>
      <c r="FP120" s="6"/>
      <c r="FQ120" s="6"/>
      <c r="FR120" s="6"/>
      <c r="FS120" s="6"/>
      <c r="FT120" s="6"/>
      <c r="FU120" s="6"/>
      <c r="FV120" s="6"/>
      <c r="FW120" s="6"/>
      <c r="FX120" s="6"/>
      <c r="FY120" s="6"/>
      <c r="FZ120" s="6"/>
      <c r="GA120" s="6"/>
      <c r="GH120" s="3"/>
      <c r="GI120" s="3"/>
      <c r="GJ120" s="3"/>
      <c r="GK120" s="3"/>
      <c r="GL120" s="3"/>
      <c r="GM120" s="3"/>
      <c r="GN120" s="3"/>
      <c r="GO120" s="3"/>
      <c r="GP120" s="3"/>
      <c r="GQ120" s="3"/>
      <c r="GR120" s="3"/>
      <c r="GS120" s="3"/>
      <c r="GT120" s="3"/>
      <c r="GU120" s="3"/>
      <c r="GV120" s="3"/>
      <c r="GW120" s="3"/>
      <c r="GX120" s="3"/>
      <c r="GY120" s="3"/>
      <c r="GZ120" s="3"/>
      <c r="HA120" s="3"/>
      <c r="HB120" s="3"/>
      <c r="HC120" s="3"/>
      <c r="HD120" s="3"/>
      <c r="HE120" s="3"/>
      <c r="HF120" s="3"/>
      <c r="HG120" s="3"/>
      <c r="HH120" s="3"/>
      <c r="HI120" s="3"/>
      <c r="HJ120" s="3"/>
      <c r="HK120" s="3"/>
      <c r="HL120" s="3"/>
      <c r="HM120" s="3"/>
    </row>
    <row r="121" spans="1:221" s="410" customFormat="1">
      <c r="A121" s="931" t="s">
        <v>599</v>
      </c>
      <c r="B121" s="726">
        <f t="shared" ref="B121:K121" si="233">B115+B33</f>
        <v>16702</v>
      </c>
      <c r="C121" s="726">
        <f t="shared" si="233"/>
        <v>15699</v>
      </c>
      <c r="D121" s="726">
        <f t="shared" si="233"/>
        <v>17468</v>
      </c>
      <c r="E121" s="726">
        <f t="shared" si="233"/>
        <v>18438</v>
      </c>
      <c r="F121" s="726">
        <f t="shared" si="233"/>
        <v>17587.5</v>
      </c>
      <c r="G121" s="726">
        <f t="shared" si="233"/>
        <v>18049</v>
      </c>
      <c r="H121" s="726">
        <f t="shared" si="233"/>
        <v>18093</v>
      </c>
      <c r="I121" s="726">
        <f t="shared" si="233"/>
        <v>19859</v>
      </c>
      <c r="J121" s="726">
        <f t="shared" si="233"/>
        <v>4801</v>
      </c>
      <c r="K121" s="726">
        <f t="shared" ca="1" si="233"/>
        <v>5219</v>
      </c>
      <c r="L121" s="726">
        <f t="shared" ref="L121:W121" si="234">L115+L33</f>
        <v>6555</v>
      </c>
      <c r="M121" s="726">
        <f t="shared" si="234"/>
        <v>6826</v>
      </c>
      <c r="N121" s="726">
        <f t="shared" si="234"/>
        <v>7127</v>
      </c>
      <c r="O121" s="726">
        <f t="shared" si="234"/>
        <v>7494.0000000000009</v>
      </c>
      <c r="P121" s="726">
        <f t="shared" si="234"/>
        <v>7684</v>
      </c>
      <c r="Q121" s="726">
        <f t="shared" si="234"/>
        <v>7835</v>
      </c>
      <c r="R121" s="726">
        <f t="shared" si="234"/>
        <v>8675</v>
      </c>
      <c r="S121" s="726">
        <f t="shared" si="234"/>
        <v>9340</v>
      </c>
      <c r="T121" s="726">
        <f t="shared" si="234"/>
        <v>9998.4240311667018</v>
      </c>
      <c r="U121" s="726">
        <f t="shared" ca="1" si="234"/>
        <v>9836.0076080555318</v>
      </c>
      <c r="V121" s="726">
        <f t="shared" ca="1" si="234"/>
        <v>10456.565151320345</v>
      </c>
      <c r="W121" s="726">
        <f t="shared" ca="1" si="234"/>
        <v>11166.0962154062</v>
      </c>
      <c r="X121" s="726">
        <f ca="1">X115+X33</f>
        <v>11777.392214243515</v>
      </c>
      <c r="Y121" s="726">
        <f ca="1">Y115+Y33</f>
        <v>12382.835333967258</v>
      </c>
      <c r="Z121" s="726">
        <f ca="1">Z115+Z33</f>
        <v>12984.505606903265</v>
      </c>
      <c r="AA121" s="726">
        <f ca="1">AA115+AA33</f>
        <v>13584.418126667661</v>
      </c>
      <c r="AB121" s="726">
        <f ca="1">AB115+AB33</f>
        <v>14184.534514983114</v>
      </c>
      <c r="AC121" s="6"/>
      <c r="AD121" s="6"/>
      <c r="AE121" s="6"/>
      <c r="AF121" s="6"/>
      <c r="AG121" s="6"/>
      <c r="AH121" s="6"/>
      <c r="AI121" s="6"/>
      <c r="AJ121" s="6"/>
      <c r="AK121" s="6"/>
      <c r="AL121" s="6"/>
      <c r="AM121" s="6"/>
      <c r="AN121" s="6"/>
      <c r="AO121" s="6"/>
      <c r="AP121" s="6"/>
      <c r="AQ121" s="6"/>
      <c r="AR121" s="6"/>
      <c r="AS121" s="6"/>
      <c r="AT121" s="6"/>
      <c r="AU121" s="6"/>
      <c r="AV121" s="6"/>
      <c r="AW121" s="6"/>
      <c r="AX121" s="6"/>
      <c r="AY121" s="6"/>
      <c r="AZ121" s="6"/>
      <c r="BA121" s="6"/>
      <c r="BB121" s="6"/>
      <c r="BC121" s="6"/>
      <c r="BD121" s="6"/>
      <c r="BE121" s="6"/>
      <c r="BF121" s="6"/>
      <c r="BG121" s="6"/>
      <c r="BH121" s="6"/>
      <c r="BI121" s="6"/>
      <c r="BJ121" s="6"/>
      <c r="BK121" s="6"/>
      <c r="BL121" s="6"/>
      <c r="BM121" s="6"/>
      <c r="BN121" s="6"/>
      <c r="BO121" s="6"/>
      <c r="BP121" s="6"/>
      <c r="BQ121" s="6"/>
      <c r="BR121" s="6"/>
      <c r="BS121" s="6"/>
      <c r="BT121" s="6"/>
      <c r="BU121" s="6"/>
      <c r="BV121" s="6"/>
      <c r="BW121" s="6"/>
      <c r="BX121" s="6"/>
      <c r="BY121" s="6"/>
      <c r="BZ121" s="6"/>
      <c r="CA121" s="6"/>
      <c r="CB121" s="6"/>
      <c r="CC121" s="6"/>
      <c r="CD121" s="6"/>
      <c r="CE121" s="6"/>
      <c r="CF121" s="6"/>
      <c r="CG121" s="6"/>
      <c r="CH121" s="6"/>
      <c r="CI121" s="6"/>
      <c r="CJ121" s="6"/>
      <c r="CK121" s="6"/>
      <c r="CL121" s="6"/>
      <c r="CM121" s="6"/>
      <c r="CN121" s="6"/>
      <c r="CO121" s="6"/>
      <c r="CP121" s="6"/>
      <c r="CQ121" s="6"/>
      <c r="CR121" s="6"/>
      <c r="CS121" s="6"/>
      <c r="CT121" s="6"/>
      <c r="CU121" s="6"/>
      <c r="CV121" s="6"/>
      <c r="CW121" s="6"/>
      <c r="CX121" s="6"/>
      <c r="CY121" s="6"/>
      <c r="CZ121" s="6"/>
      <c r="DA121" s="6"/>
      <c r="DB121" s="6"/>
      <c r="DC121" s="6"/>
      <c r="DD121" s="6"/>
      <c r="DE121" s="6"/>
      <c r="DF121" s="6"/>
      <c r="DG121" s="6"/>
      <c r="DH121" s="6"/>
      <c r="DI121" s="6"/>
      <c r="DJ121" s="3"/>
      <c r="DK121" s="6"/>
      <c r="DL121" s="6"/>
      <c r="DM121" s="6"/>
      <c r="DN121" s="6"/>
      <c r="DO121" s="6"/>
      <c r="DP121" s="6"/>
      <c r="DQ121"/>
      <c r="DR121"/>
      <c r="DS121"/>
      <c r="DT121"/>
      <c r="DU121"/>
      <c r="DV121"/>
      <c r="DW121" s="6"/>
      <c r="DX121" s="6"/>
      <c r="DY121" s="6"/>
      <c r="DZ121" s="6"/>
      <c r="EA121" s="6"/>
      <c r="EB121" s="6"/>
      <c r="EC121" s="6"/>
      <c r="ED121" s="6"/>
      <c r="EE121" s="6"/>
      <c r="EF121" s="6"/>
      <c r="EG121" s="6"/>
      <c r="EH121" s="6"/>
      <c r="EI121" s="6"/>
      <c r="EJ121" s="6"/>
      <c r="EK121" s="6"/>
      <c r="EL121" s="6"/>
      <c r="EM121" s="6"/>
      <c r="EN121" s="6"/>
      <c r="EO121" s="6"/>
      <c r="EP121" s="6"/>
      <c r="EQ121" s="6"/>
      <c r="ER121" s="6"/>
      <c r="ES121" s="6"/>
      <c r="ET121" s="6"/>
      <c r="EU121" s="6"/>
      <c r="EV121" s="6"/>
      <c r="EW121" s="6"/>
      <c r="EX121" s="6"/>
      <c r="EY121" s="6"/>
      <c r="EZ121" s="6"/>
      <c r="FA121" s="6"/>
      <c r="FB121" s="6"/>
      <c r="FC121" s="6"/>
      <c r="FD121" s="6"/>
      <c r="FE121" s="6"/>
      <c r="FF121" s="6"/>
      <c r="FG121" s="6"/>
      <c r="FH121" s="6"/>
      <c r="FI121" s="6"/>
      <c r="FJ121" s="6"/>
      <c r="FK121" s="6"/>
      <c r="FL121" s="6"/>
      <c r="FM121" s="6"/>
      <c r="FN121" s="6"/>
      <c r="FO121" s="6"/>
      <c r="FP121" s="6"/>
      <c r="FQ121" s="6"/>
      <c r="FR121" s="6"/>
      <c r="FS121" s="6"/>
      <c r="FT121" s="6"/>
      <c r="FU121" s="6"/>
      <c r="FV121" s="6"/>
      <c r="FW121" s="6"/>
      <c r="FX121" s="6"/>
      <c r="FY121" s="6"/>
      <c r="FZ121" s="6"/>
      <c r="GA121" s="6"/>
      <c r="GH121" s="3"/>
      <c r="GI121" s="3"/>
      <c r="GJ121" s="3"/>
      <c r="GK121" s="3"/>
      <c r="GL121" s="3"/>
      <c r="GM121" s="3"/>
      <c r="GN121" s="3"/>
      <c r="GO121" s="3"/>
      <c r="GP121" s="3"/>
      <c r="GQ121" s="3"/>
      <c r="GR121" s="3"/>
      <c r="GS121" s="3"/>
      <c r="GT121" s="3"/>
      <c r="GU121" s="3"/>
      <c r="GV121" s="3"/>
      <c r="GW121" s="3"/>
      <c r="GX121" s="3"/>
      <c r="GY121" s="3"/>
      <c r="GZ121" s="3"/>
      <c r="HA121" s="3"/>
      <c r="HB121" s="3"/>
      <c r="HC121" s="3"/>
      <c r="HD121" s="3"/>
      <c r="HE121" s="3"/>
      <c r="HF121" s="3"/>
      <c r="HG121" s="3"/>
      <c r="HH121" s="3"/>
      <c r="HI121" s="3"/>
      <c r="HJ121" s="3"/>
      <c r="HK121" s="3"/>
      <c r="HL121" s="3"/>
      <c r="HM121" s="3"/>
    </row>
    <row r="122" spans="1:221">
      <c r="A122" s="643"/>
      <c r="AD122" s="497"/>
      <c r="AE122" s="497"/>
      <c r="AF122" s="497"/>
      <c r="AG122" s="497"/>
      <c r="AH122" s="497"/>
      <c r="AI122" s="497"/>
      <c r="AJ122" s="497"/>
      <c r="AK122" s="497"/>
      <c r="AL122" s="497"/>
      <c r="AM122" s="497"/>
      <c r="AN122" s="497"/>
      <c r="AO122" s="497"/>
      <c r="AP122" s="497"/>
      <c r="AQ122" s="497"/>
      <c r="AR122" s="497"/>
      <c r="AS122" s="497"/>
      <c r="AT122" s="497"/>
      <c r="AU122" s="497"/>
      <c r="AV122" s="497"/>
      <c r="AW122" s="497"/>
      <c r="AX122" s="497"/>
      <c r="AY122" s="497"/>
      <c r="AZ122" s="497"/>
      <c r="BA122" s="497"/>
      <c r="BB122" s="497"/>
      <c r="BC122" s="497"/>
      <c r="BD122" s="497"/>
      <c r="BE122" s="497"/>
      <c r="BF122" s="497"/>
      <c r="BG122" s="497"/>
      <c r="BH122" s="497"/>
      <c r="BI122" s="497"/>
      <c r="BJ122" s="497"/>
      <c r="BK122" s="497"/>
      <c r="BL122" s="497"/>
      <c r="BM122" s="497"/>
      <c r="BN122" s="497"/>
      <c r="BO122" s="497"/>
      <c r="BP122" s="497"/>
      <c r="BQ122" s="497"/>
      <c r="BR122" s="497"/>
      <c r="BS122" s="497"/>
      <c r="BT122" s="497"/>
      <c r="BU122" s="497"/>
      <c r="BV122" s="497"/>
      <c r="BW122" s="497"/>
      <c r="BX122" s="497"/>
      <c r="BY122" s="497"/>
      <c r="BZ122" s="412"/>
      <c r="CA122" s="412"/>
      <c r="CB122" s="412"/>
      <c r="CC122" s="412"/>
      <c r="CD122" s="497"/>
      <c r="CE122" s="497"/>
      <c r="CF122" s="497"/>
      <c r="CG122" s="497"/>
      <c r="CH122" s="497"/>
      <c r="CI122" s="497"/>
      <c r="CJ122" s="497"/>
      <c r="CK122" s="497"/>
      <c r="CL122" s="497"/>
      <c r="CM122" s="497"/>
      <c r="CN122" s="497"/>
      <c r="CO122" s="510"/>
      <c r="CP122" s="497"/>
      <c r="CQ122" s="497"/>
      <c r="CR122" s="497"/>
      <c r="CS122" s="510"/>
      <c r="CT122" s="497"/>
      <c r="CU122" s="497"/>
      <c r="CV122" s="497"/>
      <c r="CW122" s="510"/>
      <c r="CX122" s="497"/>
      <c r="CY122" s="497"/>
      <c r="CZ122" s="497"/>
      <c r="DA122" s="510"/>
      <c r="DB122" s="497"/>
      <c r="DC122" s="497"/>
      <c r="DD122" s="497"/>
      <c r="DE122" s="510"/>
      <c r="DF122" s="497"/>
      <c r="DG122" s="497"/>
      <c r="DH122" s="497"/>
      <c r="DI122" s="510"/>
    </row>
    <row r="123" spans="1:221">
      <c r="A123" s="195" t="s">
        <v>301</v>
      </c>
      <c r="B123" s="195"/>
      <c r="C123" s="195"/>
      <c r="D123" s="195"/>
      <c r="E123" s="195"/>
      <c r="F123" s="195"/>
      <c r="G123" s="195"/>
      <c r="H123" s="195"/>
      <c r="I123" s="195"/>
      <c r="J123" s="195"/>
      <c r="K123" s="195"/>
      <c r="L123" s="195"/>
      <c r="M123" s="195"/>
      <c r="N123" s="195"/>
      <c r="O123" s="195"/>
      <c r="P123" s="195"/>
      <c r="Q123" s="195"/>
      <c r="R123" s="195"/>
      <c r="S123" s="195"/>
      <c r="T123" s="195"/>
      <c r="U123" s="195"/>
      <c r="V123" s="195"/>
      <c r="W123" s="195"/>
      <c r="X123" s="195"/>
      <c r="Y123" s="195"/>
      <c r="Z123" s="195"/>
      <c r="AA123" s="195"/>
      <c r="AB123" s="195"/>
      <c r="AD123" s="195"/>
      <c r="AE123" s="195"/>
      <c r="AF123" s="195"/>
      <c r="AG123" s="195"/>
      <c r="AH123" s="195"/>
      <c r="AI123" s="195"/>
      <c r="AJ123" s="195"/>
      <c r="AK123" s="195"/>
      <c r="AL123" s="195"/>
      <c r="AM123" s="195"/>
      <c r="AN123" s="195"/>
      <c r="AO123" s="195"/>
      <c r="AP123" s="195"/>
      <c r="AQ123" s="195"/>
      <c r="AR123" s="195"/>
      <c r="AS123" s="195"/>
      <c r="AT123" s="195"/>
      <c r="AU123" s="195"/>
      <c r="AV123" s="195"/>
      <c r="AW123" s="195"/>
      <c r="AX123" s="195"/>
      <c r="AY123" s="195"/>
      <c r="AZ123" s="195"/>
      <c r="BA123" s="195"/>
      <c r="BB123" s="195"/>
      <c r="BC123" s="195"/>
      <c r="BD123" s="195"/>
      <c r="BE123" s="195"/>
      <c r="BF123" s="195"/>
      <c r="BG123" s="195"/>
      <c r="BH123" s="195"/>
      <c r="BI123" s="195"/>
      <c r="BJ123" s="195"/>
      <c r="BK123" s="195"/>
      <c r="BL123" s="195"/>
      <c r="BM123" s="195"/>
      <c r="BN123" s="195"/>
      <c r="BO123" s="195"/>
      <c r="BP123" s="195"/>
      <c r="BQ123" s="195"/>
      <c r="BR123" s="195"/>
      <c r="BS123" s="195"/>
      <c r="BT123" s="195"/>
      <c r="BU123" s="195"/>
      <c r="BV123" s="195"/>
      <c r="BW123" s="195"/>
      <c r="BX123" s="195"/>
      <c r="BY123" s="195"/>
      <c r="BZ123" s="195"/>
      <c r="CA123" s="195"/>
      <c r="CB123" s="195"/>
      <c r="CC123" s="195"/>
      <c r="CD123" s="195"/>
      <c r="CE123" s="195"/>
      <c r="CF123" s="195"/>
      <c r="CG123" s="195"/>
      <c r="CH123" s="195"/>
      <c r="CI123" s="195"/>
      <c r="CJ123" s="195"/>
      <c r="CK123" s="195"/>
      <c r="CL123" s="195"/>
      <c r="CM123" s="195"/>
      <c r="CN123" s="195"/>
      <c r="CO123" s="195"/>
      <c r="CP123" s="195"/>
      <c r="CQ123" s="195"/>
      <c r="CR123" s="195"/>
      <c r="CS123" s="195"/>
      <c r="CT123" s="195"/>
      <c r="CU123" s="195"/>
      <c r="CV123" s="195"/>
      <c r="CW123" s="195"/>
      <c r="CX123" s="195"/>
      <c r="CY123" s="195"/>
      <c r="CZ123" s="195"/>
      <c r="DA123" s="195"/>
      <c r="DB123" s="195"/>
      <c r="DC123" s="195"/>
      <c r="DD123" s="195"/>
      <c r="DE123" s="195"/>
      <c r="DF123" s="195"/>
      <c r="DG123" s="195"/>
      <c r="DH123" s="195"/>
      <c r="DI123" s="195"/>
    </row>
    <row r="124" spans="1:221">
      <c r="A124" s="131"/>
      <c r="AD124" s="131"/>
      <c r="AE124" s="131"/>
      <c r="AF124" s="131"/>
      <c r="AG124" s="131"/>
      <c r="AH124" s="131"/>
      <c r="AI124" s="131"/>
      <c r="AJ124" s="131"/>
      <c r="AK124" s="131"/>
      <c r="AL124" s="131"/>
      <c r="AM124" s="131"/>
      <c r="AN124" s="131"/>
      <c r="AO124" s="131"/>
      <c r="AP124" s="131"/>
      <c r="AQ124" s="131"/>
      <c r="AR124" s="131"/>
      <c r="AS124" s="131"/>
      <c r="AT124" s="131"/>
      <c r="AU124" s="131"/>
      <c r="AV124" s="131"/>
      <c r="AW124" s="131"/>
      <c r="AX124" s="131"/>
      <c r="AY124" s="131"/>
      <c r="AZ124" s="131"/>
      <c r="BA124" s="131"/>
      <c r="BB124" s="131"/>
      <c r="BC124" s="131"/>
      <c r="BD124" s="131"/>
      <c r="BE124" s="131"/>
      <c r="BF124" s="131"/>
      <c r="BG124" s="131"/>
      <c r="BH124" s="131"/>
      <c r="BI124" s="131"/>
      <c r="BJ124" s="131"/>
      <c r="BK124" s="131"/>
      <c r="BL124" s="131"/>
      <c r="BM124" s="131"/>
      <c r="BN124" s="131"/>
      <c r="BO124" s="131"/>
      <c r="BP124" s="131"/>
      <c r="BQ124" s="131"/>
      <c r="BR124" s="131"/>
      <c r="BS124" s="131"/>
      <c r="BT124" s="131"/>
      <c r="BU124" s="131"/>
      <c r="BV124" s="131"/>
      <c r="BW124" s="131"/>
      <c r="BX124" s="131"/>
      <c r="BY124" s="131"/>
      <c r="BZ124" s="131"/>
      <c r="CA124" s="131"/>
      <c r="CB124" s="131"/>
      <c r="CC124" s="131"/>
      <c r="CD124" s="131"/>
      <c r="CE124" s="131"/>
      <c r="CF124" s="131"/>
      <c r="CG124" s="131"/>
      <c r="CH124" s="71"/>
      <c r="CI124" s="71"/>
      <c r="CJ124" s="71"/>
      <c r="CK124" s="71"/>
      <c r="CL124" s="176"/>
      <c r="CM124" s="176"/>
      <c r="CN124" s="176"/>
      <c r="CO124" s="176"/>
      <c r="CP124" s="176"/>
      <c r="CQ124" s="176"/>
      <c r="CR124" s="71"/>
      <c r="CS124" s="71"/>
      <c r="CT124" s="71"/>
      <c r="CU124" s="71"/>
      <c r="CV124" s="71"/>
      <c r="CW124" s="71"/>
      <c r="CX124" s="71"/>
      <c r="CY124" s="71"/>
      <c r="CZ124" s="71"/>
      <c r="DA124" s="71"/>
      <c r="DB124" s="71"/>
      <c r="DC124" s="71"/>
      <c r="DD124" s="71"/>
      <c r="DE124" s="71"/>
      <c r="DF124" s="71"/>
      <c r="DG124" s="71"/>
      <c r="DH124" s="71"/>
      <c r="DI124" s="71"/>
    </row>
    <row r="125" spans="1:221">
      <c r="A125" s="34" t="s">
        <v>163</v>
      </c>
      <c r="AD125" s="511"/>
      <c r="AE125" s="511"/>
      <c r="AF125" s="511"/>
      <c r="AG125" s="511"/>
      <c r="AH125" s="511"/>
      <c r="AI125" s="511"/>
      <c r="AJ125" s="511"/>
      <c r="AK125" s="511"/>
      <c r="AL125" s="511"/>
      <c r="AM125" s="511"/>
      <c r="AN125" s="511"/>
      <c r="AO125" s="511"/>
      <c r="AP125" s="511"/>
      <c r="AQ125" s="511"/>
      <c r="AR125" s="511"/>
      <c r="AS125" s="511"/>
      <c r="AT125" s="511"/>
      <c r="AU125" s="511"/>
      <c r="AV125" s="511"/>
      <c r="AW125" s="511"/>
      <c r="AX125" s="512"/>
      <c r="AY125" s="512"/>
      <c r="AZ125" s="511"/>
      <c r="BA125" s="511"/>
      <c r="BB125" s="511"/>
      <c r="BC125" s="511"/>
      <c r="BD125" s="511"/>
      <c r="BE125" s="511"/>
      <c r="BF125" s="301"/>
      <c r="BG125" s="301"/>
      <c r="BH125" s="301"/>
      <c r="BI125" s="301"/>
      <c r="BJ125" s="301"/>
      <c r="BK125" s="301"/>
      <c r="BL125" s="301"/>
      <c r="BM125" s="513"/>
      <c r="BN125" s="513"/>
      <c r="BO125" s="513"/>
      <c r="BP125" s="301"/>
      <c r="BQ125" s="301"/>
      <c r="BR125" s="301"/>
      <c r="BS125" s="301"/>
      <c r="BT125" s="301"/>
      <c r="BU125" s="301"/>
      <c r="BV125" s="301"/>
      <c r="BW125" s="301"/>
      <c r="BX125" s="301"/>
      <c r="BY125" s="301"/>
      <c r="BZ125" s="301"/>
      <c r="CA125" s="301"/>
      <c r="CB125" s="301"/>
      <c r="CC125" s="301"/>
      <c r="CD125" s="301"/>
      <c r="CE125" s="301"/>
      <c r="CF125" s="301"/>
      <c r="CG125" s="301"/>
      <c r="CH125" s="458"/>
      <c r="CI125" s="458"/>
      <c r="CJ125" s="458"/>
      <c r="CK125" s="404"/>
      <c r="CL125" s="412"/>
      <c r="CM125" s="412"/>
      <c r="CN125" s="412"/>
      <c r="CO125" s="412"/>
      <c r="CP125" s="412"/>
      <c r="CQ125" s="412"/>
      <c r="CR125" s="404"/>
      <c r="CS125" s="404"/>
      <c r="CT125" s="409"/>
      <c r="CU125" s="409"/>
      <c r="CV125" s="404"/>
      <c r="CW125" s="404"/>
      <c r="CX125" s="404"/>
      <c r="CY125" s="404"/>
      <c r="CZ125" s="404"/>
      <c r="DA125" s="994"/>
      <c r="DB125" s="404"/>
      <c r="DC125" s="994"/>
      <c r="DD125" s="994"/>
      <c r="DE125" s="994"/>
      <c r="DF125" s="404"/>
      <c r="DG125" s="404"/>
      <c r="DH125" s="404"/>
      <c r="DI125" s="404"/>
    </row>
    <row r="126" spans="1:221">
      <c r="A126" s="515" t="s">
        <v>50</v>
      </c>
      <c r="G126" s="514"/>
      <c r="H126" s="515"/>
      <c r="I126" s="515"/>
      <c r="J126" s="515"/>
      <c r="K126" s="515">
        <f>+SUM(K127:K128)</f>
        <v>18842</v>
      </c>
      <c r="L126" s="515">
        <f>+SUM(L127:L128)</f>
        <v>21439</v>
      </c>
      <c r="M126" s="515">
        <f>+SUM(M127:M128)</f>
        <v>22191</v>
      </c>
      <c r="N126" s="515">
        <f>+SUM(N127:N128)</f>
        <v>21934</v>
      </c>
      <c r="O126" s="515">
        <f>+SUM(O127:O128)</f>
        <v>22216</v>
      </c>
      <c r="P126" s="515">
        <f>+P127+P128</f>
        <v>21868</v>
      </c>
      <c r="Q126" s="515">
        <f>+Q127+Q128</f>
        <v>21939</v>
      </c>
      <c r="R126" s="515">
        <f>+R127+R128</f>
        <v>22792</v>
      </c>
      <c r="S126" s="515">
        <f t="shared" ref="S126:W126" si="235">+S127+S128</f>
        <v>22851</v>
      </c>
      <c r="T126" s="515">
        <f t="shared" si="235"/>
        <v>22636</v>
      </c>
      <c r="U126" s="515">
        <f t="shared" si="235"/>
        <v>22346.287499134025</v>
      </c>
      <c r="V126" s="515">
        <f t="shared" si="235"/>
        <v>22260.160499931553</v>
      </c>
      <c r="W126" s="515">
        <f t="shared" si="235"/>
        <v>22239.218436189272</v>
      </c>
      <c r="X126" s="515">
        <f t="shared" ref="X126" si="236">+X127+X128</f>
        <v>22251.818250653709</v>
      </c>
      <c r="Y126" s="515">
        <f t="shared" ref="Y126" si="237">+Y127+Y128</f>
        <v>22272.995944132061</v>
      </c>
      <c r="Z126" s="515">
        <f t="shared" ref="Z126" si="238">+Z127+Z128</f>
        <v>22302.673128712238</v>
      </c>
      <c r="AA126" s="515">
        <f t="shared" ref="AA126" si="239">+AA127+AA128</f>
        <v>22340.781170366939</v>
      </c>
      <c r="AB126" s="515">
        <f t="shared" ref="AB126" si="240">+AB127+AB128</f>
        <v>22387.261186733045</v>
      </c>
      <c r="AD126" s="514"/>
      <c r="AE126" s="514"/>
      <c r="AF126" s="514"/>
      <c r="AG126" s="514"/>
      <c r="AH126" s="514"/>
      <c r="AI126" s="514"/>
      <c r="AJ126" s="514"/>
      <c r="AK126" s="514"/>
      <c r="AL126" s="514"/>
      <c r="AM126" s="514"/>
      <c r="AN126" s="514"/>
      <c r="AO126" s="514"/>
      <c r="AP126" s="514"/>
      <c r="AQ126" s="514"/>
      <c r="AR126" s="514"/>
      <c r="AS126" s="514"/>
      <c r="AT126" s="514"/>
      <c r="AU126" s="514"/>
      <c r="AV126" s="514"/>
      <c r="AW126" s="514"/>
      <c r="AX126" s="514"/>
      <c r="AY126" s="514"/>
      <c r="AZ126" s="514"/>
      <c r="BA126" s="514"/>
      <c r="BB126" s="514"/>
      <c r="BC126" s="514"/>
      <c r="BD126" s="514"/>
      <c r="BE126" s="514"/>
      <c r="BF126" s="515"/>
      <c r="BG126" s="515"/>
      <c r="BH126" s="515"/>
      <c r="BI126" s="515"/>
      <c r="BJ126" s="515"/>
      <c r="BK126" s="515"/>
      <c r="BL126" s="515"/>
      <c r="BM126" s="515"/>
      <c r="BN126" s="515"/>
      <c r="BO126" s="515"/>
      <c r="BP126" s="515"/>
      <c r="BQ126" s="515"/>
      <c r="BR126" s="516">
        <f t="shared" ref="BR126:CG126" si="241">+SUM(BR127:BR128)</f>
        <v>4321</v>
      </c>
      <c r="BS126" s="516">
        <f t="shared" si="241"/>
        <v>4910</v>
      </c>
      <c r="BT126" s="516">
        <f t="shared" si="241"/>
        <v>5085</v>
      </c>
      <c r="BU126" s="516">
        <f t="shared" si="241"/>
        <v>4526</v>
      </c>
      <c r="BV126" s="516">
        <f t="shared" si="241"/>
        <v>4011</v>
      </c>
      <c r="BW126" s="516">
        <f t="shared" si="241"/>
        <v>6142</v>
      </c>
      <c r="BX126" s="516">
        <f t="shared" si="241"/>
        <v>5779</v>
      </c>
      <c r="BY126" s="516">
        <f t="shared" si="241"/>
        <v>5507</v>
      </c>
      <c r="BZ126" s="516">
        <f t="shared" si="241"/>
        <v>5258</v>
      </c>
      <c r="CA126" s="516">
        <f t="shared" si="241"/>
        <v>5744</v>
      </c>
      <c r="CB126" s="516">
        <f t="shared" si="241"/>
        <v>5876</v>
      </c>
      <c r="CC126" s="516">
        <f t="shared" si="241"/>
        <v>5313</v>
      </c>
      <c r="CD126" s="516">
        <f>11001-CE126</f>
        <v>5143</v>
      </c>
      <c r="CE126" s="516">
        <v>5858</v>
      </c>
      <c r="CF126" s="516">
        <f t="shared" si="241"/>
        <v>5500</v>
      </c>
      <c r="CG126" s="516">
        <f t="shared" si="241"/>
        <v>5433</v>
      </c>
      <c r="CH126" s="516">
        <v>5100</v>
      </c>
      <c r="CI126" s="516">
        <v>5903</v>
      </c>
      <c r="CJ126" s="516">
        <v>5613</v>
      </c>
      <c r="CK126" s="516">
        <v>5600</v>
      </c>
      <c r="CL126" s="516">
        <v>4968</v>
      </c>
      <c r="CM126" s="516">
        <v>5678</v>
      </c>
      <c r="CN126" s="516">
        <v>5802</v>
      </c>
      <c r="CO126" s="517">
        <v>5420</v>
      </c>
      <c r="CP126" s="517">
        <v>4958</v>
      </c>
      <c r="CQ126" s="516">
        <v>5611</v>
      </c>
      <c r="CR126" s="517">
        <v>5859</v>
      </c>
      <c r="CS126" s="433">
        <v>5511</v>
      </c>
      <c r="CT126" s="694">
        <v>5221</v>
      </c>
      <c r="CU126" s="694">
        <v>5974</v>
      </c>
      <c r="CV126" s="694">
        <v>6040</v>
      </c>
      <c r="CW126" s="694">
        <v>5557</v>
      </c>
      <c r="CX126" s="433">
        <v>5422</v>
      </c>
      <c r="CY126" s="433">
        <v>5829</v>
      </c>
      <c r="CZ126" s="694">
        <v>6147</v>
      </c>
      <c r="DA126" s="989">
        <v>5453</v>
      </c>
      <c r="DB126" s="989">
        <v>5458</v>
      </c>
      <c r="DC126" s="989">
        <v>5922</v>
      </c>
      <c r="DD126" s="989">
        <v>5975</v>
      </c>
      <c r="DE126" s="989">
        <v>5281</v>
      </c>
      <c r="DF126" s="385">
        <f t="shared" ref="DF126:DI126" si="242">+DF127+DF128</f>
        <v>5268.4121288579772</v>
      </c>
      <c r="DG126" s="385">
        <f t="shared" si="242"/>
        <v>5812.7509806303497</v>
      </c>
      <c r="DH126" s="385">
        <f t="shared" si="242"/>
        <v>5929.3896277529184</v>
      </c>
      <c r="DI126" s="385">
        <f t="shared" si="242"/>
        <v>5335.7347618927806</v>
      </c>
      <c r="DJ126" s="16"/>
    </row>
    <row r="127" spans="1:221">
      <c r="A127" s="932" t="s">
        <v>228</v>
      </c>
      <c r="B127" s="792">
        <v>19596</v>
      </c>
      <c r="C127" s="792">
        <v>18967</v>
      </c>
      <c r="D127" s="792">
        <v>19902</v>
      </c>
      <c r="E127" s="792">
        <f>5018+4881+5022+3956</f>
        <v>18877</v>
      </c>
      <c r="F127" s="792">
        <f>17001.4</f>
        <v>17001.400000000001</v>
      </c>
      <c r="G127" s="515">
        <f>SUM(BB127:BE127)</f>
        <v>17511</v>
      </c>
      <c r="H127" s="515">
        <f>SUM(BF127:BI127)</f>
        <v>18134</v>
      </c>
      <c r="I127" s="515">
        <f>SUM(BJ127:BM127)</f>
        <v>18474</v>
      </c>
      <c r="J127" s="515">
        <f>SUM(BN127:BQ127)</f>
        <v>18485</v>
      </c>
      <c r="K127" s="515">
        <f>SUM(BR127:BU127)</f>
        <v>18455</v>
      </c>
      <c r="L127" s="515">
        <f>SUM(BV127:BY127)</f>
        <v>20919</v>
      </c>
      <c r="M127" s="515">
        <f>SUM(BZ127:CC127)</f>
        <v>21631</v>
      </c>
      <c r="N127" s="515">
        <f>SUM(CD127:CG127)</f>
        <v>21330</v>
      </c>
      <c r="O127" s="515">
        <f>SUM(CH127:CK127)</f>
        <v>21531</v>
      </c>
      <c r="P127" s="528">
        <v>21231</v>
      </c>
      <c r="Q127" s="734">
        <v>21298</v>
      </c>
      <c r="R127" s="988">
        <v>22133</v>
      </c>
      <c r="S127" s="1056">
        <v>22146</v>
      </c>
      <c r="T127" s="793">
        <f>+SUM(DB127:DE127)</f>
        <v>21828.196990358098</v>
      </c>
      <c r="U127" s="793">
        <f t="shared" ref="U127:AB127" si="243">+U263*U267</f>
        <v>21489.612407408789</v>
      </c>
      <c r="V127" s="793">
        <f t="shared" si="243"/>
        <v>21368.961402009791</v>
      </c>
      <c r="W127" s="793">
        <f t="shared" si="243"/>
        <v>21312.104014621262</v>
      </c>
      <c r="X127" s="793">
        <f t="shared" si="243"/>
        <v>21282.520122904356</v>
      </c>
      <c r="Y127" s="793">
        <f t="shared" si="243"/>
        <v>21259.594751570112</v>
      </c>
      <c r="Z127" s="793">
        <f t="shared" si="243"/>
        <v>21243.162181888722</v>
      </c>
      <c r="AA127" s="793">
        <f t="shared" si="243"/>
        <v>21233.06247546295</v>
      </c>
      <c r="AB127" s="793">
        <f t="shared" si="243"/>
        <v>21229.141291210926</v>
      </c>
      <c r="AD127" s="518">
        <v>3336</v>
      </c>
      <c r="AE127" s="518">
        <v>3726</v>
      </c>
      <c r="AF127" s="518">
        <v>4142</v>
      </c>
      <c r="AG127" s="518">
        <v>4106</v>
      </c>
      <c r="AH127" s="518">
        <v>4460</v>
      </c>
      <c r="AI127" s="518">
        <v>4735</v>
      </c>
      <c r="AJ127" s="518">
        <v>5157</v>
      </c>
      <c r="AK127" s="518">
        <f>5244</f>
        <v>5244</v>
      </c>
      <c r="AL127" s="518">
        <v>5446</v>
      </c>
      <c r="AM127" s="518">
        <v>5706</v>
      </c>
      <c r="AN127" s="518">
        <v>5835</v>
      </c>
      <c r="AO127" s="518">
        <v>5671</v>
      </c>
      <c r="AP127" s="518">
        <v>4577</v>
      </c>
      <c r="AQ127" s="518">
        <v>5105</v>
      </c>
      <c r="AR127" s="518">
        <v>5144</v>
      </c>
      <c r="AS127" s="518">
        <v>5076</v>
      </c>
      <c r="AT127" s="518">
        <v>5018</v>
      </c>
      <c r="AU127" s="518">
        <v>4881</v>
      </c>
      <c r="AV127" s="518">
        <v>5022</v>
      </c>
      <c r="AW127" s="518">
        <v>3956</v>
      </c>
      <c r="AX127" s="518">
        <v>3817</v>
      </c>
      <c r="AY127" s="518">
        <v>4497.8999999999996</v>
      </c>
      <c r="AZ127" s="518">
        <v>4440</v>
      </c>
      <c r="BA127" s="518">
        <v>4246</v>
      </c>
      <c r="BB127" s="518">
        <v>4004</v>
      </c>
      <c r="BC127" s="518">
        <v>4582</v>
      </c>
      <c r="BD127" s="519">
        <v>4505</v>
      </c>
      <c r="BE127" s="519">
        <v>4420</v>
      </c>
      <c r="BF127" s="516">
        <v>4146</v>
      </c>
      <c r="BG127" s="516">
        <v>4790</v>
      </c>
      <c r="BH127" s="516">
        <v>4731</v>
      </c>
      <c r="BI127" s="516">
        <v>4467</v>
      </c>
      <c r="BJ127" s="516">
        <v>4323</v>
      </c>
      <c r="BK127" s="516">
        <v>4785</v>
      </c>
      <c r="BL127" s="516">
        <v>4830</v>
      </c>
      <c r="BM127" s="516">
        <v>4536</v>
      </c>
      <c r="BN127" s="516">
        <v>4245</v>
      </c>
      <c r="BO127" s="516">
        <v>4809</v>
      </c>
      <c r="BP127" s="516">
        <v>4944</v>
      </c>
      <c r="BQ127" s="516">
        <v>4487</v>
      </c>
      <c r="BR127" s="516">
        <f>4233-3</f>
        <v>4230</v>
      </c>
      <c r="BS127" s="516">
        <f>4916-107</f>
        <v>4809</v>
      </c>
      <c r="BT127" s="516">
        <f>5084-97</f>
        <v>4987</v>
      </c>
      <c r="BU127" s="516">
        <f>4520-91</f>
        <v>4429</v>
      </c>
      <c r="BV127" s="516">
        <v>3896</v>
      </c>
      <c r="BW127" s="516">
        <v>6024</v>
      </c>
      <c r="BX127" s="516">
        <v>5626</v>
      </c>
      <c r="BY127" s="516">
        <v>5373</v>
      </c>
      <c r="BZ127" s="516">
        <v>5123</v>
      </c>
      <c r="CA127" s="516">
        <v>5589</v>
      </c>
      <c r="CB127" s="516">
        <v>5729</v>
      </c>
      <c r="CC127" s="516">
        <v>5190</v>
      </c>
      <c r="CD127" s="516">
        <v>5011</v>
      </c>
      <c r="CE127" s="516">
        <v>5687</v>
      </c>
      <c r="CF127" s="516">
        <v>5331</v>
      </c>
      <c r="CG127" s="516">
        <f>21330-SUM(CD127:CF127)</f>
        <v>5301</v>
      </c>
      <c r="CH127" s="516">
        <v>4922</v>
      </c>
      <c r="CI127" s="516">
        <v>5724</v>
      </c>
      <c r="CJ127" s="516">
        <v>5444</v>
      </c>
      <c r="CK127" s="385">
        <f>21531-SUM(CH127:CJ127)</f>
        <v>5441</v>
      </c>
      <c r="CL127" s="516">
        <v>4822</v>
      </c>
      <c r="CM127" s="516">
        <v>5518</v>
      </c>
      <c r="CN127" s="516">
        <v>5627</v>
      </c>
      <c r="CO127" s="414">
        <f>+P127-SUM(CL127:CN127)</f>
        <v>5264</v>
      </c>
      <c r="CP127" s="517">
        <v>4818</v>
      </c>
      <c r="CQ127" s="516">
        <v>5443</v>
      </c>
      <c r="CR127" s="516">
        <v>5684</v>
      </c>
      <c r="CS127" s="414">
        <f>+Q127-SUM(CP127:CR127)</f>
        <v>5353</v>
      </c>
      <c r="CT127" s="694">
        <v>5069</v>
      </c>
      <c r="CU127" s="694">
        <v>5810</v>
      </c>
      <c r="CV127" s="694">
        <v>5865</v>
      </c>
      <c r="CW127" s="414">
        <f>+R127-SUM(CT127:CV127)</f>
        <v>5389</v>
      </c>
      <c r="CX127" s="433">
        <v>5265</v>
      </c>
      <c r="CY127" s="694">
        <v>5645</v>
      </c>
      <c r="CZ127" s="694">
        <v>5964</v>
      </c>
      <c r="DA127" s="1020">
        <f>+S127-SUM(CX127:CZ127)</f>
        <v>5272</v>
      </c>
      <c r="DB127" s="989">
        <v>5271</v>
      </c>
      <c r="DC127" s="989">
        <v>5713</v>
      </c>
      <c r="DD127" s="989">
        <v>5764</v>
      </c>
      <c r="DE127" s="1020">
        <f>+DE126*DE256</f>
        <v>5080.1969903580994</v>
      </c>
      <c r="DF127" s="385">
        <f t="shared" ref="DF127:DH127" si="244">+DF149+DF161</f>
        <v>5069.7727500000001</v>
      </c>
      <c r="DG127" s="385">
        <f t="shared" si="244"/>
        <v>5595.5312249999997</v>
      </c>
      <c r="DH127" s="385">
        <f t="shared" si="244"/>
        <v>5704.554075</v>
      </c>
      <c r="DI127" s="385">
        <f>+U127-SUM(DF127:DH127)</f>
        <v>5119.7543574087904</v>
      </c>
    </row>
    <row r="128" spans="1:221">
      <c r="A128" s="932" t="s">
        <v>230</v>
      </c>
      <c r="B128" s="792"/>
      <c r="C128" s="792"/>
      <c r="D128" s="792"/>
      <c r="E128" s="792"/>
      <c r="F128" s="792"/>
      <c r="G128" s="515"/>
      <c r="H128" s="515"/>
      <c r="I128" s="514" t="s">
        <v>618</v>
      </c>
      <c r="J128" s="514" t="s">
        <v>618</v>
      </c>
      <c r="K128" s="515">
        <f>SUM(BR128:BU128)</f>
        <v>387</v>
      </c>
      <c r="L128" s="515">
        <f>SUM(BV128:BY128)</f>
        <v>520</v>
      </c>
      <c r="M128" s="515">
        <f>SUM(BZ128:CC128)</f>
        <v>560</v>
      </c>
      <c r="N128" s="515">
        <f>SUM(CD128:CG128)</f>
        <v>604</v>
      </c>
      <c r="O128" s="515">
        <f>SUM(CH128:CK128)</f>
        <v>685</v>
      </c>
      <c r="P128" s="515">
        <f>+SUM(CL128:CO128)</f>
        <v>637</v>
      </c>
      <c r="Q128" s="515">
        <f>+SUM(CP128:CS128)</f>
        <v>641</v>
      </c>
      <c r="R128" s="793">
        <f>+SUM(CT128:CW128)</f>
        <v>659</v>
      </c>
      <c r="S128" s="311">
        <f>+SUM(CX128:DA128)</f>
        <v>705</v>
      </c>
      <c r="T128" s="793">
        <f t="shared" ref="T128:T131" si="245">+SUM(DB128:DE128)</f>
        <v>807.80300964190064</v>
      </c>
      <c r="U128" s="311">
        <f>+IS!U346</f>
        <v>856.67509172523569</v>
      </c>
      <c r="V128" s="311">
        <f>+IS!V346</f>
        <v>891.19909792176281</v>
      </c>
      <c r="W128" s="311">
        <f>+IS!W346</f>
        <v>927.11442156800967</v>
      </c>
      <c r="X128" s="311">
        <f>+IS!X346</f>
        <v>969.29812774935419</v>
      </c>
      <c r="Y128" s="311">
        <f>+IS!Y346</f>
        <v>1013.4011925619496</v>
      </c>
      <c r="Z128" s="311">
        <f>+IS!Z346</f>
        <v>1059.5109468235182</v>
      </c>
      <c r="AA128" s="311">
        <f>+IS!AA346</f>
        <v>1107.7186949039883</v>
      </c>
      <c r="AB128" s="311">
        <f>+IS!AB346</f>
        <v>1158.1198955221196</v>
      </c>
      <c r="AD128" s="518"/>
      <c r="AE128" s="518"/>
      <c r="AF128" s="518"/>
      <c r="AG128" s="518"/>
      <c r="AH128" s="518"/>
      <c r="AI128" s="518"/>
      <c r="AJ128" s="518"/>
      <c r="AK128" s="518"/>
      <c r="AL128" s="518"/>
      <c r="AM128" s="518"/>
      <c r="AN128" s="518"/>
      <c r="AO128" s="518"/>
      <c r="AP128" s="518"/>
      <c r="AQ128" s="518"/>
      <c r="AR128" s="518"/>
      <c r="AS128" s="518"/>
      <c r="AT128" s="518"/>
      <c r="AU128" s="518"/>
      <c r="AV128" s="518"/>
      <c r="AW128" s="518"/>
      <c r="AX128" s="518"/>
      <c r="AY128" s="518"/>
      <c r="AZ128" s="518"/>
      <c r="BA128" s="518"/>
      <c r="BB128" s="518"/>
      <c r="BC128" s="518"/>
      <c r="BD128" s="519"/>
      <c r="BE128" s="519"/>
      <c r="BF128" s="516"/>
      <c r="BG128" s="516"/>
      <c r="BH128" s="516"/>
      <c r="BI128" s="516"/>
      <c r="BJ128" s="378" t="s">
        <v>618</v>
      </c>
      <c r="BK128" s="378" t="s">
        <v>618</v>
      </c>
      <c r="BL128" s="378" t="s">
        <v>618</v>
      </c>
      <c r="BM128" s="520" t="s">
        <v>618</v>
      </c>
      <c r="BN128" s="378" t="s">
        <v>618</v>
      </c>
      <c r="BO128" s="378" t="s">
        <v>618</v>
      </c>
      <c r="BP128" s="520" t="s">
        <v>618</v>
      </c>
      <c r="BQ128" s="520" t="s">
        <v>618</v>
      </c>
      <c r="BR128" s="516">
        <v>91</v>
      </c>
      <c r="BS128" s="516">
        <v>101</v>
      </c>
      <c r="BT128" s="516">
        <v>98</v>
      </c>
      <c r="BU128" s="516">
        <v>97</v>
      </c>
      <c r="BV128" s="516">
        <v>115</v>
      </c>
      <c r="BW128" s="516">
        <v>118</v>
      </c>
      <c r="BX128" s="516">
        <v>153</v>
      </c>
      <c r="BY128" s="516">
        <v>134</v>
      </c>
      <c r="BZ128" s="516">
        <v>135</v>
      </c>
      <c r="CA128" s="516">
        <v>155</v>
      </c>
      <c r="CB128" s="516">
        <v>147</v>
      </c>
      <c r="CC128" s="516">
        <v>123</v>
      </c>
      <c r="CD128" s="385">
        <f>CD126-CD127</f>
        <v>132</v>
      </c>
      <c r="CE128" s="385">
        <f>CE126-CE127</f>
        <v>171</v>
      </c>
      <c r="CF128" s="516">
        <v>169</v>
      </c>
      <c r="CG128" s="516">
        <v>132</v>
      </c>
      <c r="CH128" s="385">
        <f t="shared" ref="CH128:DB128" si="246">+CH126-CH127</f>
        <v>178</v>
      </c>
      <c r="CI128" s="385">
        <f t="shared" si="246"/>
        <v>179</v>
      </c>
      <c r="CJ128" s="385">
        <f t="shared" si="246"/>
        <v>169</v>
      </c>
      <c r="CK128" s="385">
        <f t="shared" si="246"/>
        <v>159</v>
      </c>
      <c r="CL128" s="385">
        <f t="shared" si="246"/>
        <v>146</v>
      </c>
      <c r="CM128" s="385">
        <f t="shared" si="246"/>
        <v>160</v>
      </c>
      <c r="CN128" s="385">
        <f t="shared" si="246"/>
        <v>175</v>
      </c>
      <c r="CO128" s="414">
        <f t="shared" si="246"/>
        <v>156</v>
      </c>
      <c r="CP128" s="385">
        <f t="shared" si="246"/>
        <v>140</v>
      </c>
      <c r="CQ128" s="385">
        <f t="shared" si="246"/>
        <v>168</v>
      </c>
      <c r="CR128" s="414">
        <f t="shared" si="246"/>
        <v>175</v>
      </c>
      <c r="CS128" s="385">
        <f t="shared" si="246"/>
        <v>158</v>
      </c>
      <c r="CT128" s="414">
        <f t="shared" si="246"/>
        <v>152</v>
      </c>
      <c r="CU128" s="414">
        <f t="shared" si="246"/>
        <v>164</v>
      </c>
      <c r="CV128" s="414">
        <f t="shared" si="246"/>
        <v>175</v>
      </c>
      <c r="CW128" s="414">
        <f t="shared" si="246"/>
        <v>168</v>
      </c>
      <c r="CX128" s="414">
        <f t="shared" si="246"/>
        <v>157</v>
      </c>
      <c r="CY128" s="414">
        <f t="shared" si="246"/>
        <v>184</v>
      </c>
      <c r="CZ128" s="414">
        <f t="shared" si="246"/>
        <v>183</v>
      </c>
      <c r="DA128" s="1020">
        <f>+DA126-DA127</f>
        <v>181</v>
      </c>
      <c r="DB128" s="1020">
        <f t="shared" si="246"/>
        <v>187</v>
      </c>
      <c r="DC128" s="1020">
        <f>+DC126-DC127</f>
        <v>209</v>
      </c>
      <c r="DD128" s="1020">
        <f>+DD126-DD127</f>
        <v>211</v>
      </c>
      <c r="DE128" s="1020">
        <f>+DE126-DE127</f>
        <v>200.80300964190064</v>
      </c>
      <c r="DF128" s="385">
        <f t="shared" ref="DF128:DH128" si="247">+DF150+DF162</f>
        <v>198.63937885797668</v>
      </c>
      <c r="DG128" s="385">
        <f t="shared" si="247"/>
        <v>217.21975563035019</v>
      </c>
      <c r="DH128" s="385">
        <f t="shared" si="247"/>
        <v>224.83555275291826</v>
      </c>
      <c r="DI128" s="385">
        <f>+U128-SUM(DF128:DH128)</f>
        <v>215.98040448399058</v>
      </c>
    </row>
    <row r="129" spans="1:114">
      <c r="A129" s="932" t="s">
        <v>698</v>
      </c>
      <c r="B129" s="792"/>
      <c r="C129" s="792"/>
      <c r="D129" s="792"/>
      <c r="E129" s="792"/>
      <c r="F129" s="792"/>
      <c r="G129" s="515"/>
      <c r="H129" s="515"/>
      <c r="I129" s="515"/>
      <c r="J129" s="514" t="s">
        <v>618</v>
      </c>
      <c r="K129" s="514" t="s">
        <v>618</v>
      </c>
      <c r="L129" s="515">
        <f>SUM(BV129:BY129)</f>
        <v>1366</v>
      </c>
      <c r="M129" s="515">
        <f>SUM(BZ129:CC129)</f>
        <v>1552</v>
      </c>
      <c r="N129" s="515">
        <f>SUM(CD129:CG129)</f>
        <v>1627</v>
      </c>
      <c r="O129" s="515">
        <f>SUM(CH129:CK129)</f>
        <v>1691</v>
      </c>
      <c r="P129" s="515">
        <f>SUM(CL129:CO129)</f>
        <v>1778</v>
      </c>
      <c r="Q129" s="515">
        <f>SUM(CP129:CS129)</f>
        <v>1809</v>
      </c>
      <c r="R129" s="793">
        <f>+SUM(CT129:CW129)</f>
        <v>1879</v>
      </c>
      <c r="S129" s="311">
        <f>+SUM(CX129:DA129)</f>
        <v>2051</v>
      </c>
      <c r="T129" s="793">
        <f t="shared" si="245"/>
        <v>2155</v>
      </c>
      <c r="U129" s="793">
        <f t="shared" ref="U129:AB129" si="248">+U409*U385</f>
        <v>2285.3775000000001</v>
      </c>
      <c r="V129" s="793">
        <f t="shared" si="248"/>
        <v>2400.5605259999998</v>
      </c>
      <c r="W129" s="793">
        <f t="shared" si="248"/>
        <v>2521.5487765103999</v>
      </c>
      <c r="X129" s="793">
        <f t="shared" si="248"/>
        <v>2675.1110969998836</v>
      </c>
      <c r="Y129" s="793">
        <f t="shared" si="248"/>
        <v>2838.0253628071764</v>
      </c>
      <c r="Z129" s="793">
        <f t="shared" si="248"/>
        <v>3010.8611074021337</v>
      </c>
      <c r="AA129" s="793">
        <f t="shared" si="248"/>
        <v>3194.2225488429235</v>
      </c>
      <c r="AB129" s="793">
        <f t="shared" si="248"/>
        <v>3388.750702067458</v>
      </c>
      <c r="AD129" s="518"/>
      <c r="AE129" s="518"/>
      <c r="AF129" s="518"/>
      <c r="AG129" s="518"/>
      <c r="AH129" s="518"/>
      <c r="AI129" s="518"/>
      <c r="AJ129" s="518"/>
      <c r="AK129" s="518"/>
      <c r="AL129" s="518"/>
      <c r="AM129" s="518"/>
      <c r="AN129" s="518"/>
      <c r="AO129" s="518"/>
      <c r="AP129" s="518"/>
      <c r="AQ129" s="518"/>
      <c r="AR129" s="518"/>
      <c r="AS129" s="518"/>
      <c r="AT129" s="518"/>
      <c r="AU129" s="518"/>
      <c r="AV129" s="518"/>
      <c r="AW129" s="518"/>
      <c r="AX129" s="518"/>
      <c r="AY129" s="518"/>
      <c r="AZ129" s="518"/>
      <c r="BA129" s="518"/>
      <c r="BB129" s="518"/>
      <c r="BC129" s="518"/>
      <c r="BD129" s="519"/>
      <c r="BE129" s="519"/>
      <c r="BF129" s="516"/>
      <c r="BG129" s="516"/>
      <c r="BH129" s="516"/>
      <c r="BI129" s="516"/>
      <c r="BJ129" s="516"/>
      <c r="BK129" s="516"/>
      <c r="BL129" s="516"/>
      <c r="BM129" s="516"/>
      <c r="BN129" s="520" t="s">
        <v>618</v>
      </c>
      <c r="BO129" s="520" t="s">
        <v>618</v>
      </c>
      <c r="BP129" s="520" t="s">
        <v>618</v>
      </c>
      <c r="BQ129" s="520" t="s">
        <v>618</v>
      </c>
      <c r="BR129" s="520" t="s">
        <v>618</v>
      </c>
      <c r="BS129" s="520" t="s">
        <v>618</v>
      </c>
      <c r="BT129" s="520" t="s">
        <v>618</v>
      </c>
      <c r="BU129" s="520" t="s">
        <v>618</v>
      </c>
      <c r="BV129" s="516">
        <v>298</v>
      </c>
      <c r="BW129" s="516">
        <v>373</v>
      </c>
      <c r="BX129" s="516">
        <v>352</v>
      </c>
      <c r="BY129" s="516">
        <v>343</v>
      </c>
      <c r="BZ129" s="516">
        <v>381</v>
      </c>
      <c r="CA129" s="516">
        <v>390</v>
      </c>
      <c r="CB129" s="516">
        <v>389</v>
      </c>
      <c r="CC129" s="516">
        <v>392</v>
      </c>
      <c r="CD129" s="516">
        <v>379</v>
      </c>
      <c r="CE129" s="516">
        <v>404</v>
      </c>
      <c r="CF129" s="516">
        <v>426</v>
      </c>
      <c r="CG129" s="516">
        <v>418</v>
      </c>
      <c r="CH129" s="516">
        <v>380</v>
      </c>
      <c r="CI129" s="516">
        <v>426</v>
      </c>
      <c r="CJ129" s="516">
        <v>437</v>
      </c>
      <c r="CK129" s="516">
        <v>448</v>
      </c>
      <c r="CL129" s="516">
        <v>390</v>
      </c>
      <c r="CM129" s="516">
        <v>458</v>
      </c>
      <c r="CN129" s="516">
        <v>485</v>
      </c>
      <c r="CO129" s="517">
        <v>445</v>
      </c>
      <c r="CP129" s="517">
        <v>415</v>
      </c>
      <c r="CQ129" s="516">
        <v>464</v>
      </c>
      <c r="CR129" s="517">
        <v>466</v>
      </c>
      <c r="CS129" s="433">
        <v>464</v>
      </c>
      <c r="CT129" s="694">
        <v>430</v>
      </c>
      <c r="CU129" s="694">
        <v>481</v>
      </c>
      <c r="CV129" s="694">
        <v>482</v>
      </c>
      <c r="CW129" s="694">
        <v>486</v>
      </c>
      <c r="CX129" s="433">
        <v>479</v>
      </c>
      <c r="CY129" s="433">
        <v>523</v>
      </c>
      <c r="CZ129" s="694">
        <v>528</v>
      </c>
      <c r="DA129" s="989">
        <v>521</v>
      </c>
      <c r="DB129" s="989">
        <v>466</v>
      </c>
      <c r="DC129" s="989">
        <v>564</v>
      </c>
      <c r="DD129" s="989">
        <v>550</v>
      </c>
      <c r="DE129" s="989">
        <v>575</v>
      </c>
      <c r="DF129" s="385">
        <f>DF409*DF385</f>
        <v>527.97799999999995</v>
      </c>
      <c r="DG129" s="385">
        <f>DG409*DG385</f>
        <v>592.19999999999993</v>
      </c>
      <c r="DH129" s="385">
        <f>DH409*DH385</f>
        <v>583.27500000000009</v>
      </c>
      <c r="DI129" s="385">
        <f>U129-DH129-DG129-DF129</f>
        <v>581.92450000000019</v>
      </c>
      <c r="DJ129" s="16"/>
    </row>
    <row r="130" spans="1:114">
      <c r="A130" s="932" t="s">
        <v>229</v>
      </c>
      <c r="B130" s="792"/>
      <c r="C130" s="792"/>
      <c r="D130" s="792"/>
      <c r="E130" s="792"/>
      <c r="F130" s="792"/>
      <c r="G130" s="515"/>
      <c r="H130" s="515"/>
      <c r="I130" s="515"/>
      <c r="J130" s="514" t="s">
        <v>618</v>
      </c>
      <c r="K130" s="514" t="s">
        <v>618</v>
      </c>
      <c r="L130" s="515">
        <f>SUM(BV130:BY130)</f>
        <v>403</v>
      </c>
      <c r="M130" s="515">
        <f>SUM(BZ130:CC130)</f>
        <v>459</v>
      </c>
      <c r="N130" s="515">
        <f>SUM(CD130:CG130)</f>
        <v>516</v>
      </c>
      <c r="O130" s="515">
        <f>SUM(CH130:CK130)</f>
        <v>561</v>
      </c>
      <c r="P130" s="515">
        <f>SUM(CL130:CO130)</f>
        <v>609</v>
      </c>
      <c r="Q130" s="515">
        <f>SUM(CP130:CS130)</f>
        <v>643</v>
      </c>
      <c r="R130" s="793">
        <f>+SUM(CT130:CW130)</f>
        <v>692</v>
      </c>
      <c r="S130" s="311">
        <f t="shared" ref="S130:S131" si="249">+SUM(CX130:DA130)</f>
        <v>746</v>
      </c>
      <c r="T130" s="793">
        <f t="shared" si="245"/>
        <v>698</v>
      </c>
      <c r="U130" s="794">
        <f t="shared" ref="U130:AB130" si="250">U152+U164</f>
        <v>699.15</v>
      </c>
      <c r="V130" s="794">
        <f t="shared" si="250"/>
        <v>734.10749999999996</v>
      </c>
      <c r="W130" s="794">
        <f t="shared" si="250"/>
        <v>784.98787500000003</v>
      </c>
      <c r="X130" s="794">
        <f t="shared" si="250"/>
        <v>828.02908124999999</v>
      </c>
      <c r="Y130" s="794">
        <f t="shared" si="250"/>
        <v>873.4308974999999</v>
      </c>
      <c r="Z130" s="794">
        <f t="shared" si="250"/>
        <v>921.32282448281239</v>
      </c>
      <c r="AA130" s="794">
        <f t="shared" si="250"/>
        <v>971.84146883069513</v>
      </c>
      <c r="AB130" s="794">
        <f t="shared" si="250"/>
        <v>1025.1309330677777</v>
      </c>
      <c r="AD130" s="518"/>
      <c r="AE130" s="518"/>
      <c r="AF130" s="518"/>
      <c r="AG130" s="518"/>
      <c r="AH130" s="518"/>
      <c r="AI130" s="518"/>
      <c r="AJ130" s="518"/>
      <c r="AK130" s="518"/>
      <c r="AL130" s="518"/>
      <c r="AM130" s="518"/>
      <c r="AN130" s="518"/>
      <c r="AO130" s="518"/>
      <c r="AP130" s="518"/>
      <c r="AQ130" s="518"/>
      <c r="AR130" s="518"/>
      <c r="AS130" s="518"/>
      <c r="AT130" s="518"/>
      <c r="AU130" s="518"/>
      <c r="AV130" s="518"/>
      <c r="AW130" s="518"/>
      <c r="AX130" s="518"/>
      <c r="AY130" s="518"/>
      <c r="AZ130" s="518"/>
      <c r="BA130" s="518"/>
      <c r="BB130" s="518"/>
      <c r="BC130" s="518"/>
      <c r="BD130" s="519"/>
      <c r="BE130" s="519"/>
      <c r="BF130" s="516"/>
      <c r="BG130" s="516"/>
      <c r="BH130" s="516"/>
      <c r="BI130" s="516"/>
      <c r="BJ130" s="516"/>
      <c r="BK130" s="516"/>
      <c r="BL130" s="516"/>
      <c r="BM130" s="516"/>
      <c r="BN130" s="520" t="s">
        <v>618</v>
      </c>
      <c r="BO130" s="520" t="s">
        <v>618</v>
      </c>
      <c r="BP130" s="520" t="s">
        <v>618</v>
      </c>
      <c r="BQ130" s="520" t="s">
        <v>618</v>
      </c>
      <c r="BR130" s="520" t="s">
        <v>618</v>
      </c>
      <c r="BS130" s="520" t="s">
        <v>618</v>
      </c>
      <c r="BT130" s="520" t="s">
        <v>618</v>
      </c>
      <c r="BU130" s="520" t="s">
        <v>618</v>
      </c>
      <c r="BV130" s="516">
        <v>75</v>
      </c>
      <c r="BW130" s="516">
        <v>94</v>
      </c>
      <c r="BX130" s="516">
        <v>102</v>
      </c>
      <c r="BY130" s="516">
        <v>132</v>
      </c>
      <c r="BZ130" s="516">
        <v>95</v>
      </c>
      <c r="CA130" s="516">
        <v>106</v>
      </c>
      <c r="CB130" s="516">
        <v>107</v>
      </c>
      <c r="CC130" s="516">
        <v>151</v>
      </c>
      <c r="CD130" s="516">
        <v>101</v>
      </c>
      <c r="CE130" s="516">
        <v>116</v>
      </c>
      <c r="CF130" s="516">
        <v>132</v>
      </c>
      <c r="CG130" s="516">
        <v>167</v>
      </c>
      <c r="CH130" s="516">
        <v>113</v>
      </c>
      <c r="CI130" s="516">
        <v>128</v>
      </c>
      <c r="CJ130" s="516">
        <v>140</v>
      </c>
      <c r="CK130" s="516">
        <v>180</v>
      </c>
      <c r="CL130" s="516">
        <v>126</v>
      </c>
      <c r="CM130" s="516">
        <v>137</v>
      </c>
      <c r="CN130" s="516">
        <v>148</v>
      </c>
      <c r="CO130" s="517">
        <v>198</v>
      </c>
      <c r="CP130" s="517">
        <v>129</v>
      </c>
      <c r="CQ130" s="516">
        <v>146</v>
      </c>
      <c r="CR130" s="517">
        <v>153</v>
      </c>
      <c r="CS130" s="433">
        <v>215</v>
      </c>
      <c r="CT130" s="694">
        <v>134</v>
      </c>
      <c r="CU130" s="694">
        <v>161</v>
      </c>
      <c r="CV130" s="694">
        <v>166</v>
      </c>
      <c r="CW130" s="694">
        <v>231</v>
      </c>
      <c r="CX130" s="433">
        <v>145</v>
      </c>
      <c r="CY130" s="433">
        <v>171</v>
      </c>
      <c r="CZ130" s="694">
        <v>182</v>
      </c>
      <c r="DA130" s="989">
        <v>248</v>
      </c>
      <c r="DB130" s="989">
        <v>140</v>
      </c>
      <c r="DC130" s="989">
        <v>150</v>
      </c>
      <c r="DD130" s="989">
        <v>181</v>
      </c>
      <c r="DE130" s="989">
        <v>227</v>
      </c>
      <c r="DF130" s="385">
        <f>+DF152+DF164</f>
        <v>138.26925047107994</v>
      </c>
      <c r="DG130" s="385">
        <f>+DG152+DG164</f>
        <v>150.66789062343895</v>
      </c>
      <c r="DH130" s="385">
        <f>+DH152+DH164</f>
        <v>180.89003310435061</v>
      </c>
      <c r="DI130" s="385">
        <f>+U130-SUM(DF130:DH130)</f>
        <v>229.32282580113048</v>
      </c>
      <c r="DJ130" s="16"/>
    </row>
    <row r="131" spans="1:114">
      <c r="A131" s="932" t="s">
        <v>212</v>
      </c>
      <c r="B131" s="728">
        <v>355</v>
      </c>
      <c r="C131" s="728">
        <v>417</v>
      </c>
      <c r="D131" s="728">
        <v>435</v>
      </c>
      <c r="E131" s="728">
        <v>495</v>
      </c>
      <c r="F131" s="728">
        <v>439</v>
      </c>
      <c r="G131" s="736">
        <f>SUM(BB131:BE131)</f>
        <v>395</v>
      </c>
      <c r="H131" s="515">
        <f>SUM(BF131:BI131)</f>
        <v>325</v>
      </c>
      <c r="I131" s="515">
        <f>SUM(BJ131:BM131)</f>
        <v>317</v>
      </c>
      <c r="J131" s="515">
        <f>SUM(BN131:BQ131)</f>
        <v>179</v>
      </c>
      <c r="K131" s="515">
        <f>SUM(BR131:BU131)</f>
        <v>216</v>
      </c>
      <c r="L131" s="515">
        <f>SUM(BV131:BY131)</f>
        <v>348</v>
      </c>
      <c r="M131" s="515">
        <f>SUM(BZ131:CC131)</f>
        <v>161</v>
      </c>
      <c r="N131" s="515">
        <f>SUM(CD131:CG131)</f>
        <v>177</v>
      </c>
      <c r="O131" s="515">
        <f>SUM(CH131:CK131)</f>
        <v>150</v>
      </c>
      <c r="P131" s="515">
        <f>SUM(CL131:CO131)</f>
        <v>211</v>
      </c>
      <c r="Q131" s="515">
        <f>SUM(CP131:CS131)</f>
        <v>131</v>
      </c>
      <c r="R131" s="793">
        <f>+SUM(CT131:CW131)</f>
        <v>39.945937500000007</v>
      </c>
      <c r="S131" s="311">
        <f t="shared" si="249"/>
        <v>96</v>
      </c>
      <c r="T131" s="793">
        <f t="shared" si="245"/>
        <v>87</v>
      </c>
      <c r="U131" s="311">
        <f>BS!Z183</f>
        <v>111.30000000000001</v>
      </c>
      <c r="V131" s="311">
        <f>BS!AA183</f>
        <v>117.97800000000002</v>
      </c>
      <c r="W131" s="311">
        <f>BS!AB183</f>
        <v>125.05668000000003</v>
      </c>
      <c r="X131" s="311">
        <f>BS!AC183</f>
        <v>132.56008080000004</v>
      </c>
      <c r="Y131" s="311">
        <f>BS!AD183</f>
        <v>140.51368564800003</v>
      </c>
      <c r="Z131" s="311">
        <f>BS!AE183</f>
        <v>148.94450678688005</v>
      </c>
      <c r="AA131" s="311">
        <f>BS!AF183</f>
        <v>157.88117719409286</v>
      </c>
      <c r="AB131" s="311">
        <f>BS!AG183</f>
        <v>167.35404782573843</v>
      </c>
      <c r="AD131" s="518">
        <v>65</v>
      </c>
      <c r="AE131" s="518">
        <v>74</v>
      </c>
      <c r="AF131" s="518">
        <v>69</v>
      </c>
      <c r="AG131" s="518">
        <v>67</v>
      </c>
      <c r="AH131" s="518">
        <v>73</v>
      </c>
      <c r="AI131" s="518">
        <v>97</v>
      </c>
      <c r="AJ131" s="518">
        <v>89</v>
      </c>
      <c r="AK131" s="518">
        <v>96</v>
      </c>
      <c r="AL131" s="518">
        <v>92</v>
      </c>
      <c r="AM131" s="518">
        <v>107</v>
      </c>
      <c r="AN131" s="518">
        <v>106</v>
      </c>
      <c r="AO131" s="518">
        <v>112</v>
      </c>
      <c r="AP131" s="518">
        <v>100</v>
      </c>
      <c r="AQ131" s="518">
        <v>111</v>
      </c>
      <c r="AR131" s="518">
        <v>110</v>
      </c>
      <c r="AS131" s="518">
        <v>114</v>
      </c>
      <c r="AT131" s="518">
        <v>117</v>
      </c>
      <c r="AU131" s="518">
        <v>148</v>
      </c>
      <c r="AV131" s="518">
        <v>114</v>
      </c>
      <c r="AW131" s="518">
        <v>116</v>
      </c>
      <c r="AX131" s="521">
        <v>116</v>
      </c>
      <c r="AY131" s="521">
        <f>148-44</f>
        <v>104</v>
      </c>
      <c r="AZ131" s="521">
        <v>107</v>
      </c>
      <c r="BA131" s="521">
        <v>105</v>
      </c>
      <c r="BB131" s="518">
        <v>99</v>
      </c>
      <c r="BC131" s="520">
        <v>157</v>
      </c>
      <c r="BD131" s="522">
        <v>76</v>
      </c>
      <c r="BE131" s="520">
        <v>63</v>
      </c>
      <c r="BF131" s="385">
        <v>68</v>
      </c>
      <c r="BG131" s="516">
        <v>95</v>
      </c>
      <c r="BH131" s="516">
        <v>99</v>
      </c>
      <c r="BI131" s="516">
        <v>63</v>
      </c>
      <c r="BJ131" s="516">
        <v>108</v>
      </c>
      <c r="BK131" s="516">
        <v>55</v>
      </c>
      <c r="BL131" s="516">
        <v>109</v>
      </c>
      <c r="BM131" s="516">
        <v>45</v>
      </c>
      <c r="BN131" s="516">
        <v>43</v>
      </c>
      <c r="BO131" s="516">
        <v>52</v>
      </c>
      <c r="BP131" s="516">
        <f>31+12</f>
        <v>43</v>
      </c>
      <c r="BQ131" s="516">
        <f>94-53</f>
        <v>41</v>
      </c>
      <c r="BR131" s="516">
        <v>86</v>
      </c>
      <c r="BS131" s="516">
        <v>37</v>
      </c>
      <c r="BT131" s="516">
        <v>56</v>
      </c>
      <c r="BU131" s="516">
        <v>37</v>
      </c>
      <c r="BV131" s="516">
        <v>139</v>
      </c>
      <c r="BW131" s="516">
        <v>110</v>
      </c>
      <c r="BX131" s="516">
        <v>67</v>
      </c>
      <c r="BY131" s="516">
        <v>32</v>
      </c>
      <c r="BZ131" s="516">
        <v>26</v>
      </c>
      <c r="CA131" s="516">
        <v>34</v>
      </c>
      <c r="CB131" s="516">
        <v>30</v>
      </c>
      <c r="CC131" s="516">
        <v>71</v>
      </c>
      <c r="CD131" s="516">
        <v>20</v>
      </c>
      <c r="CE131" s="516">
        <f>-458+490</f>
        <v>32</v>
      </c>
      <c r="CF131" s="516">
        <v>51</v>
      </c>
      <c r="CG131" s="516">
        <v>74</v>
      </c>
      <c r="CH131" s="516">
        <v>54</v>
      </c>
      <c r="CI131" s="516">
        <v>30</v>
      </c>
      <c r="CJ131" s="516">
        <v>52</v>
      </c>
      <c r="CK131" s="516">
        <v>14</v>
      </c>
      <c r="CL131" s="516">
        <v>44</v>
      </c>
      <c r="CM131" s="516">
        <v>32</v>
      </c>
      <c r="CN131" s="516">
        <v>118</v>
      </c>
      <c r="CO131" s="517">
        <v>17</v>
      </c>
      <c r="CP131" s="517">
        <v>15</v>
      </c>
      <c r="CQ131" s="516">
        <v>35</v>
      </c>
      <c r="CR131" s="517">
        <v>13</v>
      </c>
      <c r="CS131" s="433">
        <v>68</v>
      </c>
      <c r="CT131" s="694">
        <v>19</v>
      </c>
      <c r="CU131" s="694">
        <v>-3</v>
      </c>
      <c r="CV131" s="694">
        <v>11</v>
      </c>
      <c r="CW131" s="694">
        <v>12.945937500000007</v>
      </c>
      <c r="CX131" s="433">
        <v>20</v>
      </c>
      <c r="CY131" s="433">
        <v>-2</v>
      </c>
      <c r="CZ131" s="694">
        <v>48</v>
      </c>
      <c r="DA131" s="989">
        <v>30</v>
      </c>
      <c r="DB131" s="989">
        <v>19</v>
      </c>
      <c r="DC131" s="989">
        <v>27</v>
      </c>
      <c r="DD131" s="989">
        <v>23</v>
      </c>
      <c r="DE131" s="989">
        <v>18</v>
      </c>
      <c r="DF131" s="433">
        <v>28</v>
      </c>
      <c r="DG131" s="433">
        <v>28</v>
      </c>
      <c r="DH131" s="433">
        <v>28</v>
      </c>
      <c r="DI131" s="385">
        <f>+U131-SUM(DF131:DH131)</f>
        <v>27.300000000000011</v>
      </c>
      <c r="DJ131" s="16"/>
    </row>
    <row r="132" spans="1:114" hidden="1" outlineLevel="1">
      <c r="A132" s="932"/>
      <c r="G132" s="736"/>
      <c r="H132" s="515"/>
      <c r="I132" s="515"/>
      <c r="J132" s="515"/>
      <c r="K132" s="515"/>
      <c r="L132" s="515"/>
      <c r="M132" s="515"/>
      <c r="N132" s="515"/>
      <c r="O132" s="515"/>
      <c r="P132" s="515"/>
      <c r="Q132" s="515"/>
      <c r="AD132" s="518"/>
      <c r="AE132" s="518"/>
      <c r="AF132" s="518"/>
      <c r="AG132" s="518"/>
      <c r="AH132" s="518"/>
      <c r="AI132" s="518"/>
      <c r="AJ132" s="518"/>
      <c r="AK132" s="518"/>
      <c r="AL132" s="518"/>
      <c r="AM132" s="518"/>
      <c r="AN132" s="518"/>
      <c r="AO132" s="518"/>
      <c r="AP132" s="518"/>
      <c r="AQ132" s="518"/>
      <c r="AR132" s="518"/>
      <c r="AS132" s="518"/>
      <c r="AT132" s="518"/>
      <c r="AU132" s="518"/>
      <c r="AV132" s="518"/>
      <c r="AW132" s="518"/>
      <c r="AX132" s="521"/>
      <c r="AY132" s="521"/>
      <c r="AZ132" s="521"/>
      <c r="BA132" s="521"/>
      <c r="BB132" s="518"/>
      <c r="BC132" s="520"/>
      <c r="BD132" s="522"/>
      <c r="BE132" s="520"/>
      <c r="BF132" s="385"/>
      <c r="BG132" s="516"/>
      <c r="BH132" s="516"/>
      <c r="BI132" s="516"/>
      <c r="BJ132" s="516"/>
      <c r="BK132" s="516"/>
      <c r="BL132" s="516"/>
      <c r="BM132" s="516"/>
      <c r="BN132" s="516"/>
      <c r="BO132" s="516"/>
      <c r="BP132" s="516"/>
      <c r="BQ132" s="516"/>
      <c r="BR132" s="516"/>
      <c r="BS132" s="516"/>
      <c r="BT132" s="516"/>
      <c r="BU132" s="516"/>
      <c r="BV132" s="516"/>
      <c r="BW132" s="516"/>
      <c r="BX132" s="516"/>
      <c r="BY132" s="385"/>
      <c r="BZ132" s="516"/>
      <c r="CA132" s="516"/>
      <c r="CB132" s="516"/>
      <c r="CC132" s="385"/>
      <c r="CD132" s="516"/>
      <c r="CE132" s="516"/>
      <c r="CF132" s="516"/>
      <c r="CG132" s="385"/>
      <c r="CH132" s="385"/>
      <c r="CI132" s="385"/>
      <c r="CJ132" s="385"/>
      <c r="CK132" s="385"/>
      <c r="CL132" s="385"/>
      <c r="CM132" s="385"/>
      <c r="CN132" s="385"/>
      <c r="CO132" s="385"/>
      <c r="CP132" s="385"/>
      <c r="CQ132" s="385"/>
      <c r="CR132" s="414"/>
      <c r="CS132" s="385"/>
      <c r="CT132" s="414"/>
      <c r="CU132" s="414"/>
      <c r="CV132" s="385"/>
      <c r="CW132" s="414"/>
      <c r="CX132" s="385"/>
      <c r="CY132" s="385"/>
      <c r="CZ132" s="385"/>
      <c r="DA132" s="1020"/>
      <c r="DB132" s="1020"/>
      <c r="DC132" s="1020"/>
      <c r="DD132" s="1020"/>
      <c r="DE132" s="1020"/>
      <c r="DF132" s="385"/>
      <c r="DG132" s="385"/>
      <c r="DH132" s="385"/>
      <c r="DI132" s="385"/>
    </row>
    <row r="133" spans="1:114" hidden="1" outlineLevel="1">
      <c r="A133" s="933" t="s">
        <v>413</v>
      </c>
      <c r="B133" s="728">
        <v>27506</v>
      </c>
      <c r="C133" s="728">
        <v>26290</v>
      </c>
      <c r="D133" s="728">
        <v>26517</v>
      </c>
      <c r="E133" s="728">
        <v>28672</v>
      </c>
      <c r="F133" s="728">
        <v>33389</v>
      </c>
      <c r="G133" s="515">
        <f>SUM(BB133:BE133)</f>
        <v>39536</v>
      </c>
      <c r="H133" s="515">
        <f>SUM(BF133:BI133)</f>
        <v>45288</v>
      </c>
      <c r="I133" s="515">
        <f>SUM(BJ133:BM133)</f>
        <v>48260</v>
      </c>
      <c r="J133" s="515"/>
      <c r="K133" s="515"/>
      <c r="L133" s="515"/>
      <c r="M133" s="515"/>
      <c r="N133" s="515"/>
      <c r="O133" s="515"/>
      <c r="P133" s="515"/>
      <c r="Q133" s="515"/>
      <c r="R133" s="311"/>
      <c r="S133" s="311"/>
      <c r="T133" s="311"/>
      <c r="U133" s="311"/>
      <c r="V133" s="311"/>
      <c r="W133" s="311"/>
      <c r="X133" s="311"/>
      <c r="Y133" s="311"/>
      <c r="Z133" s="311"/>
      <c r="AA133" s="311"/>
      <c r="AB133" s="311"/>
      <c r="AD133" s="518">
        <v>7327</v>
      </c>
      <c r="AE133" s="518">
        <v>6947</v>
      </c>
      <c r="AF133" s="518">
        <v>6979</v>
      </c>
      <c r="AG133" s="518">
        <v>6137</v>
      </c>
      <c r="AH133" s="518">
        <v>7340</v>
      </c>
      <c r="AI133" s="518">
        <v>6926</v>
      </c>
      <c r="AJ133" s="518">
        <v>7153</v>
      </c>
      <c r="AK133" s="518">
        <v>5958</v>
      </c>
      <c r="AL133" s="518">
        <v>7127</v>
      </c>
      <c r="AM133" s="518">
        <v>6801</v>
      </c>
      <c r="AN133" s="518">
        <v>6753</v>
      </c>
      <c r="AO133" s="518">
        <v>5822</v>
      </c>
      <c r="AP133" s="518">
        <v>6971</v>
      </c>
      <c r="AQ133" s="518">
        <v>6750</v>
      </c>
      <c r="AR133" s="518">
        <v>6742</v>
      </c>
      <c r="AS133" s="518">
        <v>6054</v>
      </c>
      <c r="AT133" s="518">
        <v>7034</v>
      </c>
      <c r="AU133" s="518">
        <v>7139</v>
      </c>
      <c r="AV133" s="518">
        <v>7644</v>
      </c>
      <c r="AW133" s="518">
        <v>6855</v>
      </c>
      <c r="AX133" s="521">
        <v>8079</v>
      </c>
      <c r="AY133" s="521">
        <f>7139+1249</f>
        <v>8388</v>
      </c>
      <c r="AZ133" s="521">
        <v>8912</v>
      </c>
      <c r="BA133" s="521">
        <v>8010</v>
      </c>
      <c r="BB133" s="518">
        <v>10043</v>
      </c>
      <c r="BC133" s="520">
        <v>10064</v>
      </c>
      <c r="BD133" s="522">
        <v>10316</v>
      </c>
      <c r="BE133" s="519">
        <v>9113</v>
      </c>
      <c r="BF133" s="516">
        <v>11345</v>
      </c>
      <c r="BG133" s="516">
        <v>11565</v>
      </c>
      <c r="BH133" s="516">
        <v>12075</v>
      </c>
      <c r="BI133" s="516">
        <v>10303</v>
      </c>
      <c r="BJ133" s="516">
        <v>11801</v>
      </c>
      <c r="BK133" s="516">
        <v>12310</v>
      </c>
      <c r="BL133" s="516">
        <v>12703</v>
      </c>
      <c r="BM133" s="516">
        <v>11446</v>
      </c>
      <c r="BN133" s="385"/>
      <c r="BO133" s="385"/>
      <c r="BP133" s="385"/>
      <c r="BQ133" s="385"/>
      <c r="BR133" s="385"/>
      <c r="BS133" s="385"/>
      <c r="BT133" s="385"/>
      <c r="BU133" s="385"/>
      <c r="BV133" s="385"/>
      <c r="BW133" s="385"/>
      <c r="BX133" s="385"/>
      <c r="BY133" s="385"/>
      <c r="BZ133" s="385"/>
      <c r="CA133" s="385"/>
      <c r="CB133" s="385"/>
      <c r="CC133" s="385"/>
      <c r="CD133" s="385"/>
      <c r="CE133" s="385"/>
      <c r="CF133" s="385"/>
      <c r="CG133" s="385"/>
      <c r="CH133" s="385"/>
      <c r="CI133" s="385"/>
      <c r="CJ133" s="385"/>
      <c r="CK133" s="385"/>
      <c r="CL133" s="385"/>
      <c r="CM133" s="385"/>
      <c r="CN133" s="385"/>
      <c r="CO133" s="385"/>
      <c r="CP133" s="385"/>
      <c r="CQ133" s="385"/>
      <c r="CR133" s="414"/>
      <c r="CS133" s="385"/>
      <c r="CT133" s="414"/>
      <c r="CU133" s="414"/>
      <c r="CV133" s="385"/>
      <c r="CW133" s="414"/>
      <c r="CX133" s="385"/>
      <c r="CY133" s="385"/>
      <c r="CZ133" s="385"/>
      <c r="DA133" s="1020"/>
      <c r="DB133" s="1020"/>
      <c r="DC133" s="1020"/>
      <c r="DD133" s="1020"/>
      <c r="DE133" s="1020"/>
      <c r="DF133" s="385"/>
      <c r="DG133" s="385"/>
      <c r="DH133" s="385"/>
      <c r="DI133" s="385"/>
    </row>
    <row r="134" spans="1:114" hidden="1" outlineLevel="1">
      <c r="A134" s="933" t="s">
        <v>414</v>
      </c>
      <c r="B134" s="728">
        <f>B127+B133</f>
        <v>47102</v>
      </c>
      <c r="C134" s="728">
        <f>C127+C133</f>
        <v>45257</v>
      </c>
      <c r="D134" s="728">
        <f>D127+D133</f>
        <v>46419</v>
      </c>
      <c r="E134" s="728">
        <f>E127+E133</f>
        <v>47549</v>
      </c>
      <c r="F134" s="728">
        <f>F127+F133</f>
        <v>50390.400000000001</v>
      </c>
      <c r="G134" s="728">
        <f t="shared" ref="G134:Q134" si="251">G127+G133</f>
        <v>57047</v>
      </c>
      <c r="H134" s="728">
        <f t="shared" si="251"/>
        <v>63422</v>
      </c>
      <c r="I134" s="728">
        <f t="shared" si="251"/>
        <v>66734</v>
      </c>
      <c r="J134" s="728">
        <f t="shared" si="251"/>
        <v>18485</v>
      </c>
      <c r="K134" s="728">
        <f t="shared" si="251"/>
        <v>18455</v>
      </c>
      <c r="L134" s="728">
        <f t="shared" si="251"/>
        <v>20919</v>
      </c>
      <c r="M134" s="728">
        <f t="shared" si="251"/>
        <v>21631</v>
      </c>
      <c r="N134" s="728">
        <f t="shared" si="251"/>
        <v>21330</v>
      </c>
      <c r="O134" s="728">
        <f t="shared" si="251"/>
        <v>21531</v>
      </c>
      <c r="P134" s="728">
        <f t="shared" si="251"/>
        <v>21231</v>
      </c>
      <c r="Q134" s="728">
        <f t="shared" si="251"/>
        <v>21298</v>
      </c>
      <c r="R134" s="311">
        <f t="shared" ref="R134:W134" si="252">R127+R128</f>
        <v>22792</v>
      </c>
      <c r="S134" s="311">
        <f t="shared" si="252"/>
        <v>22851</v>
      </c>
      <c r="T134" s="311">
        <f t="shared" si="252"/>
        <v>22636</v>
      </c>
      <c r="U134" s="311">
        <f t="shared" si="252"/>
        <v>22346.287499134025</v>
      </c>
      <c r="V134" s="311">
        <f t="shared" si="252"/>
        <v>22260.160499931553</v>
      </c>
      <c r="W134" s="311">
        <f t="shared" si="252"/>
        <v>22239.218436189272</v>
      </c>
      <c r="X134" s="311">
        <f>X127+X128</f>
        <v>22251.818250653709</v>
      </c>
      <c r="Y134" s="311">
        <f>Y127+Y128</f>
        <v>22272.995944132061</v>
      </c>
      <c r="Z134" s="311">
        <f>Z127+Z128</f>
        <v>22302.673128712238</v>
      </c>
      <c r="AA134" s="311">
        <f>AA127+AA128</f>
        <v>22340.781170366939</v>
      </c>
      <c r="AB134" s="311">
        <f>AB127+AB128</f>
        <v>22387.261186733045</v>
      </c>
      <c r="AD134" s="380">
        <f t="shared" ref="AD134:BA134" si="253">SUM(AD127,AD133)</f>
        <v>10663</v>
      </c>
      <c r="AE134" s="380">
        <f t="shared" si="253"/>
        <v>10673</v>
      </c>
      <c r="AF134" s="380">
        <f t="shared" si="253"/>
        <v>11121</v>
      </c>
      <c r="AG134" s="380">
        <f t="shared" si="253"/>
        <v>10243</v>
      </c>
      <c r="AH134" s="380">
        <f t="shared" si="253"/>
        <v>11800</v>
      </c>
      <c r="AI134" s="380">
        <f t="shared" si="253"/>
        <v>11661</v>
      </c>
      <c r="AJ134" s="380">
        <f t="shared" si="253"/>
        <v>12310</v>
      </c>
      <c r="AK134" s="380">
        <f t="shared" si="253"/>
        <v>11202</v>
      </c>
      <c r="AL134" s="380">
        <f t="shared" si="253"/>
        <v>12573</v>
      </c>
      <c r="AM134" s="380">
        <f t="shared" si="253"/>
        <v>12507</v>
      </c>
      <c r="AN134" s="380">
        <f t="shared" si="253"/>
        <v>12588</v>
      </c>
      <c r="AO134" s="380">
        <f t="shared" si="253"/>
        <v>11493</v>
      </c>
      <c r="AP134" s="380">
        <f t="shared" si="253"/>
        <v>11548</v>
      </c>
      <c r="AQ134" s="380">
        <f t="shared" si="253"/>
        <v>11855</v>
      </c>
      <c r="AR134" s="380">
        <f t="shared" si="253"/>
        <v>11886</v>
      </c>
      <c r="AS134" s="380">
        <f t="shared" si="253"/>
        <v>11130</v>
      </c>
      <c r="AT134" s="380">
        <f t="shared" si="253"/>
        <v>12052</v>
      </c>
      <c r="AU134" s="380">
        <f t="shared" si="253"/>
        <v>12020</v>
      </c>
      <c r="AV134" s="380">
        <f t="shared" si="253"/>
        <v>12666</v>
      </c>
      <c r="AW134" s="380">
        <f t="shared" si="253"/>
        <v>10811</v>
      </c>
      <c r="AX134" s="380">
        <f t="shared" si="253"/>
        <v>11896</v>
      </c>
      <c r="AY134" s="380">
        <f t="shared" si="253"/>
        <v>12885.9</v>
      </c>
      <c r="AZ134" s="380">
        <f t="shared" si="253"/>
        <v>13352</v>
      </c>
      <c r="BA134" s="380">
        <f t="shared" si="253"/>
        <v>12256</v>
      </c>
      <c r="BB134" s="381">
        <f t="shared" ref="BB134:BT134" si="254">SUM(BB127,BB133)</f>
        <v>14047</v>
      </c>
      <c r="BC134" s="380">
        <f t="shared" si="254"/>
        <v>14646</v>
      </c>
      <c r="BD134" s="380">
        <f t="shared" si="254"/>
        <v>14821</v>
      </c>
      <c r="BE134" s="380">
        <f t="shared" si="254"/>
        <v>13533</v>
      </c>
      <c r="BF134" s="379">
        <f t="shared" si="254"/>
        <v>15491</v>
      </c>
      <c r="BG134" s="379">
        <f t="shared" si="254"/>
        <v>16355</v>
      </c>
      <c r="BH134" s="379">
        <f t="shared" si="254"/>
        <v>16806</v>
      </c>
      <c r="BI134" s="379">
        <f t="shared" si="254"/>
        <v>14770</v>
      </c>
      <c r="BJ134" s="379">
        <f t="shared" si="254"/>
        <v>16124</v>
      </c>
      <c r="BK134" s="379">
        <f t="shared" si="254"/>
        <v>17095</v>
      </c>
      <c r="BL134" s="379">
        <f t="shared" si="254"/>
        <v>17533</v>
      </c>
      <c r="BM134" s="379">
        <f t="shared" si="254"/>
        <v>15982</v>
      </c>
      <c r="BN134" s="379">
        <f t="shared" si="254"/>
        <v>4245</v>
      </c>
      <c r="BO134" s="379">
        <f t="shared" si="254"/>
        <v>4809</v>
      </c>
      <c r="BP134" s="379">
        <f t="shared" si="254"/>
        <v>4944</v>
      </c>
      <c r="BQ134" s="379">
        <f t="shared" si="254"/>
        <v>4487</v>
      </c>
      <c r="BR134" s="379">
        <f t="shared" si="254"/>
        <v>4230</v>
      </c>
      <c r="BS134" s="379">
        <f t="shared" si="254"/>
        <v>4809</v>
      </c>
      <c r="BT134" s="379">
        <f t="shared" si="254"/>
        <v>4987</v>
      </c>
      <c r="BU134" s="379">
        <f>SUM(BU130,BU133)</f>
        <v>0</v>
      </c>
      <c r="BV134" s="379"/>
      <c r="BW134" s="379"/>
      <c r="BX134" s="379"/>
      <c r="BY134" s="379">
        <f>SUM(BY127,BY133)</f>
        <v>5373</v>
      </c>
      <c r="BZ134" s="379"/>
      <c r="CA134" s="379"/>
      <c r="CB134" s="379"/>
      <c r="CC134" s="379">
        <f>SUM(CC127,CC133)</f>
        <v>5190</v>
      </c>
      <c r="CD134" s="379"/>
      <c r="CE134" s="379"/>
      <c r="CF134" s="379"/>
      <c r="CG134" s="379">
        <f>SUM(CG127,CG133)</f>
        <v>5301</v>
      </c>
      <c r="CH134" s="385"/>
      <c r="CI134" s="385"/>
      <c r="CJ134" s="385"/>
      <c r="CK134" s="385"/>
      <c r="CL134" s="385"/>
      <c r="CM134" s="385"/>
      <c r="CN134" s="385"/>
      <c r="CO134" s="385"/>
      <c r="CP134" s="385"/>
      <c r="CQ134" s="385"/>
      <c r="CR134" s="414"/>
      <c r="CS134" s="385"/>
      <c r="CT134" s="414"/>
      <c r="CU134" s="414"/>
      <c r="CV134" s="385"/>
      <c r="CW134" s="414"/>
      <c r="CX134" s="385"/>
      <c r="CY134" s="385"/>
      <c r="CZ134" s="385"/>
      <c r="DA134" s="1020"/>
      <c r="DB134" s="1020"/>
      <c r="DC134" s="1020"/>
      <c r="DD134" s="1020"/>
      <c r="DE134" s="1020"/>
      <c r="DF134" s="385"/>
      <c r="DG134" s="385"/>
      <c r="DH134" s="385"/>
      <c r="DI134" s="385"/>
    </row>
    <row r="135" spans="1:114" hidden="1" outlineLevel="1">
      <c r="A135" s="737"/>
      <c r="AD135" s="380"/>
      <c r="AE135" s="380"/>
      <c r="AF135" s="380"/>
      <c r="AG135" s="380"/>
      <c r="AH135" s="380"/>
      <c r="AI135" s="380"/>
      <c r="AJ135" s="380"/>
      <c r="AK135" s="380"/>
      <c r="AL135" s="380"/>
      <c r="AM135" s="380"/>
      <c r="AN135" s="380"/>
      <c r="AO135" s="380"/>
      <c r="AP135" s="380"/>
      <c r="AQ135" s="380"/>
      <c r="AR135" s="380"/>
      <c r="AS135" s="380"/>
      <c r="AT135" s="380"/>
      <c r="AU135" s="380"/>
      <c r="AV135" s="380"/>
      <c r="AW135" s="380"/>
      <c r="AX135" s="520"/>
      <c r="AY135" s="520"/>
      <c r="AZ135" s="520"/>
      <c r="BA135" s="520"/>
      <c r="BB135" s="520"/>
      <c r="BC135" s="520"/>
      <c r="BD135" s="520"/>
      <c r="BE135" s="520"/>
      <c r="BF135" s="385"/>
      <c r="BG135" s="385"/>
      <c r="BH135" s="385"/>
      <c r="BI135" s="385"/>
      <c r="BJ135" s="385"/>
      <c r="BK135" s="385"/>
      <c r="BL135" s="385"/>
      <c r="BM135" s="385"/>
      <c r="BN135" s="385"/>
      <c r="BO135" s="385"/>
      <c r="BP135" s="385"/>
      <c r="BQ135" s="385"/>
      <c r="BR135" s="385"/>
      <c r="BS135" s="385"/>
      <c r="BT135" s="385"/>
      <c r="BU135" s="385"/>
      <c r="BV135" s="385"/>
      <c r="BW135" s="385"/>
      <c r="BX135" s="385"/>
      <c r="BY135" s="385"/>
      <c r="BZ135" s="385"/>
      <c r="CA135" s="385"/>
      <c r="CB135" s="385"/>
      <c r="CC135" s="385"/>
      <c r="CD135" s="385"/>
      <c r="CE135" s="385"/>
      <c r="CF135" s="385"/>
      <c r="CG135" s="385"/>
      <c r="CH135" s="385"/>
      <c r="CI135" s="385"/>
      <c r="CJ135" s="385"/>
      <c r="CK135" s="385"/>
      <c r="CL135" s="385"/>
      <c r="CM135" s="385"/>
      <c r="CN135" s="385"/>
      <c r="CO135" s="385"/>
      <c r="CP135" s="385"/>
      <c r="CQ135" s="385"/>
      <c r="CR135" s="414"/>
      <c r="CS135" s="385"/>
      <c r="CT135" s="414"/>
      <c r="CU135" s="414"/>
      <c r="CV135" s="385"/>
      <c r="CW135" s="414"/>
      <c r="CX135" s="385"/>
      <c r="CY135" s="385"/>
      <c r="CZ135" s="385"/>
      <c r="DA135" s="1020"/>
      <c r="DB135" s="1020"/>
      <c r="DC135" s="1020"/>
      <c r="DD135" s="1020"/>
      <c r="DE135" s="1020"/>
      <c r="DF135" s="385"/>
      <c r="DG135" s="385"/>
      <c r="DH135" s="385"/>
      <c r="DI135" s="385"/>
    </row>
    <row r="136" spans="1:114" hidden="1" outlineLevel="1">
      <c r="A136" s="515" t="s">
        <v>142</v>
      </c>
      <c r="B136" s="728">
        <v>4342</v>
      </c>
      <c r="C136" s="728">
        <v>4907</v>
      </c>
      <c r="D136" s="728">
        <f>1114+1350+1235+1092</f>
        <v>4791</v>
      </c>
      <c r="E136" s="728">
        <f>1219+1422</f>
        <v>2641</v>
      </c>
      <c r="F136" s="728"/>
      <c r="AD136" s="518">
        <v>980</v>
      </c>
      <c r="AE136" s="518">
        <v>1196</v>
      </c>
      <c r="AF136" s="518">
        <v>1071</v>
      </c>
      <c r="AG136" s="518">
        <v>858</v>
      </c>
      <c r="AH136" s="518">
        <v>986</v>
      </c>
      <c r="AI136" s="518">
        <v>1222</v>
      </c>
      <c r="AJ136" s="518">
        <v>1153</v>
      </c>
      <c r="AK136" s="518">
        <v>981</v>
      </c>
      <c r="AL136" s="518">
        <v>1044</v>
      </c>
      <c r="AM136" s="518">
        <v>1256</v>
      </c>
      <c r="AN136" s="518">
        <v>1149</v>
      </c>
      <c r="AO136" s="518">
        <v>801</v>
      </c>
      <c r="AP136" s="518">
        <v>1114</v>
      </c>
      <c r="AQ136" s="518">
        <v>1350</v>
      </c>
      <c r="AR136" s="518">
        <v>1235</v>
      </c>
      <c r="AS136" s="518">
        <v>1092</v>
      </c>
      <c r="AT136" s="518">
        <v>1219</v>
      </c>
      <c r="AU136" s="518">
        <v>1422</v>
      </c>
      <c r="AV136" s="518">
        <v>0</v>
      </c>
      <c r="AW136" s="518">
        <v>0</v>
      </c>
      <c r="AX136" s="520">
        <v>0</v>
      </c>
      <c r="AY136" s="520">
        <v>0</v>
      </c>
      <c r="AZ136" s="520">
        <v>0</v>
      </c>
      <c r="BA136" s="520">
        <v>0</v>
      </c>
      <c r="BB136" s="520">
        <v>0</v>
      </c>
      <c r="BC136" s="520">
        <v>0</v>
      </c>
      <c r="BD136" s="522">
        <v>0</v>
      </c>
      <c r="BE136" s="520">
        <v>0</v>
      </c>
      <c r="BF136" s="385">
        <v>0</v>
      </c>
      <c r="BG136" s="385">
        <v>0</v>
      </c>
      <c r="BH136" s="385">
        <v>0</v>
      </c>
      <c r="BI136" s="385">
        <v>0</v>
      </c>
      <c r="BJ136" s="385">
        <v>0</v>
      </c>
      <c r="BK136" s="385">
        <v>0</v>
      </c>
      <c r="BL136" s="385">
        <v>0</v>
      </c>
      <c r="BM136" s="385">
        <v>0</v>
      </c>
      <c r="BN136" s="516">
        <v>0</v>
      </c>
      <c r="BO136" s="516">
        <v>0</v>
      </c>
      <c r="BP136" s="516">
        <v>0</v>
      </c>
      <c r="BQ136" s="516">
        <v>0</v>
      </c>
      <c r="BR136" s="385"/>
      <c r="BS136" s="385"/>
      <c r="BT136" s="385"/>
      <c r="BU136" s="385"/>
      <c r="BV136" s="385"/>
      <c r="BW136" s="385"/>
      <c r="BX136" s="385"/>
      <c r="BY136" s="385"/>
      <c r="BZ136" s="385"/>
      <c r="CA136" s="385"/>
      <c r="CB136" s="385"/>
      <c r="CC136" s="385"/>
      <c r="CD136" s="385"/>
      <c r="CE136" s="385"/>
      <c r="CF136" s="385"/>
      <c r="CG136" s="385"/>
      <c r="CH136" s="385"/>
      <c r="CI136" s="385"/>
      <c r="CJ136" s="385"/>
      <c r="CK136" s="385"/>
      <c r="CL136" s="385"/>
      <c r="CM136" s="385"/>
      <c r="CN136" s="385"/>
      <c r="CO136" s="385"/>
      <c r="CP136" s="385"/>
      <c r="CQ136" s="385"/>
      <c r="CR136" s="414"/>
      <c r="CS136" s="385"/>
      <c r="CT136" s="414"/>
      <c r="CU136" s="414"/>
      <c r="CV136" s="385"/>
      <c r="CW136" s="414"/>
      <c r="CX136" s="385"/>
      <c r="CY136" s="385"/>
      <c r="CZ136" s="385"/>
      <c r="DA136" s="1020"/>
      <c r="DB136" s="1020"/>
      <c r="DC136" s="1020"/>
      <c r="DD136" s="1020"/>
      <c r="DE136" s="1020"/>
      <c r="DF136" s="385"/>
      <c r="DG136" s="385"/>
      <c r="DH136" s="385"/>
      <c r="DI136" s="385"/>
    </row>
    <row r="137" spans="1:114" hidden="1" outlineLevel="1">
      <c r="A137" s="515" t="s">
        <v>320</v>
      </c>
      <c r="B137" s="728">
        <v>17477</v>
      </c>
      <c r="C137" s="728">
        <v>15312</v>
      </c>
      <c r="D137" s="728">
        <v>20970</v>
      </c>
      <c r="E137" s="728">
        <v>21485</v>
      </c>
      <c r="F137" s="728">
        <v>21907</v>
      </c>
      <c r="G137" s="311">
        <v>22368</v>
      </c>
      <c r="H137" s="200">
        <v>23293</v>
      </c>
      <c r="I137" s="311">
        <v>23118</v>
      </c>
      <c r="AD137" s="518">
        <v>4365</v>
      </c>
      <c r="AE137" s="518">
        <v>4540</v>
      </c>
      <c r="AF137" s="518">
        <v>4016</v>
      </c>
      <c r="AG137" s="518">
        <v>4391</v>
      </c>
      <c r="AH137" s="518">
        <v>4396</v>
      </c>
      <c r="AI137" s="518">
        <v>4626</v>
      </c>
      <c r="AJ137" s="518">
        <v>4171</v>
      </c>
      <c r="AK137" s="518">
        <v>4284</v>
      </c>
      <c r="AL137" s="518">
        <f>4524+93</f>
        <v>4617</v>
      </c>
      <c r="AM137" s="518">
        <f>4803+93</f>
        <v>4896</v>
      </c>
      <c r="AN137" s="518">
        <f>4276+93</f>
        <v>4369</v>
      </c>
      <c r="AO137" s="518">
        <v>4640</v>
      </c>
      <c r="AP137" s="518">
        <v>5217</v>
      </c>
      <c r="AQ137" s="518">
        <v>5546</v>
      </c>
      <c r="AR137" s="518">
        <v>5201</v>
      </c>
      <c r="AS137" s="518">
        <v>5241</v>
      </c>
      <c r="AT137" s="518">
        <v>5294</v>
      </c>
      <c r="AU137" s="518">
        <v>5568</v>
      </c>
      <c r="AV137" s="518">
        <v>5525</v>
      </c>
      <c r="AW137" s="518">
        <v>5394</v>
      </c>
      <c r="AX137" s="521">
        <v>5380</v>
      </c>
      <c r="AY137" s="521">
        <f>5644</f>
        <v>5644</v>
      </c>
      <c r="AZ137" s="521">
        <v>5326</v>
      </c>
      <c r="BA137" s="521">
        <v>5557</v>
      </c>
      <c r="BB137" s="518">
        <v>5399</v>
      </c>
      <c r="BC137" s="521">
        <v>5697</v>
      </c>
      <c r="BD137" s="523">
        <v>5471</v>
      </c>
      <c r="BE137" s="523">
        <v>5801</v>
      </c>
      <c r="BF137" s="385">
        <v>5553</v>
      </c>
      <c r="BG137" s="385">
        <v>5751</v>
      </c>
      <c r="BH137" s="385">
        <v>5551</v>
      </c>
      <c r="BI137" s="385">
        <v>6438</v>
      </c>
      <c r="BJ137" s="385">
        <v>5643</v>
      </c>
      <c r="BK137" s="385">
        <v>5945</v>
      </c>
      <c r="BL137" s="385">
        <v>5591</v>
      </c>
      <c r="BM137" s="516">
        <v>5939</v>
      </c>
      <c r="BN137" s="516">
        <v>0</v>
      </c>
      <c r="BO137" s="516">
        <v>0</v>
      </c>
      <c r="BP137" s="516">
        <v>0</v>
      </c>
      <c r="BQ137" s="516">
        <v>0</v>
      </c>
      <c r="BR137" s="385"/>
      <c r="BS137" s="385"/>
      <c r="BT137" s="385"/>
      <c r="BU137" s="385"/>
      <c r="BV137" s="385"/>
      <c r="BW137" s="385"/>
      <c r="BX137" s="385"/>
      <c r="BY137" s="385"/>
      <c r="BZ137" s="385"/>
      <c r="CA137" s="385"/>
      <c r="CB137" s="385"/>
      <c r="CC137" s="385"/>
      <c r="CD137" s="385"/>
      <c r="CE137" s="385"/>
      <c r="CF137" s="385"/>
      <c r="CG137" s="385"/>
      <c r="CH137" s="385"/>
      <c r="CI137" s="385"/>
      <c r="CJ137" s="385"/>
      <c r="CK137" s="385"/>
      <c r="CL137" s="385"/>
      <c r="CM137" s="385"/>
      <c r="CN137" s="385"/>
      <c r="CO137" s="385"/>
      <c r="CP137" s="385"/>
      <c r="CQ137" s="385"/>
      <c r="CR137" s="414"/>
      <c r="CS137" s="385"/>
      <c r="CT137" s="414"/>
      <c r="CU137" s="414"/>
      <c r="CV137" s="385"/>
      <c r="CW137" s="414"/>
      <c r="CX137" s="385"/>
      <c r="CY137" s="385"/>
      <c r="CZ137" s="385"/>
      <c r="DA137" s="1020"/>
      <c r="DB137" s="1020"/>
      <c r="DC137" s="1020"/>
      <c r="DD137" s="1020"/>
      <c r="DE137" s="1020"/>
      <c r="DF137" s="385"/>
      <c r="DG137" s="385"/>
      <c r="DH137" s="385"/>
      <c r="DI137" s="385"/>
    </row>
    <row r="138" spans="1:114" hidden="1" outlineLevel="1">
      <c r="A138" s="515" t="s">
        <v>321</v>
      </c>
      <c r="B138" s="728">
        <v>9139</v>
      </c>
      <c r="C138" s="728">
        <v>7610</v>
      </c>
      <c r="D138" s="728">
        <v>8264</v>
      </c>
      <c r="E138" s="728">
        <v>8238</v>
      </c>
      <c r="F138" s="728">
        <v>9103</v>
      </c>
      <c r="G138" s="311">
        <v>10145</v>
      </c>
      <c r="H138" s="200">
        <v>10820</v>
      </c>
      <c r="I138" s="311">
        <v>11238</v>
      </c>
      <c r="AD138" s="518">
        <v>2310</v>
      </c>
      <c r="AE138" s="518">
        <v>2495</v>
      </c>
      <c r="AF138" s="518">
        <v>2310</v>
      </c>
      <c r="AG138" s="518">
        <v>2881</v>
      </c>
      <c r="AH138" s="518">
        <v>2242</v>
      </c>
      <c r="AI138" s="518">
        <v>2204</v>
      </c>
      <c r="AJ138" s="518">
        <v>2155</v>
      </c>
      <c r="AK138" s="518">
        <v>2538</v>
      </c>
      <c r="AL138" s="518">
        <f>2029-93-46</f>
        <v>1890</v>
      </c>
      <c r="AM138" s="518">
        <f>2171-93-46</f>
        <v>2032</v>
      </c>
      <c r="AN138" s="518">
        <f>1939-93-45</f>
        <v>1801</v>
      </c>
      <c r="AO138" s="518">
        <v>2243</v>
      </c>
      <c r="AP138" s="518">
        <v>1960</v>
      </c>
      <c r="AQ138" s="518">
        <v>2050</v>
      </c>
      <c r="AR138" s="518">
        <v>1869</v>
      </c>
      <c r="AS138" s="518">
        <v>2360</v>
      </c>
      <c r="AT138" s="518">
        <v>1853</v>
      </c>
      <c r="AU138" s="518">
        <v>1945</v>
      </c>
      <c r="AV138" s="518">
        <v>1991</v>
      </c>
      <c r="AW138" s="518">
        <v>2439</v>
      </c>
      <c r="AX138" s="521">
        <v>1979</v>
      </c>
      <c r="AY138" s="521">
        <f>2197</f>
        <v>2197</v>
      </c>
      <c r="AZ138" s="521">
        <v>2154</v>
      </c>
      <c r="BA138" s="521">
        <v>2773</v>
      </c>
      <c r="BB138" s="514">
        <v>2294</v>
      </c>
      <c r="BC138" s="521">
        <v>2508</v>
      </c>
      <c r="BD138" s="523">
        <v>2360</v>
      </c>
      <c r="BE138" s="523">
        <v>2983</v>
      </c>
      <c r="BF138" s="385">
        <f>8059-BF137</f>
        <v>2506</v>
      </c>
      <c r="BG138" s="385">
        <f>8334-BG137</f>
        <v>2583</v>
      </c>
      <c r="BH138" s="385">
        <f>8057-BH137</f>
        <v>2506</v>
      </c>
      <c r="BI138" s="385">
        <f>9663-BI137</f>
        <v>3225</v>
      </c>
      <c r="BJ138" s="385">
        <f>8123-BJ137</f>
        <v>2480</v>
      </c>
      <c r="BK138" s="385">
        <f>8619-BK137</f>
        <v>2674</v>
      </c>
      <c r="BL138" s="385">
        <f>8243-BL137</f>
        <v>2652</v>
      </c>
      <c r="BM138" s="516">
        <v>3432</v>
      </c>
      <c r="BN138" s="516">
        <v>0</v>
      </c>
      <c r="BO138" s="516">
        <v>0</v>
      </c>
      <c r="BP138" s="516">
        <v>0</v>
      </c>
      <c r="BQ138" s="516">
        <v>0</v>
      </c>
      <c r="BR138" s="385"/>
      <c r="BS138" s="385"/>
      <c r="BT138" s="385"/>
      <c r="BU138" s="385"/>
      <c r="BV138" s="385"/>
      <c r="BW138" s="385"/>
      <c r="BX138" s="385"/>
      <c r="BY138" s="385"/>
      <c r="BZ138" s="385"/>
      <c r="CA138" s="385"/>
      <c r="CB138" s="385"/>
      <c r="CC138" s="385"/>
      <c r="CD138" s="385"/>
      <c r="CE138" s="385"/>
      <c r="CF138" s="385"/>
      <c r="CG138" s="385"/>
      <c r="CH138" s="385"/>
      <c r="CI138" s="385"/>
      <c r="CJ138" s="385"/>
      <c r="CK138" s="385"/>
      <c r="CL138" s="385"/>
      <c r="CM138" s="385"/>
      <c r="CN138" s="385"/>
      <c r="CO138" s="385"/>
      <c r="CP138" s="385"/>
      <c r="CQ138" s="385"/>
      <c r="CR138" s="414"/>
      <c r="CS138" s="385"/>
      <c r="CT138" s="414"/>
      <c r="CU138" s="414"/>
      <c r="CV138" s="385"/>
      <c r="CW138" s="414"/>
      <c r="CX138" s="385"/>
      <c r="CY138" s="385"/>
      <c r="CZ138" s="385"/>
      <c r="DA138" s="1020"/>
      <c r="DB138" s="1020"/>
      <c r="DC138" s="1020"/>
      <c r="DD138" s="1020"/>
      <c r="DE138" s="1020"/>
      <c r="DF138" s="385"/>
      <c r="DG138" s="385"/>
      <c r="DH138" s="385"/>
      <c r="DI138" s="385"/>
    </row>
    <row r="139" spans="1:114" hidden="1" outlineLevel="1">
      <c r="A139" s="737" t="s">
        <v>290</v>
      </c>
      <c r="B139" s="728">
        <f>B137+B138</f>
        <v>26616</v>
      </c>
      <c r="C139" s="728">
        <f>C137+C138</f>
        <v>22922</v>
      </c>
      <c r="D139" s="728">
        <f>D137+D138</f>
        <v>29234</v>
      </c>
      <c r="E139" s="728">
        <f>E137+E138</f>
        <v>29723</v>
      </c>
      <c r="F139" s="728">
        <f>F137+F138</f>
        <v>31010</v>
      </c>
      <c r="G139" s="311">
        <v>32513</v>
      </c>
      <c r="H139" s="311">
        <v>34113</v>
      </c>
      <c r="I139" s="311">
        <v>34356</v>
      </c>
      <c r="AD139" s="382">
        <f t="shared" ref="AD139:BA139" si="255">SUM(AD137:AD138)</f>
        <v>6675</v>
      </c>
      <c r="AE139" s="382">
        <f t="shared" si="255"/>
        <v>7035</v>
      </c>
      <c r="AF139" s="382">
        <f t="shared" si="255"/>
        <v>6326</v>
      </c>
      <c r="AG139" s="382">
        <f t="shared" si="255"/>
        <v>7272</v>
      </c>
      <c r="AH139" s="382">
        <f t="shared" si="255"/>
        <v>6638</v>
      </c>
      <c r="AI139" s="382">
        <f t="shared" si="255"/>
        <v>6830</v>
      </c>
      <c r="AJ139" s="382">
        <f t="shared" si="255"/>
        <v>6326</v>
      </c>
      <c r="AK139" s="382">
        <f t="shared" si="255"/>
        <v>6822</v>
      </c>
      <c r="AL139" s="382">
        <f t="shared" si="255"/>
        <v>6507</v>
      </c>
      <c r="AM139" s="382">
        <f t="shared" si="255"/>
        <v>6928</v>
      </c>
      <c r="AN139" s="382">
        <f t="shared" si="255"/>
        <v>6170</v>
      </c>
      <c r="AO139" s="382">
        <f t="shared" si="255"/>
        <v>6883</v>
      </c>
      <c r="AP139" s="382">
        <f t="shared" si="255"/>
        <v>7177</v>
      </c>
      <c r="AQ139" s="382">
        <f t="shared" si="255"/>
        <v>7596</v>
      </c>
      <c r="AR139" s="382">
        <f t="shared" si="255"/>
        <v>7070</v>
      </c>
      <c r="AS139" s="382">
        <f t="shared" si="255"/>
        <v>7601</v>
      </c>
      <c r="AT139" s="382">
        <f t="shared" si="255"/>
        <v>7147</v>
      </c>
      <c r="AU139" s="382">
        <f t="shared" si="255"/>
        <v>7513</v>
      </c>
      <c r="AV139" s="382">
        <f t="shared" si="255"/>
        <v>7516</v>
      </c>
      <c r="AW139" s="382">
        <f t="shared" si="255"/>
        <v>7833</v>
      </c>
      <c r="AX139" s="380">
        <f t="shared" si="255"/>
        <v>7359</v>
      </c>
      <c r="AY139" s="380">
        <f t="shared" si="255"/>
        <v>7841</v>
      </c>
      <c r="AZ139" s="380">
        <f t="shared" si="255"/>
        <v>7480</v>
      </c>
      <c r="BA139" s="380">
        <f t="shared" si="255"/>
        <v>8330</v>
      </c>
      <c r="BB139" s="381">
        <f t="shared" ref="BB139:BI139" si="256">SUM(BB137:BB138)</f>
        <v>7693</v>
      </c>
      <c r="BC139" s="383">
        <f t="shared" si="256"/>
        <v>8205</v>
      </c>
      <c r="BD139" s="381">
        <f t="shared" si="256"/>
        <v>7831</v>
      </c>
      <c r="BE139" s="381">
        <f t="shared" si="256"/>
        <v>8784</v>
      </c>
      <c r="BF139" s="379">
        <f t="shared" si="256"/>
        <v>8059</v>
      </c>
      <c r="BG139" s="379">
        <f t="shared" si="256"/>
        <v>8334</v>
      </c>
      <c r="BH139" s="379">
        <f t="shared" si="256"/>
        <v>8057</v>
      </c>
      <c r="BI139" s="379">
        <f t="shared" si="256"/>
        <v>9663</v>
      </c>
      <c r="BJ139" s="379">
        <f>SUM(BJ137:BJ138)</f>
        <v>8123</v>
      </c>
      <c r="BK139" s="379">
        <f>SUM(BK137:BK138)</f>
        <v>8619</v>
      </c>
      <c r="BL139" s="379">
        <f>SUM(BL137:BL138)</f>
        <v>8243</v>
      </c>
      <c r="BM139" s="379">
        <f>SUM(BM137:BM138)</f>
        <v>9371</v>
      </c>
      <c r="BN139" s="516">
        <v>0</v>
      </c>
      <c r="BO139" s="516">
        <v>0</v>
      </c>
      <c r="BP139" s="516">
        <v>0</v>
      </c>
      <c r="BQ139" s="516">
        <v>0</v>
      </c>
      <c r="BR139" s="385"/>
      <c r="BS139" s="385"/>
      <c r="BT139" s="385"/>
      <c r="BU139" s="385"/>
      <c r="BV139" s="385"/>
      <c r="BW139" s="385"/>
      <c r="BX139" s="385"/>
      <c r="BY139" s="385"/>
      <c r="BZ139" s="385"/>
      <c r="CA139" s="385"/>
      <c r="CB139" s="385"/>
      <c r="CC139" s="385"/>
      <c r="CD139" s="385"/>
      <c r="CE139" s="385"/>
      <c r="CF139" s="385"/>
      <c r="CG139" s="385"/>
      <c r="CH139" s="385"/>
      <c r="CI139" s="385"/>
      <c r="CJ139" s="385"/>
      <c r="CK139" s="385"/>
      <c r="CL139" s="385"/>
      <c r="CM139" s="385"/>
      <c r="CN139" s="385"/>
      <c r="CO139" s="385"/>
      <c r="CP139" s="385"/>
      <c r="CQ139" s="385"/>
      <c r="CR139" s="414"/>
      <c r="CS139" s="385"/>
      <c r="CT139" s="414"/>
      <c r="CU139" s="414"/>
      <c r="CV139" s="385"/>
      <c r="CW139" s="414"/>
      <c r="CX139" s="385"/>
      <c r="CY139" s="385"/>
      <c r="CZ139" s="385"/>
      <c r="DA139" s="1020"/>
      <c r="DB139" s="1020"/>
      <c r="DC139" s="1020"/>
      <c r="DD139" s="1020"/>
      <c r="DE139" s="1020"/>
      <c r="DF139" s="385"/>
      <c r="DG139" s="385"/>
      <c r="DH139" s="385"/>
      <c r="DI139" s="385"/>
    </row>
    <row r="140" spans="1:114" collapsed="1">
      <c r="A140" s="411" t="s">
        <v>543</v>
      </c>
      <c r="B140" s="728"/>
      <c r="C140" s="728">
        <f>C134+C139+C136+C131</f>
        <v>73503</v>
      </c>
      <c r="D140" s="728">
        <f>D134+D139+D136+D131</f>
        <v>80879</v>
      </c>
      <c r="E140" s="728">
        <f>E134+E139+E136+E131</f>
        <v>80408</v>
      </c>
      <c r="F140" s="728">
        <f>F142</f>
        <v>81832</v>
      </c>
      <c r="G140" s="311">
        <f>G142</f>
        <v>89955</v>
      </c>
      <c r="H140" s="311">
        <f>H142</f>
        <v>97860</v>
      </c>
      <c r="I140" s="311">
        <f>I142</f>
        <v>101407</v>
      </c>
      <c r="J140" s="311"/>
      <c r="K140" s="311">
        <f t="shared" ref="K140:W140" si="257">K142</f>
        <v>19058</v>
      </c>
      <c r="L140" s="311">
        <f t="shared" si="257"/>
        <v>23556</v>
      </c>
      <c r="M140" s="311">
        <f t="shared" si="257"/>
        <v>24363</v>
      </c>
      <c r="N140" s="311">
        <f t="shared" si="257"/>
        <v>24254</v>
      </c>
      <c r="O140" s="311">
        <f t="shared" si="257"/>
        <v>24618</v>
      </c>
      <c r="P140" s="311">
        <f t="shared" si="257"/>
        <v>24466</v>
      </c>
      <c r="Q140" s="311">
        <f t="shared" si="257"/>
        <v>24522</v>
      </c>
      <c r="R140" s="311">
        <f t="shared" si="257"/>
        <v>25402.945937500001</v>
      </c>
      <c r="S140" s="311">
        <f t="shared" si="257"/>
        <v>25744</v>
      </c>
      <c r="T140" s="311">
        <f t="shared" si="257"/>
        <v>25576</v>
      </c>
      <c r="U140" s="311">
        <f>U142</f>
        <v>25442.114999134024</v>
      </c>
      <c r="V140" s="311">
        <f t="shared" si="257"/>
        <v>25512.806525931552</v>
      </c>
      <c r="W140" s="311">
        <f t="shared" si="257"/>
        <v>25670.811767699674</v>
      </c>
      <c r="X140" s="311">
        <f>X142</f>
        <v>25887.518509703594</v>
      </c>
      <c r="Y140" s="311">
        <f>Y142</f>
        <v>26124.965890087235</v>
      </c>
      <c r="Z140" s="311">
        <f>Z142</f>
        <v>26383.801567384064</v>
      </c>
      <c r="AA140" s="311">
        <f>AA142</f>
        <v>26664.726365234652</v>
      </c>
      <c r="AB140" s="311">
        <f>AB142</f>
        <v>26968.49686969402</v>
      </c>
      <c r="AD140" s="382">
        <f t="shared" ref="AD140:BQ140" si="258">SUM(AD134,AD136:AD136,AD139)</f>
        <v>18318</v>
      </c>
      <c r="AE140" s="382">
        <f t="shared" si="258"/>
        <v>18904</v>
      </c>
      <c r="AF140" s="382">
        <f t="shared" si="258"/>
        <v>18518</v>
      </c>
      <c r="AG140" s="382">
        <f t="shared" si="258"/>
        <v>18373</v>
      </c>
      <c r="AH140" s="382">
        <f t="shared" si="258"/>
        <v>19424</v>
      </c>
      <c r="AI140" s="382">
        <f t="shared" si="258"/>
        <v>19713</v>
      </c>
      <c r="AJ140" s="382">
        <f t="shared" si="258"/>
        <v>19789</v>
      </c>
      <c r="AK140" s="382">
        <f t="shared" si="258"/>
        <v>19005</v>
      </c>
      <c r="AL140" s="382">
        <f t="shared" si="258"/>
        <v>20124</v>
      </c>
      <c r="AM140" s="382">
        <f t="shared" si="258"/>
        <v>20691</v>
      </c>
      <c r="AN140" s="382">
        <f t="shared" si="258"/>
        <v>19907</v>
      </c>
      <c r="AO140" s="382">
        <f t="shared" si="258"/>
        <v>19177</v>
      </c>
      <c r="AP140" s="382">
        <f t="shared" si="258"/>
        <v>19839</v>
      </c>
      <c r="AQ140" s="382">
        <f t="shared" si="258"/>
        <v>20801</v>
      </c>
      <c r="AR140" s="382">
        <f t="shared" si="258"/>
        <v>20191</v>
      </c>
      <c r="AS140" s="382">
        <f t="shared" si="258"/>
        <v>19823</v>
      </c>
      <c r="AT140" s="382">
        <f t="shared" si="258"/>
        <v>20418</v>
      </c>
      <c r="AU140" s="382">
        <f t="shared" si="258"/>
        <v>20955</v>
      </c>
      <c r="AV140" s="382">
        <f t="shared" si="258"/>
        <v>20182</v>
      </c>
      <c r="AW140" s="382">
        <f t="shared" si="258"/>
        <v>18644</v>
      </c>
      <c r="AX140" s="382">
        <f t="shared" si="258"/>
        <v>19255</v>
      </c>
      <c r="AY140" s="382">
        <f t="shared" si="258"/>
        <v>20726.900000000001</v>
      </c>
      <c r="AZ140" s="382">
        <f t="shared" si="258"/>
        <v>20832</v>
      </c>
      <c r="BA140" s="382">
        <f t="shared" si="258"/>
        <v>20586</v>
      </c>
      <c r="BB140" s="382">
        <f t="shared" si="258"/>
        <v>21740</v>
      </c>
      <c r="BC140" s="382">
        <f t="shared" si="258"/>
        <v>22851</v>
      </c>
      <c r="BD140" s="382">
        <f t="shared" si="258"/>
        <v>22652</v>
      </c>
      <c r="BE140" s="382">
        <f t="shared" si="258"/>
        <v>22317</v>
      </c>
      <c r="BF140" s="382">
        <f t="shared" si="258"/>
        <v>23550</v>
      </c>
      <c r="BG140" s="382">
        <f t="shared" si="258"/>
        <v>24689</v>
      </c>
      <c r="BH140" s="382">
        <f t="shared" si="258"/>
        <v>24863</v>
      </c>
      <c r="BI140" s="382">
        <f t="shared" si="258"/>
        <v>24433</v>
      </c>
      <c r="BJ140" s="382">
        <f t="shared" si="258"/>
        <v>24247</v>
      </c>
      <c r="BK140" s="382">
        <f t="shared" si="258"/>
        <v>25714</v>
      </c>
      <c r="BL140" s="382">
        <f t="shared" si="258"/>
        <v>25776</v>
      </c>
      <c r="BM140" s="382">
        <f t="shared" si="258"/>
        <v>25353</v>
      </c>
      <c r="BN140" s="382">
        <f t="shared" si="258"/>
        <v>4245</v>
      </c>
      <c r="BO140" s="382">
        <f t="shared" si="258"/>
        <v>4809</v>
      </c>
      <c r="BP140" s="382">
        <f t="shared" si="258"/>
        <v>4944</v>
      </c>
      <c r="BQ140" s="382">
        <f t="shared" si="258"/>
        <v>4487</v>
      </c>
      <c r="BR140" s="379">
        <f>BR131+BR127+BR128</f>
        <v>4407</v>
      </c>
      <c r="BS140" s="379">
        <f>BS131+BS127+BS128</f>
        <v>4947</v>
      </c>
      <c r="BT140" s="379">
        <f>BT131+BT127+BT128</f>
        <v>5141</v>
      </c>
      <c r="BU140" s="379">
        <f>BU131+BU127+BU128</f>
        <v>4563</v>
      </c>
      <c r="BV140" s="379">
        <f t="shared" ref="BV140:CW140" si="259">BV131+BV128+BV130+BV129+BV127</f>
        <v>4523</v>
      </c>
      <c r="BW140" s="379">
        <f t="shared" si="259"/>
        <v>6719</v>
      </c>
      <c r="BX140" s="379">
        <f t="shared" si="259"/>
        <v>6300</v>
      </c>
      <c r="BY140" s="379">
        <f t="shared" si="259"/>
        <v>6014</v>
      </c>
      <c r="BZ140" s="379">
        <f t="shared" si="259"/>
        <v>5760</v>
      </c>
      <c r="CA140" s="379">
        <f t="shared" si="259"/>
        <v>6274</v>
      </c>
      <c r="CB140" s="379">
        <f t="shared" si="259"/>
        <v>6402</v>
      </c>
      <c r="CC140" s="379">
        <f t="shared" si="259"/>
        <v>5927</v>
      </c>
      <c r="CD140" s="379">
        <f t="shared" si="259"/>
        <v>5643</v>
      </c>
      <c r="CE140" s="379">
        <f t="shared" si="259"/>
        <v>6410</v>
      </c>
      <c r="CF140" s="379">
        <f t="shared" si="259"/>
        <v>6109</v>
      </c>
      <c r="CG140" s="379">
        <f t="shared" si="259"/>
        <v>6092</v>
      </c>
      <c r="CH140" s="379">
        <f t="shared" si="259"/>
        <v>5647</v>
      </c>
      <c r="CI140" s="379">
        <f t="shared" si="259"/>
        <v>6487</v>
      </c>
      <c r="CJ140" s="379">
        <f t="shared" si="259"/>
        <v>6242</v>
      </c>
      <c r="CK140" s="379">
        <f t="shared" si="259"/>
        <v>6242</v>
      </c>
      <c r="CL140" s="379">
        <f t="shared" si="259"/>
        <v>5528</v>
      </c>
      <c r="CM140" s="379">
        <f t="shared" si="259"/>
        <v>6305</v>
      </c>
      <c r="CN140" s="379">
        <f t="shared" si="259"/>
        <v>6553</v>
      </c>
      <c r="CO140" s="379">
        <f t="shared" si="259"/>
        <v>6080</v>
      </c>
      <c r="CP140" s="379">
        <f t="shared" si="259"/>
        <v>5517</v>
      </c>
      <c r="CQ140" s="379">
        <f t="shared" si="259"/>
        <v>6256</v>
      </c>
      <c r="CR140" s="384">
        <f t="shared" si="259"/>
        <v>6491</v>
      </c>
      <c r="CS140" s="379">
        <f t="shared" si="259"/>
        <v>6258</v>
      </c>
      <c r="CT140" s="384">
        <f t="shared" si="259"/>
        <v>5804</v>
      </c>
      <c r="CU140" s="384">
        <f t="shared" si="259"/>
        <v>6613</v>
      </c>
      <c r="CV140" s="379">
        <f t="shared" si="259"/>
        <v>6699</v>
      </c>
      <c r="CW140" s="384">
        <f t="shared" si="259"/>
        <v>6286.9459374999997</v>
      </c>
      <c r="CX140" s="379">
        <f t="shared" ref="CX140:DE140" si="260">CX131+CX128+CX130+CX129+CX127</f>
        <v>6066</v>
      </c>
      <c r="CY140" s="379">
        <f t="shared" si="260"/>
        <v>6521</v>
      </c>
      <c r="CZ140" s="379">
        <f t="shared" si="260"/>
        <v>6905</v>
      </c>
      <c r="DA140" s="1021">
        <f t="shared" si="260"/>
        <v>6252</v>
      </c>
      <c r="DB140" s="1021">
        <f t="shared" si="260"/>
        <v>6083</v>
      </c>
      <c r="DC140" s="1021">
        <f t="shared" si="260"/>
        <v>6663</v>
      </c>
      <c r="DD140" s="1021">
        <f t="shared" si="260"/>
        <v>6729</v>
      </c>
      <c r="DE140" s="1021">
        <f t="shared" si="260"/>
        <v>6101</v>
      </c>
      <c r="DF140" s="379">
        <f t="shared" ref="DF140:DI140" si="261">DF131+DF128+DF130+DF129+DF127</f>
        <v>5962.6593793290567</v>
      </c>
      <c r="DG140" s="379">
        <f t="shared" si="261"/>
        <v>6583.6188712537887</v>
      </c>
      <c r="DH140" s="379">
        <f t="shared" si="261"/>
        <v>6721.5546608572695</v>
      </c>
      <c r="DI140" s="379">
        <f t="shared" si="261"/>
        <v>6174.2820876939113</v>
      </c>
    </row>
    <row r="141" spans="1:114" hidden="1" outlineLevel="1">
      <c r="A141" s="301" t="s">
        <v>453</v>
      </c>
      <c r="B141" s="728">
        <v>0</v>
      </c>
      <c r="C141" s="728">
        <f>922</f>
        <v>922</v>
      </c>
      <c r="D141" s="728">
        <v>795</v>
      </c>
      <c r="E141" s="728">
        <v>714</v>
      </c>
      <c r="F141" s="795">
        <v>0</v>
      </c>
      <c r="G141" s="796">
        <v>0</v>
      </c>
      <c r="H141" s="796">
        <v>0</v>
      </c>
      <c r="I141" s="796">
        <v>0</v>
      </c>
      <c r="J141" s="796">
        <v>0</v>
      </c>
      <c r="K141" s="796">
        <v>0</v>
      </c>
      <c r="L141" s="796">
        <v>0</v>
      </c>
      <c r="M141" s="796">
        <v>0</v>
      </c>
      <c r="N141" s="796">
        <v>0</v>
      </c>
      <c r="O141" s="796">
        <v>0</v>
      </c>
      <c r="P141" s="796">
        <v>0</v>
      </c>
      <c r="Q141" s="796">
        <v>0</v>
      </c>
      <c r="R141" s="796">
        <v>0</v>
      </c>
      <c r="S141" s="796">
        <v>0</v>
      </c>
      <c r="T141" s="796">
        <v>0</v>
      </c>
      <c r="U141" s="796">
        <v>0</v>
      </c>
      <c r="V141" s="796">
        <v>0</v>
      </c>
      <c r="W141" s="796">
        <v>0</v>
      </c>
      <c r="X141" s="796">
        <v>0</v>
      </c>
      <c r="Y141" s="796">
        <v>0</v>
      </c>
      <c r="Z141" s="796">
        <v>0</v>
      </c>
      <c r="AA141" s="796">
        <v>0</v>
      </c>
      <c r="AB141" s="796">
        <v>0</v>
      </c>
      <c r="AD141" s="194"/>
      <c r="AE141" s="194"/>
      <c r="AF141" s="194"/>
      <c r="AG141" s="194"/>
      <c r="AH141" s="194"/>
      <c r="AI141" s="194"/>
      <c r="AJ141" s="194"/>
      <c r="AK141" s="194"/>
      <c r="AL141" s="194"/>
      <c r="AM141" s="194"/>
      <c r="AN141" s="194"/>
      <c r="AO141" s="194"/>
      <c r="AP141" s="194"/>
      <c r="AQ141" s="194"/>
      <c r="AR141" s="194"/>
      <c r="AS141" s="194"/>
      <c r="AT141" s="194"/>
      <c r="AU141" s="194"/>
      <c r="AV141" s="194"/>
      <c r="AW141" s="194"/>
      <c r="AX141" s="194"/>
      <c r="AY141" s="194"/>
      <c r="AZ141" s="194"/>
      <c r="BA141" s="194"/>
      <c r="BB141" s="194"/>
      <c r="BC141" s="194"/>
      <c r="BD141" s="194"/>
      <c r="BE141" s="194"/>
      <c r="BF141" s="194"/>
      <c r="BG141" s="194"/>
      <c r="BH141" s="194"/>
      <c r="BI141" s="194"/>
      <c r="BJ141" s="194"/>
      <c r="BK141" s="194"/>
      <c r="BL141" s="194"/>
      <c r="BM141" s="194"/>
      <c r="BN141" s="194"/>
      <c r="BO141" s="194"/>
      <c r="BP141" s="194"/>
      <c r="BQ141" s="194"/>
      <c r="BR141" s="192"/>
      <c r="BS141" s="192"/>
      <c r="BT141" s="192"/>
      <c r="BU141" s="192"/>
      <c r="BV141" s="192"/>
      <c r="BW141" s="192"/>
      <c r="BX141" s="192"/>
      <c r="BY141" s="192"/>
      <c r="BZ141" s="192"/>
      <c r="CA141" s="192"/>
      <c r="CB141" s="192"/>
      <c r="CC141" s="192"/>
      <c r="CD141" s="192"/>
      <c r="CE141" s="192"/>
      <c r="CF141" s="192"/>
      <c r="CG141" s="192"/>
      <c r="CH141" s="192"/>
      <c r="CI141" s="192"/>
      <c r="CJ141" s="192"/>
      <c r="CK141" s="192"/>
      <c r="CL141" s="524"/>
      <c r="CM141" s="524"/>
      <c r="CN141" s="524"/>
      <c r="CO141" s="524"/>
      <c r="CP141" s="524"/>
      <c r="CQ141" s="412"/>
      <c r="CR141" s="525"/>
      <c r="CS141" s="524"/>
      <c r="CT141" s="525"/>
      <c r="CU141" s="525"/>
      <c r="CV141" s="524"/>
      <c r="CW141" s="525"/>
      <c r="CX141" s="524"/>
      <c r="CY141" s="524"/>
      <c r="CZ141" s="524"/>
      <c r="DA141" s="1022"/>
      <c r="DB141" s="1022"/>
      <c r="DC141" s="1022"/>
      <c r="DD141" s="1022"/>
      <c r="DE141" s="1022"/>
      <c r="DF141" s="524"/>
      <c r="DG141" s="524"/>
      <c r="DH141" s="524"/>
      <c r="DI141" s="524"/>
    </row>
    <row r="142" spans="1:114" hidden="1" outlineLevel="1">
      <c r="A142" s="202" t="s">
        <v>543</v>
      </c>
      <c r="B142" s="203">
        <f>B134+B139+B136+B131+B141</f>
        <v>78415</v>
      </c>
      <c r="C142" s="203">
        <f>C127+C133+C137+C138+C136+C131+C141</f>
        <v>74425</v>
      </c>
      <c r="D142" s="203">
        <f>D127+D133+D137+D138+D136+D131+D141</f>
        <v>81674</v>
      </c>
      <c r="E142" s="203">
        <f>E127+E133+E137+E138+E136+E131+E141</f>
        <v>81122</v>
      </c>
      <c r="F142" s="203">
        <v>81832</v>
      </c>
      <c r="G142" s="203">
        <f>G127+G133+G137+G138+G136+G131+G141</f>
        <v>89955</v>
      </c>
      <c r="H142" s="203">
        <f>H127+H133+H137+H138+H136+H131+H141</f>
        <v>97860</v>
      </c>
      <c r="I142" s="203">
        <f>I127+I133+I137+I138+I136+I131+I141</f>
        <v>101407</v>
      </c>
      <c r="J142" s="203">
        <f>J127+J133+J137+J138+J136+J131+J141</f>
        <v>18664</v>
      </c>
      <c r="K142" s="203">
        <f>K127+K133+K137+K138+K136+K131+K141+K128</f>
        <v>19058</v>
      </c>
      <c r="L142" s="203">
        <f>L127+L133+L137+L138+L136+L131+L141+L128+L129+L130</f>
        <v>23556</v>
      </c>
      <c r="M142" s="203">
        <f>M127+M133+M137+M138+M136+M131+M141+M128+M129+M130</f>
        <v>24363</v>
      </c>
      <c r="N142" s="203">
        <f>N127+N133+N137+N138+N136+N131+N141+N128+N129+N130</f>
        <v>24254</v>
      </c>
      <c r="O142" s="203">
        <f t="shared" ref="O142:W142" si="262">O127+O133+O137+O138+O136+O131+O141+O128+O129+O130</f>
        <v>24618</v>
      </c>
      <c r="P142" s="203">
        <f t="shared" si="262"/>
        <v>24466</v>
      </c>
      <c r="Q142" s="203">
        <f t="shared" si="262"/>
        <v>24522</v>
      </c>
      <c r="R142" s="203">
        <f t="shared" si="262"/>
        <v>25402.945937500001</v>
      </c>
      <c r="S142" s="203">
        <f t="shared" si="262"/>
        <v>25744</v>
      </c>
      <c r="T142" s="203">
        <f t="shared" si="262"/>
        <v>25576</v>
      </c>
      <c r="U142" s="203">
        <f t="shared" si="262"/>
        <v>25442.114999134024</v>
      </c>
      <c r="V142" s="203">
        <f t="shared" si="262"/>
        <v>25512.806525931552</v>
      </c>
      <c r="W142" s="203">
        <f t="shared" si="262"/>
        <v>25670.811767699674</v>
      </c>
      <c r="X142" s="203">
        <f>X127+X133+X137+X138+X136+X131+X141+X128+X129+X130</f>
        <v>25887.518509703594</v>
      </c>
      <c r="Y142" s="203">
        <f>Y127+Y133+Y137+Y138+Y136+Y131+Y141+Y128+Y129+Y130</f>
        <v>26124.965890087235</v>
      </c>
      <c r="Z142" s="203">
        <f>Z127+Z133+Z137+Z138+Z136+Z131+Z141+Z128+Z129+Z130</f>
        <v>26383.801567384064</v>
      </c>
      <c r="AA142" s="203">
        <f>AA127+AA133+AA137+AA138+AA136+AA131+AA141+AA128+AA129+AA130</f>
        <v>26664.726365234652</v>
      </c>
      <c r="AB142" s="203">
        <f>AB127+AB133+AB137+AB138+AB136+AB131+AB141+AB128+AB129+AB130</f>
        <v>26968.49686969402</v>
      </c>
      <c r="AD142" s="194"/>
      <c r="AE142" s="194"/>
      <c r="AF142" s="194"/>
      <c r="AG142" s="194"/>
      <c r="AH142" s="194"/>
      <c r="AI142" s="194"/>
      <c r="AJ142" s="194"/>
      <c r="AK142" s="194"/>
      <c r="AL142" s="194"/>
      <c r="AM142" s="194"/>
      <c r="AN142" s="194"/>
      <c r="AO142" s="194"/>
      <c r="AP142" s="194"/>
      <c r="AQ142" s="194"/>
      <c r="AR142" s="194"/>
      <c r="AS142" s="194"/>
      <c r="AT142" s="194"/>
      <c r="AU142" s="194"/>
      <c r="AV142" s="194"/>
      <c r="AW142" s="194"/>
      <c r="AX142" s="194"/>
      <c r="AY142" s="194"/>
      <c r="AZ142" s="194"/>
      <c r="BA142" s="194"/>
      <c r="BB142" s="194"/>
      <c r="BC142" s="194"/>
      <c r="BD142" s="194"/>
      <c r="BE142" s="194"/>
      <c r="BF142" s="194"/>
      <c r="BG142" s="194"/>
      <c r="BH142" s="194"/>
      <c r="BI142" s="194"/>
      <c r="BJ142" s="194"/>
      <c r="BK142" s="194"/>
      <c r="BL142" s="194"/>
      <c r="BM142" s="194"/>
      <c r="BN142" s="194"/>
      <c r="BO142" s="194"/>
      <c r="BP142" s="194"/>
      <c r="BQ142" s="194"/>
      <c r="BR142" s="192"/>
      <c r="BS142" s="192"/>
      <c r="BT142" s="192"/>
      <c r="BU142" s="192"/>
      <c r="BV142" s="192"/>
      <c r="BW142" s="192"/>
      <c r="BX142" s="192"/>
      <c r="BY142" s="192"/>
      <c r="BZ142" s="192"/>
      <c r="CA142" s="192"/>
      <c r="CB142" s="192"/>
      <c r="CC142" s="192"/>
      <c r="CD142" s="192"/>
      <c r="CE142" s="192"/>
      <c r="CF142" s="192"/>
      <c r="CG142" s="192"/>
      <c r="CH142" s="192"/>
      <c r="CI142" s="192"/>
      <c r="CJ142" s="192"/>
      <c r="CK142" s="192"/>
      <c r="CL142" s="524"/>
      <c r="CM142" s="524"/>
      <c r="CN142" s="524"/>
      <c r="CO142" s="524"/>
      <c r="CP142" s="524"/>
      <c r="CQ142" s="412"/>
      <c r="CR142" s="525"/>
      <c r="CS142" s="524"/>
      <c r="CT142" s="525"/>
      <c r="CU142" s="525"/>
      <c r="CV142" s="524"/>
      <c r="CW142" s="525"/>
      <c r="CX142" s="524"/>
      <c r="CY142" s="524"/>
      <c r="CZ142" s="524"/>
      <c r="DA142" s="1022"/>
      <c r="DB142" s="1022"/>
      <c r="DC142" s="1022"/>
      <c r="DD142" s="1022"/>
      <c r="DE142" s="1022"/>
      <c r="DF142" s="524"/>
      <c r="DG142" s="524"/>
      <c r="DH142" s="524"/>
      <c r="DI142" s="524"/>
    </row>
    <row r="143" spans="1:114" hidden="1" outlineLevel="1">
      <c r="A143" s="202"/>
      <c r="B143" s="203"/>
      <c r="C143" s="203"/>
      <c r="D143" s="203"/>
      <c r="E143" s="203"/>
      <c r="F143" s="203"/>
      <c r="G143" s="196"/>
      <c r="H143" s="196"/>
      <c r="I143" s="196"/>
      <c r="J143" s="196"/>
      <c r="K143" s="196"/>
      <c r="L143" s="196"/>
      <c r="M143" s="196"/>
      <c r="N143" s="196"/>
      <c r="O143" s="196"/>
      <c r="P143" s="196"/>
      <c r="Q143" s="196"/>
      <c r="R143" s="196"/>
      <c r="S143" s="196"/>
      <c r="T143" s="196"/>
      <c r="U143" s="196"/>
      <c r="V143" s="196"/>
      <c r="W143" s="196"/>
      <c r="X143" s="196"/>
      <c r="Y143" s="196"/>
      <c r="Z143" s="196"/>
      <c r="AA143" s="196"/>
      <c r="AB143" s="196"/>
      <c r="AD143" s="194"/>
      <c r="AE143" s="194"/>
      <c r="AF143" s="194"/>
      <c r="AG143" s="194"/>
      <c r="AH143" s="194"/>
      <c r="AI143" s="194"/>
      <c r="AJ143" s="194"/>
      <c r="AK143" s="194"/>
      <c r="AL143" s="194"/>
      <c r="AM143" s="194"/>
      <c r="AN143" s="194"/>
      <c r="AO143" s="194"/>
      <c r="AP143" s="194"/>
      <c r="AQ143" s="194"/>
      <c r="AR143" s="194"/>
      <c r="AS143" s="194"/>
      <c r="AT143" s="194"/>
      <c r="AU143" s="194"/>
      <c r="AV143" s="194"/>
      <c r="AW143" s="194"/>
      <c r="AX143" s="194"/>
      <c r="AY143" s="194"/>
      <c r="AZ143" s="194"/>
      <c r="BA143" s="194"/>
      <c r="BB143" s="194"/>
      <c r="BC143" s="194"/>
      <c r="BD143" s="194"/>
      <c r="BE143" s="194"/>
      <c r="BF143" s="194"/>
      <c r="BG143" s="194"/>
      <c r="BH143" s="194"/>
      <c r="BI143" s="194"/>
      <c r="BJ143" s="194"/>
      <c r="BK143" s="194"/>
      <c r="BL143" s="194"/>
      <c r="BM143" s="194"/>
      <c r="BN143" s="194"/>
      <c r="BO143" s="194"/>
      <c r="BP143" s="194"/>
      <c r="BQ143" s="194"/>
      <c r="BR143" s="192"/>
      <c r="BS143" s="192"/>
      <c r="BT143" s="192"/>
      <c r="BU143" s="192"/>
      <c r="BV143" s="192"/>
      <c r="BW143" s="192"/>
      <c r="BX143" s="192"/>
      <c r="BY143" s="192"/>
      <c r="BZ143" s="192"/>
      <c r="CA143" s="192"/>
      <c r="CB143" s="192"/>
      <c r="CC143" s="192"/>
      <c r="CD143" s="192"/>
      <c r="CE143" s="192"/>
      <c r="CF143" s="192"/>
      <c r="CG143" s="192"/>
      <c r="CH143" s="192"/>
      <c r="CI143" s="192"/>
      <c r="CJ143" s="192"/>
      <c r="CK143" s="192"/>
      <c r="CL143" s="524"/>
      <c r="CM143" s="524"/>
      <c r="CN143" s="524"/>
      <c r="CO143" s="524"/>
      <c r="CP143" s="524"/>
      <c r="CQ143" s="412"/>
      <c r="CR143" s="525"/>
      <c r="CS143" s="524"/>
      <c r="CT143" s="525"/>
      <c r="CU143" s="525"/>
      <c r="CV143" s="524"/>
      <c r="CW143" s="525"/>
      <c r="CX143" s="524"/>
      <c r="CY143" s="524"/>
      <c r="CZ143" s="524"/>
      <c r="DA143" s="1022"/>
      <c r="DB143" s="1022"/>
      <c r="DC143" s="1022"/>
      <c r="DD143" s="1022"/>
      <c r="DE143" s="1022"/>
      <c r="DF143" s="524"/>
      <c r="DG143" s="524"/>
      <c r="DH143" s="524"/>
      <c r="DI143" s="524"/>
    </row>
    <row r="144" spans="1:114" hidden="1" outlineLevel="1">
      <c r="A144" s="204" t="s">
        <v>228</v>
      </c>
      <c r="B144" s="524">
        <f t="shared" ref="B144:W144" si="263">B127</f>
        <v>19596</v>
      </c>
      <c r="C144" s="524">
        <f t="shared" si="263"/>
        <v>18967</v>
      </c>
      <c r="D144" s="524">
        <f t="shared" si="263"/>
        <v>19902</v>
      </c>
      <c r="E144" s="524">
        <f t="shared" si="263"/>
        <v>18877</v>
      </c>
      <c r="F144" s="524">
        <f t="shared" si="263"/>
        <v>17001.400000000001</v>
      </c>
      <c r="G144" s="524">
        <f t="shared" ref="G144:Q144" si="264">G127</f>
        <v>17511</v>
      </c>
      <c r="H144" s="524">
        <f t="shared" si="264"/>
        <v>18134</v>
      </c>
      <c r="I144" s="524">
        <f t="shared" si="264"/>
        <v>18474</v>
      </c>
      <c r="J144" s="524">
        <f t="shared" si="264"/>
        <v>18485</v>
      </c>
      <c r="K144" s="524">
        <f t="shared" si="264"/>
        <v>18455</v>
      </c>
      <c r="L144" s="524">
        <f t="shared" si="264"/>
        <v>20919</v>
      </c>
      <c r="M144" s="524">
        <f t="shared" si="264"/>
        <v>21631</v>
      </c>
      <c r="N144" s="524">
        <f t="shared" si="264"/>
        <v>21330</v>
      </c>
      <c r="O144" s="524">
        <f t="shared" si="264"/>
        <v>21531</v>
      </c>
      <c r="P144" s="524">
        <f t="shared" si="264"/>
        <v>21231</v>
      </c>
      <c r="Q144" s="524">
        <f t="shared" si="264"/>
        <v>21298</v>
      </c>
      <c r="R144" s="524">
        <f t="shared" si="263"/>
        <v>22133</v>
      </c>
      <c r="S144" s="524">
        <f t="shared" si="263"/>
        <v>22146</v>
      </c>
      <c r="T144" s="524">
        <f t="shared" si="263"/>
        <v>21828.196990358098</v>
      </c>
      <c r="U144" s="524">
        <f t="shared" si="263"/>
        <v>21489.612407408789</v>
      </c>
      <c r="V144" s="524">
        <f t="shared" si="263"/>
        <v>21368.961402009791</v>
      </c>
      <c r="W144" s="524">
        <f t="shared" si="263"/>
        <v>21312.104014621262</v>
      </c>
      <c r="X144" s="524">
        <f t="shared" ref="X144:AB145" si="265">X127</f>
        <v>21282.520122904356</v>
      </c>
      <c r="Y144" s="524">
        <f t="shared" si="265"/>
        <v>21259.594751570112</v>
      </c>
      <c r="Z144" s="524">
        <f t="shared" si="265"/>
        <v>21243.162181888722</v>
      </c>
      <c r="AA144" s="524">
        <f t="shared" si="265"/>
        <v>21233.06247546295</v>
      </c>
      <c r="AB144" s="524">
        <f t="shared" si="265"/>
        <v>21229.141291210926</v>
      </c>
      <c r="AD144" s="194">
        <v>3336</v>
      </c>
      <c r="AE144" s="194">
        <v>3726</v>
      </c>
      <c r="AF144" s="194">
        <v>4142</v>
      </c>
      <c r="AG144" s="194">
        <v>4106</v>
      </c>
      <c r="AH144" s="194">
        <v>4460</v>
      </c>
      <c r="AI144" s="194">
        <v>4735</v>
      </c>
      <c r="AJ144" s="194">
        <v>5157</v>
      </c>
      <c r="AK144" s="194">
        <v>5244</v>
      </c>
      <c r="AL144" s="194">
        <v>5446</v>
      </c>
      <c r="AM144" s="194">
        <v>5706</v>
      </c>
      <c r="AN144" s="194">
        <v>5835</v>
      </c>
      <c r="AO144" s="194">
        <v>5671</v>
      </c>
      <c r="AP144" s="194">
        <v>4577</v>
      </c>
      <c r="AQ144" s="194">
        <v>5105</v>
      </c>
      <c r="AR144" s="194">
        <v>5144</v>
      </c>
      <c r="AS144" s="194">
        <v>5076</v>
      </c>
      <c r="AT144" s="194">
        <v>5018</v>
      </c>
      <c r="AU144" s="194">
        <v>4881</v>
      </c>
      <c r="AV144" s="194">
        <v>5022</v>
      </c>
      <c r="AW144" s="194">
        <v>3956</v>
      </c>
      <c r="AX144" s="194">
        <v>3817</v>
      </c>
      <c r="AY144" s="194">
        <v>4497.8999999999996</v>
      </c>
      <c r="AZ144" s="194">
        <v>4440</v>
      </c>
      <c r="BA144" s="194">
        <v>4246</v>
      </c>
      <c r="BB144" s="194">
        <v>4004</v>
      </c>
      <c r="BC144" s="194">
        <v>4582</v>
      </c>
      <c r="BD144" s="194">
        <v>4505</v>
      </c>
      <c r="BE144" s="194">
        <v>4420</v>
      </c>
      <c r="BF144" s="194">
        <v>4146</v>
      </c>
      <c r="BG144" s="194">
        <v>4790</v>
      </c>
      <c r="BH144" s="194">
        <v>4731</v>
      </c>
      <c r="BI144" s="194">
        <v>4467</v>
      </c>
      <c r="BJ144" s="194">
        <v>4323</v>
      </c>
      <c r="BK144" s="194">
        <v>4785</v>
      </c>
      <c r="BL144" s="194">
        <v>4830</v>
      </c>
      <c r="BM144" s="194">
        <v>4536</v>
      </c>
      <c r="BN144" s="194">
        <v>4245</v>
      </c>
      <c r="BO144" s="194">
        <v>4809</v>
      </c>
      <c r="BP144" s="194">
        <v>4944</v>
      </c>
      <c r="BQ144" s="194">
        <v>4487</v>
      </c>
      <c r="BR144" s="192">
        <v>4230</v>
      </c>
      <c r="BS144" s="192">
        <v>4809</v>
      </c>
      <c r="BT144" s="192">
        <v>4987</v>
      </c>
      <c r="BU144" s="192">
        <v>4429</v>
      </c>
      <c r="BV144" s="192">
        <v>3896</v>
      </c>
      <c r="BW144" s="192">
        <v>6024</v>
      </c>
      <c r="BX144" s="192">
        <v>5626</v>
      </c>
      <c r="BY144" s="192">
        <v>5373</v>
      </c>
      <c r="BZ144" s="192">
        <v>5123</v>
      </c>
      <c r="CA144" s="192">
        <v>5589</v>
      </c>
      <c r="CB144" s="192">
        <v>5729</v>
      </c>
      <c r="CC144" s="192">
        <v>5190</v>
      </c>
      <c r="CD144" s="192">
        <v>5026</v>
      </c>
      <c r="CE144" s="192">
        <v>5709</v>
      </c>
      <c r="CF144" s="192">
        <v>5330</v>
      </c>
      <c r="CG144" s="192">
        <v>5338</v>
      </c>
      <c r="CH144" s="192"/>
      <c r="CI144" s="192"/>
      <c r="CJ144" s="192"/>
      <c r="CK144" s="192"/>
      <c r="CL144" s="524"/>
      <c r="CM144" s="524"/>
      <c r="CN144" s="524"/>
      <c r="CO144" s="524"/>
      <c r="CP144" s="524">
        <f>CP127</f>
        <v>4818</v>
      </c>
      <c r="CQ144" s="524">
        <f t="shared" ref="CQ144:DA144" si="266">CQ127</f>
        <v>5443</v>
      </c>
      <c r="CR144" s="524">
        <f t="shared" si="266"/>
        <v>5684</v>
      </c>
      <c r="CS144" s="524">
        <f t="shared" si="266"/>
        <v>5353</v>
      </c>
      <c r="CT144" s="525">
        <f t="shared" si="266"/>
        <v>5069</v>
      </c>
      <c r="CU144" s="524">
        <f t="shared" si="266"/>
        <v>5810</v>
      </c>
      <c r="CV144" s="524">
        <f t="shared" si="266"/>
        <v>5865</v>
      </c>
      <c r="CW144" s="524">
        <f t="shared" si="266"/>
        <v>5389</v>
      </c>
      <c r="CX144" s="524">
        <f t="shared" si="266"/>
        <v>5265</v>
      </c>
      <c r="CY144" s="524">
        <f t="shared" si="266"/>
        <v>5645</v>
      </c>
      <c r="CZ144" s="524">
        <f t="shared" si="266"/>
        <v>5964</v>
      </c>
      <c r="DA144" s="1022">
        <f t="shared" si="266"/>
        <v>5272</v>
      </c>
      <c r="DB144" s="1022">
        <f t="shared" ref="DB144:DE145" si="267">DB127</f>
        <v>5271</v>
      </c>
      <c r="DC144" s="1022">
        <f t="shared" si="267"/>
        <v>5713</v>
      </c>
      <c r="DD144" s="1022">
        <f t="shared" si="267"/>
        <v>5764</v>
      </c>
      <c r="DE144" s="1022">
        <f t="shared" si="267"/>
        <v>5080.1969903580994</v>
      </c>
      <c r="DF144" s="524">
        <f t="shared" ref="DF144:DI144" si="268">DF127</f>
        <v>5069.7727500000001</v>
      </c>
      <c r="DG144" s="524">
        <f t="shared" si="268"/>
        <v>5595.5312249999997</v>
      </c>
      <c r="DH144" s="524">
        <f t="shared" si="268"/>
        <v>5704.554075</v>
      </c>
      <c r="DI144" s="524">
        <f t="shared" si="268"/>
        <v>5119.7543574087904</v>
      </c>
    </row>
    <row r="145" spans="1:114" hidden="1" outlineLevel="1">
      <c r="A145" s="204" t="s">
        <v>230</v>
      </c>
      <c r="B145" s="524">
        <f t="shared" ref="B145:W145" si="269">B128</f>
        <v>0</v>
      </c>
      <c r="C145" s="524">
        <f t="shared" si="269"/>
        <v>0</v>
      </c>
      <c r="D145" s="524">
        <f t="shared" si="269"/>
        <v>0</v>
      </c>
      <c r="E145" s="524">
        <f t="shared" si="269"/>
        <v>0</v>
      </c>
      <c r="F145" s="524">
        <f t="shared" si="269"/>
        <v>0</v>
      </c>
      <c r="G145" s="524">
        <f t="shared" ref="G145:Q145" si="270">G128</f>
        <v>0</v>
      </c>
      <c r="H145" s="524">
        <f t="shared" si="270"/>
        <v>0</v>
      </c>
      <c r="I145" s="524" t="str">
        <f t="shared" si="270"/>
        <v>ND</v>
      </c>
      <c r="J145" s="524" t="str">
        <f t="shared" si="270"/>
        <v>ND</v>
      </c>
      <c r="K145" s="524">
        <f t="shared" si="270"/>
        <v>387</v>
      </c>
      <c r="L145" s="524">
        <f t="shared" si="270"/>
        <v>520</v>
      </c>
      <c r="M145" s="524">
        <f t="shared" si="270"/>
        <v>560</v>
      </c>
      <c r="N145" s="524">
        <f t="shared" si="270"/>
        <v>604</v>
      </c>
      <c r="O145" s="524">
        <f t="shared" si="270"/>
        <v>685</v>
      </c>
      <c r="P145" s="524">
        <f t="shared" si="270"/>
        <v>637</v>
      </c>
      <c r="Q145" s="524">
        <f t="shared" si="270"/>
        <v>641</v>
      </c>
      <c r="R145" s="524">
        <f t="shared" si="269"/>
        <v>659</v>
      </c>
      <c r="S145" s="524">
        <f t="shared" si="269"/>
        <v>705</v>
      </c>
      <c r="T145" s="524">
        <f t="shared" si="269"/>
        <v>807.80300964190064</v>
      </c>
      <c r="U145" s="524">
        <f t="shared" si="269"/>
        <v>856.67509172523569</v>
      </c>
      <c r="V145" s="524">
        <f t="shared" si="269"/>
        <v>891.19909792176281</v>
      </c>
      <c r="W145" s="524">
        <f t="shared" si="269"/>
        <v>927.11442156800967</v>
      </c>
      <c r="X145" s="524">
        <f t="shared" si="265"/>
        <v>969.29812774935419</v>
      </c>
      <c r="Y145" s="524">
        <f t="shared" si="265"/>
        <v>1013.4011925619496</v>
      </c>
      <c r="Z145" s="524">
        <f t="shared" si="265"/>
        <v>1059.5109468235182</v>
      </c>
      <c r="AA145" s="524">
        <f t="shared" si="265"/>
        <v>1107.7186949039883</v>
      </c>
      <c r="AB145" s="524">
        <f t="shared" si="265"/>
        <v>1158.1198955221196</v>
      </c>
      <c r="AD145" s="194"/>
      <c r="AE145" s="194"/>
      <c r="AF145" s="194"/>
      <c r="AG145" s="194"/>
      <c r="AH145" s="194"/>
      <c r="AI145" s="194"/>
      <c r="AJ145" s="194"/>
      <c r="AK145" s="194"/>
      <c r="AL145" s="194"/>
      <c r="AM145" s="194"/>
      <c r="AN145" s="194"/>
      <c r="AO145" s="194"/>
      <c r="AP145" s="194"/>
      <c r="AQ145" s="194"/>
      <c r="AR145" s="194"/>
      <c r="AS145" s="194"/>
      <c r="AT145" s="194"/>
      <c r="AU145" s="194"/>
      <c r="AV145" s="194"/>
      <c r="AW145" s="194"/>
      <c r="AX145" s="194"/>
      <c r="AY145" s="194"/>
      <c r="AZ145" s="194"/>
      <c r="BA145" s="194"/>
      <c r="BB145" s="194"/>
      <c r="BC145" s="194"/>
      <c r="BD145" s="194"/>
      <c r="BE145" s="194"/>
      <c r="BF145" s="194"/>
      <c r="BG145" s="194"/>
      <c r="BH145" s="194"/>
      <c r="BI145" s="194"/>
      <c r="BJ145" s="194" t="s">
        <v>618</v>
      </c>
      <c r="BK145" s="194" t="s">
        <v>618</v>
      </c>
      <c r="BL145" s="194" t="s">
        <v>618</v>
      </c>
      <c r="BM145" s="194" t="s">
        <v>618</v>
      </c>
      <c r="BN145" s="194" t="s">
        <v>618</v>
      </c>
      <c r="BO145" s="194" t="s">
        <v>618</v>
      </c>
      <c r="BP145" s="194" t="s">
        <v>618</v>
      </c>
      <c r="BQ145" s="194" t="s">
        <v>618</v>
      </c>
      <c r="BR145" s="192">
        <v>91</v>
      </c>
      <c r="BS145" s="192">
        <v>101</v>
      </c>
      <c r="BT145" s="192">
        <v>98</v>
      </c>
      <c r="BU145" s="192">
        <v>97</v>
      </c>
      <c r="BV145" s="192">
        <v>115</v>
      </c>
      <c r="BW145" s="192">
        <v>118</v>
      </c>
      <c r="BX145" s="192">
        <v>153</v>
      </c>
      <c r="BY145" s="192">
        <v>134</v>
      </c>
      <c r="BZ145" s="192">
        <v>135</v>
      </c>
      <c r="CA145" s="192">
        <v>155</v>
      </c>
      <c r="CB145" s="192">
        <v>147</v>
      </c>
      <c r="CC145" s="192">
        <v>123</v>
      </c>
      <c r="CD145" s="192">
        <v>117</v>
      </c>
      <c r="CE145" s="192">
        <v>149</v>
      </c>
      <c r="CF145" s="192">
        <v>169</v>
      </c>
      <c r="CG145" s="192">
        <v>132</v>
      </c>
      <c r="CH145" s="192"/>
      <c r="CI145" s="192"/>
      <c r="CJ145" s="192"/>
      <c r="CK145" s="192"/>
      <c r="CL145" s="524"/>
      <c r="CM145" s="524"/>
      <c r="CN145" s="524"/>
      <c r="CO145" s="524"/>
      <c r="CP145" s="524">
        <f>CP128</f>
        <v>140</v>
      </c>
      <c r="CQ145" s="524">
        <f t="shared" ref="CQ145:DA145" si="271">CQ128</f>
        <v>168</v>
      </c>
      <c r="CR145" s="524">
        <f t="shared" si="271"/>
        <v>175</v>
      </c>
      <c r="CS145" s="524">
        <f t="shared" si="271"/>
        <v>158</v>
      </c>
      <c r="CT145" s="525">
        <f t="shared" si="271"/>
        <v>152</v>
      </c>
      <c r="CU145" s="524">
        <f t="shared" si="271"/>
        <v>164</v>
      </c>
      <c r="CV145" s="524">
        <f t="shared" si="271"/>
        <v>175</v>
      </c>
      <c r="CW145" s="524">
        <f t="shared" si="271"/>
        <v>168</v>
      </c>
      <c r="CX145" s="524">
        <f t="shared" si="271"/>
        <v>157</v>
      </c>
      <c r="CY145" s="524">
        <f t="shared" si="271"/>
        <v>184</v>
      </c>
      <c r="CZ145" s="524">
        <f t="shared" si="271"/>
        <v>183</v>
      </c>
      <c r="DA145" s="1022">
        <f t="shared" si="271"/>
        <v>181</v>
      </c>
      <c r="DB145" s="1022">
        <f t="shared" si="267"/>
        <v>187</v>
      </c>
      <c r="DC145" s="1022">
        <f t="shared" si="267"/>
        <v>209</v>
      </c>
      <c r="DD145" s="1022">
        <f t="shared" si="267"/>
        <v>211</v>
      </c>
      <c r="DE145" s="1022">
        <f t="shared" si="267"/>
        <v>200.80300964190064</v>
      </c>
      <c r="DF145" s="524">
        <f t="shared" ref="DF145:DI145" si="272">DF128</f>
        <v>198.63937885797668</v>
      </c>
      <c r="DG145" s="524">
        <f t="shared" si="272"/>
        <v>217.21975563035019</v>
      </c>
      <c r="DH145" s="524">
        <f t="shared" si="272"/>
        <v>224.83555275291826</v>
      </c>
      <c r="DI145" s="524">
        <f t="shared" si="272"/>
        <v>215.98040448399058</v>
      </c>
    </row>
    <row r="146" spans="1:114" collapsed="1">
      <c r="B146" s="6"/>
      <c r="C146" s="6"/>
      <c r="D146" s="6"/>
      <c r="E146" s="6"/>
      <c r="F146" s="6"/>
      <c r="G146" s="6"/>
      <c r="H146" s="6"/>
      <c r="I146" s="6"/>
      <c r="J146" s="6"/>
      <c r="K146" s="6"/>
      <c r="L146" s="6"/>
      <c r="M146" s="6"/>
      <c r="N146" s="6"/>
      <c r="O146" s="6"/>
      <c r="P146" s="6"/>
      <c r="Q146" s="6"/>
      <c r="R146" s="6"/>
      <c r="S146" s="6"/>
      <c r="T146" s="6"/>
      <c r="U146" s="6"/>
      <c r="V146" s="6"/>
      <c r="W146" s="6"/>
      <c r="X146" s="6"/>
      <c r="Y146" s="6"/>
      <c r="Z146" s="6"/>
      <c r="AA146" s="6"/>
      <c r="AB146" s="6"/>
      <c r="AD146" s="460"/>
      <c r="AE146" s="460"/>
      <c r="AF146" s="460"/>
      <c r="AG146" s="460"/>
      <c r="AH146" s="460"/>
      <c r="AI146" s="460"/>
      <c r="AJ146" s="460"/>
      <c r="AK146" s="460"/>
      <c r="AL146" s="460"/>
      <c r="AM146" s="460"/>
      <c r="AN146" s="460"/>
      <c r="AO146" s="460"/>
      <c r="AP146" s="460"/>
      <c r="AQ146" s="460"/>
      <c r="AR146" s="460"/>
      <c r="AS146" s="460"/>
      <c r="AT146" s="460"/>
      <c r="AU146" s="460"/>
      <c r="AV146" s="460"/>
      <c r="AW146" s="460"/>
      <c r="AX146" s="460"/>
      <c r="AY146" s="460"/>
      <c r="AZ146" s="460"/>
      <c r="BA146" s="460"/>
      <c r="BB146" s="460"/>
      <c r="BC146" s="460"/>
      <c r="BD146" s="460"/>
      <c r="BE146" s="460"/>
      <c r="BF146" s="413"/>
      <c r="BG146" s="413"/>
      <c r="BH146" s="413"/>
      <c r="BI146" s="413"/>
      <c r="BJ146" s="413"/>
      <c r="BK146" s="413"/>
      <c r="BL146" s="413"/>
      <c r="BM146" s="413"/>
      <c r="BN146" s="413"/>
      <c r="BO146" s="413"/>
      <c r="BP146" s="413"/>
      <c r="BQ146" s="413"/>
      <c r="BR146" s="413"/>
      <c r="BS146" s="413"/>
      <c r="BT146" s="413"/>
      <c r="BU146" s="413"/>
      <c r="BV146" s="413"/>
      <c r="BW146" s="413"/>
      <c r="BX146" s="413"/>
      <c r="BY146" s="413"/>
      <c r="BZ146" s="413"/>
      <c r="CA146" s="413"/>
      <c r="CB146" s="413"/>
      <c r="CC146" s="413"/>
      <c r="CD146" s="413"/>
      <c r="CE146" s="413"/>
      <c r="CF146" s="413"/>
      <c r="CG146" s="413"/>
      <c r="CH146" s="404"/>
      <c r="CI146" s="404"/>
      <c r="CJ146" s="404"/>
      <c r="CK146" s="404"/>
      <c r="CL146" s="526"/>
      <c r="CM146" s="373"/>
      <c r="CN146" s="404"/>
      <c r="CO146" s="404"/>
      <c r="CP146" s="526"/>
      <c r="CQ146" s="373"/>
      <c r="CR146" s="409"/>
      <c r="CS146" s="404"/>
      <c r="CT146" s="409"/>
      <c r="CU146" s="409"/>
      <c r="CV146" s="404"/>
      <c r="CW146" s="409"/>
      <c r="CX146" s="404"/>
      <c r="CY146" s="404"/>
      <c r="CZ146" s="404"/>
      <c r="DA146" s="994"/>
      <c r="DB146" s="994"/>
      <c r="DC146" s="994"/>
      <c r="DD146" s="994"/>
      <c r="DE146" s="994"/>
      <c r="DF146" s="404"/>
      <c r="DG146" s="404"/>
      <c r="DH146" s="404"/>
      <c r="DI146" s="404"/>
    </row>
    <row r="147" spans="1:114">
      <c r="A147" s="737" t="s">
        <v>607</v>
      </c>
      <c r="AD147" s="514"/>
      <c r="AE147" s="514"/>
      <c r="AF147" s="514"/>
      <c r="AG147" s="514"/>
      <c r="AH147" s="514"/>
      <c r="AI147" s="514"/>
      <c r="AJ147" s="514"/>
      <c r="AK147" s="514"/>
      <c r="AL147" s="514"/>
      <c r="AM147" s="514"/>
      <c r="AN147" s="514"/>
      <c r="AO147" s="514"/>
      <c r="AP147" s="514"/>
      <c r="AQ147" s="514"/>
      <c r="AR147" s="514"/>
      <c r="AS147" s="514"/>
      <c r="AT147" s="514"/>
      <c r="AU147" s="514"/>
      <c r="AV147" s="514"/>
      <c r="AW147" s="514"/>
      <c r="AX147" s="514"/>
      <c r="AY147" s="514"/>
      <c r="AZ147" s="514"/>
      <c r="BA147" s="514"/>
      <c r="BB147" s="514"/>
      <c r="BC147" s="514"/>
      <c r="BD147" s="514"/>
      <c r="BE147" s="514"/>
      <c r="BF147" s="515"/>
      <c r="BG147" s="515"/>
      <c r="BH147" s="515"/>
      <c r="BI147" s="515"/>
      <c r="BJ147" s="515"/>
      <c r="BK147" s="515"/>
      <c r="BL147" s="515"/>
      <c r="BM147" s="515"/>
      <c r="BN147" s="385"/>
      <c r="BO147" s="385"/>
      <c r="BP147" s="385"/>
      <c r="BQ147" s="385"/>
      <c r="BR147" s="385"/>
      <c r="BS147" s="385"/>
      <c r="BT147" s="385"/>
      <c r="BU147" s="385"/>
      <c r="BV147" s="385"/>
      <c r="BW147" s="385"/>
      <c r="BX147" s="385"/>
      <c r="BY147" s="385"/>
      <c r="BZ147" s="385"/>
      <c r="CA147" s="385"/>
      <c r="CB147" s="385"/>
      <c r="CC147" s="385"/>
      <c r="CD147" s="385"/>
      <c r="CE147" s="385"/>
      <c r="CF147" s="385"/>
      <c r="CG147" s="385"/>
      <c r="CH147" s="385"/>
      <c r="CI147" s="385"/>
      <c r="CJ147" s="385"/>
      <c r="CK147" s="385"/>
      <c r="CL147" s="527"/>
      <c r="CM147" s="527"/>
      <c r="CN147" s="527"/>
      <c r="CO147" s="527"/>
      <c r="CP147" s="527"/>
      <c r="CQ147" s="527"/>
      <c r="CR147" s="527"/>
      <c r="CS147" s="527"/>
      <c r="CT147" s="695"/>
      <c r="CU147" s="527"/>
      <c r="CV147" s="527"/>
      <c r="CW147" s="695"/>
      <c r="CX147" s="527"/>
      <c r="CY147" s="527"/>
      <c r="CZ147" s="527"/>
      <c r="DA147" s="1023"/>
      <c r="DB147" s="1023"/>
      <c r="DC147" s="994"/>
      <c r="DD147" s="994"/>
      <c r="DE147" s="1023"/>
      <c r="DF147" s="527"/>
      <c r="DG147" s="527"/>
      <c r="DH147" s="527"/>
      <c r="DI147" s="527"/>
    </row>
    <row r="148" spans="1:114">
      <c r="A148" s="515" t="s">
        <v>50</v>
      </c>
      <c r="K148" s="515">
        <f t="shared" ref="K148:W148" si="273">+SUM(K149:K150)</f>
        <v>3399</v>
      </c>
      <c r="L148" s="515">
        <f t="shared" ref="L148:R148" si="274">+SUM(L149:L150)</f>
        <v>6627</v>
      </c>
      <c r="M148" s="515">
        <f t="shared" si="274"/>
        <v>7348</v>
      </c>
      <c r="N148" s="515">
        <f t="shared" si="274"/>
        <v>7053</v>
      </c>
      <c r="O148" s="515">
        <f t="shared" si="274"/>
        <v>6984</v>
      </c>
      <c r="P148" s="515">
        <f t="shared" si="274"/>
        <v>6651</v>
      </c>
      <c r="Q148" s="515">
        <f t="shared" si="274"/>
        <v>6416</v>
      </c>
      <c r="R148" s="515">
        <f t="shared" si="274"/>
        <v>6423</v>
      </c>
      <c r="S148" s="515">
        <f t="shared" si="273"/>
        <v>6247</v>
      </c>
      <c r="T148" s="793">
        <f t="shared" ref="T148:T153" si="275">+SUM(DB148:DE148)</f>
        <v>5927</v>
      </c>
      <c r="U148" s="515">
        <f t="shared" si="273"/>
        <v>5694.2047043889834</v>
      </c>
      <c r="V148" s="515">
        <f t="shared" si="273"/>
        <v>5483.2848665373713</v>
      </c>
      <c r="W148" s="515">
        <f t="shared" si="273"/>
        <v>5294.0073427083507</v>
      </c>
      <c r="X148" s="515">
        <f>+SUM(X149:X150)</f>
        <v>5126.8762052897619</v>
      </c>
      <c r="Y148" s="515">
        <f>+SUM(Y149:Y150)</f>
        <v>4965.2406142723021</v>
      </c>
      <c r="Z148" s="515">
        <f>+SUM(Z149:Z150)</f>
        <v>4808.9254750978098</v>
      </c>
      <c r="AA148" s="515">
        <f>+SUM(AA149:AA150)</f>
        <v>4657.761409655388</v>
      </c>
      <c r="AB148" s="515">
        <f>+SUM(AB149:AB150)</f>
        <v>4511.584573142999</v>
      </c>
      <c r="AD148" s="514"/>
      <c r="AE148" s="514"/>
      <c r="AF148" s="514"/>
      <c r="AG148" s="514"/>
      <c r="AH148" s="514"/>
      <c r="AI148" s="514"/>
      <c r="AJ148" s="514"/>
      <c r="AK148" s="514"/>
      <c r="AL148" s="514"/>
      <c r="AM148" s="514"/>
      <c r="AN148" s="514"/>
      <c r="AO148" s="514"/>
      <c r="AP148" s="514"/>
      <c r="AQ148" s="514"/>
      <c r="AR148" s="514"/>
      <c r="AS148" s="514"/>
      <c r="AT148" s="514"/>
      <c r="AU148" s="514"/>
      <c r="AV148" s="514"/>
      <c r="AW148" s="514"/>
      <c r="AX148" s="514"/>
      <c r="AY148" s="514"/>
      <c r="AZ148" s="514"/>
      <c r="BA148" s="514"/>
      <c r="BB148" s="514"/>
      <c r="BC148" s="514"/>
      <c r="BD148" s="514"/>
      <c r="BE148" s="514"/>
      <c r="BF148" s="515"/>
      <c r="BG148" s="515"/>
      <c r="BH148" s="515"/>
      <c r="BI148" s="515"/>
      <c r="BJ148" s="515"/>
      <c r="BK148" s="515"/>
      <c r="BL148" s="515"/>
      <c r="BM148" s="515"/>
      <c r="BN148" s="515"/>
      <c r="BO148" s="515"/>
      <c r="BP148" s="515"/>
      <c r="BQ148" s="515"/>
      <c r="BR148" s="516">
        <f t="shared" ref="BR148:CG148" si="276">+SUM(BR149:BR150)</f>
        <v>806</v>
      </c>
      <c r="BS148" s="516">
        <f t="shared" si="276"/>
        <v>875</v>
      </c>
      <c r="BT148" s="516">
        <f t="shared" si="276"/>
        <v>897</v>
      </c>
      <c r="BU148" s="516">
        <f t="shared" si="276"/>
        <v>821</v>
      </c>
      <c r="BV148" s="516">
        <f t="shared" si="276"/>
        <v>696</v>
      </c>
      <c r="BW148" s="516">
        <f t="shared" si="276"/>
        <v>2096</v>
      </c>
      <c r="BX148" s="516">
        <f t="shared" si="276"/>
        <v>1953</v>
      </c>
      <c r="BY148" s="516">
        <f t="shared" si="276"/>
        <v>1882</v>
      </c>
      <c r="BZ148" s="516">
        <f t="shared" si="276"/>
        <v>1779</v>
      </c>
      <c r="CA148" s="516">
        <f t="shared" si="276"/>
        <v>1902</v>
      </c>
      <c r="CB148" s="516">
        <f t="shared" si="276"/>
        <v>1910</v>
      </c>
      <c r="CC148" s="516">
        <f t="shared" si="276"/>
        <v>1757</v>
      </c>
      <c r="CD148" s="516">
        <f t="shared" si="276"/>
        <v>1670</v>
      </c>
      <c r="CE148" s="516">
        <f t="shared" si="276"/>
        <v>1887</v>
      </c>
      <c r="CF148" s="516">
        <f t="shared" si="276"/>
        <v>1747</v>
      </c>
      <c r="CG148" s="516">
        <f t="shared" si="276"/>
        <v>1749</v>
      </c>
      <c r="CH148" s="516">
        <v>1622</v>
      </c>
      <c r="CI148" s="516">
        <v>1875</v>
      </c>
      <c r="CJ148" s="516">
        <v>1742</v>
      </c>
      <c r="CK148" s="516">
        <v>1745</v>
      </c>
      <c r="CL148" s="516">
        <v>1524</v>
      </c>
      <c r="CM148" s="516">
        <v>1741</v>
      </c>
      <c r="CN148" s="516">
        <v>1751</v>
      </c>
      <c r="CO148" s="517">
        <v>1635</v>
      </c>
      <c r="CP148" s="517">
        <v>1474</v>
      </c>
      <c r="CQ148" s="516">
        <v>1644</v>
      </c>
      <c r="CR148" s="517">
        <v>1697</v>
      </c>
      <c r="CS148" s="433">
        <v>1601</v>
      </c>
      <c r="CT148" s="694">
        <v>1495</v>
      </c>
      <c r="CU148" s="694">
        <v>1699</v>
      </c>
      <c r="CV148" s="694">
        <v>1682</v>
      </c>
      <c r="CW148" s="694">
        <v>1547</v>
      </c>
      <c r="CX148" s="433">
        <v>1499</v>
      </c>
      <c r="CY148" s="385">
        <v>1599</v>
      </c>
      <c r="CZ148" s="694">
        <v>1671</v>
      </c>
      <c r="DA148" s="989">
        <v>1478</v>
      </c>
      <c r="DB148" s="989">
        <v>1460</v>
      </c>
      <c r="DC148" s="989">
        <v>1556</v>
      </c>
      <c r="DD148" s="989">
        <v>1565</v>
      </c>
      <c r="DE148" s="989">
        <v>1346</v>
      </c>
      <c r="DF148" s="385">
        <f t="shared" ref="DF148:DI148" si="277">+DF149+DF150</f>
        <v>1371.5208788579766</v>
      </c>
      <c r="DG148" s="385">
        <f t="shared" si="277"/>
        <v>1483.6652556303504</v>
      </c>
      <c r="DH148" s="385">
        <f t="shared" si="277"/>
        <v>1512.6320527529183</v>
      </c>
      <c r="DI148" s="385">
        <f t="shared" si="277"/>
        <v>1326.3865171477382</v>
      </c>
      <c r="DJ148" s="16"/>
    </row>
    <row r="149" spans="1:114">
      <c r="A149" s="932" t="s">
        <v>228</v>
      </c>
      <c r="B149" s="797">
        <v>2516.0969999999998</v>
      </c>
      <c r="C149" s="797">
        <v>3601.2405000000003</v>
      </c>
      <c r="D149" s="797">
        <v>3498</v>
      </c>
      <c r="E149" s="797">
        <v>3784</v>
      </c>
      <c r="F149" s="797">
        <v>3650.4</v>
      </c>
      <c r="G149" s="798">
        <v>3694</v>
      </c>
      <c r="H149" s="798">
        <v>3659</v>
      </c>
      <c r="I149" s="798">
        <v>3617</v>
      </c>
      <c r="J149" s="798">
        <v>3452</v>
      </c>
      <c r="K149" s="798">
        <v>3338</v>
      </c>
      <c r="L149" s="515">
        <f>SUM(BV149:BY149)</f>
        <v>6465</v>
      </c>
      <c r="M149" s="515">
        <f>SUM(BZ149:CC149)</f>
        <v>7136</v>
      </c>
      <c r="N149" s="515">
        <f>SUM(CD149:CG149)</f>
        <v>6846</v>
      </c>
      <c r="O149" s="515">
        <f>SUM(CH149:CK149)</f>
        <v>6831</v>
      </c>
      <c r="P149" s="735">
        <v>6553</v>
      </c>
      <c r="Q149" s="734">
        <v>6358</v>
      </c>
      <c r="R149" s="735">
        <v>6369</v>
      </c>
      <c r="S149" s="735">
        <v>6187</v>
      </c>
      <c r="T149" s="793">
        <f t="shared" si="275"/>
        <v>5866.8860000000004</v>
      </c>
      <c r="U149" s="798">
        <f t="shared" ref="U149:AB149" si="278">+U263*U268</f>
        <v>5630.4538073889835</v>
      </c>
      <c r="V149" s="798">
        <f t="shared" si="278"/>
        <v>5417.6214426273709</v>
      </c>
      <c r="W149" s="798">
        <f t="shared" si="278"/>
        <v>5226.3740160810503</v>
      </c>
      <c r="X149" s="798">
        <f t="shared" si="278"/>
        <v>5057.5520454967791</v>
      </c>
      <c r="Y149" s="798">
        <f t="shared" si="278"/>
        <v>4894.1833504844953</v>
      </c>
      <c r="Z149" s="798">
        <f t="shared" si="278"/>
        <v>4736.0917797153079</v>
      </c>
      <c r="AA149" s="798">
        <f t="shared" si="278"/>
        <v>4583.1068718883234</v>
      </c>
      <c r="AB149" s="798">
        <f t="shared" si="278"/>
        <v>4435.0636719317572</v>
      </c>
      <c r="AD149" s="518">
        <f t="shared" ref="AD149:BM149" si="279">AD127-AD161</f>
        <v>654</v>
      </c>
      <c r="AE149" s="518">
        <f t="shared" si="279"/>
        <v>691</v>
      </c>
      <c r="AF149" s="518">
        <f t="shared" si="279"/>
        <v>731</v>
      </c>
      <c r="AG149" s="518">
        <f t="shared" si="279"/>
        <v>660</v>
      </c>
      <c r="AH149" s="518">
        <f t="shared" si="279"/>
        <v>589</v>
      </c>
      <c r="AI149" s="518">
        <f t="shared" si="279"/>
        <v>627</v>
      </c>
      <c r="AJ149" s="518">
        <f t="shared" si="279"/>
        <v>665</v>
      </c>
      <c r="AK149" s="518">
        <f t="shared" si="279"/>
        <v>634</v>
      </c>
      <c r="AL149" s="518">
        <f t="shared" si="279"/>
        <v>889</v>
      </c>
      <c r="AM149" s="518">
        <f t="shared" si="279"/>
        <v>917</v>
      </c>
      <c r="AN149" s="518">
        <f t="shared" si="279"/>
        <v>920</v>
      </c>
      <c r="AO149" s="518">
        <f t="shared" si="279"/>
        <v>875</v>
      </c>
      <c r="AP149" s="518">
        <f t="shared" si="279"/>
        <v>876.94200000000001</v>
      </c>
      <c r="AQ149" s="518">
        <f t="shared" si="279"/>
        <v>903</v>
      </c>
      <c r="AR149" s="518">
        <f t="shared" si="279"/>
        <v>880</v>
      </c>
      <c r="AS149" s="518">
        <f t="shared" si="279"/>
        <v>830</v>
      </c>
      <c r="AT149" s="518">
        <f t="shared" si="279"/>
        <v>1019.8499999999999</v>
      </c>
      <c r="AU149" s="518">
        <f t="shared" si="279"/>
        <v>911</v>
      </c>
      <c r="AV149" s="518">
        <f t="shared" si="279"/>
        <v>982</v>
      </c>
      <c r="AW149" s="518">
        <f t="shared" si="279"/>
        <v>863</v>
      </c>
      <c r="AX149" s="518">
        <f t="shared" si="279"/>
        <v>866</v>
      </c>
      <c r="AY149" s="518">
        <f t="shared" si="279"/>
        <v>951</v>
      </c>
      <c r="AZ149" s="518">
        <f t="shared" si="279"/>
        <v>964</v>
      </c>
      <c r="BA149" s="518">
        <f t="shared" si="279"/>
        <v>961.34999999999991</v>
      </c>
      <c r="BB149" s="518">
        <f t="shared" si="279"/>
        <v>852</v>
      </c>
      <c r="BC149" s="518">
        <f t="shared" si="279"/>
        <v>958</v>
      </c>
      <c r="BD149" s="518">
        <f t="shared" si="279"/>
        <v>954</v>
      </c>
      <c r="BE149" s="518">
        <f t="shared" si="279"/>
        <v>930</v>
      </c>
      <c r="BF149" s="515">
        <f t="shared" si="279"/>
        <v>845</v>
      </c>
      <c r="BG149" s="515">
        <f t="shared" si="279"/>
        <v>971</v>
      </c>
      <c r="BH149" s="515">
        <f t="shared" si="279"/>
        <v>945</v>
      </c>
      <c r="BI149" s="515">
        <f t="shared" si="279"/>
        <v>898</v>
      </c>
      <c r="BJ149" s="385">
        <f t="shared" si="279"/>
        <v>855</v>
      </c>
      <c r="BK149" s="385">
        <f t="shared" si="279"/>
        <v>931</v>
      </c>
      <c r="BL149" s="385">
        <f t="shared" si="279"/>
        <v>938</v>
      </c>
      <c r="BM149" s="385">
        <f t="shared" si="279"/>
        <v>893</v>
      </c>
      <c r="BN149" s="385">
        <f>BN9</f>
        <v>800</v>
      </c>
      <c r="BO149" s="385">
        <f>BO9</f>
        <v>899</v>
      </c>
      <c r="BP149" s="385">
        <f>BP9</f>
        <v>927</v>
      </c>
      <c r="BQ149" s="385">
        <f>BQ9</f>
        <v>826</v>
      </c>
      <c r="BR149" s="385">
        <f>BR9-BR150</f>
        <v>791</v>
      </c>
      <c r="BS149" s="385">
        <f>BS9-BS150</f>
        <v>859</v>
      </c>
      <c r="BT149" s="385">
        <f>BT9-BT150</f>
        <v>883</v>
      </c>
      <c r="BU149" s="385">
        <f>BU9-BU150</f>
        <v>805</v>
      </c>
      <c r="BV149" s="385">
        <v>680</v>
      </c>
      <c r="BW149" s="385">
        <v>2052</v>
      </c>
      <c r="BX149" s="385">
        <v>1899</v>
      </c>
      <c r="BY149" s="516">
        <v>1834</v>
      </c>
      <c r="BZ149" s="516">
        <v>1731</v>
      </c>
      <c r="CA149" s="516">
        <v>1847</v>
      </c>
      <c r="CB149" s="516">
        <v>1853</v>
      </c>
      <c r="CC149" s="516">
        <v>1705</v>
      </c>
      <c r="CD149" s="516">
        <v>1619</v>
      </c>
      <c r="CE149" s="516">
        <v>1833</v>
      </c>
      <c r="CF149" s="516">
        <v>1687</v>
      </c>
      <c r="CG149" s="516">
        <v>1707</v>
      </c>
      <c r="CH149" s="516">
        <v>1577</v>
      </c>
      <c r="CI149" s="516">
        <v>1834</v>
      </c>
      <c r="CJ149" s="516">
        <v>1706</v>
      </c>
      <c r="CK149" s="385">
        <f>6831-SUM(CH149:CJ149)</f>
        <v>1714</v>
      </c>
      <c r="CL149" s="516">
        <v>1495</v>
      </c>
      <c r="CM149" s="516">
        <v>1713</v>
      </c>
      <c r="CN149" s="516">
        <v>1728</v>
      </c>
      <c r="CO149" s="414">
        <f>+P149-SUM(CL149:CN149)</f>
        <v>1617</v>
      </c>
      <c r="CP149" s="517">
        <v>1460</v>
      </c>
      <c r="CQ149" s="516">
        <v>1629</v>
      </c>
      <c r="CR149" s="516">
        <v>1682</v>
      </c>
      <c r="CS149" s="385">
        <f>Q149-SUM(CP149:CR149)</f>
        <v>1587</v>
      </c>
      <c r="CT149" s="694">
        <v>1480</v>
      </c>
      <c r="CU149" s="694">
        <v>1684</v>
      </c>
      <c r="CV149" s="694">
        <v>1670</v>
      </c>
      <c r="CW149" s="385">
        <f>R149-SUM(CT149:CV149)</f>
        <v>1535</v>
      </c>
      <c r="CX149" s="433">
        <v>1487</v>
      </c>
      <c r="CY149" s="694">
        <v>1582</v>
      </c>
      <c r="CZ149" s="694">
        <v>1654</v>
      </c>
      <c r="DA149" s="1020">
        <f>+S149-SUM(CX149:CZ149)</f>
        <v>1464</v>
      </c>
      <c r="DB149" s="989">
        <v>1446</v>
      </c>
      <c r="DC149" s="989">
        <v>1536</v>
      </c>
      <c r="DD149" s="989">
        <v>1551</v>
      </c>
      <c r="DE149" s="989">
        <f>+DE148*DE257</f>
        <v>1333.886</v>
      </c>
      <c r="DF149" s="385">
        <f>+DF268*DF263</f>
        <v>1356.348</v>
      </c>
      <c r="DG149" s="385">
        <f>+DG268*DG263</f>
        <v>1466.8800000000003</v>
      </c>
      <c r="DH149" s="385">
        <f>+DH268*DH263</f>
        <v>1496.7149999999999</v>
      </c>
      <c r="DI149" s="385">
        <f>+U149-SUM(DF149:DH149)</f>
        <v>1310.5108073889833</v>
      </c>
    </row>
    <row r="150" spans="1:114">
      <c r="A150" s="932" t="s">
        <v>230</v>
      </c>
      <c r="B150" s="797"/>
      <c r="C150" s="797"/>
      <c r="D150" s="797"/>
      <c r="E150" s="797"/>
      <c r="F150" s="797"/>
      <c r="G150" s="798"/>
      <c r="H150" s="798">
        <v>0</v>
      </c>
      <c r="I150" s="798">
        <v>0</v>
      </c>
      <c r="J150" s="798">
        <v>0</v>
      </c>
      <c r="K150" s="798">
        <f>IS!K347</f>
        <v>61</v>
      </c>
      <c r="L150" s="515">
        <f>SUM(BV150:BY150)</f>
        <v>162</v>
      </c>
      <c r="M150" s="515">
        <f>SUM(BZ150:CC150)</f>
        <v>212</v>
      </c>
      <c r="N150" s="515">
        <f>SUM(CD150:CG150)</f>
        <v>207</v>
      </c>
      <c r="O150" s="515">
        <f>SUM(CH150:CK150)</f>
        <v>153</v>
      </c>
      <c r="P150" s="515">
        <f>SUM(CL150:CO150)</f>
        <v>98</v>
      </c>
      <c r="Q150" s="515">
        <f>SUM(CP150:CS150)</f>
        <v>58</v>
      </c>
      <c r="R150" s="515">
        <f>+SUM(CT150:CW150)</f>
        <v>54</v>
      </c>
      <c r="S150" s="798">
        <f t="shared" ref="S150:S153" si="280">+SUM(CX150:DA150)</f>
        <v>60</v>
      </c>
      <c r="T150" s="793">
        <f t="shared" si="275"/>
        <v>60.114000000000033</v>
      </c>
      <c r="U150" s="798">
        <f>IS!U347</f>
        <v>63.750897000000045</v>
      </c>
      <c r="V150" s="798">
        <f>IS!V347</f>
        <v>65.663423910000049</v>
      </c>
      <c r="W150" s="798">
        <f>IS!W347</f>
        <v>67.63332662730005</v>
      </c>
      <c r="X150" s="798">
        <f>IS!X347</f>
        <v>69.324159792982542</v>
      </c>
      <c r="Y150" s="798">
        <f>IS!Y347</f>
        <v>71.057263787807088</v>
      </c>
      <c r="Z150" s="798">
        <f>IS!Z347</f>
        <v>72.833695382502256</v>
      </c>
      <c r="AA150" s="798">
        <f>IS!AA347</f>
        <v>74.654537767064809</v>
      </c>
      <c r="AB150" s="798">
        <f>IS!AB347</f>
        <v>76.520901211241423</v>
      </c>
      <c r="AD150" s="518"/>
      <c r="AE150" s="518"/>
      <c r="AF150" s="518"/>
      <c r="AG150" s="518"/>
      <c r="AH150" s="518"/>
      <c r="AI150" s="518"/>
      <c r="AJ150" s="518"/>
      <c r="AK150" s="518"/>
      <c r="AL150" s="518"/>
      <c r="AM150" s="518"/>
      <c r="AN150" s="518"/>
      <c r="AO150" s="518"/>
      <c r="AP150" s="518"/>
      <c r="AQ150" s="518"/>
      <c r="AR150" s="518"/>
      <c r="AS150" s="518"/>
      <c r="AT150" s="518"/>
      <c r="AU150" s="518"/>
      <c r="AV150" s="518"/>
      <c r="AW150" s="518"/>
      <c r="AX150" s="518"/>
      <c r="AY150" s="518"/>
      <c r="AZ150" s="518"/>
      <c r="BA150" s="518"/>
      <c r="BB150" s="518"/>
      <c r="BC150" s="518"/>
      <c r="BD150" s="519"/>
      <c r="BE150" s="519"/>
      <c r="BF150" s="528"/>
      <c r="BG150" s="528"/>
      <c r="BH150" s="528"/>
      <c r="BI150" s="528"/>
      <c r="BJ150" s="378"/>
      <c r="BK150" s="378"/>
      <c r="BL150" s="378"/>
      <c r="BM150" s="520"/>
      <c r="BN150" s="378" t="s">
        <v>618</v>
      </c>
      <c r="BO150" s="378" t="s">
        <v>618</v>
      </c>
      <c r="BP150" s="520" t="s">
        <v>618</v>
      </c>
      <c r="BQ150" s="520" t="s">
        <v>618</v>
      </c>
      <c r="BR150" s="516">
        <f>BR128-BR162</f>
        <v>15</v>
      </c>
      <c r="BS150" s="516">
        <f>BS128-BS162</f>
        <v>16</v>
      </c>
      <c r="BT150" s="516">
        <f>BT128-BT162</f>
        <v>14</v>
      </c>
      <c r="BU150" s="516">
        <f>BU128-BU162</f>
        <v>16</v>
      </c>
      <c r="BV150" s="516">
        <v>16</v>
      </c>
      <c r="BW150" s="516">
        <v>44</v>
      </c>
      <c r="BX150" s="516">
        <v>54</v>
      </c>
      <c r="BY150" s="516">
        <v>48</v>
      </c>
      <c r="BZ150" s="516">
        <v>48</v>
      </c>
      <c r="CA150" s="516">
        <v>55</v>
      </c>
      <c r="CB150" s="516">
        <v>57</v>
      </c>
      <c r="CC150" s="516">
        <v>52</v>
      </c>
      <c r="CD150" s="516">
        <v>51</v>
      </c>
      <c r="CE150" s="516">
        <v>54</v>
      </c>
      <c r="CF150" s="516">
        <v>60</v>
      </c>
      <c r="CG150" s="516">
        <v>42</v>
      </c>
      <c r="CH150" s="385">
        <f>+CH148-CH149</f>
        <v>45</v>
      </c>
      <c r="CI150" s="385">
        <f>+CI148-CI149</f>
        <v>41</v>
      </c>
      <c r="CJ150" s="385">
        <f>+CJ148-CJ149</f>
        <v>36</v>
      </c>
      <c r="CK150" s="385">
        <f>+CK148-CK149</f>
        <v>31</v>
      </c>
      <c r="CL150" s="385">
        <f>+CL148-CL149</f>
        <v>29</v>
      </c>
      <c r="CM150" s="385">
        <f>CM148-CM149</f>
        <v>28</v>
      </c>
      <c r="CN150" s="385">
        <f>CN148-CN149</f>
        <v>23</v>
      </c>
      <c r="CO150" s="414">
        <f>+CO148-CO149</f>
        <v>18</v>
      </c>
      <c r="CP150" s="385">
        <f>CP148-CP149</f>
        <v>14</v>
      </c>
      <c r="CQ150" s="385">
        <f>CQ148-CQ149</f>
        <v>15</v>
      </c>
      <c r="CR150" s="414">
        <f>CR148-CR149</f>
        <v>15</v>
      </c>
      <c r="CS150" s="414">
        <f>CS148-CS149</f>
        <v>14</v>
      </c>
      <c r="CT150" s="414">
        <f t="shared" ref="CT150:DB150" si="281">+CT148-CT149</f>
        <v>15</v>
      </c>
      <c r="CU150" s="414">
        <f t="shared" si="281"/>
        <v>15</v>
      </c>
      <c r="CV150" s="414">
        <f t="shared" si="281"/>
        <v>12</v>
      </c>
      <c r="CW150" s="414">
        <f t="shared" si="281"/>
        <v>12</v>
      </c>
      <c r="CX150" s="414">
        <f t="shared" si="281"/>
        <v>12</v>
      </c>
      <c r="CY150" s="414">
        <f t="shared" si="281"/>
        <v>17</v>
      </c>
      <c r="CZ150" s="414">
        <f t="shared" si="281"/>
        <v>17</v>
      </c>
      <c r="DA150" s="1020">
        <f>+DA148-DA149</f>
        <v>14</v>
      </c>
      <c r="DB150" s="1020">
        <f t="shared" si="281"/>
        <v>14</v>
      </c>
      <c r="DC150" s="1020">
        <f>+DC148-DC149</f>
        <v>20</v>
      </c>
      <c r="DD150" s="1020">
        <f>+DD148-DD149</f>
        <v>14</v>
      </c>
      <c r="DE150" s="1020">
        <f>+DE148-DE149</f>
        <v>12.114000000000033</v>
      </c>
      <c r="DF150" s="385">
        <f>+DF357*DF343</f>
        <v>15.172878857976663</v>
      </c>
      <c r="DG150" s="385">
        <f>+DG357*DG343</f>
        <v>16.785255630350203</v>
      </c>
      <c r="DH150" s="385">
        <f>+DH357*DH343</f>
        <v>15.9170527529183</v>
      </c>
      <c r="DI150" s="385">
        <f>+U150-SUM(DF150:DH150)</f>
        <v>15.87570975875488</v>
      </c>
    </row>
    <row r="151" spans="1:114">
      <c r="A151" s="932" t="s">
        <v>698</v>
      </c>
      <c r="B151" s="797"/>
      <c r="C151" s="797"/>
      <c r="D151" s="797"/>
      <c r="E151" s="797"/>
      <c r="F151" s="797"/>
      <c r="G151" s="798"/>
      <c r="H151" s="798">
        <v>0</v>
      </c>
      <c r="I151" s="798">
        <v>0</v>
      </c>
      <c r="J151" s="798">
        <v>0</v>
      </c>
      <c r="K151" s="798">
        <v>0</v>
      </c>
      <c r="L151" s="515">
        <f>SUM(BV151:BY151)</f>
        <v>88</v>
      </c>
      <c r="M151" s="515">
        <f>SUM(BZ151:CC151)</f>
        <v>105</v>
      </c>
      <c r="N151" s="515">
        <f>SUM(CD151:CG151)</f>
        <v>108</v>
      </c>
      <c r="O151" s="515">
        <f>SUM(CH151:CK151)</f>
        <v>113</v>
      </c>
      <c r="P151" s="515">
        <f>SUM(CL151:CO151)</f>
        <v>130</v>
      </c>
      <c r="Q151" s="515">
        <f>SUM(CP151:CS151)</f>
        <v>138</v>
      </c>
      <c r="R151" s="515">
        <f>+SUM(CT151:CW151)</f>
        <v>133</v>
      </c>
      <c r="S151" s="798">
        <f t="shared" si="280"/>
        <v>135</v>
      </c>
      <c r="T151" s="793">
        <f t="shared" si="275"/>
        <v>132</v>
      </c>
      <c r="U151" s="311">
        <f t="shared" ref="U151:AB151" si="282">+U411*U385</f>
        <v>133.32</v>
      </c>
      <c r="V151" s="311">
        <f t="shared" si="282"/>
        <v>134.6532</v>
      </c>
      <c r="W151" s="311">
        <f t="shared" si="282"/>
        <v>135.99973199999999</v>
      </c>
      <c r="X151" s="311">
        <f t="shared" si="282"/>
        <v>140.07972396</v>
      </c>
      <c r="Y151" s="311">
        <f t="shared" si="282"/>
        <v>144.28211567879998</v>
      </c>
      <c r="Z151" s="311">
        <f t="shared" si="282"/>
        <v>148.61057914916401</v>
      </c>
      <c r="AA151" s="311">
        <f t="shared" si="282"/>
        <v>153.06889652363893</v>
      </c>
      <c r="AB151" s="311">
        <f t="shared" si="282"/>
        <v>157.66096341934809</v>
      </c>
      <c r="AD151" s="518"/>
      <c r="AE151" s="518"/>
      <c r="AF151" s="518"/>
      <c r="AG151" s="518"/>
      <c r="AH151" s="518"/>
      <c r="AI151" s="518"/>
      <c r="AJ151" s="518"/>
      <c r="AK151" s="518"/>
      <c r="AL151" s="518"/>
      <c r="AM151" s="518"/>
      <c r="AN151" s="518"/>
      <c r="AO151" s="518"/>
      <c r="AP151" s="518"/>
      <c r="AQ151" s="518"/>
      <c r="AR151" s="518"/>
      <c r="AS151" s="518"/>
      <c r="AT151" s="518"/>
      <c r="AU151" s="518"/>
      <c r="AV151" s="518"/>
      <c r="AW151" s="518"/>
      <c r="AX151" s="518"/>
      <c r="AY151" s="518"/>
      <c r="AZ151" s="518"/>
      <c r="BA151" s="518"/>
      <c r="BB151" s="518"/>
      <c r="BC151" s="518"/>
      <c r="BD151" s="519"/>
      <c r="BE151" s="519"/>
      <c r="BF151" s="528"/>
      <c r="BG151" s="528"/>
      <c r="BH151" s="528"/>
      <c r="BI151" s="528"/>
      <c r="BJ151" s="516"/>
      <c r="BK151" s="516"/>
      <c r="BL151" s="516"/>
      <c r="BM151" s="516"/>
      <c r="BN151" s="520" t="s">
        <v>618</v>
      </c>
      <c r="BO151" s="520" t="s">
        <v>618</v>
      </c>
      <c r="BP151" s="520" t="s">
        <v>618</v>
      </c>
      <c r="BQ151" s="520" t="s">
        <v>618</v>
      </c>
      <c r="BR151" s="520" t="s">
        <v>618</v>
      </c>
      <c r="BS151" s="520" t="s">
        <v>618</v>
      </c>
      <c r="BT151" s="520" t="s">
        <v>618</v>
      </c>
      <c r="BU151" s="520" t="s">
        <v>618</v>
      </c>
      <c r="BV151" s="516">
        <v>12</v>
      </c>
      <c r="BW151" s="516">
        <v>24</v>
      </c>
      <c r="BX151" s="516">
        <v>26</v>
      </c>
      <c r="BY151" s="516">
        <v>26</v>
      </c>
      <c r="BZ151" s="516">
        <v>26</v>
      </c>
      <c r="CA151" s="516">
        <v>27</v>
      </c>
      <c r="CB151" s="516">
        <v>26</v>
      </c>
      <c r="CC151" s="516">
        <v>26</v>
      </c>
      <c r="CD151" s="516">
        <v>26</v>
      </c>
      <c r="CE151" s="516">
        <v>27</v>
      </c>
      <c r="CF151" s="516">
        <v>28</v>
      </c>
      <c r="CG151" s="516">
        <v>27</v>
      </c>
      <c r="CH151" s="516">
        <v>27</v>
      </c>
      <c r="CI151" s="516">
        <v>27</v>
      </c>
      <c r="CJ151" s="516">
        <v>29</v>
      </c>
      <c r="CK151" s="516">
        <v>30</v>
      </c>
      <c r="CL151" s="516">
        <v>26</v>
      </c>
      <c r="CM151" s="516">
        <v>33</v>
      </c>
      <c r="CN151" s="516">
        <v>37</v>
      </c>
      <c r="CO151" s="517">
        <v>34</v>
      </c>
      <c r="CP151" s="517">
        <v>30</v>
      </c>
      <c r="CQ151" s="516">
        <v>36</v>
      </c>
      <c r="CR151" s="517">
        <v>36</v>
      </c>
      <c r="CS151" s="433">
        <v>36</v>
      </c>
      <c r="CT151" s="694">
        <v>32</v>
      </c>
      <c r="CU151" s="694">
        <v>34</v>
      </c>
      <c r="CV151" s="694">
        <v>34</v>
      </c>
      <c r="CW151" s="694">
        <v>33</v>
      </c>
      <c r="CX151" s="433">
        <v>32</v>
      </c>
      <c r="CY151" s="433">
        <v>35</v>
      </c>
      <c r="CZ151" s="694">
        <v>35</v>
      </c>
      <c r="DA151" s="989">
        <v>33</v>
      </c>
      <c r="DB151" s="989">
        <v>30</v>
      </c>
      <c r="DC151" s="989">
        <v>34</v>
      </c>
      <c r="DD151" s="989">
        <v>35</v>
      </c>
      <c r="DE151" s="989">
        <v>33</v>
      </c>
      <c r="DF151" s="385">
        <f>+DF411*DF385</f>
        <v>31.642657791513138</v>
      </c>
      <c r="DG151" s="385">
        <f>+DG411*DG385</f>
        <v>34.674907880660882</v>
      </c>
      <c r="DH151" s="385">
        <f>+DH411*DH385</f>
        <v>33.69051705693569</v>
      </c>
      <c r="DI151" s="385">
        <f>U151-DH151-DG151-DF151</f>
        <v>33.311917270890284</v>
      </c>
      <c r="DJ151" s="16"/>
    </row>
    <row r="152" spans="1:114">
      <c r="A152" s="932" t="s">
        <v>229</v>
      </c>
      <c r="B152" s="797"/>
      <c r="C152" s="797"/>
      <c r="D152" s="797"/>
      <c r="E152" s="797"/>
      <c r="F152" s="797"/>
      <c r="G152" s="798"/>
      <c r="H152" s="798">
        <v>0</v>
      </c>
      <c r="I152" s="798"/>
      <c r="J152" s="798">
        <v>0</v>
      </c>
      <c r="K152" s="798">
        <v>0</v>
      </c>
      <c r="L152" s="515">
        <f>SUM(BV152:BY152)</f>
        <v>17</v>
      </c>
      <c r="M152" s="515">
        <f>SUM(BZ152:CC152)</f>
        <v>18</v>
      </c>
      <c r="N152" s="515">
        <f>SUM(CD152:CG152)</f>
        <v>20</v>
      </c>
      <c r="O152" s="515">
        <f>SUM(CH152:CK152)</f>
        <v>21</v>
      </c>
      <c r="P152" s="515">
        <f>SUM(CL152:CO152)</f>
        <v>22</v>
      </c>
      <c r="Q152" s="515">
        <f>SUM(CP152:CS152)</f>
        <v>22.662669653445775</v>
      </c>
      <c r="R152" s="515">
        <f>+SUM(CT152:CW152)</f>
        <v>23.983613877391125</v>
      </c>
      <c r="S152" s="798">
        <f t="shared" si="280"/>
        <v>25</v>
      </c>
      <c r="T152" s="793">
        <f t="shared" si="275"/>
        <v>23</v>
      </c>
      <c r="U152" s="799">
        <f t="shared" ref="U152:AB152" si="283">T152*1.05</f>
        <v>24.150000000000002</v>
      </c>
      <c r="V152" s="799">
        <f t="shared" si="283"/>
        <v>25.357500000000002</v>
      </c>
      <c r="W152" s="799">
        <f t="shared" si="283"/>
        <v>26.625375000000002</v>
      </c>
      <c r="X152" s="799">
        <f t="shared" si="283"/>
        <v>27.956643750000001</v>
      </c>
      <c r="Y152" s="799">
        <f t="shared" si="283"/>
        <v>29.354475937500002</v>
      </c>
      <c r="Z152" s="799">
        <f t="shared" si="283"/>
        <v>30.822199734375005</v>
      </c>
      <c r="AA152" s="799">
        <f t="shared" si="283"/>
        <v>32.363309721093756</v>
      </c>
      <c r="AB152" s="799">
        <f t="shared" si="283"/>
        <v>33.981475207148449</v>
      </c>
      <c r="AD152" s="518"/>
      <c r="AE152" s="518"/>
      <c r="AF152" s="518"/>
      <c r="AG152" s="518"/>
      <c r="AH152" s="518"/>
      <c r="AI152" s="518"/>
      <c r="AJ152" s="518"/>
      <c r="AK152" s="518"/>
      <c r="AL152" s="518"/>
      <c r="AM152" s="518"/>
      <c r="AN152" s="518"/>
      <c r="AO152" s="518"/>
      <c r="AP152" s="518"/>
      <c r="AQ152" s="518"/>
      <c r="AR152" s="518"/>
      <c r="AS152" s="518"/>
      <c r="AT152" s="518"/>
      <c r="AU152" s="518"/>
      <c r="AV152" s="518"/>
      <c r="AW152" s="518"/>
      <c r="AX152" s="518"/>
      <c r="AY152" s="518"/>
      <c r="AZ152" s="518"/>
      <c r="BA152" s="518"/>
      <c r="BB152" s="518"/>
      <c r="BC152" s="518"/>
      <c r="BD152" s="519"/>
      <c r="BE152" s="519"/>
      <c r="BF152" s="528"/>
      <c r="BG152" s="528"/>
      <c r="BH152" s="528"/>
      <c r="BI152" s="528"/>
      <c r="BJ152" s="516"/>
      <c r="BK152" s="516"/>
      <c r="BL152" s="516"/>
      <c r="BM152" s="516"/>
      <c r="BN152" s="520" t="s">
        <v>618</v>
      </c>
      <c r="BO152" s="520" t="s">
        <v>618</v>
      </c>
      <c r="BP152" s="520" t="s">
        <v>618</v>
      </c>
      <c r="BQ152" s="520" t="s">
        <v>618</v>
      </c>
      <c r="BR152" s="520" t="s">
        <v>618</v>
      </c>
      <c r="BS152" s="520" t="s">
        <v>618</v>
      </c>
      <c r="BT152" s="520" t="s">
        <v>618</v>
      </c>
      <c r="BU152" s="520" t="s">
        <v>618</v>
      </c>
      <c r="BV152" s="516">
        <v>3</v>
      </c>
      <c r="BW152" s="516">
        <v>5</v>
      </c>
      <c r="BX152" s="516">
        <v>3</v>
      </c>
      <c r="BY152" s="516">
        <v>6</v>
      </c>
      <c r="BZ152" s="516">
        <v>4</v>
      </c>
      <c r="CA152" s="516">
        <v>4</v>
      </c>
      <c r="CB152" s="516">
        <v>5</v>
      </c>
      <c r="CC152" s="516">
        <v>5</v>
      </c>
      <c r="CD152" s="516">
        <v>4</v>
      </c>
      <c r="CE152" s="516">
        <v>4</v>
      </c>
      <c r="CF152" s="516">
        <v>5</v>
      </c>
      <c r="CG152" s="516">
        <v>7</v>
      </c>
      <c r="CH152" s="516">
        <v>4</v>
      </c>
      <c r="CI152" s="516">
        <v>5</v>
      </c>
      <c r="CJ152" s="516">
        <v>5</v>
      </c>
      <c r="CK152" s="516">
        <v>7</v>
      </c>
      <c r="CL152" s="516">
        <v>5</v>
      </c>
      <c r="CM152" s="516">
        <v>5</v>
      </c>
      <c r="CN152" s="516">
        <v>5</v>
      </c>
      <c r="CO152" s="517">
        <v>7</v>
      </c>
      <c r="CP152" s="517">
        <v>4.6626696534457759</v>
      </c>
      <c r="CQ152" s="516">
        <v>5</v>
      </c>
      <c r="CR152" s="517">
        <v>5</v>
      </c>
      <c r="CS152" s="433">
        <v>8</v>
      </c>
      <c r="CT152" s="694">
        <v>5</v>
      </c>
      <c r="CU152" s="694">
        <v>4.983613877391126</v>
      </c>
      <c r="CV152" s="694">
        <v>5</v>
      </c>
      <c r="CW152" s="694">
        <v>9</v>
      </c>
      <c r="CX152" s="433">
        <v>5</v>
      </c>
      <c r="CY152" s="433">
        <v>6</v>
      </c>
      <c r="CZ152" s="694">
        <v>6</v>
      </c>
      <c r="DA152" s="989">
        <v>8</v>
      </c>
      <c r="DB152" s="989">
        <v>4</v>
      </c>
      <c r="DC152" s="989">
        <v>5</v>
      </c>
      <c r="DD152" s="989">
        <v>6</v>
      </c>
      <c r="DE152" s="989">
        <v>8</v>
      </c>
      <c r="DF152" s="385">
        <f>+DF438*DF433/1000</f>
        <v>4.7432049583113267</v>
      </c>
      <c r="DG152" s="385">
        <f>+DG438*DG433/1000</f>
        <v>5.1706315315400291</v>
      </c>
      <c r="DH152" s="385">
        <f>+DH438*DH433/1000</f>
        <v>6.263911944465403</v>
      </c>
      <c r="DI152" s="385">
        <f>+U152-SUM(DF152:DH152)</f>
        <v>7.9722515656832442</v>
      </c>
      <c r="DJ152" s="16"/>
    </row>
    <row r="153" spans="1:114">
      <c r="A153" s="932" t="s">
        <v>327</v>
      </c>
      <c r="B153" s="797">
        <f>16845-B149</f>
        <v>14328.903</v>
      </c>
      <c r="C153" s="797">
        <f>17270-C149</f>
        <v>13668.7595</v>
      </c>
      <c r="D153" s="797">
        <f>17209-D149</f>
        <v>13711</v>
      </c>
      <c r="E153" s="797">
        <f>18226-E149</f>
        <v>14442</v>
      </c>
      <c r="F153" s="797">
        <f>21128-F149</f>
        <v>17477.599999999999</v>
      </c>
      <c r="G153" s="798">
        <v>21953</v>
      </c>
      <c r="H153" s="798">
        <v>25275</v>
      </c>
      <c r="I153" s="798">
        <v>27466</v>
      </c>
      <c r="J153" s="798">
        <v>0</v>
      </c>
      <c r="K153" s="798">
        <v>0</v>
      </c>
      <c r="L153" s="798">
        <v>0</v>
      </c>
      <c r="M153" s="798">
        <v>0</v>
      </c>
      <c r="N153" s="798">
        <v>0</v>
      </c>
      <c r="O153" s="798">
        <v>0</v>
      </c>
      <c r="P153" s="798">
        <v>0</v>
      </c>
      <c r="Q153" s="798">
        <v>0</v>
      </c>
      <c r="R153" s="798">
        <v>0</v>
      </c>
      <c r="S153" s="798">
        <f t="shared" si="280"/>
        <v>0</v>
      </c>
      <c r="T153" s="793">
        <f t="shared" si="275"/>
        <v>0</v>
      </c>
      <c r="U153" s="798">
        <v>0</v>
      </c>
      <c r="V153" s="798">
        <v>0</v>
      </c>
      <c r="W153" s="798">
        <v>0</v>
      </c>
      <c r="X153" s="798">
        <v>0</v>
      </c>
      <c r="Y153" s="798">
        <v>0</v>
      </c>
      <c r="Z153" s="798">
        <v>0</v>
      </c>
      <c r="AA153" s="798">
        <v>0</v>
      </c>
      <c r="AB153" s="798">
        <v>0</v>
      </c>
      <c r="AD153" s="518"/>
      <c r="AE153" s="518"/>
      <c r="AF153" s="518"/>
      <c r="AG153" s="518"/>
      <c r="AH153" s="518"/>
      <c r="AI153" s="518"/>
      <c r="AJ153" s="518"/>
      <c r="AK153" s="518"/>
      <c r="AL153" s="518"/>
      <c r="AM153" s="518"/>
      <c r="AN153" s="518"/>
      <c r="AO153" s="518"/>
      <c r="AP153" s="518"/>
      <c r="AQ153" s="518"/>
      <c r="AR153" s="518"/>
      <c r="AS153" s="518"/>
      <c r="AT153" s="518"/>
      <c r="AU153" s="518"/>
      <c r="AV153" s="518"/>
      <c r="AW153" s="518"/>
      <c r="AX153" s="518"/>
      <c r="AY153" s="518"/>
      <c r="AZ153" s="518"/>
      <c r="BA153" s="518"/>
      <c r="BB153" s="518"/>
      <c r="BC153" s="518"/>
      <c r="BD153" s="519"/>
      <c r="BE153" s="519"/>
      <c r="BF153" s="528"/>
      <c r="BG153" s="528"/>
      <c r="BH153" s="528"/>
      <c r="BI153" s="528"/>
      <c r="BJ153" s="516"/>
      <c r="BK153" s="516"/>
      <c r="BL153" s="516"/>
      <c r="BM153" s="516"/>
      <c r="BN153" s="520"/>
      <c r="BO153" s="520"/>
      <c r="BP153" s="520"/>
      <c r="BQ153" s="520"/>
      <c r="BR153" s="520"/>
      <c r="BS153" s="520"/>
      <c r="BT153" s="520"/>
      <c r="BU153" s="520"/>
      <c r="BV153" s="516"/>
      <c r="BW153" s="516"/>
      <c r="BX153" s="516"/>
      <c r="BY153" s="516"/>
      <c r="BZ153" s="516"/>
      <c r="CA153" s="516"/>
      <c r="CB153" s="516"/>
      <c r="CC153" s="516"/>
      <c r="CD153" s="516"/>
      <c r="CE153" s="516"/>
      <c r="CF153" s="516"/>
      <c r="CG153" s="516"/>
      <c r="CH153" s="516"/>
      <c r="CI153" s="516"/>
      <c r="CJ153" s="516"/>
      <c r="CK153" s="516"/>
      <c r="CL153" s="516"/>
      <c r="CM153" s="516"/>
      <c r="CN153" s="516"/>
      <c r="CO153" s="517"/>
      <c r="CP153" s="517"/>
      <c r="CQ153" s="516"/>
      <c r="CR153" s="517"/>
      <c r="CS153" s="433"/>
      <c r="CT153" s="694"/>
      <c r="CU153" s="694"/>
      <c r="CV153" s="694"/>
      <c r="CW153" s="694"/>
      <c r="CX153" s="433"/>
      <c r="CY153" s="433"/>
      <c r="CZ153" s="385"/>
      <c r="DA153" s="1020"/>
      <c r="DB153" s="1020"/>
      <c r="DC153" s="385"/>
      <c r="DD153" s="385"/>
      <c r="DE153" s="1020"/>
      <c r="DF153" s="385"/>
      <c r="DG153" s="385"/>
      <c r="DH153" s="385"/>
      <c r="DI153" s="385"/>
    </row>
    <row r="154" spans="1:114">
      <c r="A154" s="411" t="s">
        <v>543</v>
      </c>
      <c r="B154" s="203">
        <f t="shared" ref="B154:W154" si="284">SUM(B149:B153)</f>
        <v>16845</v>
      </c>
      <c r="C154" s="203">
        <f t="shared" si="284"/>
        <v>17270</v>
      </c>
      <c r="D154" s="203">
        <f t="shared" si="284"/>
        <v>17209</v>
      </c>
      <c r="E154" s="203">
        <f t="shared" si="284"/>
        <v>18226</v>
      </c>
      <c r="F154" s="203">
        <f t="shared" si="284"/>
        <v>21128</v>
      </c>
      <c r="G154" s="203">
        <f t="shared" si="284"/>
        <v>25647</v>
      </c>
      <c r="H154" s="203">
        <f t="shared" si="284"/>
        <v>28934</v>
      </c>
      <c r="I154" s="203">
        <f t="shared" si="284"/>
        <v>31083</v>
      </c>
      <c r="J154" s="203">
        <f t="shared" si="284"/>
        <v>3452</v>
      </c>
      <c r="K154" s="203">
        <f t="shared" si="284"/>
        <v>3399</v>
      </c>
      <c r="L154" s="203">
        <f t="shared" si="284"/>
        <v>6732</v>
      </c>
      <c r="M154" s="203">
        <f t="shared" si="284"/>
        <v>7471</v>
      </c>
      <c r="N154" s="203">
        <f t="shared" si="284"/>
        <v>7181</v>
      </c>
      <c r="O154" s="203">
        <f t="shared" si="284"/>
        <v>7118</v>
      </c>
      <c r="P154" s="203">
        <f t="shared" si="284"/>
        <v>6803</v>
      </c>
      <c r="Q154" s="203">
        <f t="shared" si="284"/>
        <v>6576.6626696534458</v>
      </c>
      <c r="R154" s="203">
        <f t="shared" si="284"/>
        <v>6579.9836138773908</v>
      </c>
      <c r="S154" s="203">
        <f t="shared" si="284"/>
        <v>6407</v>
      </c>
      <c r="T154" s="203">
        <f t="shared" si="284"/>
        <v>6082</v>
      </c>
      <c r="U154" s="203">
        <f t="shared" si="284"/>
        <v>5851.6747043889827</v>
      </c>
      <c r="V154" s="203">
        <f t="shared" si="284"/>
        <v>5643.2955665373711</v>
      </c>
      <c r="W154" s="203">
        <f t="shared" si="284"/>
        <v>5456.6324497083506</v>
      </c>
      <c r="X154" s="203">
        <f>SUM(X149:X153)</f>
        <v>5294.9125729997613</v>
      </c>
      <c r="Y154" s="203">
        <f>SUM(Y149:Y153)</f>
        <v>5138.8772058886025</v>
      </c>
      <c r="Z154" s="203">
        <f>SUM(Z149:Z153)</f>
        <v>4988.3582539813488</v>
      </c>
      <c r="AA154" s="203">
        <f>SUM(AA149:AA153)</f>
        <v>4843.1936159001207</v>
      </c>
      <c r="AB154" s="203">
        <f>SUM(AB149:AB153)</f>
        <v>4703.2270117694961</v>
      </c>
      <c r="AD154" s="382">
        <f t="shared" ref="AD154:BM154" si="285">AD9</f>
        <v>0</v>
      </c>
      <c r="AE154" s="382">
        <f t="shared" si="285"/>
        <v>0</v>
      </c>
      <c r="AF154" s="382">
        <f t="shared" si="285"/>
        <v>0</v>
      </c>
      <c r="AG154" s="382">
        <f t="shared" si="285"/>
        <v>0</v>
      </c>
      <c r="AH154" s="382">
        <f t="shared" si="285"/>
        <v>0</v>
      </c>
      <c r="AI154" s="382">
        <f t="shared" si="285"/>
        <v>0</v>
      </c>
      <c r="AJ154" s="382">
        <f t="shared" si="285"/>
        <v>0</v>
      </c>
      <c r="AK154" s="382">
        <f t="shared" si="285"/>
        <v>0</v>
      </c>
      <c r="AL154" s="382">
        <f t="shared" si="285"/>
        <v>0</v>
      </c>
      <c r="AM154" s="382">
        <f t="shared" si="285"/>
        <v>0</v>
      </c>
      <c r="AN154" s="382">
        <f t="shared" si="285"/>
        <v>0</v>
      </c>
      <c r="AO154" s="382">
        <f t="shared" si="285"/>
        <v>0</v>
      </c>
      <c r="AP154" s="382">
        <f t="shared" si="285"/>
        <v>4433</v>
      </c>
      <c r="AQ154" s="382">
        <f t="shared" si="285"/>
        <v>4377</v>
      </c>
      <c r="AR154" s="382">
        <f t="shared" si="285"/>
        <v>4350</v>
      </c>
      <c r="AS154" s="382">
        <f t="shared" si="285"/>
        <v>4049</v>
      </c>
      <c r="AT154" s="382">
        <f t="shared" si="285"/>
        <v>4575</v>
      </c>
      <c r="AU154" s="382">
        <f t="shared" si="285"/>
        <v>4583</v>
      </c>
      <c r="AV154" s="382">
        <f t="shared" si="285"/>
        <v>4758</v>
      </c>
      <c r="AW154" s="382">
        <f t="shared" si="285"/>
        <v>4310</v>
      </c>
      <c r="AX154" s="382">
        <f t="shared" si="285"/>
        <v>4887</v>
      </c>
      <c r="AY154" s="382">
        <f t="shared" si="285"/>
        <v>5344</v>
      </c>
      <c r="AZ154" s="382">
        <f t="shared" si="285"/>
        <v>5637</v>
      </c>
      <c r="BA154" s="382">
        <f t="shared" si="285"/>
        <v>5260</v>
      </c>
      <c r="BB154" s="382">
        <f t="shared" si="285"/>
        <v>6317</v>
      </c>
      <c r="BC154" s="382">
        <f t="shared" si="285"/>
        <v>6563</v>
      </c>
      <c r="BD154" s="382">
        <f t="shared" si="285"/>
        <v>6751</v>
      </c>
      <c r="BE154" s="382">
        <f t="shared" si="285"/>
        <v>6016</v>
      </c>
      <c r="BF154" s="382">
        <f t="shared" si="285"/>
        <v>7156</v>
      </c>
      <c r="BG154" s="382">
        <f t="shared" si="285"/>
        <v>7459</v>
      </c>
      <c r="BH154" s="382">
        <f t="shared" si="285"/>
        <v>7656</v>
      </c>
      <c r="BI154" s="382">
        <f t="shared" si="285"/>
        <v>6663</v>
      </c>
      <c r="BJ154" s="382">
        <f t="shared" si="285"/>
        <v>7546</v>
      </c>
      <c r="BK154" s="382">
        <f t="shared" si="285"/>
        <v>7895</v>
      </c>
      <c r="BL154" s="382">
        <f t="shared" si="285"/>
        <v>8229</v>
      </c>
      <c r="BM154" s="382">
        <f t="shared" si="285"/>
        <v>7413</v>
      </c>
      <c r="BN154" s="382">
        <f>BN149</f>
        <v>800</v>
      </c>
      <c r="BO154" s="382">
        <f>BO149</f>
        <v>899</v>
      </c>
      <c r="BP154" s="382">
        <f>BP149</f>
        <v>927</v>
      </c>
      <c r="BQ154" s="382">
        <f>BQ149</f>
        <v>826</v>
      </c>
      <c r="BR154" s="379">
        <f>BR150+BR149</f>
        <v>806</v>
      </c>
      <c r="BS154" s="379">
        <f>BS150+BS149</f>
        <v>875</v>
      </c>
      <c r="BT154" s="379">
        <f>BT150+BT149</f>
        <v>897</v>
      </c>
      <c r="BU154" s="379">
        <f>BU150+BU149</f>
        <v>821</v>
      </c>
      <c r="BV154" s="379">
        <f t="shared" ref="BV154:CK154" si="286">SUM(BV149:BV152)</f>
        <v>711</v>
      </c>
      <c r="BW154" s="379">
        <f t="shared" si="286"/>
        <v>2125</v>
      </c>
      <c r="BX154" s="379">
        <f t="shared" si="286"/>
        <v>1982</v>
      </c>
      <c r="BY154" s="379">
        <f t="shared" si="286"/>
        <v>1914</v>
      </c>
      <c r="BZ154" s="379">
        <f t="shared" si="286"/>
        <v>1809</v>
      </c>
      <c r="CA154" s="379">
        <f t="shared" si="286"/>
        <v>1933</v>
      </c>
      <c r="CB154" s="379">
        <f t="shared" si="286"/>
        <v>1941</v>
      </c>
      <c r="CC154" s="379">
        <f t="shared" si="286"/>
        <v>1788</v>
      </c>
      <c r="CD154" s="379">
        <f t="shared" si="286"/>
        <v>1700</v>
      </c>
      <c r="CE154" s="379">
        <f t="shared" si="286"/>
        <v>1918</v>
      </c>
      <c r="CF154" s="379">
        <f t="shared" si="286"/>
        <v>1780</v>
      </c>
      <c r="CG154" s="379">
        <f t="shared" si="286"/>
        <v>1783</v>
      </c>
      <c r="CH154" s="379">
        <f t="shared" si="286"/>
        <v>1653</v>
      </c>
      <c r="CI154" s="379">
        <f t="shared" si="286"/>
        <v>1907</v>
      </c>
      <c r="CJ154" s="379">
        <f t="shared" si="286"/>
        <v>1776</v>
      </c>
      <c r="CK154" s="379">
        <f t="shared" si="286"/>
        <v>1782</v>
      </c>
      <c r="CL154" s="379">
        <f t="shared" ref="CL154:DE154" si="287">SUM(CL149:CL152)</f>
        <v>1555</v>
      </c>
      <c r="CM154" s="379">
        <f t="shared" si="287"/>
        <v>1779</v>
      </c>
      <c r="CN154" s="379">
        <f t="shared" si="287"/>
        <v>1793</v>
      </c>
      <c r="CO154" s="384">
        <f t="shared" si="287"/>
        <v>1676</v>
      </c>
      <c r="CP154" s="379">
        <f t="shared" si="287"/>
        <v>1508.6626696534458</v>
      </c>
      <c r="CQ154" s="379">
        <f t="shared" si="287"/>
        <v>1685</v>
      </c>
      <c r="CR154" s="384">
        <f t="shared" si="287"/>
        <v>1738</v>
      </c>
      <c r="CS154" s="379">
        <f t="shared" si="287"/>
        <v>1645</v>
      </c>
      <c r="CT154" s="384">
        <f t="shared" si="287"/>
        <v>1532</v>
      </c>
      <c r="CU154" s="379">
        <f t="shared" si="287"/>
        <v>1737.9836138773912</v>
      </c>
      <c r="CV154" s="379">
        <f t="shared" si="287"/>
        <v>1721</v>
      </c>
      <c r="CW154" s="379">
        <f t="shared" si="287"/>
        <v>1589</v>
      </c>
      <c r="CX154" s="379">
        <f t="shared" si="287"/>
        <v>1536</v>
      </c>
      <c r="CY154" s="379">
        <f t="shared" si="287"/>
        <v>1640</v>
      </c>
      <c r="CZ154" s="379">
        <f t="shared" si="287"/>
        <v>1712</v>
      </c>
      <c r="DA154" s="1021">
        <f t="shared" si="287"/>
        <v>1519</v>
      </c>
      <c r="DB154" s="1021">
        <f t="shared" si="287"/>
        <v>1494</v>
      </c>
      <c r="DC154" s="379">
        <f t="shared" si="287"/>
        <v>1595</v>
      </c>
      <c r="DD154" s="379">
        <f t="shared" si="287"/>
        <v>1606</v>
      </c>
      <c r="DE154" s="1021">
        <f t="shared" si="287"/>
        <v>1387</v>
      </c>
      <c r="DF154" s="379">
        <f t="shared" ref="DF154:DI154" si="288">SUM(DF149:DF152)</f>
        <v>1407.906741607801</v>
      </c>
      <c r="DG154" s="379">
        <f t="shared" si="288"/>
        <v>1523.5107950425513</v>
      </c>
      <c r="DH154" s="379">
        <f t="shared" si="288"/>
        <v>1552.5864817543195</v>
      </c>
      <c r="DI154" s="379">
        <f t="shared" si="288"/>
        <v>1367.6706859843118</v>
      </c>
    </row>
    <row r="155" spans="1:114">
      <c r="A155" s="204"/>
      <c r="AD155" s="194"/>
      <c r="AE155" s="194"/>
      <c r="AF155" s="194"/>
      <c r="AG155" s="194"/>
      <c r="AH155" s="194"/>
      <c r="AI155" s="194"/>
      <c r="AJ155" s="194"/>
      <c r="AK155" s="194"/>
      <c r="AL155" s="194"/>
      <c r="AM155" s="194"/>
      <c r="AN155" s="194"/>
      <c r="AO155" s="194"/>
      <c r="AP155" s="194"/>
      <c r="AQ155" s="194"/>
      <c r="AR155" s="194"/>
      <c r="AS155" s="194"/>
      <c r="AT155" s="194"/>
      <c r="AU155" s="194"/>
      <c r="AV155" s="194"/>
      <c r="AW155" s="194"/>
      <c r="AX155" s="194"/>
      <c r="AY155" s="194"/>
      <c r="AZ155" s="194"/>
      <c r="BA155" s="194"/>
      <c r="BB155" s="194"/>
      <c r="BC155" s="194"/>
      <c r="BD155" s="194"/>
      <c r="BE155" s="194"/>
      <c r="BF155" s="194"/>
      <c r="BG155" s="194"/>
      <c r="BH155" s="194"/>
      <c r="BI155" s="194"/>
      <c r="BJ155" s="194"/>
      <c r="BK155" s="194"/>
      <c r="BL155" s="194"/>
      <c r="BM155" s="194"/>
      <c r="BN155" s="194"/>
      <c r="BO155" s="194"/>
      <c r="BP155" s="194"/>
      <c r="BQ155" s="194"/>
      <c r="BR155" s="192"/>
      <c r="BS155" s="192"/>
      <c r="BT155" s="192"/>
      <c r="BU155" s="192"/>
      <c r="BV155" s="192"/>
      <c r="BW155" s="192"/>
      <c r="BX155" s="192"/>
      <c r="BY155" s="192"/>
      <c r="BZ155" s="192"/>
      <c r="CA155" s="192"/>
      <c r="CB155" s="192"/>
      <c r="CC155" s="192"/>
      <c r="CD155" s="192"/>
      <c r="CE155" s="192"/>
      <c r="CF155" s="192"/>
      <c r="CG155" s="192"/>
      <c r="CH155" s="186"/>
      <c r="CI155" s="186"/>
      <c r="CJ155" s="186"/>
      <c r="CK155" s="186"/>
      <c r="CL155" s="524"/>
      <c r="CM155" s="524"/>
      <c r="CN155" s="524"/>
      <c r="CO155" s="524"/>
      <c r="CP155" s="412"/>
      <c r="CQ155" s="412"/>
      <c r="CR155" s="524"/>
      <c r="CS155" s="524"/>
      <c r="CT155" s="525"/>
      <c r="CU155" s="524"/>
      <c r="CV155" s="524"/>
      <c r="CW155" s="524"/>
      <c r="CX155" s="524"/>
      <c r="CY155" s="524"/>
      <c r="CZ155" s="524"/>
      <c r="DA155" s="1022"/>
      <c r="DB155" s="524"/>
      <c r="DC155" s="524"/>
      <c r="DD155" s="524"/>
      <c r="DE155" s="1022"/>
      <c r="DF155" s="524"/>
      <c r="DG155" s="524"/>
      <c r="DH155" s="524"/>
      <c r="DI155" s="524"/>
    </row>
    <row r="156" spans="1:114" hidden="1" outlineLevel="1">
      <c r="A156" s="933" t="s">
        <v>228</v>
      </c>
      <c r="AD156" s="479">
        <v>654</v>
      </c>
      <c r="AE156" s="479">
        <v>691</v>
      </c>
      <c r="AF156" s="479">
        <v>731</v>
      </c>
      <c r="AG156" s="479">
        <v>660</v>
      </c>
      <c r="AH156" s="479">
        <v>589</v>
      </c>
      <c r="AI156" s="479">
        <v>627</v>
      </c>
      <c r="AJ156" s="479">
        <v>665</v>
      </c>
      <c r="AK156" s="479">
        <v>634</v>
      </c>
      <c r="AL156" s="479">
        <v>889</v>
      </c>
      <c r="AM156" s="479">
        <v>917</v>
      </c>
      <c r="AN156" s="479">
        <v>920</v>
      </c>
      <c r="AO156" s="479">
        <v>875</v>
      </c>
      <c r="AP156" s="479">
        <v>876.94200000000001</v>
      </c>
      <c r="AQ156" s="479">
        <v>903</v>
      </c>
      <c r="AR156" s="479">
        <v>880</v>
      </c>
      <c r="AS156" s="479">
        <v>830</v>
      </c>
      <c r="AT156" s="479">
        <v>1019.85</v>
      </c>
      <c r="AU156" s="479">
        <v>911</v>
      </c>
      <c r="AV156" s="479">
        <v>982</v>
      </c>
      <c r="AW156" s="479">
        <v>863</v>
      </c>
      <c r="AX156" s="479">
        <v>866</v>
      </c>
      <c r="AY156" s="479">
        <v>951</v>
      </c>
      <c r="AZ156" s="479">
        <v>964</v>
      </c>
      <c r="BA156" s="479">
        <v>961.35</v>
      </c>
      <c r="BB156" s="479">
        <v>852</v>
      </c>
      <c r="BC156" s="479">
        <v>958</v>
      </c>
      <c r="BD156" s="479">
        <v>954</v>
      </c>
      <c r="BE156" s="479">
        <v>930</v>
      </c>
      <c r="BF156" s="479">
        <v>845</v>
      </c>
      <c r="BG156" s="479">
        <v>971</v>
      </c>
      <c r="BH156" s="479">
        <v>945</v>
      </c>
      <c r="BI156" s="479">
        <v>898</v>
      </c>
      <c r="BJ156" s="479">
        <v>855</v>
      </c>
      <c r="BK156" s="479">
        <v>931</v>
      </c>
      <c r="BL156" s="479">
        <v>938</v>
      </c>
      <c r="BM156" s="479">
        <v>893</v>
      </c>
      <c r="BN156" s="479">
        <v>800</v>
      </c>
      <c r="BO156" s="479">
        <v>899</v>
      </c>
      <c r="BP156" s="479">
        <v>927</v>
      </c>
      <c r="BQ156" s="479">
        <v>826</v>
      </c>
      <c r="BR156" s="413">
        <v>791</v>
      </c>
      <c r="BS156" s="413">
        <v>859</v>
      </c>
      <c r="BT156" s="413">
        <v>883</v>
      </c>
      <c r="BU156" s="413">
        <v>805</v>
      </c>
      <c r="BV156" s="413">
        <v>680</v>
      </c>
      <c r="BW156" s="413">
        <v>2052</v>
      </c>
      <c r="BX156" s="413">
        <v>1899</v>
      </c>
      <c r="BY156" s="413">
        <v>1834</v>
      </c>
      <c r="BZ156" s="413">
        <v>1731</v>
      </c>
      <c r="CA156" s="413">
        <v>1847</v>
      </c>
      <c r="CB156" s="413">
        <v>1853</v>
      </c>
      <c r="CC156" s="413">
        <v>1705</v>
      </c>
      <c r="CD156" s="413">
        <v>1619</v>
      </c>
      <c r="CE156" s="413">
        <v>1833</v>
      </c>
      <c r="CF156" s="413">
        <v>1687</v>
      </c>
      <c r="CG156" s="413">
        <v>1707</v>
      </c>
      <c r="CH156" s="524">
        <f t="shared" ref="CH156:DE156" si="289">CH149</f>
        <v>1577</v>
      </c>
      <c r="CI156" s="524">
        <f t="shared" si="289"/>
        <v>1834</v>
      </c>
      <c r="CJ156" s="524">
        <f t="shared" si="289"/>
        <v>1706</v>
      </c>
      <c r="CK156" s="524">
        <f t="shared" si="289"/>
        <v>1714</v>
      </c>
      <c r="CL156" s="524">
        <f t="shared" si="289"/>
        <v>1495</v>
      </c>
      <c r="CM156" s="524">
        <f t="shared" si="289"/>
        <v>1713</v>
      </c>
      <c r="CN156" s="524">
        <f t="shared" si="289"/>
        <v>1728</v>
      </c>
      <c r="CO156" s="524">
        <f t="shared" si="289"/>
        <v>1617</v>
      </c>
      <c r="CP156" s="524">
        <f t="shared" si="289"/>
        <v>1460</v>
      </c>
      <c r="CQ156" s="524">
        <f t="shared" si="289"/>
        <v>1629</v>
      </c>
      <c r="CR156" s="524">
        <f t="shared" si="289"/>
        <v>1682</v>
      </c>
      <c r="CS156" s="524">
        <f t="shared" si="289"/>
        <v>1587</v>
      </c>
      <c r="CT156" s="525">
        <f t="shared" si="289"/>
        <v>1480</v>
      </c>
      <c r="CU156" s="524">
        <f t="shared" si="289"/>
        <v>1684</v>
      </c>
      <c r="CV156" s="524">
        <f t="shared" si="289"/>
        <v>1670</v>
      </c>
      <c r="CW156" s="524">
        <f t="shared" si="289"/>
        <v>1535</v>
      </c>
      <c r="CX156" s="524">
        <f t="shared" si="289"/>
        <v>1487</v>
      </c>
      <c r="CY156" s="524">
        <f t="shared" si="289"/>
        <v>1582</v>
      </c>
      <c r="CZ156" s="524">
        <f t="shared" si="289"/>
        <v>1654</v>
      </c>
      <c r="DA156" s="1022">
        <f t="shared" si="289"/>
        <v>1464</v>
      </c>
      <c r="DB156" s="186">
        <f t="shared" si="289"/>
        <v>1446</v>
      </c>
      <c r="DC156" s="186">
        <f t="shared" si="289"/>
        <v>1536</v>
      </c>
      <c r="DD156" s="186">
        <f t="shared" si="289"/>
        <v>1551</v>
      </c>
      <c r="DE156" s="1079">
        <f t="shared" si="289"/>
        <v>1333.886</v>
      </c>
      <c r="DF156" s="186">
        <f t="shared" ref="DF156:DI156" si="290">DF149</f>
        <v>1356.348</v>
      </c>
      <c r="DG156" s="186">
        <f t="shared" si="290"/>
        <v>1466.8800000000003</v>
      </c>
      <c r="DH156" s="186">
        <f t="shared" si="290"/>
        <v>1496.7149999999999</v>
      </c>
      <c r="DI156" s="186">
        <f t="shared" si="290"/>
        <v>1310.5108073889833</v>
      </c>
    </row>
    <row r="157" spans="1:114" hidden="1" outlineLevel="1">
      <c r="A157" s="933" t="s">
        <v>230</v>
      </c>
      <c r="AD157" s="479"/>
      <c r="AE157" s="479"/>
      <c r="AF157" s="479"/>
      <c r="AG157" s="479"/>
      <c r="AH157" s="479"/>
      <c r="AI157" s="479"/>
      <c r="AJ157" s="479"/>
      <c r="AK157" s="479"/>
      <c r="AL157" s="479"/>
      <c r="AM157" s="479"/>
      <c r="AN157" s="479"/>
      <c r="AO157" s="479"/>
      <c r="AP157" s="479"/>
      <c r="AQ157" s="479"/>
      <c r="AR157" s="479"/>
      <c r="AS157" s="479"/>
      <c r="AT157" s="479"/>
      <c r="AU157" s="479"/>
      <c r="AV157" s="479"/>
      <c r="AW157" s="479"/>
      <c r="AX157" s="479"/>
      <c r="AY157" s="479"/>
      <c r="AZ157" s="479"/>
      <c r="BA157" s="479"/>
      <c r="BB157" s="479"/>
      <c r="BC157" s="479"/>
      <c r="BD157" s="479"/>
      <c r="BE157" s="479"/>
      <c r="BF157" s="479"/>
      <c r="BG157" s="479"/>
      <c r="BH157" s="479"/>
      <c r="BI157" s="479"/>
      <c r="BJ157" s="479"/>
      <c r="BK157" s="479"/>
      <c r="BL157" s="479"/>
      <c r="BM157" s="479"/>
      <c r="BN157" s="479" t="s">
        <v>618</v>
      </c>
      <c r="BO157" s="479" t="s">
        <v>618</v>
      </c>
      <c r="BP157" s="479" t="s">
        <v>618</v>
      </c>
      <c r="BQ157" s="479" t="s">
        <v>618</v>
      </c>
      <c r="BR157" s="413">
        <v>15</v>
      </c>
      <c r="BS157" s="413">
        <v>16</v>
      </c>
      <c r="BT157" s="413">
        <v>14</v>
      </c>
      <c r="BU157" s="413">
        <v>16</v>
      </c>
      <c r="BV157" s="413">
        <v>16</v>
      </c>
      <c r="BW157" s="413">
        <v>44</v>
      </c>
      <c r="BX157" s="413">
        <v>54</v>
      </c>
      <c r="BY157" s="413">
        <v>48</v>
      </c>
      <c r="BZ157" s="413">
        <v>48</v>
      </c>
      <c r="CA157" s="413">
        <v>55</v>
      </c>
      <c r="CB157" s="413">
        <v>57</v>
      </c>
      <c r="CC157" s="413">
        <v>52</v>
      </c>
      <c r="CD157" s="413">
        <v>51</v>
      </c>
      <c r="CE157" s="413">
        <v>54</v>
      </c>
      <c r="CF157" s="413">
        <v>60</v>
      </c>
      <c r="CG157" s="413">
        <v>42</v>
      </c>
      <c r="CH157" s="524">
        <f t="shared" ref="CH157:DE157" si="291">CH150</f>
        <v>45</v>
      </c>
      <c r="CI157" s="524">
        <f t="shared" si="291"/>
        <v>41</v>
      </c>
      <c r="CJ157" s="524">
        <f t="shared" si="291"/>
        <v>36</v>
      </c>
      <c r="CK157" s="524">
        <f t="shared" si="291"/>
        <v>31</v>
      </c>
      <c r="CL157" s="524">
        <f t="shared" si="291"/>
        <v>29</v>
      </c>
      <c r="CM157" s="524">
        <f t="shared" si="291"/>
        <v>28</v>
      </c>
      <c r="CN157" s="524">
        <f t="shared" si="291"/>
        <v>23</v>
      </c>
      <c r="CO157" s="524">
        <f t="shared" si="291"/>
        <v>18</v>
      </c>
      <c r="CP157" s="524">
        <f t="shared" si="291"/>
        <v>14</v>
      </c>
      <c r="CQ157" s="524">
        <f t="shared" si="291"/>
        <v>15</v>
      </c>
      <c r="CR157" s="524">
        <f t="shared" si="291"/>
        <v>15</v>
      </c>
      <c r="CS157" s="524">
        <f t="shared" si="291"/>
        <v>14</v>
      </c>
      <c r="CT157" s="525">
        <f t="shared" si="291"/>
        <v>15</v>
      </c>
      <c r="CU157" s="524">
        <f t="shared" si="291"/>
        <v>15</v>
      </c>
      <c r="CV157" s="524">
        <f t="shared" si="291"/>
        <v>12</v>
      </c>
      <c r="CW157" s="524">
        <f t="shared" si="291"/>
        <v>12</v>
      </c>
      <c r="CX157" s="524">
        <f t="shared" si="291"/>
        <v>12</v>
      </c>
      <c r="CY157" s="524">
        <f t="shared" si="291"/>
        <v>17</v>
      </c>
      <c r="CZ157" s="524">
        <f t="shared" si="291"/>
        <v>17</v>
      </c>
      <c r="DA157" s="1022">
        <f t="shared" si="291"/>
        <v>14</v>
      </c>
      <c r="DB157" s="186">
        <f t="shared" si="291"/>
        <v>14</v>
      </c>
      <c r="DC157" s="186">
        <f t="shared" si="291"/>
        <v>20</v>
      </c>
      <c r="DD157" s="186">
        <f t="shared" si="291"/>
        <v>14</v>
      </c>
      <c r="DE157" s="1079">
        <f t="shared" si="291"/>
        <v>12.114000000000033</v>
      </c>
      <c r="DF157" s="186">
        <f t="shared" ref="DF157:DI157" si="292">DF150</f>
        <v>15.172878857976663</v>
      </c>
      <c r="DG157" s="186">
        <f t="shared" si="292"/>
        <v>16.785255630350203</v>
      </c>
      <c r="DH157" s="186">
        <f t="shared" si="292"/>
        <v>15.9170527529183</v>
      </c>
      <c r="DI157" s="186">
        <f t="shared" si="292"/>
        <v>15.87570975875488</v>
      </c>
    </row>
    <row r="158" spans="1:114" hidden="1" outlineLevel="1">
      <c r="A158" s="934"/>
      <c r="AD158" s="194"/>
      <c r="AE158" s="194"/>
      <c r="AF158" s="194"/>
      <c r="AG158" s="194"/>
      <c r="AH158" s="194"/>
      <c r="AI158" s="194"/>
      <c r="AJ158" s="194"/>
      <c r="AK158" s="194"/>
      <c r="AL158" s="194"/>
      <c r="AM158" s="194"/>
      <c r="AN158" s="194"/>
      <c r="AO158" s="194"/>
      <c r="AP158" s="194"/>
      <c r="AQ158" s="194"/>
      <c r="AR158" s="194"/>
      <c r="AS158" s="194"/>
      <c r="AT158" s="194"/>
      <c r="AU158" s="194"/>
      <c r="AV158" s="194"/>
      <c r="AW158" s="194"/>
      <c r="AX158" s="194"/>
      <c r="AY158" s="194"/>
      <c r="AZ158" s="194"/>
      <c r="BA158" s="194"/>
      <c r="BB158" s="194"/>
      <c r="BC158" s="194"/>
      <c r="BD158" s="194"/>
      <c r="BE158" s="194"/>
      <c r="BF158" s="194"/>
      <c r="BG158" s="194"/>
      <c r="BH158" s="194"/>
      <c r="BI158" s="194"/>
      <c r="BJ158" s="194"/>
      <c r="BK158" s="194"/>
      <c r="BL158" s="194"/>
      <c r="BM158" s="194"/>
      <c r="BN158" s="194"/>
      <c r="BO158" s="194"/>
      <c r="BP158" s="194"/>
      <c r="BQ158" s="194"/>
      <c r="BR158" s="192"/>
      <c r="BS158" s="192"/>
      <c r="BT158" s="192"/>
      <c r="BU158" s="192"/>
      <c r="BV158" s="192"/>
      <c r="BW158" s="192"/>
      <c r="BX158" s="192"/>
      <c r="BY158" s="192"/>
      <c r="BZ158" s="192"/>
      <c r="CA158" s="192"/>
      <c r="CB158" s="192"/>
      <c r="CC158" s="192"/>
      <c r="CD158" s="192"/>
      <c r="CE158" s="192"/>
      <c r="CF158" s="192"/>
      <c r="CG158" s="192"/>
      <c r="CH158" s="524"/>
      <c r="CI158" s="524"/>
      <c r="CJ158" s="458"/>
      <c r="CK158" s="524"/>
      <c r="CL158" s="509"/>
      <c r="CM158" s="524"/>
      <c r="CN158" s="524"/>
      <c r="CO158" s="524"/>
      <c r="CP158" s="509"/>
      <c r="CQ158" s="524"/>
      <c r="CR158" s="524"/>
      <c r="CS158" s="524"/>
      <c r="CT158" s="525"/>
      <c r="CU158" s="524"/>
      <c r="CV158" s="524"/>
      <c r="CW158" s="524"/>
      <c r="CX158" s="524"/>
      <c r="CY158" s="524"/>
      <c r="CZ158" s="524"/>
      <c r="DA158" s="1022"/>
      <c r="DB158" s="524"/>
      <c r="DC158" s="524"/>
      <c r="DD158" s="524"/>
      <c r="DE158" s="1022"/>
      <c r="DF158" s="524"/>
      <c r="DG158" s="524"/>
      <c r="DH158" s="524"/>
      <c r="DI158" s="524"/>
    </row>
    <row r="159" spans="1:114" collapsed="1">
      <c r="A159" s="34" t="s">
        <v>108</v>
      </c>
      <c r="AD159" s="311"/>
      <c r="AE159" s="311"/>
      <c r="AF159" s="311"/>
      <c r="AG159" s="311"/>
      <c r="AH159" s="311"/>
      <c r="AI159" s="311"/>
      <c r="AJ159" s="311"/>
      <c r="AK159" s="311"/>
      <c r="AL159" s="311"/>
      <c r="AM159" s="311"/>
      <c r="AN159" s="311"/>
      <c r="AO159" s="311"/>
      <c r="AP159" s="311"/>
      <c r="AQ159" s="311"/>
      <c r="AR159" s="311"/>
      <c r="AS159" s="311"/>
      <c r="AT159" s="311"/>
      <c r="AU159" s="311"/>
      <c r="AV159" s="311"/>
      <c r="AW159" s="311"/>
      <c r="AX159" s="311"/>
      <c r="AY159" s="311"/>
      <c r="AZ159" s="311"/>
      <c r="BA159" s="311"/>
      <c r="BB159" s="311"/>
      <c r="BC159" s="311"/>
      <c r="BD159" s="311"/>
      <c r="BE159" s="311"/>
      <c r="BF159" s="307"/>
      <c r="BG159" s="307"/>
      <c r="BH159" s="307"/>
      <c r="BI159" s="307"/>
      <c r="BJ159" s="307"/>
      <c r="BK159" s="307"/>
      <c r="BL159" s="307"/>
      <c r="BM159" s="307"/>
      <c r="BN159" s="413"/>
      <c r="BO159" s="413"/>
      <c r="BP159" s="413"/>
      <c r="BQ159" s="413"/>
      <c r="BR159" s="413"/>
      <c r="BS159" s="413"/>
      <c r="BT159" s="413"/>
      <c r="BU159" s="413"/>
      <c r="BV159" s="413"/>
      <c r="BW159" s="413"/>
      <c r="BX159" s="413"/>
      <c r="BY159" s="413"/>
      <c r="BZ159" s="413"/>
      <c r="CA159" s="413"/>
      <c r="CB159" s="413"/>
      <c r="CC159" s="413"/>
      <c r="CD159" s="413"/>
      <c r="CE159" s="413"/>
      <c r="CF159" s="404"/>
      <c r="CG159" s="413"/>
      <c r="CH159" s="404"/>
      <c r="CI159" s="404"/>
      <c r="CJ159" s="404"/>
      <c r="CK159" s="459"/>
      <c r="CL159" s="509"/>
      <c r="CM159" s="404"/>
      <c r="CN159" s="404"/>
      <c r="CO159" s="404"/>
      <c r="CP159" s="509"/>
      <c r="CQ159" s="509"/>
      <c r="CR159" s="509"/>
      <c r="CS159" s="509"/>
      <c r="CT159" s="409"/>
      <c r="CU159" s="404"/>
      <c r="CV159" s="404"/>
      <c r="CW159" s="404"/>
      <c r="CX159" s="404"/>
      <c r="CY159" s="404"/>
      <c r="CZ159" s="404"/>
      <c r="DA159" s="994"/>
      <c r="DB159" s="404"/>
      <c r="DC159" s="404"/>
      <c r="DD159" s="404"/>
      <c r="DE159" s="994"/>
      <c r="DF159" s="404"/>
      <c r="DG159" s="404"/>
      <c r="DH159" s="404"/>
      <c r="DI159" s="404"/>
    </row>
    <row r="160" spans="1:114">
      <c r="A160" s="515" t="s">
        <v>50</v>
      </c>
      <c r="B160" s="414">
        <f t="shared" ref="B160:J160" si="293">+B161+B162</f>
        <v>17079.902999999998</v>
      </c>
      <c r="C160" s="414">
        <f t="shared" si="293"/>
        <v>15365.7595</v>
      </c>
      <c r="D160" s="414">
        <f t="shared" si="293"/>
        <v>16404</v>
      </c>
      <c r="E160" s="414">
        <f t="shared" si="293"/>
        <v>15093</v>
      </c>
      <c r="F160" s="414">
        <f t="shared" si="293"/>
        <v>13351.000000000002</v>
      </c>
      <c r="G160" s="414">
        <f t="shared" si="293"/>
        <v>13817</v>
      </c>
      <c r="H160" s="414">
        <f t="shared" si="293"/>
        <v>14475</v>
      </c>
      <c r="I160" s="414">
        <f t="shared" si="293"/>
        <v>14857</v>
      </c>
      <c r="J160" s="414">
        <f t="shared" si="293"/>
        <v>15033</v>
      </c>
      <c r="K160" s="414">
        <f>+K161+K162</f>
        <v>15443</v>
      </c>
      <c r="L160" s="414">
        <f>+L161+L162</f>
        <v>14812</v>
      </c>
      <c r="M160" s="414">
        <f>+M161+M162</f>
        <v>14843</v>
      </c>
      <c r="N160" s="414">
        <f>+N161+N162</f>
        <v>14881</v>
      </c>
      <c r="O160" s="414">
        <f>+O161+O162</f>
        <v>15232</v>
      </c>
      <c r="P160" s="414">
        <f t="shared" ref="P160:W160" si="294">+P161+P162</f>
        <v>15217</v>
      </c>
      <c r="Q160" s="414">
        <f t="shared" si="294"/>
        <v>15523</v>
      </c>
      <c r="R160" s="414">
        <f t="shared" si="294"/>
        <v>16369</v>
      </c>
      <c r="S160" s="414">
        <f t="shared" si="294"/>
        <v>16604</v>
      </c>
      <c r="T160" s="414">
        <f t="shared" si="294"/>
        <v>16708.999999999996</v>
      </c>
      <c r="U160" s="414">
        <f t="shared" si="294"/>
        <v>16652.082794745042</v>
      </c>
      <c r="V160" s="414">
        <f t="shared" si="294"/>
        <v>16776.875633394182</v>
      </c>
      <c r="W160" s="414">
        <f t="shared" si="294"/>
        <v>16945.211093480921</v>
      </c>
      <c r="X160" s="414">
        <f>+X161+X162</f>
        <v>17124.942045363947</v>
      </c>
      <c r="Y160" s="414">
        <f>+Y161+Y162</f>
        <v>17307.75532985976</v>
      </c>
      <c r="Z160" s="414">
        <f>+Z161+Z162</f>
        <v>17493.747653614428</v>
      </c>
      <c r="AA160" s="414">
        <f>+AA161+AA162</f>
        <v>17683.019760711551</v>
      </c>
      <c r="AB160" s="414">
        <f>+AB161+AB162</f>
        <v>17875.676613590047</v>
      </c>
      <c r="AD160" s="514"/>
      <c r="AE160" s="514"/>
      <c r="AF160" s="514"/>
      <c r="AG160" s="514"/>
      <c r="AH160" s="514"/>
      <c r="AI160" s="514"/>
      <c r="AJ160" s="514"/>
      <c r="AK160" s="514"/>
      <c r="AL160" s="514"/>
      <c r="AM160" s="514"/>
      <c r="AN160" s="514"/>
      <c r="AO160" s="514"/>
      <c r="AP160" s="514"/>
      <c r="AQ160" s="514"/>
      <c r="AR160" s="514"/>
      <c r="AS160" s="514"/>
      <c r="AT160" s="514"/>
      <c r="AU160" s="514"/>
      <c r="AV160" s="514"/>
      <c r="AW160" s="514"/>
      <c r="AX160" s="514"/>
      <c r="AY160" s="514"/>
      <c r="AZ160" s="514"/>
      <c r="BA160" s="514"/>
      <c r="BB160" s="514"/>
      <c r="BC160" s="514"/>
      <c r="BD160" s="514"/>
      <c r="BE160" s="514"/>
      <c r="BF160" s="515"/>
      <c r="BG160" s="515"/>
      <c r="BH160" s="515"/>
      <c r="BI160" s="515"/>
      <c r="BJ160" s="515"/>
      <c r="BK160" s="515"/>
      <c r="BL160" s="515"/>
      <c r="BM160" s="515"/>
      <c r="BN160" s="515"/>
      <c r="BO160" s="515"/>
      <c r="BP160" s="515"/>
      <c r="BQ160" s="515"/>
      <c r="BR160" s="385">
        <f t="shared" ref="BR160:CK160" si="295">+SUM(BR161:BR162)</f>
        <v>3515</v>
      </c>
      <c r="BS160" s="385">
        <f t="shared" si="295"/>
        <v>4035</v>
      </c>
      <c r="BT160" s="385">
        <f t="shared" si="295"/>
        <v>4188</v>
      </c>
      <c r="BU160" s="385">
        <f t="shared" si="295"/>
        <v>3705</v>
      </c>
      <c r="BV160" s="385">
        <f t="shared" si="295"/>
        <v>3315</v>
      </c>
      <c r="BW160" s="385">
        <f t="shared" si="295"/>
        <v>4046</v>
      </c>
      <c r="BX160" s="385">
        <f t="shared" si="295"/>
        <v>3826</v>
      </c>
      <c r="BY160" s="385">
        <f t="shared" si="295"/>
        <v>3625</v>
      </c>
      <c r="BZ160" s="385">
        <f t="shared" si="295"/>
        <v>3479</v>
      </c>
      <c r="CA160" s="385">
        <f t="shared" si="295"/>
        <v>3842</v>
      </c>
      <c r="CB160" s="385">
        <f t="shared" si="295"/>
        <v>3966</v>
      </c>
      <c r="CC160" s="385">
        <f t="shared" si="295"/>
        <v>3556</v>
      </c>
      <c r="CD160" s="385">
        <f t="shared" si="295"/>
        <v>3473</v>
      </c>
      <c r="CE160" s="385">
        <f t="shared" si="295"/>
        <v>3971</v>
      </c>
      <c r="CF160" s="385">
        <f t="shared" si="295"/>
        <v>3753</v>
      </c>
      <c r="CG160" s="385">
        <f t="shared" si="295"/>
        <v>3684</v>
      </c>
      <c r="CH160" s="385">
        <f t="shared" si="295"/>
        <v>3478</v>
      </c>
      <c r="CI160" s="385">
        <f t="shared" si="295"/>
        <v>4028</v>
      </c>
      <c r="CJ160" s="385">
        <f t="shared" si="295"/>
        <v>3871</v>
      </c>
      <c r="CK160" s="385">
        <f t="shared" si="295"/>
        <v>3855</v>
      </c>
      <c r="CL160" s="385">
        <f>+CL161+CL162</f>
        <v>3444</v>
      </c>
      <c r="CM160" s="385">
        <f>+CM161+CM162</f>
        <v>3937</v>
      </c>
      <c r="CN160" s="385">
        <f>+CN161+CN162</f>
        <v>4051</v>
      </c>
      <c r="CO160" s="385">
        <f>+SUM(CO161:CO162)</f>
        <v>3785</v>
      </c>
      <c r="CP160" s="385">
        <f>+CP161+CP162</f>
        <v>3484</v>
      </c>
      <c r="CQ160" s="385">
        <f>+CQ161+CQ162</f>
        <v>3967</v>
      </c>
      <c r="CR160" s="385">
        <f>+CR161+CR162</f>
        <v>4162</v>
      </c>
      <c r="CS160" s="385">
        <f>+CS161+CS162</f>
        <v>3910</v>
      </c>
      <c r="CT160" s="414">
        <f t="shared" ref="CT160:CX160" si="296">+CT161+CT162</f>
        <v>3726</v>
      </c>
      <c r="CU160" s="414">
        <f t="shared" si="296"/>
        <v>4275</v>
      </c>
      <c r="CV160" s="414">
        <f t="shared" si="296"/>
        <v>4358</v>
      </c>
      <c r="CW160" s="414">
        <f t="shared" si="296"/>
        <v>4010</v>
      </c>
      <c r="CX160" s="385">
        <f t="shared" si="296"/>
        <v>3923</v>
      </c>
      <c r="CY160" s="385">
        <f t="shared" ref="CY160:DD160" si="297">+CY161+CY162</f>
        <v>4230</v>
      </c>
      <c r="CZ160" s="385">
        <f t="shared" si="297"/>
        <v>4476</v>
      </c>
      <c r="DA160" s="1020">
        <f t="shared" si="297"/>
        <v>3975</v>
      </c>
      <c r="DB160" s="385">
        <f t="shared" si="297"/>
        <v>3998</v>
      </c>
      <c r="DC160" s="1020">
        <f t="shared" si="297"/>
        <v>4366</v>
      </c>
      <c r="DD160" s="1020">
        <f t="shared" si="297"/>
        <v>4410</v>
      </c>
      <c r="DE160" s="1020">
        <f t="shared" ref="DE160" si="298">+DE161+DE162</f>
        <v>3935</v>
      </c>
      <c r="DF160" s="385">
        <f t="shared" ref="DF160:DI160" si="299">+DF161+DF162</f>
        <v>3896.8912499999997</v>
      </c>
      <c r="DG160" s="385">
        <f t="shared" si="299"/>
        <v>4329.0857249999999</v>
      </c>
      <c r="DH160" s="385">
        <f t="shared" si="299"/>
        <v>4416.7575749999996</v>
      </c>
      <c r="DI160" s="385">
        <f t="shared" si="299"/>
        <v>4009.3482447450419</v>
      </c>
    </row>
    <row r="161" spans="1:114">
      <c r="A161" s="932" t="s">
        <v>228</v>
      </c>
      <c r="B161" s="728">
        <f t="shared" ref="B161:F164" si="300">B127-B149</f>
        <v>17079.902999999998</v>
      </c>
      <c r="C161" s="728">
        <f t="shared" si="300"/>
        <v>15365.7595</v>
      </c>
      <c r="D161" s="728">
        <f t="shared" si="300"/>
        <v>16404</v>
      </c>
      <c r="E161" s="728">
        <f t="shared" si="300"/>
        <v>15093</v>
      </c>
      <c r="F161" s="728">
        <f t="shared" si="300"/>
        <v>13351.000000000002</v>
      </c>
      <c r="G161" s="728">
        <f t="shared" ref="G161:W161" si="301">G127-G149</f>
        <v>13817</v>
      </c>
      <c r="H161" s="728">
        <f t="shared" si="301"/>
        <v>14475</v>
      </c>
      <c r="I161" s="728">
        <f t="shared" si="301"/>
        <v>14857</v>
      </c>
      <c r="J161" s="728">
        <f t="shared" si="301"/>
        <v>15033</v>
      </c>
      <c r="K161" s="728">
        <f t="shared" si="301"/>
        <v>15117</v>
      </c>
      <c r="L161" s="728">
        <f t="shared" si="301"/>
        <v>14454</v>
      </c>
      <c r="M161" s="728">
        <f t="shared" si="301"/>
        <v>14495</v>
      </c>
      <c r="N161" s="728">
        <f t="shared" si="301"/>
        <v>14484</v>
      </c>
      <c r="O161" s="728">
        <f t="shared" si="301"/>
        <v>14700</v>
      </c>
      <c r="P161" s="728">
        <f t="shared" si="301"/>
        <v>14678</v>
      </c>
      <c r="Q161" s="728">
        <f t="shared" si="301"/>
        <v>14940</v>
      </c>
      <c r="R161" s="728">
        <f t="shared" si="301"/>
        <v>15764</v>
      </c>
      <c r="S161" s="728">
        <f t="shared" si="301"/>
        <v>15959</v>
      </c>
      <c r="T161" s="728">
        <f t="shared" si="301"/>
        <v>15961.310990358097</v>
      </c>
      <c r="U161" s="728">
        <f>U127-U149</f>
        <v>15859.158600019806</v>
      </c>
      <c r="V161" s="728">
        <f t="shared" si="301"/>
        <v>15951.33995938242</v>
      </c>
      <c r="W161" s="728">
        <f t="shared" si="301"/>
        <v>16085.729998540211</v>
      </c>
      <c r="X161" s="728">
        <f t="shared" ref="X161:AB163" si="302">X127-X149</f>
        <v>16224.968077407577</v>
      </c>
      <c r="Y161" s="728">
        <f t="shared" si="302"/>
        <v>16365.411401085617</v>
      </c>
      <c r="Z161" s="728">
        <f t="shared" si="302"/>
        <v>16507.070402173413</v>
      </c>
      <c r="AA161" s="728">
        <f t="shared" si="302"/>
        <v>16649.955603574628</v>
      </c>
      <c r="AB161" s="728">
        <f t="shared" si="302"/>
        <v>16794.077619279167</v>
      </c>
      <c r="AD161" s="518">
        <v>2682</v>
      </c>
      <c r="AE161" s="518">
        <v>3035</v>
      </c>
      <c r="AF161" s="518">
        <v>3411</v>
      </c>
      <c r="AG161" s="518">
        <v>3446</v>
      </c>
      <c r="AH161" s="518">
        <v>3871</v>
      </c>
      <c r="AI161" s="518">
        <v>4108</v>
      </c>
      <c r="AJ161" s="518">
        <v>4492</v>
      </c>
      <c r="AK161" s="518">
        <v>4610</v>
      </c>
      <c r="AL161" s="518">
        <v>4557</v>
      </c>
      <c r="AM161" s="518">
        <v>4789</v>
      </c>
      <c r="AN161" s="518">
        <v>4915</v>
      </c>
      <c r="AO161" s="518">
        <v>4796</v>
      </c>
      <c r="AP161" s="518">
        <v>3700.058</v>
      </c>
      <c r="AQ161" s="518">
        <v>4202</v>
      </c>
      <c r="AR161" s="518">
        <v>4264</v>
      </c>
      <c r="AS161" s="518">
        <v>4246</v>
      </c>
      <c r="AT161" s="518">
        <v>3998.15</v>
      </c>
      <c r="AU161" s="518">
        <v>3970</v>
      </c>
      <c r="AV161" s="518">
        <v>4040</v>
      </c>
      <c r="AW161" s="518">
        <v>3093</v>
      </c>
      <c r="AX161" s="518">
        <v>2951</v>
      </c>
      <c r="AY161" s="518">
        <v>3546.8999999999996</v>
      </c>
      <c r="AZ161" s="518">
        <v>3476</v>
      </c>
      <c r="BA161" s="518">
        <v>3284.65</v>
      </c>
      <c r="BB161" s="518">
        <v>3152</v>
      </c>
      <c r="BC161" s="518">
        <v>3624</v>
      </c>
      <c r="BD161" s="518">
        <v>3551</v>
      </c>
      <c r="BE161" s="518">
        <v>3490</v>
      </c>
      <c r="BF161" s="385">
        <v>3301</v>
      </c>
      <c r="BG161" s="385">
        <v>3819</v>
      </c>
      <c r="BH161" s="385">
        <v>3786</v>
      </c>
      <c r="BI161" s="385">
        <v>3569</v>
      </c>
      <c r="BJ161" s="385">
        <v>3468</v>
      </c>
      <c r="BK161" s="385">
        <v>3854</v>
      </c>
      <c r="BL161" s="385">
        <v>3892</v>
      </c>
      <c r="BM161" s="385">
        <v>3643</v>
      </c>
      <c r="BN161" s="385">
        <f t="shared" ref="BN161:CY161" si="303">BN127-BN149</f>
        <v>3445</v>
      </c>
      <c r="BO161" s="385">
        <f t="shared" si="303"/>
        <v>3910</v>
      </c>
      <c r="BP161" s="385">
        <f t="shared" si="303"/>
        <v>4017</v>
      </c>
      <c r="BQ161" s="385">
        <f t="shared" si="303"/>
        <v>3661</v>
      </c>
      <c r="BR161" s="385">
        <f t="shared" si="303"/>
        <v>3439</v>
      </c>
      <c r="BS161" s="385">
        <f t="shared" si="303"/>
        <v>3950</v>
      </c>
      <c r="BT161" s="385">
        <f t="shared" si="303"/>
        <v>4104</v>
      </c>
      <c r="BU161" s="385">
        <f t="shared" si="303"/>
        <v>3624</v>
      </c>
      <c r="BV161" s="385">
        <f t="shared" si="303"/>
        <v>3216</v>
      </c>
      <c r="BW161" s="385">
        <f t="shared" si="303"/>
        <v>3972</v>
      </c>
      <c r="BX161" s="385">
        <f t="shared" si="303"/>
        <v>3727</v>
      </c>
      <c r="BY161" s="385">
        <f t="shared" si="303"/>
        <v>3539</v>
      </c>
      <c r="BZ161" s="385">
        <f t="shared" si="303"/>
        <v>3392</v>
      </c>
      <c r="CA161" s="385">
        <f t="shared" si="303"/>
        <v>3742</v>
      </c>
      <c r="CB161" s="385">
        <f t="shared" si="303"/>
        <v>3876</v>
      </c>
      <c r="CC161" s="385">
        <f t="shared" si="303"/>
        <v>3485</v>
      </c>
      <c r="CD161" s="385">
        <f t="shared" si="303"/>
        <v>3392</v>
      </c>
      <c r="CE161" s="385">
        <f t="shared" si="303"/>
        <v>3854</v>
      </c>
      <c r="CF161" s="385">
        <f t="shared" si="303"/>
        <v>3644</v>
      </c>
      <c r="CG161" s="385">
        <f t="shared" si="303"/>
        <v>3594</v>
      </c>
      <c r="CH161" s="385">
        <f t="shared" si="303"/>
        <v>3345</v>
      </c>
      <c r="CI161" s="385">
        <f t="shared" si="303"/>
        <v>3890</v>
      </c>
      <c r="CJ161" s="385">
        <f t="shared" si="303"/>
        <v>3738</v>
      </c>
      <c r="CK161" s="385">
        <f t="shared" si="303"/>
        <v>3727</v>
      </c>
      <c r="CL161" s="385">
        <f t="shared" si="303"/>
        <v>3327</v>
      </c>
      <c r="CM161" s="385">
        <f t="shared" si="303"/>
        <v>3805</v>
      </c>
      <c r="CN161" s="385">
        <f t="shared" si="303"/>
        <v>3899</v>
      </c>
      <c r="CO161" s="385">
        <f t="shared" si="303"/>
        <v>3647</v>
      </c>
      <c r="CP161" s="385">
        <f t="shared" si="303"/>
        <v>3358</v>
      </c>
      <c r="CQ161" s="385">
        <f t="shared" si="303"/>
        <v>3814</v>
      </c>
      <c r="CR161" s="385">
        <f t="shared" si="303"/>
        <v>4002</v>
      </c>
      <c r="CS161" s="385">
        <f t="shared" si="303"/>
        <v>3766</v>
      </c>
      <c r="CT161" s="414">
        <f t="shared" si="303"/>
        <v>3589</v>
      </c>
      <c r="CU161" s="414">
        <f t="shared" si="303"/>
        <v>4126</v>
      </c>
      <c r="CV161" s="414">
        <f t="shared" si="303"/>
        <v>4195</v>
      </c>
      <c r="CW161" s="414">
        <f t="shared" si="303"/>
        <v>3854</v>
      </c>
      <c r="CX161" s="414">
        <f t="shared" si="303"/>
        <v>3778</v>
      </c>
      <c r="CY161" s="414">
        <f t="shared" si="303"/>
        <v>4063</v>
      </c>
      <c r="CZ161" s="414">
        <f t="shared" ref="CZ161:DA164" si="304">CZ127-CZ149</f>
        <v>4310</v>
      </c>
      <c r="DA161" s="1020">
        <f t="shared" si="304"/>
        <v>3808</v>
      </c>
      <c r="DB161" s="414">
        <f t="shared" ref="DB161:DC161" si="305">DB127-DB149</f>
        <v>3825</v>
      </c>
      <c r="DC161" s="1020">
        <f t="shared" si="305"/>
        <v>4177</v>
      </c>
      <c r="DD161" s="1020">
        <f t="shared" ref="DD161" si="306">DD127-DD149</f>
        <v>4213</v>
      </c>
      <c r="DE161" s="1020">
        <f>DE127-DE149</f>
        <v>3746.3109903580994</v>
      </c>
      <c r="DF161" s="385">
        <f>+DF263*DF269</f>
        <v>3713.4247499999997</v>
      </c>
      <c r="DG161" s="385">
        <f>+DG263*DG269</f>
        <v>4128.6512249999996</v>
      </c>
      <c r="DH161" s="385">
        <f>+DH263*DH269</f>
        <v>4207.8390749999999</v>
      </c>
      <c r="DI161" s="385">
        <f>+U161-SUM(DF161:DH161)</f>
        <v>3809.2435500198062</v>
      </c>
    </row>
    <row r="162" spans="1:114">
      <c r="A162" s="932" t="s">
        <v>230</v>
      </c>
      <c r="B162" s="728">
        <f t="shared" si="300"/>
        <v>0</v>
      </c>
      <c r="C162" s="728">
        <f t="shared" si="300"/>
        <v>0</v>
      </c>
      <c r="D162" s="728">
        <f t="shared" si="300"/>
        <v>0</v>
      </c>
      <c r="E162" s="728">
        <f t="shared" si="300"/>
        <v>0</v>
      </c>
      <c r="F162" s="728">
        <f t="shared" si="300"/>
        <v>0</v>
      </c>
      <c r="G162" s="728">
        <f t="shared" ref="G162:H164" si="307">G128-G150</f>
        <v>0</v>
      </c>
      <c r="H162" s="728">
        <f t="shared" si="307"/>
        <v>0</v>
      </c>
      <c r="I162" s="728"/>
      <c r="J162" s="728"/>
      <c r="K162" s="728">
        <f t="shared" ref="K162:W162" si="308">K128-K150</f>
        <v>326</v>
      </c>
      <c r="L162" s="728">
        <f t="shared" si="308"/>
        <v>358</v>
      </c>
      <c r="M162" s="728">
        <f t="shared" si="308"/>
        <v>348</v>
      </c>
      <c r="N162" s="728">
        <f t="shared" si="308"/>
        <v>397</v>
      </c>
      <c r="O162" s="728">
        <f t="shared" si="308"/>
        <v>532</v>
      </c>
      <c r="P162" s="728">
        <f t="shared" si="308"/>
        <v>539</v>
      </c>
      <c r="Q162" s="728">
        <f t="shared" si="308"/>
        <v>583</v>
      </c>
      <c r="R162" s="728">
        <f t="shared" si="308"/>
        <v>605</v>
      </c>
      <c r="S162" s="728">
        <f t="shared" si="308"/>
        <v>645</v>
      </c>
      <c r="T162" s="728">
        <f t="shared" si="308"/>
        <v>747.68900964190061</v>
      </c>
      <c r="U162" s="728">
        <f t="shared" si="308"/>
        <v>792.92419472523568</v>
      </c>
      <c r="V162" s="728">
        <f t="shared" si="308"/>
        <v>825.53567401176281</v>
      </c>
      <c r="W162" s="728">
        <f t="shared" si="308"/>
        <v>859.48109494070968</v>
      </c>
      <c r="X162" s="728">
        <f t="shared" si="302"/>
        <v>899.97396795637167</v>
      </c>
      <c r="Y162" s="728">
        <f t="shared" si="302"/>
        <v>942.34392877414257</v>
      </c>
      <c r="Z162" s="728">
        <f t="shared" si="302"/>
        <v>986.67725144101598</v>
      </c>
      <c r="AA162" s="728">
        <f t="shared" si="302"/>
        <v>1033.0641571369235</v>
      </c>
      <c r="AB162" s="728">
        <f t="shared" si="302"/>
        <v>1081.5989943108782</v>
      </c>
      <c r="AD162" s="518"/>
      <c r="AE162" s="518"/>
      <c r="AF162" s="518"/>
      <c r="AG162" s="518"/>
      <c r="AH162" s="518"/>
      <c r="AI162" s="518"/>
      <c r="AJ162" s="518"/>
      <c r="AK162" s="518"/>
      <c r="AL162" s="518"/>
      <c r="AM162" s="518"/>
      <c r="AN162" s="518"/>
      <c r="AO162" s="518"/>
      <c r="AP162" s="518"/>
      <c r="AQ162" s="518"/>
      <c r="AR162" s="518"/>
      <c r="AS162" s="518"/>
      <c r="AT162" s="518"/>
      <c r="AU162" s="518"/>
      <c r="AV162" s="518"/>
      <c r="AW162" s="518"/>
      <c r="AX162" s="518"/>
      <c r="AY162" s="518"/>
      <c r="AZ162" s="518"/>
      <c r="BA162" s="518"/>
      <c r="BB162" s="518"/>
      <c r="BC162" s="518"/>
      <c r="BD162" s="519"/>
      <c r="BE162" s="519"/>
      <c r="BF162" s="516"/>
      <c r="BG162" s="516"/>
      <c r="BH162" s="516"/>
      <c r="BI162" s="516"/>
      <c r="BJ162" s="378" t="s">
        <v>618</v>
      </c>
      <c r="BK162" s="378" t="s">
        <v>618</v>
      </c>
      <c r="BL162" s="378" t="s">
        <v>618</v>
      </c>
      <c r="BM162" s="520" t="s">
        <v>618</v>
      </c>
      <c r="BN162" s="378" t="s">
        <v>618</v>
      </c>
      <c r="BO162" s="378" t="s">
        <v>618</v>
      </c>
      <c r="BP162" s="520" t="s">
        <v>618</v>
      </c>
      <c r="BQ162" s="520" t="s">
        <v>618</v>
      </c>
      <c r="BR162" s="516">
        <v>76</v>
      </c>
      <c r="BS162" s="516">
        <v>85</v>
      </c>
      <c r="BT162" s="516">
        <v>84</v>
      </c>
      <c r="BU162" s="516">
        <v>81</v>
      </c>
      <c r="BV162" s="516">
        <f t="shared" ref="BV162:CY162" si="309">BV128-BV150</f>
        <v>99</v>
      </c>
      <c r="BW162" s="516">
        <f t="shared" si="309"/>
        <v>74</v>
      </c>
      <c r="BX162" s="516">
        <f t="shared" si="309"/>
        <v>99</v>
      </c>
      <c r="BY162" s="385">
        <f t="shared" si="309"/>
        <v>86</v>
      </c>
      <c r="BZ162" s="385">
        <f t="shared" si="309"/>
        <v>87</v>
      </c>
      <c r="CA162" s="385">
        <f t="shared" si="309"/>
        <v>100</v>
      </c>
      <c r="CB162" s="385">
        <f t="shared" si="309"/>
        <v>90</v>
      </c>
      <c r="CC162" s="385">
        <f t="shared" si="309"/>
        <v>71</v>
      </c>
      <c r="CD162" s="385">
        <f t="shared" si="309"/>
        <v>81</v>
      </c>
      <c r="CE162" s="385">
        <f t="shared" si="309"/>
        <v>117</v>
      </c>
      <c r="CF162" s="385">
        <f t="shared" si="309"/>
        <v>109</v>
      </c>
      <c r="CG162" s="385">
        <f t="shared" si="309"/>
        <v>90</v>
      </c>
      <c r="CH162" s="385">
        <f t="shared" si="309"/>
        <v>133</v>
      </c>
      <c r="CI162" s="385">
        <f t="shared" si="309"/>
        <v>138</v>
      </c>
      <c r="CJ162" s="385">
        <f t="shared" si="309"/>
        <v>133</v>
      </c>
      <c r="CK162" s="385">
        <f t="shared" si="309"/>
        <v>128</v>
      </c>
      <c r="CL162" s="385">
        <f t="shared" si="309"/>
        <v>117</v>
      </c>
      <c r="CM162" s="385">
        <f t="shared" si="309"/>
        <v>132</v>
      </c>
      <c r="CN162" s="385">
        <f t="shared" si="309"/>
        <v>152</v>
      </c>
      <c r="CO162" s="385">
        <f t="shared" si="309"/>
        <v>138</v>
      </c>
      <c r="CP162" s="385">
        <f t="shared" si="309"/>
        <v>126</v>
      </c>
      <c r="CQ162" s="385">
        <f t="shared" si="309"/>
        <v>153</v>
      </c>
      <c r="CR162" s="385">
        <f t="shared" si="309"/>
        <v>160</v>
      </c>
      <c r="CS162" s="385">
        <f t="shared" si="309"/>
        <v>144</v>
      </c>
      <c r="CT162" s="414">
        <f t="shared" si="309"/>
        <v>137</v>
      </c>
      <c r="CU162" s="414">
        <f t="shared" si="309"/>
        <v>149</v>
      </c>
      <c r="CV162" s="414">
        <f t="shared" si="309"/>
        <v>163</v>
      </c>
      <c r="CW162" s="414">
        <f t="shared" si="309"/>
        <v>156</v>
      </c>
      <c r="CX162" s="414">
        <f t="shared" si="309"/>
        <v>145</v>
      </c>
      <c r="CY162" s="414">
        <f t="shared" si="309"/>
        <v>167</v>
      </c>
      <c r="CZ162" s="414">
        <f t="shared" si="304"/>
        <v>166</v>
      </c>
      <c r="DA162" s="1020">
        <f t="shared" si="304"/>
        <v>167</v>
      </c>
      <c r="DB162" s="414">
        <f t="shared" ref="DB162:DC162" si="310">DB128-DB150</f>
        <v>173</v>
      </c>
      <c r="DC162" s="1020">
        <f t="shared" si="310"/>
        <v>189</v>
      </c>
      <c r="DD162" s="1020">
        <f t="shared" ref="DD162:DE162" si="311">DD128-DD150</f>
        <v>197</v>
      </c>
      <c r="DE162" s="1020">
        <f t="shared" si="311"/>
        <v>188.68900964190061</v>
      </c>
      <c r="DF162" s="414">
        <f>+DF343*DF358</f>
        <v>183.46650000000002</v>
      </c>
      <c r="DG162" s="414">
        <f>+DG343*DG358</f>
        <v>200.43449999999999</v>
      </c>
      <c r="DH162" s="414">
        <f>+DH343*DH358</f>
        <v>208.91849999999997</v>
      </c>
      <c r="DI162" s="385">
        <f>+U162-SUM(DF162:DH162)</f>
        <v>200.10469472523573</v>
      </c>
    </row>
    <row r="163" spans="1:114">
      <c r="A163" s="932" t="s">
        <v>698</v>
      </c>
      <c r="B163" s="728">
        <f t="shared" si="300"/>
        <v>0</v>
      </c>
      <c r="C163" s="728">
        <f t="shared" si="300"/>
        <v>0</v>
      </c>
      <c r="D163" s="728">
        <f t="shared" si="300"/>
        <v>0</v>
      </c>
      <c r="E163" s="728">
        <f t="shared" si="300"/>
        <v>0</v>
      </c>
      <c r="F163" s="728">
        <f t="shared" si="300"/>
        <v>0</v>
      </c>
      <c r="G163" s="728">
        <f t="shared" si="307"/>
        <v>0</v>
      </c>
      <c r="H163" s="728">
        <f t="shared" si="307"/>
        <v>0</v>
      </c>
      <c r="I163" s="728">
        <f>I129-I151</f>
        <v>0</v>
      </c>
      <c r="J163" s="728"/>
      <c r="K163" s="728"/>
      <c r="L163" s="728">
        <f t="shared" ref="L163:W163" si="312">L129-L151</f>
        <v>1278</v>
      </c>
      <c r="M163" s="728">
        <f t="shared" si="312"/>
        <v>1447</v>
      </c>
      <c r="N163" s="728">
        <f t="shared" si="312"/>
        <v>1519</v>
      </c>
      <c r="O163" s="728">
        <f t="shared" si="312"/>
        <v>1578</v>
      </c>
      <c r="P163" s="728">
        <f t="shared" si="312"/>
        <v>1648</v>
      </c>
      <c r="Q163" s="728">
        <f t="shared" si="312"/>
        <v>1671</v>
      </c>
      <c r="R163" s="728">
        <f t="shared" si="312"/>
        <v>1746</v>
      </c>
      <c r="S163" s="728">
        <f t="shared" si="312"/>
        <v>1916</v>
      </c>
      <c r="T163" s="728">
        <f>T129-T151</f>
        <v>2023</v>
      </c>
      <c r="U163" s="728">
        <f t="shared" si="312"/>
        <v>2152.0574999999999</v>
      </c>
      <c r="V163" s="728">
        <f t="shared" si="312"/>
        <v>2265.9073259999996</v>
      </c>
      <c r="W163" s="728">
        <f t="shared" si="312"/>
        <v>2385.5490445103997</v>
      </c>
      <c r="X163" s="728">
        <f t="shared" si="302"/>
        <v>2535.0313730398834</v>
      </c>
      <c r="Y163" s="728">
        <f t="shared" si="302"/>
        <v>2693.7432471283764</v>
      </c>
      <c r="Z163" s="728">
        <f t="shared" si="302"/>
        <v>2862.2505282529696</v>
      </c>
      <c r="AA163" s="728">
        <f t="shared" si="302"/>
        <v>3041.1536523192844</v>
      </c>
      <c r="AB163" s="728">
        <f t="shared" si="302"/>
        <v>3231.0897386481097</v>
      </c>
      <c r="AD163" s="518"/>
      <c r="AE163" s="518"/>
      <c r="AF163" s="518"/>
      <c r="AG163" s="518"/>
      <c r="AH163" s="518"/>
      <c r="AI163" s="518"/>
      <c r="AJ163" s="518"/>
      <c r="AK163" s="518"/>
      <c r="AL163" s="518"/>
      <c r="AM163" s="518"/>
      <c r="AN163" s="518"/>
      <c r="AO163" s="518"/>
      <c r="AP163" s="518"/>
      <c r="AQ163" s="518"/>
      <c r="AR163" s="518"/>
      <c r="AS163" s="518"/>
      <c r="AT163" s="518"/>
      <c r="AU163" s="518"/>
      <c r="AV163" s="518"/>
      <c r="AW163" s="518"/>
      <c r="AX163" s="518"/>
      <c r="AY163" s="518"/>
      <c r="AZ163" s="518"/>
      <c r="BA163" s="518"/>
      <c r="BB163" s="518"/>
      <c r="BC163" s="518"/>
      <c r="BD163" s="519"/>
      <c r="BE163" s="519"/>
      <c r="BF163" s="516"/>
      <c r="BG163" s="516"/>
      <c r="BH163" s="516"/>
      <c r="BI163" s="516"/>
      <c r="BJ163" s="516" t="s">
        <v>618</v>
      </c>
      <c r="BK163" s="516" t="s">
        <v>618</v>
      </c>
      <c r="BL163" s="516" t="s">
        <v>618</v>
      </c>
      <c r="BM163" s="516" t="s">
        <v>618</v>
      </c>
      <c r="BN163" s="520" t="s">
        <v>618</v>
      </c>
      <c r="BO163" s="520" t="s">
        <v>618</v>
      </c>
      <c r="BP163" s="520" t="s">
        <v>618</v>
      </c>
      <c r="BQ163" s="520" t="s">
        <v>618</v>
      </c>
      <c r="BR163" s="520" t="s">
        <v>618</v>
      </c>
      <c r="BS163" s="520" t="s">
        <v>618</v>
      </c>
      <c r="BT163" s="520" t="s">
        <v>618</v>
      </c>
      <c r="BU163" s="520" t="s">
        <v>618</v>
      </c>
      <c r="BV163" s="516">
        <f t="shared" ref="BV163:CY163" si="313">BV129-BV151</f>
        <v>286</v>
      </c>
      <c r="BW163" s="516">
        <f t="shared" si="313"/>
        <v>349</v>
      </c>
      <c r="BX163" s="516">
        <f t="shared" si="313"/>
        <v>326</v>
      </c>
      <c r="BY163" s="385">
        <f t="shared" si="313"/>
        <v>317</v>
      </c>
      <c r="BZ163" s="385">
        <f t="shared" si="313"/>
        <v>355</v>
      </c>
      <c r="CA163" s="385">
        <f t="shared" si="313"/>
        <v>363</v>
      </c>
      <c r="CB163" s="385">
        <f t="shared" si="313"/>
        <v>363</v>
      </c>
      <c r="CC163" s="385">
        <f t="shared" si="313"/>
        <v>366</v>
      </c>
      <c r="CD163" s="385">
        <f t="shared" si="313"/>
        <v>353</v>
      </c>
      <c r="CE163" s="385">
        <f t="shared" si="313"/>
        <v>377</v>
      </c>
      <c r="CF163" s="385">
        <f t="shared" si="313"/>
        <v>398</v>
      </c>
      <c r="CG163" s="385">
        <f t="shared" si="313"/>
        <v>391</v>
      </c>
      <c r="CH163" s="385">
        <f t="shared" si="313"/>
        <v>353</v>
      </c>
      <c r="CI163" s="385">
        <f t="shared" si="313"/>
        <v>399</v>
      </c>
      <c r="CJ163" s="385">
        <f t="shared" si="313"/>
        <v>408</v>
      </c>
      <c r="CK163" s="385">
        <f t="shared" si="313"/>
        <v>418</v>
      </c>
      <c r="CL163" s="385">
        <f t="shared" si="313"/>
        <v>364</v>
      </c>
      <c r="CM163" s="385">
        <f t="shared" si="313"/>
        <v>425</v>
      </c>
      <c r="CN163" s="385">
        <f t="shared" si="313"/>
        <v>448</v>
      </c>
      <c r="CO163" s="385">
        <f t="shared" si="313"/>
        <v>411</v>
      </c>
      <c r="CP163" s="385">
        <f t="shared" si="313"/>
        <v>385</v>
      </c>
      <c r="CQ163" s="385">
        <f t="shared" si="313"/>
        <v>428</v>
      </c>
      <c r="CR163" s="385">
        <f t="shared" si="313"/>
        <v>430</v>
      </c>
      <c r="CS163" s="385">
        <f t="shared" si="313"/>
        <v>428</v>
      </c>
      <c r="CT163" s="414">
        <f t="shared" si="313"/>
        <v>398</v>
      </c>
      <c r="CU163" s="414">
        <f t="shared" si="313"/>
        <v>447</v>
      </c>
      <c r="CV163" s="414">
        <f t="shared" si="313"/>
        <v>448</v>
      </c>
      <c r="CW163" s="414">
        <f t="shared" si="313"/>
        <v>453</v>
      </c>
      <c r="CX163" s="414">
        <f t="shared" si="313"/>
        <v>447</v>
      </c>
      <c r="CY163" s="414">
        <f t="shared" si="313"/>
        <v>488</v>
      </c>
      <c r="CZ163" s="414">
        <f t="shared" si="304"/>
        <v>493</v>
      </c>
      <c r="DA163" s="1020">
        <f t="shared" si="304"/>
        <v>488</v>
      </c>
      <c r="DB163" s="414">
        <f t="shared" ref="DB163:DC163" si="314">DB129-DB151</f>
        <v>436</v>
      </c>
      <c r="DC163" s="1020">
        <f t="shared" si="314"/>
        <v>530</v>
      </c>
      <c r="DD163" s="1020">
        <f t="shared" ref="DD163:DE163" si="315">DD129-DD151</f>
        <v>515</v>
      </c>
      <c r="DE163" s="1020">
        <f t="shared" si="315"/>
        <v>542</v>
      </c>
      <c r="DF163" s="385">
        <f>+DF129-DF151</f>
        <v>496.33534220848679</v>
      </c>
      <c r="DG163" s="385">
        <f>+DG129-DG151</f>
        <v>557.52509211933909</v>
      </c>
      <c r="DH163" s="385">
        <f>+DH129-DH151</f>
        <v>549.58448294306436</v>
      </c>
      <c r="DI163" s="385">
        <f>U163-DH163-DG163-DF163</f>
        <v>548.61258272910959</v>
      </c>
    </row>
    <row r="164" spans="1:114">
      <c r="A164" s="932" t="s">
        <v>229</v>
      </c>
      <c r="B164" s="728">
        <f t="shared" si="300"/>
        <v>0</v>
      </c>
      <c r="C164" s="728">
        <f t="shared" si="300"/>
        <v>0</v>
      </c>
      <c r="D164" s="728">
        <f t="shared" si="300"/>
        <v>0</v>
      </c>
      <c r="E164" s="728">
        <f t="shared" si="300"/>
        <v>0</v>
      </c>
      <c r="F164" s="728">
        <f t="shared" si="300"/>
        <v>0</v>
      </c>
      <c r="G164" s="728">
        <f t="shared" si="307"/>
        <v>0</v>
      </c>
      <c r="H164" s="728">
        <f t="shared" si="307"/>
        <v>0</v>
      </c>
      <c r="I164" s="728">
        <f>I130-I152</f>
        <v>0</v>
      </c>
      <c r="J164" s="728"/>
      <c r="K164" s="728"/>
      <c r="L164" s="728">
        <f t="shared" ref="L164:T164" si="316">L130-L152</f>
        <v>386</v>
      </c>
      <c r="M164" s="728">
        <f t="shared" si="316"/>
        <v>441</v>
      </c>
      <c r="N164" s="728">
        <f t="shared" si="316"/>
        <v>496</v>
      </c>
      <c r="O164" s="728">
        <f t="shared" si="316"/>
        <v>540</v>
      </c>
      <c r="P164" s="728">
        <f t="shared" si="316"/>
        <v>587</v>
      </c>
      <c r="Q164" s="728">
        <f t="shared" si="316"/>
        <v>620.33733034655427</v>
      </c>
      <c r="R164" s="728">
        <f t="shared" si="316"/>
        <v>668.01638612260888</v>
      </c>
      <c r="S164" s="728">
        <f t="shared" si="316"/>
        <v>721</v>
      </c>
      <c r="T164" s="728">
        <f t="shared" si="316"/>
        <v>675</v>
      </c>
      <c r="U164" s="728">
        <f t="shared" ref="U164:AB164" si="317">+T164*(1+U216)</f>
        <v>675</v>
      </c>
      <c r="V164" s="728">
        <f t="shared" si="317"/>
        <v>708.75</v>
      </c>
      <c r="W164" s="728">
        <f t="shared" si="317"/>
        <v>758.36250000000007</v>
      </c>
      <c r="X164" s="728">
        <f t="shared" si="317"/>
        <v>800.07243749999998</v>
      </c>
      <c r="Y164" s="728">
        <f t="shared" si="317"/>
        <v>844.07642156249995</v>
      </c>
      <c r="Z164" s="728">
        <f t="shared" si="317"/>
        <v>890.50062474843742</v>
      </c>
      <c r="AA164" s="728">
        <f t="shared" si="317"/>
        <v>939.47815910960139</v>
      </c>
      <c r="AB164" s="728">
        <f t="shared" si="317"/>
        <v>991.14945786062935</v>
      </c>
      <c r="AD164" s="518"/>
      <c r="AE164" s="518"/>
      <c r="AF164" s="518"/>
      <c r="AG164" s="518"/>
      <c r="AH164" s="518"/>
      <c r="AI164" s="518"/>
      <c r="AJ164" s="518"/>
      <c r="AK164" s="518"/>
      <c r="AL164" s="518"/>
      <c r="AM164" s="518"/>
      <c r="AN164" s="518"/>
      <c r="AO164" s="518"/>
      <c r="AP164" s="518"/>
      <c r="AQ164" s="518"/>
      <c r="AR164" s="518"/>
      <c r="AS164" s="518"/>
      <c r="AT164" s="518"/>
      <c r="AU164" s="518"/>
      <c r="AV164" s="518"/>
      <c r="AW164" s="518"/>
      <c r="AX164" s="518"/>
      <c r="AY164" s="518"/>
      <c r="AZ164" s="518"/>
      <c r="BA164" s="518"/>
      <c r="BB164" s="518"/>
      <c r="BC164" s="518"/>
      <c r="BD164" s="519"/>
      <c r="BE164" s="519"/>
      <c r="BF164" s="516"/>
      <c r="BG164" s="516"/>
      <c r="BH164" s="516"/>
      <c r="BI164" s="516"/>
      <c r="BJ164" s="516" t="s">
        <v>618</v>
      </c>
      <c r="BK164" s="516" t="s">
        <v>618</v>
      </c>
      <c r="BL164" s="516" t="s">
        <v>618</v>
      </c>
      <c r="BM164" s="516" t="s">
        <v>618</v>
      </c>
      <c r="BN164" s="520" t="s">
        <v>618</v>
      </c>
      <c r="BO164" s="520" t="s">
        <v>618</v>
      </c>
      <c r="BP164" s="520" t="s">
        <v>618</v>
      </c>
      <c r="BQ164" s="520" t="s">
        <v>618</v>
      </c>
      <c r="BR164" s="520" t="s">
        <v>618</v>
      </c>
      <c r="BS164" s="520" t="s">
        <v>618</v>
      </c>
      <c r="BT164" s="520" t="s">
        <v>618</v>
      </c>
      <c r="BU164" s="520" t="s">
        <v>618</v>
      </c>
      <c r="BV164" s="516">
        <f t="shared" ref="BV164:CY164" si="318">BV130-BV152</f>
        <v>72</v>
      </c>
      <c r="BW164" s="516">
        <f t="shared" si="318"/>
        <v>89</v>
      </c>
      <c r="BX164" s="516">
        <f t="shared" si="318"/>
        <v>99</v>
      </c>
      <c r="BY164" s="385">
        <f t="shared" si="318"/>
        <v>126</v>
      </c>
      <c r="BZ164" s="385">
        <f t="shared" si="318"/>
        <v>91</v>
      </c>
      <c r="CA164" s="385">
        <f t="shared" si="318"/>
        <v>102</v>
      </c>
      <c r="CB164" s="385">
        <f t="shared" si="318"/>
        <v>102</v>
      </c>
      <c r="CC164" s="385">
        <f t="shared" si="318"/>
        <v>146</v>
      </c>
      <c r="CD164" s="385">
        <f t="shared" si="318"/>
        <v>97</v>
      </c>
      <c r="CE164" s="385">
        <f t="shared" si="318"/>
        <v>112</v>
      </c>
      <c r="CF164" s="385">
        <f t="shared" si="318"/>
        <v>127</v>
      </c>
      <c r="CG164" s="385">
        <f t="shared" si="318"/>
        <v>160</v>
      </c>
      <c r="CH164" s="385">
        <f t="shared" si="318"/>
        <v>109</v>
      </c>
      <c r="CI164" s="385">
        <f t="shared" si="318"/>
        <v>123</v>
      </c>
      <c r="CJ164" s="385">
        <f t="shared" si="318"/>
        <v>135</v>
      </c>
      <c r="CK164" s="385">
        <f t="shared" si="318"/>
        <v>173</v>
      </c>
      <c r="CL164" s="385">
        <f t="shared" si="318"/>
        <v>121</v>
      </c>
      <c r="CM164" s="385">
        <f t="shared" si="318"/>
        <v>132</v>
      </c>
      <c r="CN164" s="385">
        <f t="shared" si="318"/>
        <v>143</v>
      </c>
      <c r="CO164" s="385">
        <f t="shared" si="318"/>
        <v>191</v>
      </c>
      <c r="CP164" s="385">
        <f t="shared" si="318"/>
        <v>124.33733034655423</v>
      </c>
      <c r="CQ164" s="385">
        <f t="shared" si="318"/>
        <v>141</v>
      </c>
      <c r="CR164" s="385">
        <f t="shared" si="318"/>
        <v>148</v>
      </c>
      <c r="CS164" s="385">
        <f t="shared" si="318"/>
        <v>207</v>
      </c>
      <c r="CT164" s="414">
        <f t="shared" si="318"/>
        <v>129</v>
      </c>
      <c r="CU164" s="414">
        <f t="shared" si="318"/>
        <v>156.01638612260888</v>
      </c>
      <c r="CV164" s="414">
        <f t="shared" si="318"/>
        <v>161</v>
      </c>
      <c r="CW164" s="414">
        <f t="shared" si="318"/>
        <v>222</v>
      </c>
      <c r="CX164" s="414">
        <f t="shared" si="318"/>
        <v>140</v>
      </c>
      <c r="CY164" s="414">
        <f t="shared" si="318"/>
        <v>165</v>
      </c>
      <c r="CZ164" s="414">
        <f t="shared" si="304"/>
        <v>176</v>
      </c>
      <c r="DA164" s="1020">
        <f t="shared" si="304"/>
        <v>240</v>
      </c>
      <c r="DB164" s="414">
        <f t="shared" ref="DB164:DC164" si="319">DB130-DB152</f>
        <v>136</v>
      </c>
      <c r="DC164" s="1020">
        <f t="shared" si="319"/>
        <v>145</v>
      </c>
      <c r="DD164" s="1020">
        <f t="shared" ref="DD164:DE164" si="320">DD130-DD152</f>
        <v>175</v>
      </c>
      <c r="DE164" s="1020">
        <f t="shared" si="320"/>
        <v>219</v>
      </c>
      <c r="DF164" s="414">
        <f>+DF433*DF439/1000</f>
        <v>133.5260455127686</v>
      </c>
      <c r="DG164" s="414">
        <f>+DG433*DG439/1000</f>
        <v>145.49725909189891</v>
      </c>
      <c r="DH164" s="414">
        <f>+DH433*DH439/1000</f>
        <v>174.6261211598852</v>
      </c>
      <c r="DI164" s="385">
        <f>+U164-SUM(DF164:DH164)</f>
        <v>221.35057423544731</v>
      </c>
    </row>
    <row r="165" spans="1:114">
      <c r="A165" s="932" t="s">
        <v>212</v>
      </c>
      <c r="B165" s="728">
        <f>B131</f>
        <v>355</v>
      </c>
      <c r="C165" s="728">
        <f>C131</f>
        <v>417</v>
      </c>
      <c r="D165" s="728">
        <f>D131</f>
        <v>435</v>
      </c>
      <c r="E165" s="728">
        <f>E131</f>
        <v>495</v>
      </c>
      <c r="F165" s="728">
        <f>F131</f>
        <v>439</v>
      </c>
      <c r="G165" s="728">
        <f t="shared" ref="G165:Q165" si="321">G131</f>
        <v>395</v>
      </c>
      <c r="H165" s="728">
        <f t="shared" si="321"/>
        <v>325</v>
      </c>
      <c r="I165" s="728">
        <f t="shared" si="321"/>
        <v>317</v>
      </c>
      <c r="J165" s="728">
        <f t="shared" si="321"/>
        <v>179</v>
      </c>
      <c r="K165" s="728">
        <f t="shared" si="321"/>
        <v>216</v>
      </c>
      <c r="L165" s="728">
        <f t="shared" si="321"/>
        <v>348</v>
      </c>
      <c r="M165" s="728">
        <f t="shared" si="321"/>
        <v>161</v>
      </c>
      <c r="N165" s="728">
        <f t="shared" si="321"/>
        <v>177</v>
      </c>
      <c r="O165" s="728">
        <f t="shared" si="321"/>
        <v>150</v>
      </c>
      <c r="P165" s="728">
        <f t="shared" si="321"/>
        <v>211</v>
      </c>
      <c r="Q165" s="728">
        <f t="shared" si="321"/>
        <v>131</v>
      </c>
      <c r="R165" s="728">
        <f t="shared" ref="R165:W165" si="322">R131</f>
        <v>39.945937500000007</v>
      </c>
      <c r="S165" s="728">
        <f t="shared" si="322"/>
        <v>96</v>
      </c>
      <c r="T165" s="728">
        <f t="shared" si="322"/>
        <v>87</v>
      </c>
      <c r="U165" s="728">
        <f t="shared" si="322"/>
        <v>111.30000000000001</v>
      </c>
      <c r="V165" s="728">
        <f t="shared" si="322"/>
        <v>117.97800000000002</v>
      </c>
      <c r="W165" s="728">
        <f t="shared" si="322"/>
        <v>125.05668000000003</v>
      </c>
      <c r="X165" s="728">
        <f>X131</f>
        <v>132.56008080000004</v>
      </c>
      <c r="Y165" s="728">
        <f>Y131</f>
        <v>140.51368564800003</v>
      </c>
      <c r="Z165" s="728">
        <f>Z131</f>
        <v>148.94450678688005</v>
      </c>
      <c r="AA165" s="728">
        <f>AA131</f>
        <v>157.88117719409286</v>
      </c>
      <c r="AB165" s="728">
        <f>AB131</f>
        <v>167.35404782573843</v>
      </c>
      <c r="AD165" s="518"/>
      <c r="AE165" s="518"/>
      <c r="AF165" s="518"/>
      <c r="AG165" s="518"/>
      <c r="AH165" s="518"/>
      <c r="AI165" s="518"/>
      <c r="AJ165" s="518"/>
      <c r="AK165" s="518"/>
      <c r="AL165" s="518"/>
      <c r="AM165" s="518"/>
      <c r="AN165" s="518"/>
      <c r="AO165" s="518"/>
      <c r="AP165" s="518"/>
      <c r="AQ165" s="518"/>
      <c r="AR165" s="518"/>
      <c r="AS165" s="518"/>
      <c r="AT165" s="518"/>
      <c r="AU165" s="518"/>
      <c r="AV165" s="518"/>
      <c r="AW165" s="518"/>
      <c r="AX165" s="521"/>
      <c r="AY165" s="521"/>
      <c r="AZ165" s="521"/>
      <c r="BA165" s="521"/>
      <c r="BB165" s="518"/>
      <c r="BC165" s="520"/>
      <c r="BD165" s="522"/>
      <c r="BE165" s="520"/>
      <c r="BF165" s="385"/>
      <c r="BG165" s="516"/>
      <c r="BH165" s="516"/>
      <c r="BI165" s="516"/>
      <c r="BJ165" s="516">
        <v>43</v>
      </c>
      <c r="BK165" s="516">
        <v>43</v>
      </c>
      <c r="BL165" s="516">
        <v>43</v>
      </c>
      <c r="BM165" s="516">
        <v>43</v>
      </c>
      <c r="BN165" s="516">
        <v>43</v>
      </c>
      <c r="BO165" s="516">
        <v>52</v>
      </c>
      <c r="BP165" s="516">
        <f>31+12</f>
        <v>43</v>
      </c>
      <c r="BQ165" s="516">
        <f>94-53</f>
        <v>41</v>
      </c>
      <c r="BR165" s="516">
        <v>86</v>
      </c>
      <c r="BS165" s="516">
        <v>37</v>
      </c>
      <c r="BT165" s="516">
        <v>56</v>
      </c>
      <c r="BU165" s="516">
        <v>37</v>
      </c>
      <c r="BV165" s="516">
        <f t="shared" ref="BV165:CH165" si="323">BV131</f>
        <v>139</v>
      </c>
      <c r="BW165" s="516">
        <f t="shared" si="323"/>
        <v>110</v>
      </c>
      <c r="BX165" s="516">
        <f t="shared" si="323"/>
        <v>67</v>
      </c>
      <c r="BY165" s="385">
        <f t="shared" si="323"/>
        <v>32</v>
      </c>
      <c r="BZ165" s="385">
        <f t="shared" si="323"/>
        <v>26</v>
      </c>
      <c r="CA165" s="385">
        <f t="shared" si="323"/>
        <v>34</v>
      </c>
      <c r="CB165" s="385">
        <f t="shared" si="323"/>
        <v>30</v>
      </c>
      <c r="CC165" s="385">
        <f t="shared" si="323"/>
        <v>71</v>
      </c>
      <c r="CD165" s="385">
        <f t="shared" si="323"/>
        <v>20</v>
      </c>
      <c r="CE165" s="385">
        <f t="shared" si="323"/>
        <v>32</v>
      </c>
      <c r="CF165" s="385">
        <f t="shared" si="323"/>
        <v>51</v>
      </c>
      <c r="CG165" s="385">
        <f t="shared" si="323"/>
        <v>74</v>
      </c>
      <c r="CH165" s="385">
        <f t="shared" si="323"/>
        <v>54</v>
      </c>
      <c r="CI165" s="385">
        <f t="shared" ref="CI165:CO165" si="324">+CI131</f>
        <v>30</v>
      </c>
      <c r="CJ165" s="385">
        <f t="shared" si="324"/>
        <v>52</v>
      </c>
      <c r="CK165" s="385">
        <f t="shared" si="324"/>
        <v>14</v>
      </c>
      <c r="CL165" s="385">
        <f t="shared" si="324"/>
        <v>44</v>
      </c>
      <c r="CM165" s="385">
        <f t="shared" si="324"/>
        <v>32</v>
      </c>
      <c r="CN165" s="385">
        <f t="shared" si="324"/>
        <v>118</v>
      </c>
      <c r="CO165" s="385">
        <f t="shared" si="324"/>
        <v>17</v>
      </c>
      <c r="CP165" s="385">
        <f>+CP131</f>
        <v>15</v>
      </c>
      <c r="CQ165" s="385">
        <f>+CQ131</f>
        <v>35</v>
      </c>
      <c r="CR165" s="385">
        <f>+CR131</f>
        <v>13</v>
      </c>
      <c r="CS165" s="385">
        <f>+CS131</f>
        <v>68</v>
      </c>
      <c r="CT165" s="414">
        <f t="shared" ref="CT165:CW165" si="325">+CT131</f>
        <v>19</v>
      </c>
      <c r="CU165" s="414">
        <f t="shared" si="325"/>
        <v>-3</v>
      </c>
      <c r="CV165" s="414">
        <f t="shared" si="325"/>
        <v>11</v>
      </c>
      <c r="CW165" s="414">
        <f t="shared" si="325"/>
        <v>12.945937500000007</v>
      </c>
      <c r="CX165" s="414">
        <f t="shared" ref="CX165:DC165" si="326">+CX131</f>
        <v>20</v>
      </c>
      <c r="CY165" s="414">
        <f t="shared" si="326"/>
        <v>-2</v>
      </c>
      <c r="CZ165" s="414">
        <f t="shared" si="326"/>
        <v>48</v>
      </c>
      <c r="DA165" s="1020">
        <f t="shared" si="326"/>
        <v>30</v>
      </c>
      <c r="DB165" s="414">
        <f t="shared" si="326"/>
        <v>19</v>
      </c>
      <c r="DC165" s="1020">
        <f t="shared" si="326"/>
        <v>27</v>
      </c>
      <c r="DD165" s="1020">
        <f t="shared" ref="DD165:DE165" si="327">+DD131</f>
        <v>23</v>
      </c>
      <c r="DE165" s="1020">
        <f t="shared" si="327"/>
        <v>18</v>
      </c>
      <c r="DF165" s="385">
        <f t="shared" ref="DF165:DI165" si="328">+DF131</f>
        <v>28</v>
      </c>
      <c r="DG165" s="385">
        <f t="shared" si="328"/>
        <v>28</v>
      </c>
      <c r="DH165" s="385">
        <f t="shared" si="328"/>
        <v>28</v>
      </c>
      <c r="DI165" s="385">
        <f t="shared" si="328"/>
        <v>27.300000000000011</v>
      </c>
    </row>
    <row r="166" spans="1:114">
      <c r="A166" s="411" t="s">
        <v>543</v>
      </c>
      <c r="B166" s="203">
        <f>B142-B154</f>
        <v>61570</v>
      </c>
      <c r="C166" s="203">
        <f>C142-C154</f>
        <v>57155</v>
      </c>
      <c r="D166" s="203">
        <f>D142-D154</f>
        <v>64465</v>
      </c>
      <c r="E166" s="203">
        <f>E142-E154</f>
        <v>62896</v>
      </c>
      <c r="F166" s="203">
        <f>F142-F154</f>
        <v>60704</v>
      </c>
      <c r="G166" s="203">
        <f t="shared" ref="G166:Q166" si="329">G142-G154</f>
        <v>64308</v>
      </c>
      <c r="H166" s="203">
        <f t="shared" si="329"/>
        <v>68926</v>
      </c>
      <c r="I166" s="203">
        <f t="shared" si="329"/>
        <v>70324</v>
      </c>
      <c r="J166" s="203">
        <f t="shared" si="329"/>
        <v>15212</v>
      </c>
      <c r="K166" s="203">
        <f t="shared" si="329"/>
        <v>15659</v>
      </c>
      <c r="L166" s="203">
        <f t="shared" si="329"/>
        <v>16824</v>
      </c>
      <c r="M166" s="203">
        <f t="shared" si="329"/>
        <v>16892</v>
      </c>
      <c r="N166" s="203">
        <f t="shared" si="329"/>
        <v>17073</v>
      </c>
      <c r="O166" s="203">
        <f t="shared" si="329"/>
        <v>17500</v>
      </c>
      <c r="P166" s="203">
        <f t="shared" si="329"/>
        <v>17663</v>
      </c>
      <c r="Q166" s="203">
        <f t="shared" si="329"/>
        <v>17945.337330346556</v>
      </c>
      <c r="R166" s="203">
        <f t="shared" ref="R166:W166" si="330">R142-R154</f>
        <v>18822.962323622611</v>
      </c>
      <c r="S166" s="203">
        <f t="shared" si="330"/>
        <v>19337</v>
      </c>
      <c r="T166" s="203">
        <f t="shared" si="330"/>
        <v>19494</v>
      </c>
      <c r="U166" s="203">
        <f t="shared" si="330"/>
        <v>19590.440294745044</v>
      </c>
      <c r="V166" s="203">
        <f t="shared" si="330"/>
        <v>19869.510959394182</v>
      </c>
      <c r="W166" s="203">
        <f t="shared" si="330"/>
        <v>20214.179317991322</v>
      </c>
      <c r="X166" s="203">
        <f>X142-X154</f>
        <v>20592.605936703832</v>
      </c>
      <c r="Y166" s="203">
        <f>Y142-Y154</f>
        <v>20986.088684198632</v>
      </c>
      <c r="Z166" s="203">
        <f>Z142-Z154</f>
        <v>21395.443313402713</v>
      </c>
      <c r="AA166" s="203">
        <f>AA142-AA154</f>
        <v>21821.532749334532</v>
      </c>
      <c r="AB166" s="203">
        <f>AB142-AB154</f>
        <v>22265.269857924523</v>
      </c>
      <c r="AD166" s="382">
        <f t="shared" ref="AD166:BI166" si="331">AD140-AD154</f>
        <v>18318</v>
      </c>
      <c r="AE166" s="382">
        <f t="shared" si="331"/>
        <v>18904</v>
      </c>
      <c r="AF166" s="382">
        <f t="shared" si="331"/>
        <v>18518</v>
      </c>
      <c r="AG166" s="382">
        <f t="shared" si="331"/>
        <v>18373</v>
      </c>
      <c r="AH166" s="382">
        <f t="shared" si="331"/>
        <v>19424</v>
      </c>
      <c r="AI166" s="382">
        <f t="shared" si="331"/>
        <v>19713</v>
      </c>
      <c r="AJ166" s="382">
        <f t="shared" si="331"/>
        <v>19789</v>
      </c>
      <c r="AK166" s="382">
        <f t="shared" si="331"/>
        <v>19005</v>
      </c>
      <c r="AL166" s="382">
        <f t="shared" si="331"/>
        <v>20124</v>
      </c>
      <c r="AM166" s="382">
        <f t="shared" si="331"/>
        <v>20691</v>
      </c>
      <c r="AN166" s="382">
        <f t="shared" si="331"/>
        <v>19907</v>
      </c>
      <c r="AO166" s="382">
        <f t="shared" si="331"/>
        <v>19177</v>
      </c>
      <c r="AP166" s="382">
        <f t="shared" si="331"/>
        <v>15406</v>
      </c>
      <c r="AQ166" s="382">
        <f t="shared" si="331"/>
        <v>16424</v>
      </c>
      <c r="AR166" s="382">
        <f t="shared" si="331"/>
        <v>15841</v>
      </c>
      <c r="AS166" s="382">
        <f t="shared" si="331"/>
        <v>15774</v>
      </c>
      <c r="AT166" s="382">
        <f t="shared" si="331"/>
        <v>15843</v>
      </c>
      <c r="AU166" s="382">
        <f t="shared" si="331"/>
        <v>16372</v>
      </c>
      <c r="AV166" s="382">
        <f t="shared" si="331"/>
        <v>15424</v>
      </c>
      <c r="AW166" s="382">
        <f t="shared" si="331"/>
        <v>14334</v>
      </c>
      <c r="AX166" s="382">
        <f t="shared" si="331"/>
        <v>14368</v>
      </c>
      <c r="AY166" s="382">
        <f t="shared" si="331"/>
        <v>15382.900000000001</v>
      </c>
      <c r="AZ166" s="382">
        <f t="shared" si="331"/>
        <v>15195</v>
      </c>
      <c r="BA166" s="382">
        <f t="shared" si="331"/>
        <v>15326</v>
      </c>
      <c r="BB166" s="382">
        <f t="shared" si="331"/>
        <v>15423</v>
      </c>
      <c r="BC166" s="382">
        <f t="shared" si="331"/>
        <v>16288</v>
      </c>
      <c r="BD166" s="382">
        <f t="shared" si="331"/>
        <v>15901</v>
      </c>
      <c r="BE166" s="382">
        <f t="shared" si="331"/>
        <v>16301</v>
      </c>
      <c r="BF166" s="382">
        <f t="shared" si="331"/>
        <v>16394</v>
      </c>
      <c r="BG166" s="382">
        <f t="shared" si="331"/>
        <v>17230</v>
      </c>
      <c r="BH166" s="382">
        <f t="shared" si="331"/>
        <v>17207</v>
      </c>
      <c r="BI166" s="382">
        <f t="shared" si="331"/>
        <v>17770</v>
      </c>
      <c r="BJ166" s="382">
        <f t="shared" ref="BJ166:BQ166" si="332">BJ165+BJ161</f>
        <v>3511</v>
      </c>
      <c r="BK166" s="382">
        <f t="shared" si="332"/>
        <v>3897</v>
      </c>
      <c r="BL166" s="382">
        <f t="shared" si="332"/>
        <v>3935</v>
      </c>
      <c r="BM166" s="382">
        <f t="shared" si="332"/>
        <v>3686</v>
      </c>
      <c r="BN166" s="382">
        <f t="shared" si="332"/>
        <v>3488</v>
      </c>
      <c r="BO166" s="382">
        <f t="shared" si="332"/>
        <v>3962</v>
      </c>
      <c r="BP166" s="382">
        <f t="shared" si="332"/>
        <v>4060</v>
      </c>
      <c r="BQ166" s="382">
        <f t="shared" si="332"/>
        <v>3702</v>
      </c>
      <c r="BR166" s="379">
        <f>BR165+BR161+BR162</f>
        <v>3601</v>
      </c>
      <c r="BS166" s="379">
        <f>BS165+BS161+BS162</f>
        <v>4072</v>
      </c>
      <c r="BT166" s="379">
        <f>BT165+BT161+BT162</f>
        <v>4244</v>
      </c>
      <c r="BU166" s="379">
        <f>BU165+BU161+BU162</f>
        <v>3742</v>
      </c>
      <c r="BV166" s="379">
        <f t="shared" ref="BV166:CG166" si="333">BV165+BV162+BV164+BV163+BV161</f>
        <v>3812</v>
      </c>
      <c r="BW166" s="379">
        <f t="shared" si="333"/>
        <v>4594</v>
      </c>
      <c r="BX166" s="379">
        <f t="shared" si="333"/>
        <v>4318</v>
      </c>
      <c r="BY166" s="379">
        <f t="shared" si="333"/>
        <v>4100</v>
      </c>
      <c r="BZ166" s="379">
        <f t="shared" si="333"/>
        <v>3951</v>
      </c>
      <c r="CA166" s="379">
        <f t="shared" si="333"/>
        <v>4341</v>
      </c>
      <c r="CB166" s="379">
        <f t="shared" si="333"/>
        <v>4461</v>
      </c>
      <c r="CC166" s="379">
        <f t="shared" si="333"/>
        <v>4139</v>
      </c>
      <c r="CD166" s="379">
        <f t="shared" si="333"/>
        <v>3943</v>
      </c>
      <c r="CE166" s="379">
        <f t="shared" si="333"/>
        <v>4492</v>
      </c>
      <c r="CF166" s="379">
        <f t="shared" si="333"/>
        <v>4329</v>
      </c>
      <c r="CG166" s="379">
        <f t="shared" si="333"/>
        <v>4309</v>
      </c>
      <c r="CH166" s="379">
        <f t="shared" ref="CH166:CP166" si="334">+SUM(CH161:CH165)</f>
        <v>3994</v>
      </c>
      <c r="CI166" s="379">
        <f t="shared" si="334"/>
        <v>4580</v>
      </c>
      <c r="CJ166" s="379">
        <f t="shared" si="334"/>
        <v>4466</v>
      </c>
      <c r="CK166" s="379">
        <f t="shared" si="334"/>
        <v>4460</v>
      </c>
      <c r="CL166" s="379">
        <f t="shared" si="334"/>
        <v>3973</v>
      </c>
      <c r="CM166" s="379">
        <f t="shared" si="334"/>
        <v>4526</v>
      </c>
      <c r="CN166" s="379">
        <f t="shared" si="334"/>
        <v>4760</v>
      </c>
      <c r="CO166" s="379">
        <f t="shared" si="334"/>
        <v>4404</v>
      </c>
      <c r="CP166" s="379">
        <f t="shared" si="334"/>
        <v>4008.3373303465542</v>
      </c>
      <c r="CQ166" s="379">
        <f>+SUM(CQ161:CQ165)</f>
        <v>4571</v>
      </c>
      <c r="CR166" s="379">
        <f>+SUM(CR161:CR165)</f>
        <v>4753</v>
      </c>
      <c r="CS166" s="379">
        <f>+SUM(CS161:CS165)</f>
        <v>4613</v>
      </c>
      <c r="CT166" s="384">
        <f>+SUM(CT161:CT165)</f>
        <v>4272</v>
      </c>
      <c r="CU166" s="384">
        <f>+SUM(CU161:CU165)</f>
        <v>4875.0163861226092</v>
      </c>
      <c r="CV166" s="379">
        <f t="shared" ref="CV166:DE166" si="335">+SUM(CV161:CV165)</f>
        <v>4978</v>
      </c>
      <c r="CW166" s="379">
        <f t="shared" ref="CW166:DB166" si="336">+SUM(CW161:CW165)</f>
        <v>4697.9459374999997</v>
      </c>
      <c r="CX166" s="379">
        <f t="shared" si="336"/>
        <v>4530</v>
      </c>
      <c r="CY166" s="379">
        <f t="shared" si="336"/>
        <v>4881</v>
      </c>
      <c r="CZ166" s="379">
        <f t="shared" si="336"/>
        <v>5193</v>
      </c>
      <c r="DA166" s="1021">
        <f t="shared" si="336"/>
        <v>4733</v>
      </c>
      <c r="DB166" s="379">
        <f t="shared" si="336"/>
        <v>4589</v>
      </c>
      <c r="DC166" s="1021">
        <f t="shared" ref="DC166:DD166" si="337">+SUM(DC161:DC165)</f>
        <v>5068</v>
      </c>
      <c r="DD166" s="1021">
        <f t="shared" si="337"/>
        <v>5123</v>
      </c>
      <c r="DE166" s="1021">
        <f t="shared" si="335"/>
        <v>4714</v>
      </c>
      <c r="DF166" s="379">
        <f t="shared" ref="DF166:DI166" si="338">+SUM(DF161:DF165)</f>
        <v>4554.7526377212544</v>
      </c>
      <c r="DG166" s="379">
        <f t="shared" si="338"/>
        <v>5060.1080762112379</v>
      </c>
      <c r="DH166" s="379">
        <f t="shared" si="338"/>
        <v>5168.9681791029489</v>
      </c>
      <c r="DI166" s="379">
        <f t="shared" si="338"/>
        <v>4806.6114017095988</v>
      </c>
    </row>
    <row r="167" spans="1:114">
      <c r="A167" s="204"/>
      <c r="AD167" s="194"/>
      <c r="AE167" s="194"/>
      <c r="AF167" s="194"/>
      <c r="AG167" s="194"/>
      <c r="AH167" s="194"/>
      <c r="AI167" s="194"/>
      <c r="AJ167" s="194"/>
      <c r="AK167" s="194"/>
      <c r="AL167" s="194"/>
      <c r="AM167" s="194"/>
      <c r="AN167" s="194"/>
      <c r="AO167" s="194"/>
      <c r="AP167" s="194"/>
      <c r="AQ167" s="194"/>
      <c r="AR167" s="194"/>
      <c r="AS167" s="194"/>
      <c r="AT167" s="194"/>
      <c r="AU167" s="194"/>
      <c r="AV167" s="194"/>
      <c r="AW167" s="194"/>
      <c r="AX167" s="194"/>
      <c r="AY167" s="194"/>
      <c r="AZ167" s="194"/>
      <c r="BA167" s="194"/>
      <c r="BB167" s="194"/>
      <c r="BC167" s="194"/>
      <c r="BD167" s="194"/>
      <c r="BE167" s="194"/>
      <c r="BF167" s="194"/>
      <c r="BG167" s="194"/>
      <c r="BH167" s="194"/>
      <c r="BI167" s="194"/>
      <c r="BJ167" s="194"/>
      <c r="BK167" s="194"/>
      <c r="BL167" s="194"/>
      <c r="BM167" s="194"/>
      <c r="BN167" s="194"/>
      <c r="BO167" s="194"/>
      <c r="BP167" s="194"/>
      <c r="BQ167" s="194"/>
      <c r="BR167" s="192"/>
      <c r="BS167" s="192"/>
      <c r="BT167" s="192"/>
      <c r="BU167" s="192"/>
      <c r="BV167" s="192"/>
      <c r="BW167" s="192"/>
      <c r="BX167" s="192"/>
      <c r="BY167" s="192"/>
      <c r="BZ167" s="192"/>
      <c r="CA167" s="192"/>
      <c r="CB167" s="192"/>
      <c r="CC167" s="192"/>
      <c r="CD167" s="192"/>
      <c r="CE167" s="192"/>
      <c r="CF167" s="192"/>
      <c r="CG167" s="192"/>
      <c r="CH167" s="192"/>
      <c r="CI167" s="192"/>
      <c r="CJ167" s="192"/>
      <c r="CK167" s="192"/>
      <c r="CL167" s="524"/>
      <c r="CM167" s="524"/>
      <c r="CN167" s="524"/>
      <c r="CO167" s="524"/>
      <c r="CP167" s="524"/>
      <c r="CQ167" s="412"/>
      <c r="CR167" s="525"/>
      <c r="CS167" s="524"/>
      <c r="CT167" s="525"/>
      <c r="CU167" s="524"/>
      <c r="CV167" s="524"/>
      <c r="CW167" s="524"/>
      <c r="CX167" s="524"/>
      <c r="CY167" s="524"/>
      <c r="CZ167" s="524"/>
      <c r="DA167" s="1022"/>
      <c r="DB167" s="1022"/>
      <c r="DC167" s="1022"/>
      <c r="DD167" s="1022"/>
      <c r="DE167" s="1022"/>
      <c r="DF167" s="524"/>
      <c r="DG167" s="524"/>
      <c r="DH167" s="524"/>
      <c r="DI167" s="524"/>
    </row>
    <row r="168" spans="1:114" hidden="1" outlineLevel="1">
      <c r="A168" s="204" t="s">
        <v>228</v>
      </c>
      <c r="AD168" s="194">
        <v>2682</v>
      </c>
      <c r="AE168" s="194">
        <v>3035</v>
      </c>
      <c r="AF168" s="194">
        <v>3411</v>
      </c>
      <c r="AG168" s="194">
        <v>3446</v>
      </c>
      <c r="AH168" s="194">
        <v>3871</v>
      </c>
      <c r="AI168" s="194">
        <v>4108</v>
      </c>
      <c r="AJ168" s="194">
        <v>4492</v>
      </c>
      <c r="AK168" s="194">
        <v>4610</v>
      </c>
      <c r="AL168" s="194">
        <v>4557</v>
      </c>
      <c r="AM168" s="194">
        <v>4789</v>
      </c>
      <c r="AN168" s="194">
        <v>4915</v>
      </c>
      <c r="AO168" s="194">
        <v>4796</v>
      </c>
      <c r="AP168" s="194">
        <v>3700.058</v>
      </c>
      <c r="AQ168" s="194">
        <v>4202</v>
      </c>
      <c r="AR168" s="194">
        <v>4264</v>
      </c>
      <c r="AS168" s="194">
        <v>4246</v>
      </c>
      <c r="AT168" s="194">
        <v>3998.15</v>
      </c>
      <c r="AU168" s="194">
        <v>3970</v>
      </c>
      <c r="AV168" s="194">
        <v>4040</v>
      </c>
      <c r="AW168" s="194">
        <v>3093</v>
      </c>
      <c r="AX168" s="194">
        <v>2951</v>
      </c>
      <c r="AY168" s="194">
        <v>3546.9</v>
      </c>
      <c r="AZ168" s="194">
        <v>3476</v>
      </c>
      <c r="BA168" s="194">
        <v>3284.65</v>
      </c>
      <c r="BB168" s="194">
        <v>3152</v>
      </c>
      <c r="BC168" s="194">
        <v>3624</v>
      </c>
      <c r="BD168" s="194">
        <v>3551</v>
      </c>
      <c r="BE168" s="194">
        <v>3490</v>
      </c>
      <c r="BF168" s="194">
        <v>3301</v>
      </c>
      <c r="BG168" s="194">
        <v>3819</v>
      </c>
      <c r="BH168" s="194">
        <v>3786</v>
      </c>
      <c r="BI168" s="194">
        <v>3569</v>
      </c>
      <c r="BJ168" s="194">
        <v>3468</v>
      </c>
      <c r="BK168" s="194">
        <v>3854</v>
      </c>
      <c r="BL168" s="194">
        <v>3892</v>
      </c>
      <c r="BM168" s="194">
        <v>3643</v>
      </c>
      <c r="BN168" s="194">
        <v>3445</v>
      </c>
      <c r="BO168" s="194">
        <v>3910</v>
      </c>
      <c r="BP168" s="194">
        <v>4017</v>
      </c>
      <c r="BQ168" s="194">
        <v>3661</v>
      </c>
      <c r="BR168" s="192">
        <v>3439</v>
      </c>
      <c r="BS168" s="192">
        <v>3950</v>
      </c>
      <c r="BT168" s="192">
        <v>4104</v>
      </c>
      <c r="BU168" s="192">
        <v>3624</v>
      </c>
      <c r="BV168" s="192">
        <v>3216</v>
      </c>
      <c r="BW168" s="192">
        <v>3972</v>
      </c>
      <c r="BX168" s="192">
        <v>3727</v>
      </c>
      <c r="BY168" s="192">
        <v>3539</v>
      </c>
      <c r="BZ168" s="192">
        <v>3392</v>
      </c>
      <c r="CA168" s="192">
        <v>3742</v>
      </c>
      <c r="CB168" s="192">
        <v>3876</v>
      </c>
      <c r="CC168" s="192">
        <v>3485</v>
      </c>
      <c r="CD168" s="192">
        <v>3407</v>
      </c>
      <c r="CE168" s="192">
        <v>3876</v>
      </c>
      <c r="CF168" s="192">
        <v>3643</v>
      </c>
      <c r="CG168" s="192">
        <v>3631</v>
      </c>
      <c r="CH168" s="192"/>
      <c r="CI168" s="471"/>
      <c r="CJ168" s="471"/>
      <c r="CK168" s="471"/>
      <c r="CL168" s="524"/>
      <c r="CM168" s="524"/>
      <c r="CN168" s="524"/>
      <c r="CO168" s="524"/>
      <c r="CP168" s="524">
        <f>CP161</f>
        <v>3358</v>
      </c>
      <c r="CQ168" s="524">
        <f t="shared" ref="CQ168:DA168" si="339">CQ161</f>
        <v>3814</v>
      </c>
      <c r="CR168" s="524">
        <f t="shared" si="339"/>
        <v>4002</v>
      </c>
      <c r="CS168" s="524">
        <f t="shared" si="339"/>
        <v>3766</v>
      </c>
      <c r="CT168" s="525">
        <f t="shared" si="339"/>
        <v>3589</v>
      </c>
      <c r="CU168" s="524">
        <f t="shared" si="339"/>
        <v>4126</v>
      </c>
      <c r="CV168" s="524">
        <f t="shared" si="339"/>
        <v>4195</v>
      </c>
      <c r="CW168" s="524">
        <f t="shared" si="339"/>
        <v>3854</v>
      </c>
      <c r="CX168" s="524">
        <f t="shared" si="339"/>
        <v>3778</v>
      </c>
      <c r="CY168" s="524">
        <f t="shared" si="339"/>
        <v>4063</v>
      </c>
      <c r="CZ168" s="524">
        <f t="shared" si="339"/>
        <v>4310</v>
      </c>
      <c r="DA168" s="1022">
        <f t="shared" si="339"/>
        <v>3808</v>
      </c>
      <c r="DB168" s="1022"/>
      <c r="DC168" s="1022"/>
      <c r="DD168" s="1022"/>
      <c r="DE168" s="1022"/>
      <c r="DF168" s="524"/>
      <c r="DG168" s="524"/>
      <c r="DH168" s="524"/>
      <c r="DI168" s="524"/>
    </row>
    <row r="169" spans="1:114" hidden="1" outlineLevel="1">
      <c r="A169" s="204" t="s">
        <v>230</v>
      </c>
      <c r="AD169" s="194"/>
      <c r="AE169" s="194"/>
      <c r="AF169" s="194"/>
      <c r="AG169" s="194"/>
      <c r="AH169" s="194"/>
      <c r="AI169" s="194"/>
      <c r="AJ169" s="194"/>
      <c r="AK169" s="194"/>
      <c r="AL169" s="194"/>
      <c r="AM169" s="194"/>
      <c r="AN169" s="194"/>
      <c r="AO169" s="194"/>
      <c r="AP169" s="194"/>
      <c r="AQ169" s="194"/>
      <c r="AR169" s="194"/>
      <c r="AS169" s="194"/>
      <c r="AT169" s="194"/>
      <c r="AU169" s="194"/>
      <c r="AV169" s="194"/>
      <c r="AW169" s="194"/>
      <c r="AX169" s="194"/>
      <c r="AY169" s="194"/>
      <c r="AZ169" s="194"/>
      <c r="BA169" s="194"/>
      <c r="BB169" s="194"/>
      <c r="BC169" s="194"/>
      <c r="BD169" s="194"/>
      <c r="BE169" s="194"/>
      <c r="BF169" s="194"/>
      <c r="BG169" s="194"/>
      <c r="BH169" s="194"/>
      <c r="BI169" s="194"/>
      <c r="BJ169" s="194" t="s">
        <v>618</v>
      </c>
      <c r="BK169" s="194" t="s">
        <v>618</v>
      </c>
      <c r="BL169" s="194" t="s">
        <v>618</v>
      </c>
      <c r="BM169" s="194" t="s">
        <v>618</v>
      </c>
      <c r="BN169" s="194" t="s">
        <v>618</v>
      </c>
      <c r="BO169" s="194" t="s">
        <v>618</v>
      </c>
      <c r="BP169" s="194" t="s">
        <v>618</v>
      </c>
      <c r="BQ169" s="194" t="s">
        <v>618</v>
      </c>
      <c r="BR169" s="192">
        <v>76</v>
      </c>
      <c r="BS169" s="192">
        <v>85</v>
      </c>
      <c r="BT169" s="192">
        <v>84</v>
      </c>
      <c r="BU169" s="192">
        <v>81</v>
      </c>
      <c r="BV169" s="192">
        <v>99</v>
      </c>
      <c r="BW169" s="192">
        <v>74</v>
      </c>
      <c r="BX169" s="192">
        <v>99</v>
      </c>
      <c r="BY169" s="192">
        <v>86</v>
      </c>
      <c r="BZ169" s="192">
        <v>87</v>
      </c>
      <c r="CA169" s="192">
        <v>100</v>
      </c>
      <c r="CB169" s="192">
        <v>90</v>
      </c>
      <c r="CC169" s="192">
        <v>71</v>
      </c>
      <c r="CD169" s="192">
        <v>66</v>
      </c>
      <c r="CE169" s="192">
        <v>95</v>
      </c>
      <c r="CF169" s="192">
        <v>109</v>
      </c>
      <c r="CG169" s="192">
        <v>90</v>
      </c>
      <c r="CH169" s="192"/>
      <c r="CI169" s="471"/>
      <c r="CJ169" s="471"/>
      <c r="CK169" s="471"/>
      <c r="CL169" s="524"/>
      <c r="CM169" s="524"/>
      <c r="CN169" s="524"/>
      <c r="CO169" s="524"/>
      <c r="CP169" s="524">
        <f>CP162</f>
        <v>126</v>
      </c>
      <c r="CQ169" s="524">
        <f t="shared" ref="CQ169:DA169" si="340">CQ162</f>
        <v>153</v>
      </c>
      <c r="CR169" s="524">
        <f t="shared" si="340"/>
        <v>160</v>
      </c>
      <c r="CS169" s="524">
        <f t="shared" si="340"/>
        <v>144</v>
      </c>
      <c r="CT169" s="525">
        <f t="shared" si="340"/>
        <v>137</v>
      </c>
      <c r="CU169" s="524">
        <f t="shared" si="340"/>
        <v>149</v>
      </c>
      <c r="CV169" s="524">
        <f t="shared" si="340"/>
        <v>163</v>
      </c>
      <c r="CW169" s="524">
        <f t="shared" si="340"/>
        <v>156</v>
      </c>
      <c r="CX169" s="524">
        <f t="shared" si="340"/>
        <v>145</v>
      </c>
      <c r="CY169" s="524">
        <f t="shared" si="340"/>
        <v>167</v>
      </c>
      <c r="CZ169" s="524">
        <f t="shared" si="340"/>
        <v>166</v>
      </c>
      <c r="DA169" s="1022">
        <f t="shared" si="340"/>
        <v>167</v>
      </c>
      <c r="DB169" s="1022"/>
      <c r="DC169" s="1022"/>
      <c r="DD169" s="1022"/>
      <c r="DE169" s="1022"/>
      <c r="DF169" s="524"/>
      <c r="DG169" s="524"/>
      <c r="DH169" s="524"/>
      <c r="DI169" s="524"/>
    </row>
    <row r="170" spans="1:114" hidden="1" outlineLevel="1">
      <c r="A170" s="204"/>
      <c r="AD170" s="194"/>
      <c r="AE170" s="194"/>
      <c r="AF170" s="194"/>
      <c r="AG170" s="194"/>
      <c r="AH170" s="194"/>
      <c r="AI170" s="194"/>
      <c r="AJ170" s="194"/>
      <c r="AK170" s="194"/>
      <c r="AL170" s="194"/>
      <c r="AM170" s="194"/>
      <c r="AN170" s="194"/>
      <c r="AO170" s="194"/>
      <c r="AP170" s="194"/>
      <c r="AQ170" s="194"/>
      <c r="AR170" s="194"/>
      <c r="AS170" s="194"/>
      <c r="AT170" s="194"/>
      <c r="AU170" s="194"/>
      <c r="AV170" s="194"/>
      <c r="AW170" s="194"/>
      <c r="AX170" s="194"/>
      <c r="AY170" s="194"/>
      <c r="AZ170" s="194"/>
      <c r="BA170" s="194"/>
      <c r="BB170" s="194"/>
      <c r="BC170" s="194"/>
      <c r="BD170" s="194"/>
      <c r="BE170" s="194"/>
      <c r="BF170" s="194"/>
      <c r="BG170" s="194"/>
      <c r="BH170" s="194"/>
      <c r="BI170" s="194"/>
      <c r="BJ170" s="194"/>
      <c r="BK170" s="194"/>
      <c r="BL170" s="194"/>
      <c r="BM170" s="194"/>
      <c r="BN170" s="194"/>
      <c r="BO170" s="194"/>
      <c r="BP170" s="194"/>
      <c r="BQ170" s="194"/>
      <c r="BR170" s="192"/>
      <c r="BS170" s="192"/>
      <c r="BT170" s="192"/>
      <c r="BU170" s="192"/>
      <c r="BV170" s="192"/>
      <c r="BW170" s="192"/>
      <c r="BX170" s="192"/>
      <c r="BY170" s="192"/>
      <c r="BZ170" s="192"/>
      <c r="CA170" s="192"/>
      <c r="CB170" s="192"/>
      <c r="CC170" s="192"/>
      <c r="CD170" s="192"/>
      <c r="CE170" s="192"/>
      <c r="CF170" s="192"/>
      <c r="CG170" s="192"/>
      <c r="CH170" s="192"/>
      <c r="CI170" s="192"/>
      <c r="CJ170" s="192"/>
      <c r="CK170" s="192"/>
      <c r="CL170" s="524"/>
      <c r="CM170" s="524"/>
      <c r="CN170" s="524"/>
      <c r="CO170" s="524"/>
      <c r="CP170" s="524"/>
      <c r="CQ170" s="412"/>
      <c r="CR170" s="525"/>
      <c r="CS170" s="524"/>
      <c r="CT170" s="525"/>
      <c r="CU170" s="524"/>
      <c r="CV170" s="524"/>
      <c r="CW170" s="524"/>
      <c r="CX170" s="524"/>
      <c r="CY170" s="524"/>
      <c r="CZ170" s="524"/>
      <c r="DA170" s="1022"/>
      <c r="DB170" s="1022"/>
      <c r="DC170" s="1022"/>
      <c r="DD170" s="1022"/>
      <c r="DE170" s="1022"/>
      <c r="DF170" s="524"/>
      <c r="DG170" s="524"/>
      <c r="DH170" s="524"/>
      <c r="DI170" s="524"/>
    </row>
    <row r="171" spans="1:114" collapsed="1">
      <c r="A171" s="34" t="s">
        <v>83</v>
      </c>
      <c r="AD171" s="460"/>
      <c r="AE171" s="460"/>
      <c r="AF171" s="460"/>
      <c r="AG171" s="460"/>
      <c r="AH171" s="460"/>
      <c r="AI171" s="460"/>
      <c r="AJ171" s="460"/>
      <c r="AK171" s="460"/>
      <c r="AL171" s="460"/>
      <c r="AM171" s="460"/>
      <c r="AN171" s="460"/>
      <c r="AO171" s="460"/>
      <c r="AP171" s="460"/>
      <c r="AQ171" s="460"/>
      <c r="AR171" s="460"/>
      <c r="AS171" s="460"/>
      <c r="AT171" s="460"/>
      <c r="AU171" s="460"/>
      <c r="AV171" s="460"/>
      <c r="AW171" s="460"/>
      <c r="AX171" s="460"/>
      <c r="AY171" s="460"/>
      <c r="AZ171" s="460"/>
      <c r="BA171" s="460"/>
      <c r="BB171" s="460"/>
      <c r="BC171" s="460"/>
      <c r="BD171" s="460"/>
      <c r="BE171" s="460"/>
      <c r="BF171" s="413"/>
      <c r="BG171" s="413"/>
      <c r="BH171" s="413"/>
      <c r="BI171" s="413"/>
      <c r="BJ171" s="413"/>
      <c r="BK171" s="413"/>
      <c r="BL171" s="413"/>
      <c r="BM171" s="413"/>
      <c r="BN171" s="413"/>
      <c r="BO171" s="413"/>
      <c r="BP171" s="413"/>
      <c r="BQ171" s="413"/>
      <c r="BR171" s="413"/>
      <c r="BS171" s="413"/>
      <c r="BT171" s="413"/>
      <c r="BU171" s="413"/>
      <c r="BV171" s="413"/>
      <c r="BW171" s="413"/>
      <c r="BX171" s="413"/>
      <c r="BY171" s="413"/>
      <c r="BZ171" s="413"/>
      <c r="CA171" s="413"/>
      <c r="CB171" s="413"/>
      <c r="CC171" s="413"/>
      <c r="CD171" s="413"/>
      <c r="CE171" s="413"/>
      <c r="CF171" s="413"/>
      <c r="CG171" s="413"/>
      <c r="CH171" s="404"/>
      <c r="CI171" s="404"/>
      <c r="CJ171" s="404"/>
      <c r="CK171" s="459"/>
      <c r="CL171" s="404"/>
      <c r="CM171" s="404"/>
      <c r="CN171" s="404"/>
      <c r="CO171" s="459"/>
      <c r="CP171" s="413"/>
      <c r="CQ171" s="412"/>
      <c r="CR171" s="412"/>
      <c r="CS171" s="458"/>
      <c r="CT171" s="414"/>
      <c r="CU171" s="404"/>
      <c r="CV171" s="409"/>
      <c r="CW171" s="409"/>
      <c r="CX171" s="404"/>
      <c r="CY171" s="404"/>
      <c r="CZ171" s="404"/>
      <c r="DA171" s="994"/>
      <c r="DB171" s="994"/>
      <c r="DC171" s="994"/>
      <c r="DD171" s="994"/>
      <c r="DE171" s="994"/>
      <c r="DF171" s="404"/>
      <c r="DG171" s="404"/>
      <c r="DH171" s="404"/>
      <c r="DI171" s="404"/>
    </row>
    <row r="172" spans="1:114">
      <c r="A172" s="515" t="s">
        <v>50</v>
      </c>
      <c r="B172" s="515">
        <f t="shared" ref="B172:J172" si="341">+SUM(B173:B174)</f>
        <v>5048</v>
      </c>
      <c r="C172" s="515">
        <f t="shared" si="341"/>
        <v>5350</v>
      </c>
      <c r="D172" s="515">
        <f t="shared" si="341"/>
        <v>5764</v>
      </c>
      <c r="E172" s="515">
        <f t="shared" si="341"/>
        <v>5041</v>
      </c>
      <c r="F172" s="515">
        <f t="shared" si="341"/>
        <v>4151.5</v>
      </c>
      <c r="G172" s="515">
        <f t="shared" si="341"/>
        <v>4437</v>
      </c>
      <c r="H172" s="515">
        <f t="shared" si="341"/>
        <v>4608</v>
      </c>
      <c r="I172" s="515">
        <f t="shared" si="341"/>
        <v>4822</v>
      </c>
      <c r="J172" s="515">
        <f t="shared" si="341"/>
        <v>4889</v>
      </c>
      <c r="K172" s="515">
        <f t="shared" ref="K172:Q172" si="342">+SUM(K173:K174)</f>
        <v>5214</v>
      </c>
      <c r="L172" s="515">
        <f t="shared" si="342"/>
        <v>5494</v>
      </c>
      <c r="M172" s="515">
        <f t="shared" si="342"/>
        <v>5719</v>
      </c>
      <c r="N172" s="515">
        <f t="shared" si="342"/>
        <v>6018</v>
      </c>
      <c r="O172" s="515">
        <f t="shared" si="342"/>
        <v>6271</v>
      </c>
      <c r="P172" s="515">
        <f t="shared" si="342"/>
        <v>6421</v>
      </c>
      <c r="Q172" s="515">
        <f t="shared" si="342"/>
        <v>6851</v>
      </c>
      <c r="R172" s="515">
        <f t="shared" ref="R172:W172" si="343">+SUM(R173:R174)</f>
        <v>7599</v>
      </c>
      <c r="S172" s="515">
        <f t="shared" si="343"/>
        <v>8002</v>
      </c>
      <c r="T172" s="793">
        <f t="shared" ref="T172:T177" si="344">+SUM(DB172:DE172)</f>
        <v>8561</v>
      </c>
      <c r="U172" s="515">
        <f t="shared" si="343"/>
        <v>8431.2496737244073</v>
      </c>
      <c r="V172" s="515">
        <f t="shared" si="343"/>
        <v>8829.4007736251606</v>
      </c>
      <c r="W172" s="515">
        <f t="shared" si="343"/>
        <v>9272.3249546803436</v>
      </c>
      <c r="X172" s="515">
        <f>+SUM(X173:X174)</f>
        <v>9731.1482800116864</v>
      </c>
      <c r="Y172" s="515">
        <f>+SUM(Y173:Y174)</f>
        <v>10174.719265754866</v>
      </c>
      <c r="Z172" s="515">
        <f>+SUM(Z173:Z174)</f>
        <v>10604.501196677831</v>
      </c>
      <c r="AA172" s="515">
        <f>+SUM(AA173:AA174)</f>
        <v>11021.852690486197</v>
      </c>
      <c r="AB172" s="515">
        <f>+SUM(AB173:AB174)</f>
        <v>11428.036584023777</v>
      </c>
      <c r="AD172" s="514"/>
      <c r="AE172" s="514"/>
      <c r="AF172" s="514"/>
      <c r="AG172" s="514"/>
      <c r="AH172" s="514"/>
      <c r="AI172" s="514"/>
      <c r="AJ172" s="514"/>
      <c r="AK172" s="514"/>
      <c r="AL172" s="514"/>
      <c r="AM172" s="514"/>
      <c r="AN172" s="514"/>
      <c r="AO172" s="514"/>
      <c r="AP172" s="514"/>
      <c r="AQ172" s="514"/>
      <c r="AR172" s="514"/>
      <c r="AS172" s="514"/>
      <c r="AT172" s="514"/>
      <c r="AU172" s="514"/>
      <c r="AV172" s="514"/>
      <c r="AW172" s="514"/>
      <c r="AX172" s="514"/>
      <c r="AY172" s="514"/>
      <c r="AZ172" s="514"/>
      <c r="BA172" s="514"/>
      <c r="BB172" s="514"/>
      <c r="BC172" s="514"/>
      <c r="BD172" s="514"/>
      <c r="BE172" s="514"/>
      <c r="BF172" s="515"/>
      <c r="BG172" s="515"/>
      <c r="BH172" s="515"/>
      <c r="BI172" s="515"/>
      <c r="BJ172" s="515"/>
      <c r="BK172" s="515"/>
      <c r="BL172" s="515"/>
      <c r="BM172" s="515"/>
      <c r="BN172" s="515"/>
      <c r="BO172" s="515"/>
      <c r="BP172" s="515"/>
      <c r="BQ172" s="515"/>
      <c r="BR172" s="516">
        <f t="shared" ref="BR172:CG172" si="345">+SUM(BR173:BR174)</f>
        <v>1109</v>
      </c>
      <c r="BS172" s="516">
        <f t="shared" si="345"/>
        <v>1423</v>
      </c>
      <c r="BT172" s="516">
        <f t="shared" si="345"/>
        <v>1446</v>
      </c>
      <c r="BU172" s="516">
        <f t="shared" si="345"/>
        <v>1236</v>
      </c>
      <c r="BV172" s="516">
        <f t="shared" si="345"/>
        <v>1237</v>
      </c>
      <c r="BW172" s="516">
        <f t="shared" si="345"/>
        <v>1513</v>
      </c>
      <c r="BX172" s="516">
        <f t="shared" si="345"/>
        <v>1478</v>
      </c>
      <c r="BY172" s="516">
        <f t="shared" si="345"/>
        <v>1266</v>
      </c>
      <c r="BZ172" s="516">
        <f t="shared" si="345"/>
        <v>1307</v>
      </c>
      <c r="CA172" s="516">
        <f t="shared" si="345"/>
        <v>1551</v>
      </c>
      <c r="CB172" s="516">
        <f t="shared" si="345"/>
        <v>1600</v>
      </c>
      <c r="CC172" s="516">
        <f t="shared" si="345"/>
        <v>1261</v>
      </c>
      <c r="CD172" s="516">
        <f t="shared" si="345"/>
        <v>1371</v>
      </c>
      <c r="CE172" s="516">
        <f t="shared" si="345"/>
        <v>1620</v>
      </c>
      <c r="CF172" s="516">
        <f t="shared" si="345"/>
        <v>1575</v>
      </c>
      <c r="CG172" s="516">
        <f t="shared" si="345"/>
        <v>1452</v>
      </c>
      <c r="CH172" s="516">
        <f>1439-14</f>
        <v>1425</v>
      </c>
      <c r="CI172" s="516">
        <v>1666</v>
      </c>
      <c r="CJ172" s="516">
        <v>1642</v>
      </c>
      <c r="CK172" s="516">
        <v>1538</v>
      </c>
      <c r="CL172" s="516">
        <v>1443</v>
      </c>
      <c r="CM172" s="516">
        <v>1691</v>
      </c>
      <c r="CN172" s="516">
        <v>1693</v>
      </c>
      <c r="CO172" s="517">
        <v>1594</v>
      </c>
      <c r="CP172" s="517">
        <v>1536</v>
      </c>
      <c r="CQ172" s="516">
        <v>1752</v>
      </c>
      <c r="CR172" s="517">
        <v>1845</v>
      </c>
      <c r="CS172" s="433">
        <v>1718</v>
      </c>
      <c r="CT172" s="694">
        <f>1686+43</f>
        <v>1729</v>
      </c>
      <c r="CU172" s="694">
        <v>2029</v>
      </c>
      <c r="CV172" s="694">
        <v>2049</v>
      </c>
      <c r="CW172" s="694">
        <v>1792</v>
      </c>
      <c r="CX172" s="433">
        <v>1888</v>
      </c>
      <c r="CY172" s="433">
        <v>2121</v>
      </c>
      <c r="CZ172" s="694">
        <v>2135</v>
      </c>
      <c r="DA172" s="989">
        <v>1858</v>
      </c>
      <c r="DB172" s="989">
        <v>2040</v>
      </c>
      <c r="DC172" s="989">
        <v>2257</v>
      </c>
      <c r="DD172" s="989">
        <v>2300</v>
      </c>
      <c r="DE172" s="989">
        <v>1964</v>
      </c>
      <c r="DF172" s="385">
        <f t="shared" ref="DF172:DI172" si="346">+DF173+DF174</f>
        <v>1957.3857220263378</v>
      </c>
      <c r="DG172" s="385">
        <f t="shared" si="346"/>
        <v>2205.0537009661225</v>
      </c>
      <c r="DH172" s="385">
        <f t="shared" si="346"/>
        <v>2279.970174999999</v>
      </c>
      <c r="DI172" s="385">
        <f t="shared" si="346"/>
        <v>1988.8400757319487</v>
      </c>
      <c r="DJ172" s="16"/>
    </row>
    <row r="173" spans="1:114">
      <c r="A173" s="932" t="s">
        <v>228</v>
      </c>
      <c r="B173" s="761">
        <v>5048</v>
      </c>
      <c r="C173" s="761">
        <v>5350</v>
      </c>
      <c r="D173" s="761">
        <v>5764</v>
      </c>
      <c r="E173" s="761">
        <v>5041</v>
      </c>
      <c r="F173" s="514">
        <f>SUM(AX173:BA173)</f>
        <v>4151.5</v>
      </c>
      <c r="G173" s="736">
        <f>SUM(BB173:BE173)</f>
        <v>4437</v>
      </c>
      <c r="H173" s="515">
        <f>SUM(BF173:BI173)</f>
        <v>4608</v>
      </c>
      <c r="I173" s="515">
        <f>SUM(BJ173:BM173)</f>
        <v>4822</v>
      </c>
      <c r="J173" s="515">
        <f>SUM(BN173:BQ173)</f>
        <v>4889</v>
      </c>
      <c r="K173" s="515">
        <f>SUM(BR173:BU173)</f>
        <v>5032</v>
      </c>
      <c r="L173" s="515">
        <f>SUM(BV173:BY173)</f>
        <v>5309</v>
      </c>
      <c r="M173" s="515">
        <f>SUM(BZ173:CC173)</f>
        <v>5550</v>
      </c>
      <c r="N173" s="515">
        <f>SUM(CD173:CG173)</f>
        <v>5851</v>
      </c>
      <c r="O173" s="515">
        <f>SUM(CH173:CK173)</f>
        <v>6045.4057025950951</v>
      </c>
      <c r="P173" s="515">
        <f>SUM(CL173:CO173)</f>
        <v>6186.7610462815064</v>
      </c>
      <c r="Q173" s="515">
        <f>SUM(CP173:CS173)</f>
        <v>6585.9598715620705</v>
      </c>
      <c r="R173" s="515">
        <f>+SUM(CT173:CW173)</f>
        <v>7311.0281982798133</v>
      </c>
      <c r="S173" s="800">
        <f>+SUM(CX173:DA173)</f>
        <v>7683.8302240821558</v>
      </c>
      <c r="T173" s="793">
        <f t="shared" si="344"/>
        <v>8228.0269139640877</v>
      </c>
      <c r="U173" s="800">
        <f t="shared" ref="U173:AB173" si="347">+U263*U272</f>
        <v>8082.4862331811846</v>
      </c>
      <c r="V173" s="800">
        <f>+V263*V272</f>
        <v>8465.925532188945</v>
      </c>
      <c r="W173" s="800">
        <f t="shared" si="347"/>
        <v>8893.5253277479751</v>
      </c>
      <c r="X173" s="800">
        <f t="shared" si="347"/>
        <v>9321.4093242403233</v>
      </c>
      <c r="Y173" s="800">
        <f t="shared" si="347"/>
        <v>9732.3537700329089</v>
      </c>
      <c r="Z173" s="800">
        <f t="shared" si="347"/>
        <v>10127.739449645913</v>
      </c>
      <c r="AA173" s="800">
        <f t="shared" si="347"/>
        <v>10508.838608408501</v>
      </c>
      <c r="AB173" s="800">
        <f t="shared" si="347"/>
        <v>10876.823660013928</v>
      </c>
      <c r="AD173" s="518">
        <v>1131</v>
      </c>
      <c r="AE173" s="518">
        <v>1244</v>
      </c>
      <c r="AF173" s="518">
        <v>1400</v>
      </c>
      <c r="AG173" s="518">
        <v>1414</v>
      </c>
      <c r="AH173" s="518">
        <v>1048</v>
      </c>
      <c r="AI173" s="518">
        <v>1196</v>
      </c>
      <c r="AJ173" s="518">
        <v>1375</v>
      </c>
      <c r="AK173" s="518">
        <v>1429</v>
      </c>
      <c r="AL173" s="518">
        <v>1116</v>
      </c>
      <c r="AM173" s="518">
        <v>1274</v>
      </c>
      <c r="AN173" s="518">
        <v>1459</v>
      </c>
      <c r="AO173" s="518">
        <v>1501</v>
      </c>
      <c r="AP173" s="518">
        <v>1202</v>
      </c>
      <c r="AQ173" s="518">
        <v>1383</v>
      </c>
      <c r="AR173" s="518">
        <v>1577</v>
      </c>
      <c r="AS173" s="518">
        <v>1602</v>
      </c>
      <c r="AT173" s="518">
        <f>1250</f>
        <v>1250</v>
      </c>
      <c r="AU173" s="518">
        <v>1454</v>
      </c>
      <c r="AV173" s="518">
        <v>1518</v>
      </c>
      <c r="AW173" s="518">
        <v>821</v>
      </c>
      <c r="AX173" s="521">
        <v>742</v>
      </c>
      <c r="AY173" s="521">
        <f>1013+9+182.5</f>
        <v>1204.5</v>
      </c>
      <c r="AZ173" s="521">
        <f>1147.5+27-23</f>
        <v>1151.5</v>
      </c>
      <c r="BA173" s="521">
        <f>987.5+13+33+20</f>
        <v>1053.5</v>
      </c>
      <c r="BB173" s="518">
        <f>970+10+1</f>
        <v>981</v>
      </c>
      <c r="BC173" s="385">
        <f>1212+10</f>
        <v>1222</v>
      </c>
      <c r="BD173" s="522">
        <f>1147+5</f>
        <v>1152</v>
      </c>
      <c r="BE173" s="522">
        <f>1076+6</f>
        <v>1082</v>
      </c>
      <c r="BF173" s="516">
        <f>1038+1</f>
        <v>1039</v>
      </c>
      <c r="BG173" s="516">
        <f>1261+2</f>
        <v>1263</v>
      </c>
      <c r="BH173" s="516">
        <f>1202+138-115</f>
        <v>1225</v>
      </c>
      <c r="BI173" s="516">
        <f>1080+1</f>
        <v>1081</v>
      </c>
      <c r="BJ173" s="516">
        <v>1116</v>
      </c>
      <c r="BK173" s="516">
        <v>1301</v>
      </c>
      <c r="BL173" s="516">
        <v>1270</v>
      </c>
      <c r="BM173" s="516">
        <f>1125+10</f>
        <v>1135</v>
      </c>
      <c r="BN173" s="522">
        <v>1130</v>
      </c>
      <c r="BO173" s="522">
        <f>1004+318</f>
        <v>1322</v>
      </c>
      <c r="BP173" s="522">
        <f>1295+10+12</f>
        <v>1317</v>
      </c>
      <c r="BQ173" s="516">
        <f>1089+16+15</f>
        <v>1120</v>
      </c>
      <c r="BR173" s="516">
        <f>1040+11+15</f>
        <v>1066</v>
      </c>
      <c r="BS173" s="516">
        <f>1337+17+18</f>
        <v>1372</v>
      </c>
      <c r="BT173" s="516">
        <f>1369+15+16</f>
        <v>1400</v>
      </c>
      <c r="BU173" s="516">
        <f>1120+53+21</f>
        <v>1194</v>
      </c>
      <c r="BV173" s="516">
        <f>1143+19+18</f>
        <v>1180</v>
      </c>
      <c r="BW173" s="516">
        <f>1426+15+32</f>
        <v>1473</v>
      </c>
      <c r="BX173" s="516">
        <f>1333+52+44</f>
        <v>1429</v>
      </c>
      <c r="BY173" s="516">
        <f>1153+74</f>
        <v>1227</v>
      </c>
      <c r="BZ173" s="516">
        <f>1230+29</f>
        <v>1259</v>
      </c>
      <c r="CA173" s="516">
        <v>1495</v>
      </c>
      <c r="CB173" s="516">
        <f>1533+24</f>
        <v>1557</v>
      </c>
      <c r="CC173" s="516">
        <f>1238+1</f>
        <v>1239</v>
      </c>
      <c r="CD173" s="516">
        <f>1347+2</f>
        <v>1349</v>
      </c>
      <c r="CE173" s="516">
        <f>1537+36</f>
        <v>1573</v>
      </c>
      <c r="CF173" s="516">
        <v>1520</v>
      </c>
      <c r="CG173" s="516">
        <f>1171+238</f>
        <v>1409</v>
      </c>
      <c r="CH173" s="529">
        <f>+CH172*CH259</f>
        <v>1380.7175445372266</v>
      </c>
      <c r="CI173" s="529">
        <f>+CI172*CI259</f>
        <v>1609.670634957331</v>
      </c>
      <c r="CJ173" s="529">
        <f>+CJ172*CJ259</f>
        <v>1575.9865415977004</v>
      </c>
      <c r="CK173" s="529">
        <f>+CK172*CK259</f>
        <v>1479.0309815028372</v>
      </c>
      <c r="CL173" s="529">
        <f>+CL172*CL259</f>
        <v>1404.363145415705</v>
      </c>
      <c r="CM173" s="529">
        <f>CM172*CM259</f>
        <v>1635.0639328696236</v>
      </c>
      <c r="CN173" s="529">
        <f>CN172*CN259</f>
        <v>1619.6127091981193</v>
      </c>
      <c r="CO173" s="530">
        <f>+CO172*CO259</f>
        <v>1527.7212587980584</v>
      </c>
      <c r="CP173" s="530">
        <f>CP172*CP259</f>
        <v>1491.4791816326233</v>
      </c>
      <c r="CQ173" s="530">
        <f>CQ172*CQ259</f>
        <v>1685.2117358179803</v>
      </c>
      <c r="CR173" s="414">
        <f>CR172*CR259</f>
        <v>1763.3340947694883</v>
      </c>
      <c r="CS173" s="385">
        <f>CS172*CS259</f>
        <v>1645.9348593419782</v>
      </c>
      <c r="CT173" s="530">
        <f t="shared" ref="CT173:DA173" si="348">+CT172*CT259</f>
        <v>1677.8341733336167</v>
      </c>
      <c r="CU173" s="530">
        <f t="shared" si="348"/>
        <v>1959.1921699493801</v>
      </c>
      <c r="CV173" s="530">
        <f t="shared" si="348"/>
        <v>1960.4236071534904</v>
      </c>
      <c r="CW173" s="530">
        <f t="shared" si="348"/>
        <v>1713.5782478433257</v>
      </c>
      <c r="CX173" s="530">
        <f t="shared" si="348"/>
        <v>1831.762104234828</v>
      </c>
      <c r="CY173" s="530">
        <f t="shared" si="348"/>
        <v>2038.2103767192348</v>
      </c>
      <c r="CZ173" s="530">
        <f>+CZ172*CZ259</f>
        <v>2043.3760443551121</v>
      </c>
      <c r="DA173" s="1024">
        <f t="shared" si="348"/>
        <v>1770.4816987729807</v>
      </c>
      <c r="DB173" s="1024">
        <f>+DB172*DB259</f>
        <v>1966.2659191071632</v>
      </c>
      <c r="DC173" s="1024">
        <f>+DC172*DC259</f>
        <v>2175.3879036518347</v>
      </c>
      <c r="DD173" s="1024">
        <f>+DD172*DD259</f>
        <v>2208</v>
      </c>
      <c r="DE173" s="1024">
        <f>+DE172*DE259</f>
        <v>1878.3730912050887</v>
      </c>
      <c r="DF173" s="529">
        <f>+DF272*DF263</f>
        <v>1877.6272910135465</v>
      </c>
      <c r="DG173" s="529">
        <f>+DG272*DG263</f>
        <v>2116.8127133063767</v>
      </c>
      <c r="DH173" s="529">
        <f>+DH272*DH263</f>
        <v>2180.7504249999993</v>
      </c>
      <c r="DI173" s="529">
        <f>+U173-SUM(DF173:DH173)</f>
        <v>1907.2958038612624</v>
      </c>
      <c r="DJ173" s="16"/>
    </row>
    <row r="174" spans="1:114">
      <c r="A174" s="932" t="s">
        <v>230</v>
      </c>
      <c r="B174" s="801"/>
      <c r="C174" s="801"/>
      <c r="D174" s="801"/>
      <c r="E174" s="801" t="s">
        <v>74</v>
      </c>
      <c r="F174" s="514"/>
      <c r="G174" s="736"/>
      <c r="H174" s="515"/>
      <c r="I174" s="514" t="s">
        <v>618</v>
      </c>
      <c r="J174" s="514" t="s">
        <v>618</v>
      </c>
      <c r="K174" s="515">
        <f>SUM(BR174:BU174)</f>
        <v>182</v>
      </c>
      <c r="L174" s="515">
        <f>SUM(BV174:BY174)</f>
        <v>185</v>
      </c>
      <c r="M174" s="515">
        <f>SUM(BZ174:CC174)</f>
        <v>169</v>
      </c>
      <c r="N174" s="515">
        <f>SUM(CD174:CG174)</f>
        <v>167</v>
      </c>
      <c r="O174" s="515">
        <f>SUM(CH174:CK174)</f>
        <v>225.59429740490486</v>
      </c>
      <c r="P174" s="515">
        <f>SUM(CL174:CO174)</f>
        <v>234.23895371849358</v>
      </c>
      <c r="Q174" s="515">
        <f>SUM(CP174:CS174)</f>
        <v>265.04012843792998</v>
      </c>
      <c r="R174" s="515">
        <f>+SUM(CT174:CW174)</f>
        <v>287.97180172018716</v>
      </c>
      <c r="S174" s="800">
        <f t="shared" ref="S174:S177" si="349">+SUM(CX174:DA174)</f>
        <v>318.16977591784439</v>
      </c>
      <c r="T174" s="793">
        <f t="shared" si="344"/>
        <v>332.97308603591341</v>
      </c>
      <c r="U174" s="311">
        <f>+IS!U352</f>
        <v>348.76344054322334</v>
      </c>
      <c r="V174" s="311">
        <f>+IS!V352</f>
        <v>363.4752414362153</v>
      </c>
      <c r="W174" s="311">
        <f>+IS!W352</f>
        <v>378.79962693236763</v>
      </c>
      <c r="X174" s="311">
        <f>+IS!X352</f>
        <v>409.73895577136381</v>
      </c>
      <c r="Y174" s="311">
        <f>+IS!Y352</f>
        <v>442.36549572195781</v>
      </c>
      <c r="Z174" s="311">
        <f>+IS!Z352</f>
        <v>476.76174703191913</v>
      </c>
      <c r="AA174" s="311">
        <f>+IS!AA352</f>
        <v>513.01408207769578</v>
      </c>
      <c r="AB174" s="311">
        <f>+IS!AB352</f>
        <v>551.21292400984851</v>
      </c>
      <c r="AD174" s="518"/>
      <c r="AE174" s="518"/>
      <c r="AF174" s="518"/>
      <c r="AG174" s="518"/>
      <c r="AH174" s="518"/>
      <c r="AI174" s="518"/>
      <c r="AJ174" s="518"/>
      <c r="AK174" s="518"/>
      <c r="AL174" s="518"/>
      <c r="AM174" s="518"/>
      <c r="AN174" s="518"/>
      <c r="AO174" s="518"/>
      <c r="AP174" s="518"/>
      <c r="AQ174" s="518"/>
      <c r="AR174" s="518"/>
      <c r="AS174" s="518"/>
      <c r="AT174" s="518"/>
      <c r="AU174" s="518"/>
      <c r="AV174" s="518"/>
      <c r="AW174" s="518"/>
      <c r="AX174" s="521"/>
      <c r="AY174" s="521"/>
      <c r="AZ174" s="521"/>
      <c r="BA174" s="521"/>
      <c r="BB174" s="518"/>
      <c r="BC174" s="385"/>
      <c r="BD174" s="522"/>
      <c r="BE174" s="522"/>
      <c r="BF174" s="516"/>
      <c r="BG174" s="516"/>
      <c r="BH174" s="516"/>
      <c r="BI174" s="516"/>
      <c r="BJ174" s="378" t="s">
        <v>618</v>
      </c>
      <c r="BK174" s="378" t="s">
        <v>618</v>
      </c>
      <c r="BL174" s="378" t="s">
        <v>618</v>
      </c>
      <c r="BM174" s="520" t="s">
        <v>618</v>
      </c>
      <c r="BN174" s="378" t="s">
        <v>618</v>
      </c>
      <c r="BO174" s="378" t="s">
        <v>618</v>
      </c>
      <c r="BP174" s="520" t="s">
        <v>618</v>
      </c>
      <c r="BQ174" s="520" t="s">
        <v>618</v>
      </c>
      <c r="BR174" s="516">
        <f>41+2</f>
        <v>43</v>
      </c>
      <c r="BS174" s="516">
        <f>50+1</f>
        <v>51</v>
      </c>
      <c r="BT174" s="516">
        <f>37+9</f>
        <v>46</v>
      </c>
      <c r="BU174" s="516">
        <f>36+6</f>
        <v>42</v>
      </c>
      <c r="BV174" s="516">
        <f>54+3</f>
        <v>57</v>
      </c>
      <c r="BW174" s="516">
        <f>36+4</f>
        <v>40</v>
      </c>
      <c r="BX174" s="516">
        <v>49</v>
      </c>
      <c r="BY174" s="516">
        <f>37+2</f>
        <v>39</v>
      </c>
      <c r="BZ174" s="516">
        <v>48</v>
      </c>
      <c r="CA174" s="516">
        <v>56</v>
      </c>
      <c r="CB174" s="516">
        <v>43</v>
      </c>
      <c r="CC174" s="516">
        <f>21+1</f>
        <v>22</v>
      </c>
      <c r="CD174" s="516">
        <f>22</f>
        <v>22</v>
      </c>
      <c r="CE174" s="516">
        <v>47</v>
      </c>
      <c r="CF174" s="516">
        <v>55</v>
      </c>
      <c r="CG174" s="516">
        <f>39+4</f>
        <v>43</v>
      </c>
      <c r="CH174" s="385">
        <f t="shared" ref="CH174:DA174" si="350">+CH172-CH173</f>
        <v>44.282455462773441</v>
      </c>
      <c r="CI174" s="385">
        <f t="shared" si="350"/>
        <v>56.329365042668996</v>
      </c>
      <c r="CJ174" s="385">
        <f t="shared" si="350"/>
        <v>66.013458402299648</v>
      </c>
      <c r="CK174" s="385">
        <f t="shared" si="350"/>
        <v>58.969018497162779</v>
      </c>
      <c r="CL174" s="385">
        <f t="shared" si="350"/>
        <v>38.636854584294952</v>
      </c>
      <c r="CM174" s="385">
        <f t="shared" si="350"/>
        <v>55.936067130376387</v>
      </c>
      <c r="CN174" s="385">
        <f t="shared" si="350"/>
        <v>73.387290801880681</v>
      </c>
      <c r="CO174" s="414">
        <f t="shared" si="350"/>
        <v>66.278741201941557</v>
      </c>
      <c r="CP174" s="414">
        <f t="shared" si="350"/>
        <v>44.520818367376705</v>
      </c>
      <c r="CQ174" s="414">
        <f t="shared" si="350"/>
        <v>66.788264182019702</v>
      </c>
      <c r="CR174" s="414">
        <f t="shared" si="350"/>
        <v>81.665905230511726</v>
      </c>
      <c r="CS174" s="385">
        <f t="shared" si="350"/>
        <v>72.065140658021846</v>
      </c>
      <c r="CT174" s="414">
        <f t="shared" si="350"/>
        <v>51.165826666383282</v>
      </c>
      <c r="CU174" s="414">
        <f t="shared" si="350"/>
        <v>69.807830050619941</v>
      </c>
      <c r="CV174" s="414">
        <f t="shared" si="350"/>
        <v>88.576392846509634</v>
      </c>
      <c r="CW174" s="414">
        <f t="shared" si="350"/>
        <v>78.421752156674302</v>
      </c>
      <c r="CX174" s="414">
        <f t="shared" si="350"/>
        <v>56.23789576517197</v>
      </c>
      <c r="CY174" s="414">
        <f t="shared" si="350"/>
        <v>82.789623280765227</v>
      </c>
      <c r="CZ174" s="414">
        <f t="shared" si="350"/>
        <v>91.623955644887928</v>
      </c>
      <c r="DA174" s="1020">
        <f t="shared" si="350"/>
        <v>87.518301227019265</v>
      </c>
      <c r="DB174" s="1020">
        <f t="shared" ref="DB174:DD174" si="351">+DB172-DB173</f>
        <v>73.734080892836801</v>
      </c>
      <c r="DC174" s="1020">
        <f t="shared" si="351"/>
        <v>81.612096348165323</v>
      </c>
      <c r="DD174" s="1020">
        <f t="shared" si="351"/>
        <v>92</v>
      </c>
      <c r="DE174" s="1020">
        <f t="shared" ref="DE174" si="352">+DE172-DE173</f>
        <v>85.626908794911287</v>
      </c>
      <c r="DF174" s="385">
        <f>+DF360*DF343</f>
        <v>79.758431012791263</v>
      </c>
      <c r="DG174" s="385">
        <f>+DG360*DG343</f>
        <v>88.240987659745713</v>
      </c>
      <c r="DH174" s="385">
        <f>+DH360*DH343</f>
        <v>99.219749999999962</v>
      </c>
      <c r="DI174" s="385">
        <f>+U174-SUM(DF174:DH174)</f>
        <v>81.544271870686373</v>
      </c>
      <c r="DJ174" s="16"/>
    </row>
    <row r="175" spans="1:114">
      <c r="A175" s="932" t="s">
        <v>698</v>
      </c>
      <c r="B175" s="761"/>
      <c r="C175" s="761"/>
      <c r="D175" s="761"/>
      <c r="E175" s="761"/>
      <c r="F175" s="514"/>
      <c r="G175" s="515"/>
      <c r="H175" s="515"/>
      <c r="I175" s="515"/>
      <c r="J175" s="514" t="s">
        <v>618</v>
      </c>
      <c r="K175" s="514" t="s">
        <v>618</v>
      </c>
      <c r="L175" s="515">
        <f>SUM(BV175:BY175)</f>
        <v>632</v>
      </c>
      <c r="M175" s="515">
        <f>SUM(BZ175:CC175)</f>
        <v>827</v>
      </c>
      <c r="N175" s="515">
        <f>SUM(CD175:CG175)</f>
        <v>896</v>
      </c>
      <c r="O175" s="515">
        <f>SUM(CH175:CK175)</f>
        <v>959</v>
      </c>
      <c r="P175" s="515">
        <f>SUM(CL175:CO175)</f>
        <v>1026</v>
      </c>
      <c r="Q175" s="515">
        <f>SUM(CP175:CS175)</f>
        <v>1060</v>
      </c>
      <c r="R175" s="515">
        <f>+SUM(CT175:CW175)</f>
        <v>1112</v>
      </c>
      <c r="S175" s="800">
        <f t="shared" si="349"/>
        <v>1234</v>
      </c>
      <c r="T175" s="793">
        <f t="shared" si="344"/>
        <v>1372</v>
      </c>
      <c r="U175" s="311">
        <f t="shared" ref="U175:AB175" si="353">+U424*U385</f>
        <v>1474.4774504270838</v>
      </c>
      <c r="V175" s="311">
        <f t="shared" si="353"/>
        <v>1577.2946184169391</v>
      </c>
      <c r="W175" s="311">
        <f t="shared" si="353"/>
        <v>1720.4471523046959</v>
      </c>
      <c r="X175" s="311">
        <f t="shared" si="353"/>
        <v>1841.6572151606058</v>
      </c>
      <c r="Y175" s="311">
        <f t="shared" si="353"/>
        <v>1970.8277036346035</v>
      </c>
      <c r="Z175" s="311">
        <f t="shared" si="353"/>
        <v>2108.4651054358337</v>
      </c>
      <c r="AA175" s="311">
        <f t="shared" si="353"/>
        <v>2255.1076237003467</v>
      </c>
      <c r="AB175" s="311">
        <f t="shared" si="353"/>
        <v>2411.3271456715811</v>
      </c>
      <c r="AD175" s="518"/>
      <c r="AE175" s="518"/>
      <c r="AF175" s="518"/>
      <c r="AG175" s="518"/>
      <c r="AH175" s="518"/>
      <c r="AI175" s="518"/>
      <c r="AJ175" s="518"/>
      <c r="AK175" s="518"/>
      <c r="AL175" s="518"/>
      <c r="AM175" s="518"/>
      <c r="AN175" s="518"/>
      <c r="AO175" s="518"/>
      <c r="AP175" s="518"/>
      <c r="AQ175" s="518"/>
      <c r="AR175" s="518"/>
      <c r="AS175" s="518"/>
      <c r="AT175" s="518"/>
      <c r="AU175" s="518"/>
      <c r="AV175" s="518"/>
      <c r="AW175" s="518"/>
      <c r="AX175" s="518"/>
      <c r="AY175" s="518"/>
      <c r="AZ175" s="518"/>
      <c r="BA175" s="518"/>
      <c r="BB175" s="518"/>
      <c r="BC175" s="518"/>
      <c r="BD175" s="519"/>
      <c r="BE175" s="519"/>
      <c r="BF175" s="516"/>
      <c r="BG175" s="516"/>
      <c r="BH175" s="516"/>
      <c r="BI175" s="516"/>
      <c r="BJ175" s="516"/>
      <c r="BK175" s="516"/>
      <c r="BL175" s="516"/>
      <c r="BM175" s="516"/>
      <c r="BN175" s="520" t="s">
        <v>618</v>
      </c>
      <c r="BO175" s="520" t="s">
        <v>618</v>
      </c>
      <c r="BP175" s="520" t="s">
        <v>618</v>
      </c>
      <c r="BQ175" s="520" t="s">
        <v>618</v>
      </c>
      <c r="BR175" s="520" t="s">
        <v>618</v>
      </c>
      <c r="BS175" s="520" t="s">
        <v>618</v>
      </c>
      <c r="BT175" s="520" t="s">
        <v>618</v>
      </c>
      <c r="BU175" s="520" t="s">
        <v>618</v>
      </c>
      <c r="BV175" s="516">
        <f>-2+101+15+12</f>
        <v>126</v>
      </c>
      <c r="BW175" s="516">
        <f>177+22+13+1</f>
        <v>213</v>
      </c>
      <c r="BX175" s="516">
        <f>127+23+5+1</f>
        <v>156</v>
      </c>
      <c r="BY175" s="516">
        <f>79+58</f>
        <v>137</v>
      </c>
      <c r="BZ175" s="516">
        <f>178+10</f>
        <v>188</v>
      </c>
      <c r="CA175" s="516">
        <v>202</v>
      </c>
      <c r="CB175" s="516">
        <f>210+3</f>
        <v>213</v>
      </c>
      <c r="CC175" s="516">
        <f>217+7</f>
        <v>224</v>
      </c>
      <c r="CD175" s="516">
        <f>193+1</f>
        <v>194</v>
      </c>
      <c r="CE175" s="516">
        <v>224</v>
      </c>
      <c r="CF175" s="516">
        <v>246</v>
      </c>
      <c r="CG175" s="516">
        <f>199+33</f>
        <v>232</v>
      </c>
      <c r="CH175" s="516">
        <f>192+19</f>
        <v>211</v>
      </c>
      <c r="CI175" s="516">
        <v>240</v>
      </c>
      <c r="CJ175" s="516">
        <v>254</v>
      </c>
      <c r="CK175" s="516">
        <v>254</v>
      </c>
      <c r="CL175" s="516">
        <v>222</v>
      </c>
      <c r="CM175" s="516">
        <v>270</v>
      </c>
      <c r="CN175" s="516">
        <v>277</v>
      </c>
      <c r="CO175" s="517">
        <v>257</v>
      </c>
      <c r="CP175" s="517">
        <v>239</v>
      </c>
      <c r="CQ175" s="516">
        <v>285</v>
      </c>
      <c r="CR175" s="517">
        <v>279</v>
      </c>
      <c r="CS175" s="433">
        <v>257</v>
      </c>
      <c r="CT175" s="694">
        <v>251</v>
      </c>
      <c r="CU175" s="694">
        <v>297</v>
      </c>
      <c r="CV175" s="694">
        <v>286</v>
      </c>
      <c r="CW175" s="694">
        <v>278</v>
      </c>
      <c r="CX175" s="694">
        <v>293</v>
      </c>
      <c r="CY175" s="433">
        <v>338</v>
      </c>
      <c r="CZ175" s="694">
        <v>313</v>
      </c>
      <c r="DA175" s="989">
        <v>290</v>
      </c>
      <c r="DB175" s="989">
        <v>270</v>
      </c>
      <c r="DC175" s="989">
        <v>371</v>
      </c>
      <c r="DD175" s="989">
        <v>362</v>
      </c>
      <c r="DE175" s="989">
        <v>369</v>
      </c>
      <c r="DF175" s="414">
        <f>+DF424*DF385</f>
        <v>327.28124676378314</v>
      </c>
      <c r="DG175" s="414">
        <f>+DG424*DG385</f>
        <v>388.9442589465973</v>
      </c>
      <c r="DH175" s="414">
        <f>+DH424*DH385</f>
        <v>385.74125405686459</v>
      </c>
      <c r="DI175" s="385">
        <f>U175-DH175-DG175-DF175</f>
        <v>372.51069065983876</v>
      </c>
      <c r="DJ175" s="16"/>
    </row>
    <row r="176" spans="1:114">
      <c r="A176" s="932" t="s">
        <v>229</v>
      </c>
      <c r="B176" s="761"/>
      <c r="C176" s="761"/>
      <c r="D176" s="761"/>
      <c r="E176" s="761"/>
      <c r="F176" s="514"/>
      <c r="G176" s="515"/>
      <c r="H176" s="515"/>
      <c r="I176" s="515"/>
      <c r="J176" s="514" t="s">
        <v>618</v>
      </c>
      <c r="K176" s="514" t="s">
        <v>618</v>
      </c>
      <c r="L176" s="515">
        <f>SUM(BV176:BY176)</f>
        <v>73</v>
      </c>
      <c r="M176" s="515">
        <f>SUM(BZ176:CC176)</f>
        <v>83</v>
      </c>
      <c r="N176" s="515">
        <f>SUM(CD176:CG176)</f>
        <v>95</v>
      </c>
      <c r="O176" s="515">
        <f>SUM(CH176:CK176)</f>
        <v>104</v>
      </c>
      <c r="P176" s="515">
        <f>SUM(CL176:CO176)</f>
        <v>118</v>
      </c>
      <c r="Q176" s="515">
        <f>SUM(CP176:CS176)</f>
        <v>134</v>
      </c>
      <c r="R176" s="515">
        <f>+SUM(CT176:CW176)</f>
        <v>152</v>
      </c>
      <c r="S176" s="800">
        <f t="shared" si="349"/>
        <v>167</v>
      </c>
      <c r="T176" s="793">
        <f t="shared" si="344"/>
        <v>147</v>
      </c>
      <c r="U176" s="311">
        <f t="shared" ref="U176:AB176" si="354">T176*(1+U228)</f>
        <v>151.41</v>
      </c>
      <c r="V176" s="311">
        <f t="shared" si="354"/>
        <v>158.98050000000001</v>
      </c>
      <c r="W176" s="311">
        <f t="shared" si="354"/>
        <v>170.10913500000001</v>
      </c>
      <c r="X176" s="311">
        <f t="shared" si="354"/>
        <v>183.71786580000003</v>
      </c>
      <c r="Y176" s="311">
        <f t="shared" si="354"/>
        <v>198.41529506400005</v>
      </c>
      <c r="Z176" s="311">
        <f t="shared" si="354"/>
        <v>214.28851866912007</v>
      </c>
      <c r="AA176" s="311">
        <f t="shared" si="354"/>
        <v>231.43160016264969</v>
      </c>
      <c r="AB176" s="311">
        <f t="shared" si="354"/>
        <v>249.94612817566167</v>
      </c>
      <c r="AD176" s="518"/>
      <c r="AE176" s="518"/>
      <c r="AF176" s="518"/>
      <c r="AG176" s="518"/>
      <c r="AH176" s="518"/>
      <c r="AI176" s="518"/>
      <c r="AJ176" s="518"/>
      <c r="AK176" s="518"/>
      <c r="AL176" s="518"/>
      <c r="AM176" s="518"/>
      <c r="AN176" s="518"/>
      <c r="AO176" s="518"/>
      <c r="AP176" s="518"/>
      <c r="AQ176" s="518"/>
      <c r="AR176" s="518"/>
      <c r="AS176" s="518"/>
      <c r="AT176" s="518"/>
      <c r="AU176" s="518"/>
      <c r="AV176" s="518"/>
      <c r="AW176" s="518"/>
      <c r="AX176" s="518"/>
      <c r="AY176" s="518"/>
      <c r="AZ176" s="518"/>
      <c r="BA176" s="518"/>
      <c r="BB176" s="518"/>
      <c r="BC176" s="518"/>
      <c r="BD176" s="519"/>
      <c r="BE176" s="519"/>
      <c r="BF176" s="516"/>
      <c r="BG176" s="516"/>
      <c r="BH176" s="516"/>
      <c r="BI176" s="516"/>
      <c r="BJ176" s="516"/>
      <c r="BK176" s="516"/>
      <c r="BL176" s="516"/>
      <c r="BM176" s="516"/>
      <c r="BN176" s="520" t="s">
        <v>618</v>
      </c>
      <c r="BO176" s="520" t="s">
        <v>618</v>
      </c>
      <c r="BP176" s="520" t="s">
        <v>618</v>
      </c>
      <c r="BQ176" s="520" t="s">
        <v>618</v>
      </c>
      <c r="BR176" s="520" t="s">
        <v>618</v>
      </c>
      <c r="BS176" s="520" t="s">
        <v>618</v>
      </c>
      <c r="BT176" s="520" t="s">
        <v>618</v>
      </c>
      <c r="BU176" s="520" t="s">
        <v>618</v>
      </c>
      <c r="BV176" s="516">
        <f>1+2+1+5</f>
        <v>9</v>
      </c>
      <c r="BW176" s="516">
        <f>9+1+5</f>
        <v>15</v>
      </c>
      <c r="BX176" s="516">
        <f>12+1+1+5</f>
        <v>19</v>
      </c>
      <c r="BY176" s="516">
        <f>21+9</f>
        <v>30</v>
      </c>
      <c r="BZ176" s="516">
        <v>12</v>
      </c>
      <c r="CA176" s="516">
        <v>17</v>
      </c>
      <c r="CB176" s="516">
        <f>12+5</f>
        <v>17</v>
      </c>
      <c r="CC176" s="516">
        <f>30+7</f>
        <v>37</v>
      </c>
      <c r="CD176" s="516">
        <f>12+3</f>
        <v>15</v>
      </c>
      <c r="CE176" s="516">
        <v>19</v>
      </c>
      <c r="CF176" s="516">
        <v>24</v>
      </c>
      <c r="CG176" s="516">
        <f>37</f>
        <v>37</v>
      </c>
      <c r="CH176" s="516">
        <v>15</v>
      </c>
      <c r="CI176" s="516">
        <v>22</v>
      </c>
      <c r="CJ176" s="516">
        <v>26</v>
      </c>
      <c r="CK176" s="516">
        <v>41</v>
      </c>
      <c r="CL176" s="516">
        <v>20</v>
      </c>
      <c r="CM176" s="516">
        <v>25</v>
      </c>
      <c r="CN176" s="516">
        <v>28</v>
      </c>
      <c r="CO176" s="517">
        <v>45</v>
      </c>
      <c r="CP176" s="517">
        <v>22</v>
      </c>
      <c r="CQ176" s="516">
        <v>28</v>
      </c>
      <c r="CR176" s="517">
        <v>31</v>
      </c>
      <c r="CS176" s="433">
        <v>53</v>
      </c>
      <c r="CT176" s="694">
        <v>27</v>
      </c>
      <c r="CU176" s="694">
        <v>35</v>
      </c>
      <c r="CV176" s="694">
        <v>35</v>
      </c>
      <c r="CW176" s="694">
        <v>55</v>
      </c>
      <c r="CX176" s="433">
        <v>28</v>
      </c>
      <c r="CY176" s="433">
        <v>37</v>
      </c>
      <c r="CZ176" s="694">
        <v>38</v>
      </c>
      <c r="DA176" s="989">
        <v>64</v>
      </c>
      <c r="DB176" s="989">
        <v>21</v>
      </c>
      <c r="DC176" s="989">
        <v>25</v>
      </c>
      <c r="DD176" s="989">
        <v>36</v>
      </c>
      <c r="DE176" s="989">
        <v>65</v>
      </c>
      <c r="DF176" s="385">
        <f>+DF441*DF433/1000</f>
        <v>25.080283162090126</v>
      </c>
      <c r="DG176" s="385">
        <f>+DG441*DG433/1000</f>
        <v>28.763816294366293</v>
      </c>
      <c r="DH176" s="385">
        <f>+DH441*DH433/1000</f>
        <v>36.747970017402018</v>
      </c>
      <c r="DI176" s="385">
        <f>+U176-SUM(DF176:DH176)</f>
        <v>60.817930526141566</v>
      </c>
      <c r="DJ176" s="16"/>
    </row>
    <row r="177" spans="1:114">
      <c r="A177" s="932" t="s">
        <v>212</v>
      </c>
      <c r="B177" s="761">
        <v>228</v>
      </c>
      <c r="C177" s="761">
        <v>262</v>
      </c>
      <c r="D177" s="761">
        <v>296</v>
      </c>
      <c r="E177" s="761">
        <v>345</v>
      </c>
      <c r="F177" s="514">
        <f>SUM(AX177:BA177)</f>
        <v>312.92</v>
      </c>
      <c r="G177" s="736">
        <f>SUM(BB177:BE177)</f>
        <v>284</v>
      </c>
      <c r="H177" s="515">
        <f>SUM(BF177:BI177)</f>
        <v>231</v>
      </c>
      <c r="I177" s="515">
        <f>SUM(BJ177:BM177)</f>
        <v>279</v>
      </c>
      <c r="J177" s="515">
        <f>SUM(BN177:BQ177)</f>
        <v>129</v>
      </c>
      <c r="K177" s="515">
        <f>SUM(BR177:BU177)</f>
        <v>73</v>
      </c>
      <c r="L177" s="515">
        <f>SUM(BV177:BY177)</f>
        <v>289</v>
      </c>
      <c r="M177" s="515">
        <f>SUM(BZ177:CC177)</f>
        <v>157</v>
      </c>
      <c r="N177" s="515">
        <f>SUM(CD177:CG177)</f>
        <v>141</v>
      </c>
      <c r="O177" s="515">
        <f>SUM(CH177:CK177)</f>
        <v>183</v>
      </c>
      <c r="P177" s="515">
        <f>SUM(CL177:CO177)</f>
        <v>162</v>
      </c>
      <c r="Q177" s="515">
        <f>SUM(CP177:CS177)</f>
        <v>-157</v>
      </c>
      <c r="R177" s="515">
        <f>+SUM(CT177:CW177)</f>
        <v>-155</v>
      </c>
      <c r="S177" s="800">
        <f t="shared" si="349"/>
        <v>-24</v>
      </c>
      <c r="T177" s="793">
        <f t="shared" si="344"/>
        <v>-51</v>
      </c>
      <c r="U177" s="914">
        <v>-200</v>
      </c>
      <c r="V177" s="914">
        <v>-100</v>
      </c>
      <c r="W177" s="914">
        <v>0</v>
      </c>
      <c r="X177" s="914">
        <f>+W177+5</f>
        <v>5</v>
      </c>
      <c r="Y177" s="914">
        <f t="shared" ref="Y177:AB177" si="355">+X177+5</f>
        <v>10</v>
      </c>
      <c r="Z177" s="914">
        <f t="shared" si="355"/>
        <v>15</v>
      </c>
      <c r="AA177" s="914">
        <f t="shared" si="355"/>
        <v>20</v>
      </c>
      <c r="AB177" s="914">
        <f t="shared" si="355"/>
        <v>25</v>
      </c>
      <c r="AD177" s="518">
        <v>42</v>
      </c>
      <c r="AE177" s="518">
        <v>51</v>
      </c>
      <c r="AF177" s="518">
        <v>44</v>
      </c>
      <c r="AG177" s="518">
        <v>46</v>
      </c>
      <c r="AH177" s="518">
        <v>50</v>
      </c>
      <c r="AI177" s="518">
        <v>60</v>
      </c>
      <c r="AJ177" s="518">
        <v>58</v>
      </c>
      <c r="AK177" s="518">
        <v>60</v>
      </c>
      <c r="AL177" s="518">
        <v>58</v>
      </c>
      <c r="AM177" s="518">
        <v>69</v>
      </c>
      <c r="AN177" s="518">
        <v>66</v>
      </c>
      <c r="AO177" s="518">
        <v>69</v>
      </c>
      <c r="AP177" s="518">
        <v>64</v>
      </c>
      <c r="AQ177" s="518">
        <v>76</v>
      </c>
      <c r="AR177" s="518">
        <v>74.87700000000001</v>
      </c>
      <c r="AS177" s="518">
        <v>81</v>
      </c>
      <c r="AT177" s="518">
        <v>71</v>
      </c>
      <c r="AU177" s="518">
        <v>104</v>
      </c>
      <c r="AV177" s="518">
        <v>82</v>
      </c>
      <c r="AW177" s="518">
        <v>88</v>
      </c>
      <c r="AX177" s="521">
        <v>83</v>
      </c>
      <c r="AY177" s="521">
        <v>81.92</v>
      </c>
      <c r="AZ177" s="521">
        <v>76</v>
      </c>
      <c r="BA177" s="521">
        <v>72</v>
      </c>
      <c r="BB177" s="518">
        <v>70</v>
      </c>
      <c r="BC177" s="385">
        <v>125</v>
      </c>
      <c r="BD177" s="522">
        <v>55</v>
      </c>
      <c r="BE177" s="522">
        <f>-106+140</f>
        <v>34</v>
      </c>
      <c r="BF177" s="385">
        <v>41</v>
      </c>
      <c r="BG177" s="516">
        <v>70</v>
      </c>
      <c r="BH177" s="516">
        <f>-121+200</f>
        <v>79</v>
      </c>
      <c r="BI177" s="516">
        <v>41</v>
      </c>
      <c r="BJ177" s="516">
        <v>96</v>
      </c>
      <c r="BK177" s="516">
        <f>-59+103</f>
        <v>44</v>
      </c>
      <c r="BL177" s="516">
        <v>101</v>
      </c>
      <c r="BM177" s="516">
        <v>38</v>
      </c>
      <c r="BN177" s="516">
        <f>160-129</f>
        <v>31</v>
      </c>
      <c r="BO177" s="516">
        <f>139-78</f>
        <v>61</v>
      </c>
      <c r="BP177" s="516">
        <f>33-7-10</f>
        <v>16</v>
      </c>
      <c r="BQ177" s="516">
        <f>89-68</f>
        <v>21</v>
      </c>
      <c r="BR177" s="516">
        <v>74</v>
      </c>
      <c r="BS177" s="516">
        <v>30</v>
      </c>
      <c r="BT177" s="516">
        <v>-7</v>
      </c>
      <c r="BU177" s="516">
        <f>-26+2</f>
        <v>-24</v>
      </c>
      <c r="BV177" s="516">
        <v>120</v>
      </c>
      <c r="BW177" s="516">
        <v>83</v>
      </c>
      <c r="BX177" s="516">
        <f>57+3</f>
        <v>60</v>
      </c>
      <c r="BY177" s="516">
        <f>10+16</f>
        <v>26</v>
      </c>
      <c r="BZ177" s="516">
        <v>21</v>
      </c>
      <c r="CA177" s="516">
        <v>39</v>
      </c>
      <c r="CB177" s="516">
        <v>27</v>
      </c>
      <c r="CC177" s="516">
        <v>70</v>
      </c>
      <c r="CD177" s="516">
        <v>21</v>
      </c>
      <c r="CE177" s="516">
        <f>-463+490</f>
        <v>27</v>
      </c>
      <c r="CF177" s="516">
        <v>83</v>
      </c>
      <c r="CG177" s="516">
        <v>10</v>
      </c>
      <c r="CH177" s="516">
        <v>52</v>
      </c>
      <c r="CI177" s="516">
        <v>42</v>
      </c>
      <c r="CJ177" s="516">
        <v>79</v>
      </c>
      <c r="CK177" s="516">
        <v>10</v>
      </c>
      <c r="CL177" s="516">
        <v>50</v>
      </c>
      <c r="CM177" s="516">
        <v>43</v>
      </c>
      <c r="CN177" s="516">
        <v>92</v>
      </c>
      <c r="CO177" s="517">
        <v>-23</v>
      </c>
      <c r="CP177" s="517">
        <v>-1</v>
      </c>
      <c r="CQ177" s="516">
        <f>+-53+9</f>
        <v>-44</v>
      </c>
      <c r="CR177" s="517">
        <f>-89+14</f>
        <v>-75</v>
      </c>
      <c r="CS177" s="433">
        <f>-42+5</f>
        <v>-37</v>
      </c>
      <c r="CT177" s="694">
        <v>-41</v>
      </c>
      <c r="CU177" s="694">
        <f>+-63+3</f>
        <v>-60</v>
      </c>
      <c r="CV177" s="694">
        <f>+-35+1</f>
        <v>-34</v>
      </c>
      <c r="CW177" s="694">
        <f>-30+10</f>
        <v>-20</v>
      </c>
      <c r="CX177" s="516">
        <f>-21+25</f>
        <v>4</v>
      </c>
      <c r="CY177" s="517">
        <f>-33+27</f>
        <v>-6</v>
      </c>
      <c r="CZ177" s="694">
        <v>9</v>
      </c>
      <c r="DA177" s="989">
        <f>-53+21+1</f>
        <v>-31</v>
      </c>
      <c r="DB177" s="989">
        <v>-13</v>
      </c>
      <c r="DC177" s="989">
        <v>-8</v>
      </c>
      <c r="DD177" s="989">
        <v>-10</v>
      </c>
      <c r="DE177" s="989">
        <v>-20</v>
      </c>
      <c r="DF177" s="414">
        <f>+$U177/4</f>
        <v>-50</v>
      </c>
      <c r="DG177" s="414">
        <f t="shared" ref="DG177:DH177" si="356">+$U177/4</f>
        <v>-50</v>
      </c>
      <c r="DH177" s="414">
        <f t="shared" si="356"/>
        <v>-50</v>
      </c>
      <c r="DI177" s="385">
        <f>+U177-SUM(DF177:DH177)</f>
        <v>-50</v>
      </c>
      <c r="DJ177" s="16"/>
    </row>
    <row r="178" spans="1:114" hidden="1" outlineLevel="1">
      <c r="A178" s="932"/>
      <c r="F178" s="514"/>
      <c r="G178" s="736"/>
      <c r="H178" s="515"/>
      <c r="I178" s="515"/>
      <c r="J178" s="515"/>
      <c r="K178" s="515"/>
      <c r="L178" s="515"/>
      <c r="M178" s="515"/>
      <c r="N178" s="515"/>
      <c r="O178" s="515"/>
      <c r="P178" s="515"/>
      <c r="Q178" s="515"/>
      <c r="AD178" s="518"/>
      <c r="AE178" s="518"/>
      <c r="AF178" s="518"/>
      <c r="AG178" s="518"/>
      <c r="AH178" s="518"/>
      <c r="AI178" s="518"/>
      <c r="AJ178" s="518"/>
      <c r="AK178" s="518"/>
      <c r="AL178" s="518"/>
      <c r="AM178" s="518"/>
      <c r="AN178" s="518"/>
      <c r="AO178" s="518"/>
      <c r="AP178" s="518"/>
      <c r="AQ178" s="518"/>
      <c r="AR178" s="518"/>
      <c r="AS178" s="518"/>
      <c r="AT178" s="518"/>
      <c r="AU178" s="518"/>
      <c r="AV178" s="518"/>
      <c r="AW178" s="518"/>
      <c r="AX178" s="521"/>
      <c r="AY178" s="521"/>
      <c r="AZ178" s="521"/>
      <c r="BA178" s="521"/>
      <c r="BB178" s="518"/>
      <c r="BC178" s="385"/>
      <c r="BD178" s="522"/>
      <c r="BE178" s="522"/>
      <c r="BF178" s="385"/>
      <c r="BG178" s="516"/>
      <c r="BH178" s="516"/>
      <c r="BI178" s="516"/>
      <c r="BJ178" s="516"/>
      <c r="BK178" s="516"/>
      <c r="BL178" s="516"/>
      <c r="BM178" s="516"/>
      <c r="BN178" s="516"/>
      <c r="BO178" s="516"/>
      <c r="BP178" s="516"/>
      <c r="BQ178" s="516"/>
      <c r="BR178" s="516"/>
      <c r="BS178" s="516"/>
      <c r="BT178" s="516"/>
      <c r="BU178" s="516"/>
      <c r="BV178" s="516"/>
      <c r="BW178" s="516"/>
      <c r="BX178" s="516"/>
      <c r="BY178" s="385"/>
      <c r="BZ178" s="516"/>
      <c r="CA178" s="516"/>
      <c r="CB178" s="516"/>
      <c r="CC178" s="385"/>
      <c r="CD178" s="516"/>
      <c r="CE178" s="516"/>
      <c r="CF178" s="516"/>
      <c r="CG178" s="385"/>
      <c r="CH178" s="385"/>
      <c r="CI178" s="385"/>
      <c r="CJ178" s="385"/>
      <c r="CK178" s="385"/>
      <c r="CL178" s="385"/>
      <c r="CM178" s="385"/>
      <c r="CN178" s="385"/>
      <c r="CO178" s="385"/>
      <c r="CP178" s="385"/>
      <c r="CQ178" s="385"/>
      <c r="CR178" s="414"/>
      <c r="CS178" s="385"/>
      <c r="CT178" s="409"/>
      <c r="CU178" s="385"/>
      <c r="CV178" s="385"/>
      <c r="CW178" s="385"/>
      <c r="CX178" s="385"/>
      <c r="CY178" s="385"/>
      <c r="CZ178" s="385"/>
      <c r="DA178" s="1020"/>
      <c r="DB178" s="1020"/>
      <c r="DC178" s="1020"/>
      <c r="DD178" s="1020"/>
      <c r="DE178" s="1020"/>
      <c r="DF178" s="385"/>
      <c r="DG178" s="385"/>
      <c r="DH178" s="385"/>
      <c r="DI178" s="385"/>
    </row>
    <row r="179" spans="1:114" hidden="1" outlineLevel="1">
      <c r="A179" s="515" t="s">
        <v>327</v>
      </c>
      <c r="B179" s="761">
        <v>5045</v>
      </c>
      <c r="C179" s="761">
        <v>5270</v>
      </c>
      <c r="D179" s="761">
        <v>5406</v>
      </c>
      <c r="E179" s="761">
        <v>5724</v>
      </c>
      <c r="F179" s="514">
        <f>SUM(AX179:BA179)</f>
        <v>6286</v>
      </c>
      <c r="G179" s="736">
        <f>SUM(BB179:BE179)</f>
        <v>6860</v>
      </c>
      <c r="H179" s="515">
        <f>SUM(BF179:BI179)</f>
        <v>7915</v>
      </c>
      <c r="I179" s="515">
        <f>SUM(BJ179:BM179)</f>
        <v>8157</v>
      </c>
      <c r="J179" s="515">
        <f>SUM(BN179:BQ179)</f>
        <v>0</v>
      </c>
      <c r="K179" s="515">
        <f>SUM(BR179:BU179)</f>
        <v>0</v>
      </c>
      <c r="L179" s="515"/>
      <c r="M179" s="515"/>
      <c r="N179" s="515"/>
      <c r="O179" s="515"/>
      <c r="P179" s="515"/>
      <c r="Q179" s="515"/>
      <c r="R179" s="460">
        <v>0</v>
      </c>
      <c r="S179" s="460">
        <v>0</v>
      </c>
      <c r="T179" s="460">
        <v>0</v>
      </c>
      <c r="U179" s="460">
        <v>0</v>
      </c>
      <c r="V179" s="460">
        <v>0</v>
      </c>
      <c r="W179" s="460">
        <v>0</v>
      </c>
      <c r="X179" s="460">
        <v>0</v>
      </c>
      <c r="Y179" s="460">
        <v>0</v>
      </c>
      <c r="Z179" s="460">
        <v>0</v>
      </c>
      <c r="AA179" s="460">
        <v>0</v>
      </c>
      <c r="AB179" s="460">
        <v>0</v>
      </c>
      <c r="AD179" s="518">
        <v>1418</v>
      </c>
      <c r="AE179" s="518">
        <v>1252</v>
      </c>
      <c r="AF179" s="518">
        <v>1374</v>
      </c>
      <c r="AG179" s="518">
        <v>985</v>
      </c>
      <c r="AH179" s="518">
        <v>1431</v>
      </c>
      <c r="AI179" s="518">
        <v>1252</v>
      </c>
      <c r="AJ179" s="518">
        <v>1375</v>
      </c>
      <c r="AK179" s="518">
        <v>987</v>
      </c>
      <c r="AL179" s="518">
        <f>1490</f>
        <v>1490</v>
      </c>
      <c r="AM179" s="518">
        <f>1310</f>
        <v>1310</v>
      </c>
      <c r="AN179" s="518">
        <v>1439</v>
      </c>
      <c r="AO179" s="518">
        <v>1031</v>
      </c>
      <c r="AP179" s="518">
        <v>1558</v>
      </c>
      <c r="AQ179" s="518">
        <v>1348</v>
      </c>
      <c r="AR179" s="518">
        <v>1440</v>
      </c>
      <c r="AS179" s="518">
        <v>1060</v>
      </c>
      <c r="AT179" s="518">
        <v>1564</v>
      </c>
      <c r="AU179" s="518">
        <v>1428</v>
      </c>
      <c r="AV179" s="518">
        <v>1555</v>
      </c>
      <c r="AW179" s="518">
        <v>1177</v>
      </c>
      <c r="AX179" s="521">
        <v>1690</v>
      </c>
      <c r="AY179" s="521">
        <v>1603</v>
      </c>
      <c r="AZ179" s="521">
        <v>1719</v>
      </c>
      <c r="BA179" s="521">
        <v>1274</v>
      </c>
      <c r="BB179" s="518">
        <v>1835</v>
      </c>
      <c r="BC179" s="385">
        <f>1468+23+250</f>
        <v>1741</v>
      </c>
      <c r="BD179" s="522">
        <f>1840+1</f>
        <v>1841</v>
      </c>
      <c r="BE179" s="522">
        <f>1423+20</f>
        <v>1443</v>
      </c>
      <c r="BF179" s="516">
        <f>2075+3</f>
        <v>2078</v>
      </c>
      <c r="BG179" s="516">
        <f>2024+21</f>
        <v>2045</v>
      </c>
      <c r="BH179" s="516">
        <f>2202+33</f>
        <v>2235</v>
      </c>
      <c r="BI179" s="516">
        <f>1524+33</f>
        <v>1557</v>
      </c>
      <c r="BJ179" s="516">
        <f>1967+61+2</f>
        <v>2030</v>
      </c>
      <c r="BK179" s="516">
        <f>2139+21</f>
        <v>2160</v>
      </c>
      <c r="BL179" s="516">
        <f>2119+65</f>
        <v>2184</v>
      </c>
      <c r="BM179" s="516">
        <f>2233-488+38</f>
        <v>1783</v>
      </c>
      <c r="BN179" s="378"/>
      <c r="BO179" s="378"/>
      <c r="BP179" s="378"/>
      <c r="BQ179" s="378"/>
      <c r="BR179" s="385"/>
      <c r="BS179" s="385"/>
      <c r="BT179" s="385"/>
      <c r="BU179" s="385"/>
      <c r="BV179" s="385"/>
      <c r="BW179" s="385"/>
      <c r="BX179" s="385"/>
      <c r="BY179" s="385"/>
      <c r="BZ179" s="385"/>
      <c r="CA179" s="385"/>
      <c r="CB179" s="385"/>
      <c r="CC179" s="385"/>
      <c r="CD179" s="385"/>
      <c r="CE179" s="385"/>
      <c r="CF179" s="385"/>
      <c r="CG179" s="385"/>
      <c r="CH179" s="385"/>
      <c r="CI179" s="385"/>
      <c r="CJ179" s="385"/>
      <c r="CK179" s="385"/>
      <c r="CL179" s="385"/>
      <c r="CM179" s="385"/>
      <c r="CN179" s="385"/>
      <c r="CO179" s="385"/>
      <c r="CP179" s="385"/>
      <c r="CQ179" s="385"/>
      <c r="CR179" s="414"/>
      <c r="CS179" s="385"/>
      <c r="CT179" s="414"/>
      <c r="CU179" s="385"/>
      <c r="CV179" s="385"/>
      <c r="CW179" s="385"/>
      <c r="CX179" s="385"/>
      <c r="CY179" s="385"/>
      <c r="CZ179" s="385"/>
      <c r="DA179" s="1020"/>
      <c r="DB179" s="1020"/>
      <c r="DC179" s="1020"/>
      <c r="DD179" s="1020"/>
      <c r="DE179" s="1020"/>
      <c r="DF179" s="385"/>
      <c r="DG179" s="385"/>
      <c r="DH179" s="385"/>
      <c r="DI179" s="385"/>
    </row>
    <row r="180" spans="1:114" hidden="1" outlineLevel="1">
      <c r="A180" s="737" t="s">
        <v>341</v>
      </c>
      <c r="B180" s="380">
        <f t="shared" ref="B180:W180" si="357">SUM(B173,B179)</f>
        <v>10093</v>
      </c>
      <c r="C180" s="380">
        <f t="shared" si="357"/>
        <v>10620</v>
      </c>
      <c r="D180" s="380">
        <f t="shared" si="357"/>
        <v>11170</v>
      </c>
      <c r="E180" s="380">
        <f t="shared" si="357"/>
        <v>10765</v>
      </c>
      <c r="F180" s="380">
        <f t="shared" si="357"/>
        <v>10437.5</v>
      </c>
      <c r="G180" s="380">
        <f t="shared" si="357"/>
        <v>11297</v>
      </c>
      <c r="H180" s="380">
        <f t="shared" si="357"/>
        <v>12523</v>
      </c>
      <c r="I180" s="380">
        <f t="shared" si="357"/>
        <v>12979</v>
      </c>
      <c r="J180" s="737">
        <f>SUM(J173,J179)</f>
        <v>4889</v>
      </c>
      <c r="K180" s="515">
        <f>SUM(BR180:BU180)</f>
        <v>3838</v>
      </c>
      <c r="L180" s="737">
        <f t="shared" ref="L180:Q180" si="358">SUM(L173,L179)</f>
        <v>5309</v>
      </c>
      <c r="M180" s="737">
        <f t="shared" si="358"/>
        <v>5550</v>
      </c>
      <c r="N180" s="737">
        <f t="shared" si="358"/>
        <v>5851</v>
      </c>
      <c r="O180" s="737">
        <f t="shared" si="358"/>
        <v>6045.4057025950951</v>
      </c>
      <c r="P180" s="737">
        <f t="shared" si="358"/>
        <v>6186.7610462815064</v>
      </c>
      <c r="Q180" s="737">
        <f t="shared" si="358"/>
        <v>6585.9598715620705</v>
      </c>
      <c r="R180" s="380">
        <f t="shared" si="357"/>
        <v>7311.0281982798133</v>
      </c>
      <c r="S180" s="380">
        <f t="shared" si="357"/>
        <v>7683.8302240821558</v>
      </c>
      <c r="T180" s="380">
        <f t="shared" si="357"/>
        <v>8228.0269139640877</v>
      </c>
      <c r="U180" s="380">
        <f t="shared" si="357"/>
        <v>8082.4862331811846</v>
      </c>
      <c r="V180" s="380">
        <f t="shared" si="357"/>
        <v>8465.925532188945</v>
      </c>
      <c r="W180" s="380">
        <f t="shared" si="357"/>
        <v>8893.5253277479751</v>
      </c>
      <c r="X180" s="380">
        <f>SUM(X173,X179)</f>
        <v>9321.4093242403233</v>
      </c>
      <c r="Y180" s="380">
        <f>SUM(Y173,Y179)</f>
        <v>9732.3537700329089</v>
      </c>
      <c r="Z180" s="380">
        <f>SUM(Z173,Z179)</f>
        <v>10127.739449645913</v>
      </c>
      <c r="AA180" s="380">
        <f>SUM(AA173,AA179)</f>
        <v>10508.838608408501</v>
      </c>
      <c r="AB180" s="380">
        <f>SUM(AB173,AB179)</f>
        <v>10876.823660013928</v>
      </c>
      <c r="AD180" s="380">
        <f t="shared" ref="AD180:BA180" si="359">SUM(AD173,AD179)</f>
        <v>2549</v>
      </c>
      <c r="AE180" s="380">
        <f t="shared" si="359"/>
        <v>2496</v>
      </c>
      <c r="AF180" s="380">
        <f t="shared" si="359"/>
        <v>2774</v>
      </c>
      <c r="AG180" s="380">
        <f t="shared" si="359"/>
        <v>2399</v>
      </c>
      <c r="AH180" s="380">
        <f t="shared" si="359"/>
        <v>2479</v>
      </c>
      <c r="AI180" s="380">
        <f t="shared" si="359"/>
        <v>2448</v>
      </c>
      <c r="AJ180" s="380">
        <f t="shared" si="359"/>
        <v>2750</v>
      </c>
      <c r="AK180" s="380">
        <f t="shared" si="359"/>
        <v>2416</v>
      </c>
      <c r="AL180" s="380">
        <f t="shared" si="359"/>
        <v>2606</v>
      </c>
      <c r="AM180" s="380">
        <f t="shared" si="359"/>
        <v>2584</v>
      </c>
      <c r="AN180" s="380">
        <f t="shared" si="359"/>
        <v>2898</v>
      </c>
      <c r="AO180" s="380">
        <f t="shared" si="359"/>
        <v>2532</v>
      </c>
      <c r="AP180" s="380">
        <f t="shared" si="359"/>
        <v>2760</v>
      </c>
      <c r="AQ180" s="380">
        <f t="shared" si="359"/>
        <v>2731</v>
      </c>
      <c r="AR180" s="380">
        <f t="shared" si="359"/>
        <v>3017</v>
      </c>
      <c r="AS180" s="380">
        <f t="shared" si="359"/>
        <v>2662</v>
      </c>
      <c r="AT180" s="380">
        <f t="shared" si="359"/>
        <v>2814</v>
      </c>
      <c r="AU180" s="380">
        <f t="shared" si="359"/>
        <v>2882</v>
      </c>
      <c r="AV180" s="380">
        <f t="shared" si="359"/>
        <v>3073</v>
      </c>
      <c r="AW180" s="380">
        <f t="shared" si="359"/>
        <v>1998</v>
      </c>
      <c r="AX180" s="380">
        <f t="shared" si="359"/>
        <v>2432</v>
      </c>
      <c r="AY180" s="380">
        <f t="shared" si="359"/>
        <v>2807.5</v>
      </c>
      <c r="AZ180" s="380">
        <f t="shared" si="359"/>
        <v>2870.5</v>
      </c>
      <c r="BA180" s="380">
        <f t="shared" si="359"/>
        <v>2327.5</v>
      </c>
      <c r="BB180" s="380">
        <f t="shared" ref="BB180:BT180" si="360">SUM(BB173,BB179)</f>
        <v>2816</v>
      </c>
      <c r="BC180" s="380">
        <f t="shared" si="360"/>
        <v>2963</v>
      </c>
      <c r="BD180" s="380">
        <f t="shared" si="360"/>
        <v>2993</v>
      </c>
      <c r="BE180" s="380">
        <f t="shared" si="360"/>
        <v>2525</v>
      </c>
      <c r="BF180" s="379">
        <f t="shared" si="360"/>
        <v>3117</v>
      </c>
      <c r="BG180" s="379">
        <f t="shared" si="360"/>
        <v>3308</v>
      </c>
      <c r="BH180" s="379">
        <f t="shared" si="360"/>
        <v>3460</v>
      </c>
      <c r="BI180" s="379">
        <f t="shared" si="360"/>
        <v>2638</v>
      </c>
      <c r="BJ180" s="379">
        <f t="shared" si="360"/>
        <v>3146</v>
      </c>
      <c r="BK180" s="379">
        <f t="shared" si="360"/>
        <v>3461</v>
      </c>
      <c r="BL180" s="379">
        <f t="shared" si="360"/>
        <v>3454</v>
      </c>
      <c r="BM180" s="379">
        <f t="shared" si="360"/>
        <v>2918</v>
      </c>
      <c r="BN180" s="379">
        <f t="shared" si="360"/>
        <v>1130</v>
      </c>
      <c r="BO180" s="379">
        <f t="shared" si="360"/>
        <v>1322</v>
      </c>
      <c r="BP180" s="379">
        <f t="shared" si="360"/>
        <v>1317</v>
      </c>
      <c r="BQ180" s="379">
        <f t="shared" si="360"/>
        <v>1120</v>
      </c>
      <c r="BR180" s="379">
        <f t="shared" si="360"/>
        <v>1066</v>
      </c>
      <c r="BS180" s="379">
        <f t="shared" si="360"/>
        <v>1372</v>
      </c>
      <c r="BT180" s="379">
        <f t="shared" si="360"/>
        <v>1400</v>
      </c>
      <c r="BU180" s="379">
        <f>SUM(BU176,BU179)</f>
        <v>0</v>
      </c>
      <c r="BV180" s="379"/>
      <c r="BW180" s="379"/>
      <c r="BX180" s="379"/>
      <c r="BY180" s="379">
        <f>SUM(BY173,BY179)</f>
        <v>1227</v>
      </c>
      <c r="BZ180" s="379"/>
      <c r="CA180" s="379"/>
      <c r="CB180" s="379"/>
      <c r="CC180" s="379">
        <f>SUM(CC173,CC179)</f>
        <v>1239</v>
      </c>
      <c r="CD180" s="379"/>
      <c r="CE180" s="379"/>
      <c r="CF180" s="379"/>
      <c r="CG180" s="379">
        <f>SUM(CG173,CG179)</f>
        <v>1409</v>
      </c>
      <c r="CH180" s="385"/>
      <c r="CI180" s="385"/>
      <c r="CJ180" s="385"/>
      <c r="CK180" s="385"/>
      <c r="CL180" s="385"/>
      <c r="CM180" s="385"/>
      <c r="CN180" s="385"/>
      <c r="CO180" s="385"/>
      <c r="CP180" s="385"/>
      <c r="CQ180" s="385"/>
      <c r="CR180" s="414"/>
      <c r="CS180" s="385"/>
      <c r="CT180" s="414"/>
      <c r="CU180" s="385"/>
      <c r="CV180" s="385"/>
      <c r="CW180" s="385"/>
      <c r="CX180" s="385"/>
      <c r="CY180" s="385"/>
      <c r="CZ180" s="385"/>
      <c r="DA180" s="1020"/>
      <c r="DB180" s="1020"/>
      <c r="DC180" s="1020"/>
      <c r="DD180" s="1020"/>
      <c r="DE180" s="1020"/>
      <c r="DF180" s="385"/>
      <c r="DG180" s="385"/>
      <c r="DH180" s="385"/>
      <c r="DI180" s="385"/>
    </row>
    <row r="181" spans="1:114" hidden="1" outlineLevel="1">
      <c r="A181" s="737"/>
      <c r="AD181" s="380"/>
      <c r="AE181" s="380"/>
      <c r="AF181" s="380"/>
      <c r="AG181" s="380"/>
      <c r="AH181" s="380"/>
      <c r="AI181" s="380"/>
      <c r="AJ181" s="380"/>
      <c r="AK181" s="380"/>
      <c r="AL181" s="380"/>
      <c r="AM181" s="380"/>
      <c r="AN181" s="380"/>
      <c r="AO181" s="380"/>
      <c r="AP181" s="380"/>
      <c r="AQ181" s="380"/>
      <c r="AR181" s="380"/>
      <c r="AS181" s="380"/>
      <c r="AT181" s="380"/>
      <c r="AU181" s="380"/>
      <c r="AV181" s="380"/>
      <c r="AW181" s="380"/>
      <c r="AX181" s="520"/>
      <c r="AY181" s="520"/>
      <c r="AZ181" s="520"/>
      <c r="BA181" s="520"/>
      <c r="BB181" s="520"/>
      <c r="BC181" s="520"/>
      <c r="BD181" s="520"/>
      <c r="BE181" s="520"/>
      <c r="BF181" s="385"/>
      <c r="BG181" s="385"/>
      <c r="BH181" s="385"/>
      <c r="BI181" s="385"/>
      <c r="BJ181" s="385"/>
      <c r="BK181" s="385"/>
      <c r="BL181" s="385"/>
      <c r="BM181" s="385"/>
      <c r="BN181" s="385"/>
      <c r="BO181" s="385"/>
      <c r="BP181" s="385"/>
      <c r="BQ181" s="385"/>
      <c r="BR181" s="385"/>
      <c r="BS181" s="385"/>
      <c r="BT181" s="385"/>
      <c r="BU181" s="385"/>
      <c r="BV181" s="385"/>
      <c r="BW181" s="385"/>
      <c r="BX181" s="385"/>
      <c r="BY181" s="385"/>
      <c r="BZ181" s="385"/>
      <c r="CA181" s="385"/>
      <c r="CB181" s="385"/>
      <c r="CC181" s="385"/>
      <c r="CD181" s="385"/>
      <c r="CE181" s="385"/>
      <c r="CF181" s="385"/>
      <c r="CG181" s="385"/>
      <c r="CH181" s="385"/>
      <c r="CI181" s="385"/>
      <c r="CJ181" s="385"/>
      <c r="CK181" s="385"/>
      <c r="CL181" s="385"/>
      <c r="CM181" s="385"/>
      <c r="CN181" s="385"/>
      <c r="CO181" s="385"/>
      <c r="CP181" s="385"/>
      <c r="CQ181" s="385"/>
      <c r="CR181" s="414"/>
      <c r="CS181" s="385"/>
      <c r="CT181" s="414"/>
      <c r="CU181" s="385"/>
      <c r="CV181" s="385"/>
      <c r="CW181" s="385"/>
      <c r="CX181" s="385"/>
      <c r="CY181" s="385"/>
      <c r="CZ181" s="385"/>
      <c r="DA181" s="1020"/>
      <c r="DB181" s="1020"/>
      <c r="DC181" s="1020"/>
      <c r="DD181" s="1020"/>
      <c r="DE181" s="1020"/>
      <c r="DF181" s="385"/>
      <c r="DG181" s="385"/>
      <c r="DH181" s="385"/>
      <c r="DI181" s="385"/>
    </row>
    <row r="182" spans="1:114" hidden="1" outlineLevel="1">
      <c r="A182" s="515" t="s">
        <v>142</v>
      </c>
      <c r="B182" s="761">
        <v>540</v>
      </c>
      <c r="C182" s="761">
        <v>550</v>
      </c>
      <c r="D182" s="761">
        <v>500</v>
      </c>
      <c r="E182" s="761">
        <v>299</v>
      </c>
      <c r="F182" s="728">
        <v>0</v>
      </c>
      <c r="G182" s="311">
        <v>0</v>
      </c>
      <c r="H182" s="311">
        <v>0</v>
      </c>
      <c r="I182" s="311">
        <v>0</v>
      </c>
      <c r="J182" s="311">
        <v>0</v>
      </c>
      <c r="K182" s="311">
        <v>0</v>
      </c>
      <c r="L182" s="311">
        <v>0</v>
      </c>
      <c r="M182" s="311">
        <v>0</v>
      </c>
      <c r="N182" s="311">
        <v>0</v>
      </c>
      <c r="O182" s="311">
        <v>0</v>
      </c>
      <c r="P182" s="311">
        <v>0</v>
      </c>
      <c r="Q182" s="311">
        <v>0</v>
      </c>
      <c r="R182" s="311">
        <v>0</v>
      </c>
      <c r="S182" s="311">
        <v>0</v>
      </c>
      <c r="T182" s="311">
        <v>0</v>
      </c>
      <c r="U182" s="311">
        <v>0</v>
      </c>
      <c r="V182" s="311">
        <v>0</v>
      </c>
      <c r="W182" s="311">
        <v>0</v>
      </c>
      <c r="X182" s="311">
        <v>0</v>
      </c>
      <c r="Y182" s="311">
        <v>0</v>
      </c>
      <c r="Z182" s="311">
        <v>0</v>
      </c>
      <c r="AA182" s="311">
        <v>0</v>
      </c>
      <c r="AB182" s="311">
        <v>0</v>
      </c>
      <c r="AD182" s="518">
        <v>128</v>
      </c>
      <c r="AE182" s="518">
        <v>158</v>
      </c>
      <c r="AF182" s="518">
        <v>118</v>
      </c>
      <c r="AG182" s="518">
        <v>47</v>
      </c>
      <c r="AH182" s="518">
        <v>136</v>
      </c>
      <c r="AI182" s="518">
        <v>178</v>
      </c>
      <c r="AJ182" s="518">
        <v>140</v>
      </c>
      <c r="AK182" s="518">
        <v>86</v>
      </c>
      <c r="AL182" s="518">
        <v>153</v>
      </c>
      <c r="AM182" s="518">
        <v>193</v>
      </c>
      <c r="AN182" s="518">
        <v>145</v>
      </c>
      <c r="AO182" s="518">
        <v>59</v>
      </c>
      <c r="AP182" s="518">
        <v>124</v>
      </c>
      <c r="AQ182" s="518">
        <v>168</v>
      </c>
      <c r="AR182" s="518">
        <v>131</v>
      </c>
      <c r="AS182" s="518">
        <v>77</v>
      </c>
      <c r="AT182" s="518">
        <v>130</v>
      </c>
      <c r="AU182" s="518">
        <v>169</v>
      </c>
      <c r="AV182" s="518">
        <v>0</v>
      </c>
      <c r="AW182" s="518">
        <v>0</v>
      </c>
      <c r="AX182" s="520">
        <v>0</v>
      </c>
      <c r="AY182" s="520">
        <v>0</v>
      </c>
      <c r="AZ182" s="520">
        <v>0</v>
      </c>
      <c r="BA182" s="520">
        <v>0</v>
      </c>
      <c r="BB182" s="520">
        <v>0</v>
      </c>
      <c r="BC182" s="520">
        <v>0</v>
      </c>
      <c r="BD182" s="522">
        <v>0</v>
      </c>
      <c r="BE182" s="520">
        <v>0</v>
      </c>
      <c r="BF182" s="385">
        <v>0</v>
      </c>
      <c r="BG182" s="385">
        <v>0</v>
      </c>
      <c r="BH182" s="385">
        <v>0</v>
      </c>
      <c r="BI182" s="385">
        <v>0</v>
      </c>
      <c r="BJ182" s="385">
        <v>0</v>
      </c>
      <c r="BK182" s="385">
        <v>0</v>
      </c>
      <c r="BL182" s="385">
        <v>0</v>
      </c>
      <c r="BM182" s="385">
        <v>0</v>
      </c>
      <c r="BN182" s="516">
        <v>0</v>
      </c>
      <c r="BO182" s="516">
        <v>0</v>
      </c>
      <c r="BP182" s="516">
        <v>0</v>
      </c>
      <c r="BQ182" s="516">
        <v>0</v>
      </c>
      <c r="BR182" s="385"/>
      <c r="BS182" s="385"/>
      <c r="BT182" s="385"/>
      <c r="BU182" s="385"/>
      <c r="BV182" s="385"/>
      <c r="BW182" s="385"/>
      <c r="BX182" s="385"/>
      <c r="BY182" s="385"/>
      <c r="BZ182" s="385"/>
      <c r="CA182" s="385"/>
      <c r="CB182" s="385"/>
      <c r="CC182" s="385"/>
      <c r="CD182" s="385"/>
      <c r="CE182" s="385"/>
      <c r="CF182" s="385"/>
      <c r="CG182" s="385"/>
      <c r="CH182" s="385"/>
      <c r="CI182" s="385"/>
      <c r="CJ182" s="385"/>
      <c r="CK182" s="385"/>
      <c r="CL182" s="385"/>
      <c r="CM182" s="385"/>
      <c r="CN182" s="385"/>
      <c r="CO182" s="385"/>
      <c r="CP182" s="385"/>
      <c r="CQ182" s="385"/>
      <c r="CR182" s="414"/>
      <c r="CS182" s="385"/>
      <c r="CT182" s="414"/>
      <c r="CU182" s="385"/>
      <c r="CV182" s="385"/>
      <c r="CW182" s="385"/>
      <c r="CX182" s="385"/>
      <c r="CY182" s="385"/>
      <c r="CZ182" s="385"/>
      <c r="DA182" s="1020"/>
      <c r="DB182" s="1020"/>
      <c r="DC182" s="1020"/>
      <c r="DD182" s="1020"/>
      <c r="DE182" s="1020"/>
      <c r="DF182" s="385"/>
      <c r="DG182" s="385"/>
      <c r="DH182" s="385"/>
      <c r="DI182" s="385"/>
    </row>
    <row r="183" spans="1:114" hidden="1" outlineLevel="1">
      <c r="A183" s="737"/>
      <c r="AD183" s="520"/>
      <c r="AE183" s="520"/>
      <c r="AF183" s="520"/>
      <c r="AG183" s="520"/>
      <c r="AH183" s="520"/>
      <c r="AI183" s="520"/>
      <c r="AJ183" s="520"/>
      <c r="AK183" s="520"/>
      <c r="AL183" s="520"/>
      <c r="AM183" s="520"/>
      <c r="AN183" s="520"/>
      <c r="AO183" s="520"/>
      <c r="AP183" s="520"/>
      <c r="AQ183" s="520"/>
      <c r="AR183" s="520"/>
      <c r="AS183" s="520"/>
      <c r="AT183" s="520"/>
      <c r="AU183" s="520"/>
      <c r="AV183" s="520"/>
      <c r="AW183" s="520"/>
      <c r="AX183" s="520"/>
      <c r="AY183" s="520"/>
      <c r="AZ183" s="520"/>
      <c r="BA183" s="520"/>
      <c r="BB183" s="520"/>
      <c r="BC183" s="520"/>
      <c r="BD183" s="520"/>
      <c r="BE183" s="520"/>
      <c r="BF183" s="385"/>
      <c r="BG183" s="385"/>
      <c r="BH183" s="385"/>
      <c r="BI183" s="385"/>
      <c r="BJ183" s="385"/>
      <c r="BK183" s="385"/>
      <c r="BL183" s="385"/>
      <c r="BM183" s="385"/>
      <c r="BN183" s="385"/>
      <c r="BO183" s="385"/>
      <c r="BP183" s="385"/>
      <c r="BQ183" s="385"/>
      <c r="BR183" s="385"/>
      <c r="BS183" s="385"/>
      <c r="BT183" s="385"/>
      <c r="BU183" s="385"/>
      <c r="BV183" s="385"/>
      <c r="BW183" s="385"/>
      <c r="BX183" s="385"/>
      <c r="BY183" s="385"/>
      <c r="BZ183" s="385"/>
      <c r="CA183" s="385"/>
      <c r="CB183" s="385"/>
      <c r="CC183" s="385"/>
      <c r="CD183" s="385"/>
      <c r="CE183" s="385"/>
      <c r="CF183" s="385"/>
      <c r="CG183" s="385"/>
      <c r="CH183" s="385"/>
      <c r="CI183" s="385"/>
      <c r="CJ183" s="385"/>
      <c r="CK183" s="385"/>
      <c r="CL183" s="385"/>
      <c r="CM183" s="385"/>
      <c r="CN183" s="385"/>
      <c r="CO183" s="385"/>
      <c r="CP183" s="385"/>
      <c r="CQ183" s="385"/>
      <c r="CR183" s="414"/>
      <c r="CS183" s="385"/>
      <c r="CT183" s="414"/>
      <c r="CU183" s="385"/>
      <c r="CV183" s="385"/>
      <c r="CW183" s="385"/>
      <c r="CX183" s="385"/>
      <c r="CY183" s="385"/>
      <c r="CZ183" s="385"/>
      <c r="DA183" s="1020"/>
      <c r="DB183" s="1020"/>
      <c r="DC183" s="1020"/>
      <c r="DD183" s="1020"/>
      <c r="DE183" s="1020"/>
      <c r="DF183" s="385"/>
      <c r="DG183" s="385"/>
      <c r="DH183" s="385"/>
      <c r="DI183" s="385"/>
    </row>
    <row r="184" spans="1:114" hidden="1" outlineLevel="1">
      <c r="A184" s="515" t="s">
        <v>320</v>
      </c>
      <c r="B184" s="761">
        <v>3238</v>
      </c>
      <c r="C184" s="761">
        <v>3570</v>
      </c>
      <c r="D184" s="761">
        <v>4899</v>
      </c>
      <c r="E184" s="761">
        <v>5173</v>
      </c>
      <c r="F184" s="761">
        <v>4873</v>
      </c>
      <c r="G184" s="460">
        <v>4370</v>
      </c>
      <c r="H184" s="460">
        <v>4221</v>
      </c>
      <c r="I184" s="311">
        <v>4217</v>
      </c>
      <c r="J184" s="311">
        <v>0</v>
      </c>
      <c r="K184" s="311">
        <v>0</v>
      </c>
      <c r="L184" s="311">
        <v>0</v>
      </c>
      <c r="M184" s="311">
        <v>0</v>
      </c>
      <c r="N184" s="311">
        <v>0</v>
      </c>
      <c r="O184" s="311">
        <v>0</v>
      </c>
      <c r="P184" s="311">
        <v>0</v>
      </c>
      <c r="Q184" s="311">
        <v>0</v>
      </c>
      <c r="R184" s="311">
        <v>0</v>
      </c>
      <c r="S184" s="311">
        <v>0</v>
      </c>
      <c r="T184" s="311">
        <v>0</v>
      </c>
      <c r="U184" s="311">
        <v>0</v>
      </c>
      <c r="V184" s="311">
        <v>0</v>
      </c>
      <c r="W184" s="311">
        <v>0</v>
      </c>
      <c r="X184" s="311">
        <v>0</v>
      </c>
      <c r="Y184" s="311">
        <v>0</v>
      </c>
      <c r="Z184" s="311">
        <v>0</v>
      </c>
      <c r="AA184" s="311">
        <v>0</v>
      </c>
      <c r="AB184" s="311">
        <v>0</v>
      </c>
      <c r="AD184" s="518">
        <v>802</v>
      </c>
      <c r="AE184" s="518">
        <v>884</v>
      </c>
      <c r="AF184" s="518">
        <v>722</v>
      </c>
      <c r="AG184" s="518">
        <v>647</v>
      </c>
      <c r="AH184" s="518">
        <v>842</v>
      </c>
      <c r="AI184" s="518">
        <v>946</v>
      </c>
      <c r="AJ184" s="518">
        <v>773</v>
      </c>
      <c r="AK184" s="518">
        <v>677</v>
      </c>
      <c r="AL184" s="518">
        <f>893+34.33</f>
        <v>927.33</v>
      </c>
      <c r="AM184" s="518">
        <f>996+34.33</f>
        <v>1030.33</v>
      </c>
      <c r="AN184" s="518">
        <f>827+34.33</f>
        <v>861.33</v>
      </c>
      <c r="AO184" s="518">
        <v>751</v>
      </c>
      <c r="AP184" s="518">
        <v>1172</v>
      </c>
      <c r="AQ184" s="518">
        <v>1353</v>
      </c>
      <c r="AR184" s="518">
        <v>1220</v>
      </c>
      <c r="AS184" s="518">
        <v>1154</v>
      </c>
      <c r="AT184" s="518">
        <v>1260</v>
      </c>
      <c r="AU184" s="518">
        <v>1444</v>
      </c>
      <c r="AV184" s="518">
        <v>1303</v>
      </c>
      <c r="AW184" s="518">
        <v>1166</v>
      </c>
      <c r="AX184" s="521">
        <v>1297</v>
      </c>
      <c r="AY184" s="521">
        <v>1383</v>
      </c>
      <c r="AZ184" s="521">
        <v>1152</v>
      </c>
      <c r="BA184" s="521">
        <v>1041</v>
      </c>
      <c r="BB184" s="520">
        <f>846+262-15</f>
        <v>1093</v>
      </c>
      <c r="BC184" s="386">
        <f>1063+9+39</f>
        <v>1111</v>
      </c>
      <c r="BD184" s="523">
        <f>1074+6+13</f>
        <v>1093</v>
      </c>
      <c r="BE184" s="523">
        <f>947+21+6+33+4-1+4+50+9</f>
        <v>1073</v>
      </c>
      <c r="BF184" s="386">
        <v>1039</v>
      </c>
      <c r="BG184" s="386">
        <v>1084</v>
      </c>
      <c r="BH184" s="386">
        <v>962</v>
      </c>
      <c r="BI184" s="386">
        <v>1138</v>
      </c>
      <c r="BJ184" s="516">
        <v>1040</v>
      </c>
      <c r="BK184" s="386">
        <v>1180</v>
      </c>
      <c r="BL184" s="516">
        <f>930+21+3+62</f>
        <v>1016</v>
      </c>
      <c r="BM184" s="516">
        <f>885+26-131+201</f>
        <v>981</v>
      </c>
      <c r="BN184" s="516">
        <v>0</v>
      </c>
      <c r="BO184" s="516">
        <v>0</v>
      </c>
      <c r="BP184" s="516">
        <v>0</v>
      </c>
      <c r="BQ184" s="516">
        <v>0</v>
      </c>
      <c r="BR184" s="385"/>
      <c r="BS184" s="385"/>
      <c r="BT184" s="385"/>
      <c r="BU184" s="385"/>
      <c r="BV184" s="385"/>
      <c r="BW184" s="385"/>
      <c r="BX184" s="385"/>
      <c r="BY184" s="385"/>
      <c r="BZ184" s="385"/>
      <c r="CA184" s="385"/>
      <c r="CB184" s="385"/>
      <c r="CC184" s="385"/>
      <c r="CD184" s="385"/>
      <c r="CE184" s="385"/>
      <c r="CF184" s="385"/>
      <c r="CG184" s="385"/>
      <c r="CH184" s="385"/>
      <c r="CI184" s="385"/>
      <c r="CJ184" s="385"/>
      <c r="CK184" s="385"/>
      <c r="CL184" s="385"/>
      <c r="CM184" s="385"/>
      <c r="CN184" s="385"/>
      <c r="CO184" s="385"/>
      <c r="CP184" s="385"/>
      <c r="CQ184" s="385"/>
      <c r="CR184" s="414"/>
      <c r="CS184" s="385"/>
      <c r="CT184" s="414"/>
      <c r="CU184" s="385"/>
      <c r="CV184" s="385"/>
      <c r="CW184" s="385"/>
      <c r="CX184" s="385"/>
      <c r="CY184" s="385"/>
      <c r="CZ184" s="385"/>
      <c r="DA184" s="1020"/>
      <c r="DB184" s="1020"/>
      <c r="DC184" s="1020"/>
      <c r="DD184" s="1020"/>
      <c r="DE184" s="1020"/>
      <c r="DF184" s="385"/>
      <c r="DG184" s="385"/>
      <c r="DH184" s="385"/>
      <c r="DI184" s="385"/>
    </row>
    <row r="185" spans="1:114" hidden="1" outlineLevel="1">
      <c r="A185" s="515" t="s">
        <v>321</v>
      </c>
      <c r="B185" s="761">
        <v>1126</v>
      </c>
      <c r="C185" s="761">
        <v>1050</v>
      </c>
      <c r="D185" s="761">
        <v>1239</v>
      </c>
      <c r="E185" s="761">
        <v>1284</v>
      </c>
      <c r="F185" s="761">
        <v>1314</v>
      </c>
      <c r="G185" s="460">
        <v>1246</v>
      </c>
      <c r="H185" s="460">
        <v>1185</v>
      </c>
      <c r="I185" s="311">
        <v>2391</v>
      </c>
      <c r="J185" s="311">
        <v>0</v>
      </c>
      <c r="K185" s="311">
        <v>0</v>
      </c>
      <c r="L185" s="311">
        <v>0</v>
      </c>
      <c r="M185" s="311">
        <v>0</v>
      </c>
      <c r="N185" s="311">
        <v>0</v>
      </c>
      <c r="O185" s="311">
        <v>0</v>
      </c>
      <c r="P185" s="311">
        <v>0</v>
      </c>
      <c r="Q185" s="311">
        <v>0</v>
      </c>
      <c r="R185" s="311">
        <v>0</v>
      </c>
      <c r="S185" s="311">
        <v>0</v>
      </c>
      <c r="T185" s="311">
        <v>0</v>
      </c>
      <c r="U185" s="311">
        <v>0</v>
      </c>
      <c r="V185" s="311">
        <v>0</v>
      </c>
      <c r="W185" s="311">
        <v>0</v>
      </c>
      <c r="X185" s="311">
        <v>0</v>
      </c>
      <c r="Y185" s="311">
        <v>0</v>
      </c>
      <c r="Z185" s="311">
        <v>0</v>
      </c>
      <c r="AA185" s="311">
        <v>0</v>
      </c>
      <c r="AB185" s="311">
        <v>0</v>
      </c>
      <c r="AD185" s="518">
        <v>235</v>
      </c>
      <c r="AE185" s="518">
        <v>272</v>
      </c>
      <c r="AF185" s="518">
        <v>262</v>
      </c>
      <c r="AG185" s="518">
        <v>359</v>
      </c>
      <c r="AH185" s="518">
        <f>246-2</f>
        <v>244</v>
      </c>
      <c r="AI185" s="518">
        <f>276-2</f>
        <v>274</v>
      </c>
      <c r="AJ185" s="518">
        <f>264-2</f>
        <v>262</v>
      </c>
      <c r="AK185" s="518">
        <v>346</v>
      </c>
      <c r="AL185" s="518">
        <f>258-45.33</f>
        <v>212.67000000000002</v>
      </c>
      <c r="AM185" s="518">
        <f>289-45.33</f>
        <v>243.67000000000002</v>
      </c>
      <c r="AN185" s="518">
        <f>277-45.33</f>
        <v>231.67000000000002</v>
      </c>
      <c r="AO185" s="518">
        <v>362</v>
      </c>
      <c r="AP185" s="518">
        <v>239</v>
      </c>
      <c r="AQ185" s="518">
        <v>298</v>
      </c>
      <c r="AR185" s="518">
        <v>277</v>
      </c>
      <c r="AS185" s="518">
        <v>425</v>
      </c>
      <c r="AT185" s="518">
        <v>259</v>
      </c>
      <c r="AU185" s="518">
        <v>316</v>
      </c>
      <c r="AV185" s="518">
        <v>300</v>
      </c>
      <c r="AW185" s="518">
        <v>409</v>
      </c>
      <c r="AX185" s="521">
        <v>237</v>
      </c>
      <c r="AY185" s="521">
        <v>296</v>
      </c>
      <c r="AZ185" s="521">
        <v>307</v>
      </c>
      <c r="BA185" s="521">
        <v>474</v>
      </c>
      <c r="BB185" s="520">
        <f>191+46+5</f>
        <v>242</v>
      </c>
      <c r="BC185" s="386">
        <f>225+90+7</f>
        <v>322</v>
      </c>
      <c r="BD185" s="523">
        <f>227+39+8+23</f>
        <v>297</v>
      </c>
      <c r="BE185" s="523">
        <f>300+31+6+5-5+47+1</f>
        <v>385</v>
      </c>
      <c r="BF185" s="385">
        <v>1251</v>
      </c>
      <c r="BG185" s="385">
        <v>1363</v>
      </c>
      <c r="BH185" s="386">
        <v>1243</v>
      </c>
      <c r="BI185" s="385">
        <v>1551</v>
      </c>
      <c r="BJ185" s="516">
        <v>238</v>
      </c>
      <c r="BK185" s="385">
        <v>1459</v>
      </c>
      <c r="BL185" s="516">
        <f>469+2-251+63</f>
        <v>283</v>
      </c>
      <c r="BM185" s="516">
        <f>147+16+248</f>
        <v>411</v>
      </c>
      <c r="BN185" s="516">
        <v>0</v>
      </c>
      <c r="BO185" s="516">
        <v>0</v>
      </c>
      <c r="BP185" s="516">
        <v>0</v>
      </c>
      <c r="BQ185" s="516">
        <v>0</v>
      </c>
      <c r="BR185" s="385"/>
      <c r="BS185" s="385"/>
      <c r="BT185" s="385"/>
      <c r="BU185" s="385"/>
      <c r="BV185" s="385"/>
      <c r="BW185" s="385"/>
      <c r="BX185" s="385"/>
      <c r="BY185" s="385"/>
      <c r="BZ185" s="385"/>
      <c r="CA185" s="385"/>
      <c r="CB185" s="385"/>
      <c r="CC185" s="385"/>
      <c r="CD185" s="385"/>
      <c r="CE185" s="385"/>
      <c r="CF185" s="385"/>
      <c r="CG185" s="385"/>
      <c r="CH185" s="385" t="s">
        <v>29</v>
      </c>
      <c r="CI185" s="385"/>
      <c r="CJ185" s="385"/>
      <c r="CK185" s="385"/>
      <c r="CL185" s="385"/>
      <c r="CM185" s="385"/>
      <c r="CN185" s="385"/>
      <c r="CO185" s="385"/>
      <c r="CP185" s="385"/>
      <c r="CQ185" s="385"/>
      <c r="CR185" s="414"/>
      <c r="CS185" s="385"/>
      <c r="CT185" s="414"/>
      <c r="CU185" s="385"/>
      <c r="CV185" s="385"/>
      <c r="CW185" s="385"/>
      <c r="CX185" s="385"/>
      <c r="CY185" s="385"/>
      <c r="CZ185" s="385"/>
      <c r="DA185" s="1020"/>
      <c r="DB185" s="1020"/>
      <c r="DC185" s="1020"/>
      <c r="DD185" s="1020"/>
      <c r="DE185" s="1020"/>
      <c r="DF185" s="385"/>
      <c r="DG185" s="385"/>
      <c r="DH185" s="385"/>
      <c r="DI185" s="385"/>
    </row>
    <row r="186" spans="1:114" hidden="1" outlineLevel="1">
      <c r="A186" s="737" t="s">
        <v>290</v>
      </c>
      <c r="B186" s="380">
        <f t="shared" ref="B186:W186" si="361">SUM(B184:B185)</f>
        <v>4364</v>
      </c>
      <c r="C186" s="380">
        <f t="shared" si="361"/>
        <v>4620</v>
      </c>
      <c r="D186" s="380">
        <f t="shared" si="361"/>
        <v>6138</v>
      </c>
      <c r="E186" s="380">
        <f t="shared" si="361"/>
        <v>6457</v>
      </c>
      <c r="F186" s="380">
        <f t="shared" si="361"/>
        <v>6187</v>
      </c>
      <c r="G186" s="380">
        <f t="shared" si="361"/>
        <v>5616</v>
      </c>
      <c r="H186" s="380">
        <f t="shared" si="361"/>
        <v>5406</v>
      </c>
      <c r="I186" s="380">
        <f t="shared" si="361"/>
        <v>6608</v>
      </c>
      <c r="J186" s="380">
        <f t="shared" si="361"/>
        <v>0</v>
      </c>
      <c r="K186" s="380">
        <f t="shared" si="361"/>
        <v>0</v>
      </c>
      <c r="L186" s="380">
        <f t="shared" si="361"/>
        <v>0</v>
      </c>
      <c r="M186" s="380">
        <f t="shared" si="361"/>
        <v>0</v>
      </c>
      <c r="N186" s="380">
        <f t="shared" si="361"/>
        <v>0</v>
      </c>
      <c r="O186" s="380">
        <f t="shared" si="361"/>
        <v>0</v>
      </c>
      <c r="P186" s="380">
        <f t="shared" si="361"/>
        <v>0</v>
      </c>
      <c r="Q186" s="380">
        <f t="shared" si="361"/>
        <v>0</v>
      </c>
      <c r="R186" s="380">
        <f t="shared" si="361"/>
        <v>0</v>
      </c>
      <c r="S186" s="380">
        <f t="shared" si="361"/>
        <v>0</v>
      </c>
      <c r="T186" s="380">
        <f t="shared" si="361"/>
        <v>0</v>
      </c>
      <c r="U186" s="380">
        <f t="shared" si="361"/>
        <v>0</v>
      </c>
      <c r="V186" s="380">
        <f t="shared" si="361"/>
        <v>0</v>
      </c>
      <c r="W186" s="380">
        <f t="shared" si="361"/>
        <v>0</v>
      </c>
      <c r="X186" s="380">
        <f>SUM(X184:X185)</f>
        <v>0</v>
      </c>
      <c r="Y186" s="380">
        <f>SUM(Y184:Y185)</f>
        <v>0</v>
      </c>
      <c r="Z186" s="380">
        <f>SUM(Z184:Z185)</f>
        <v>0</v>
      </c>
      <c r="AA186" s="380">
        <f>SUM(AA184:AA185)</f>
        <v>0</v>
      </c>
      <c r="AB186" s="380">
        <f>SUM(AB184:AB185)</f>
        <v>0</v>
      </c>
      <c r="AC186" s="380"/>
      <c r="AD186" s="380">
        <f t="shared" ref="AD186:BI186" si="362">SUM(AD184:AD185)</f>
        <v>1037</v>
      </c>
      <c r="AE186" s="380">
        <f t="shared" si="362"/>
        <v>1156</v>
      </c>
      <c r="AF186" s="380">
        <f t="shared" si="362"/>
        <v>984</v>
      </c>
      <c r="AG186" s="380">
        <f t="shared" si="362"/>
        <v>1006</v>
      </c>
      <c r="AH186" s="380">
        <f t="shared" si="362"/>
        <v>1086</v>
      </c>
      <c r="AI186" s="380">
        <f t="shared" si="362"/>
        <v>1220</v>
      </c>
      <c r="AJ186" s="380">
        <f t="shared" si="362"/>
        <v>1035</v>
      </c>
      <c r="AK186" s="380">
        <f t="shared" si="362"/>
        <v>1023</v>
      </c>
      <c r="AL186" s="380">
        <f t="shared" si="362"/>
        <v>1140</v>
      </c>
      <c r="AM186" s="380">
        <f t="shared" si="362"/>
        <v>1274</v>
      </c>
      <c r="AN186" s="380">
        <f t="shared" si="362"/>
        <v>1093</v>
      </c>
      <c r="AO186" s="380">
        <f t="shared" si="362"/>
        <v>1113</v>
      </c>
      <c r="AP186" s="380">
        <f t="shared" si="362"/>
        <v>1411</v>
      </c>
      <c r="AQ186" s="380">
        <f t="shared" si="362"/>
        <v>1651</v>
      </c>
      <c r="AR186" s="380">
        <f t="shared" si="362"/>
        <v>1497</v>
      </c>
      <c r="AS186" s="380">
        <f t="shared" si="362"/>
        <v>1579</v>
      </c>
      <c r="AT186" s="380">
        <f t="shared" si="362"/>
        <v>1519</v>
      </c>
      <c r="AU186" s="380">
        <f t="shared" si="362"/>
        <v>1760</v>
      </c>
      <c r="AV186" s="380">
        <f t="shared" si="362"/>
        <v>1603</v>
      </c>
      <c r="AW186" s="380">
        <f t="shared" si="362"/>
        <v>1575</v>
      </c>
      <c r="AX186" s="380">
        <f t="shared" si="362"/>
        <v>1534</v>
      </c>
      <c r="AY186" s="380">
        <f t="shared" si="362"/>
        <v>1679</v>
      </c>
      <c r="AZ186" s="380">
        <f t="shared" si="362"/>
        <v>1459</v>
      </c>
      <c r="BA186" s="380">
        <f t="shared" si="362"/>
        <v>1515</v>
      </c>
      <c r="BB186" s="380">
        <f t="shared" si="362"/>
        <v>1335</v>
      </c>
      <c r="BC186" s="380">
        <f t="shared" si="362"/>
        <v>1433</v>
      </c>
      <c r="BD186" s="380">
        <f t="shared" si="362"/>
        <v>1390</v>
      </c>
      <c r="BE186" s="380">
        <f t="shared" si="362"/>
        <v>1458</v>
      </c>
      <c r="BF186" s="379">
        <f t="shared" si="362"/>
        <v>2290</v>
      </c>
      <c r="BG186" s="379">
        <f t="shared" si="362"/>
        <v>2447</v>
      </c>
      <c r="BH186" s="379">
        <f t="shared" si="362"/>
        <v>2205</v>
      </c>
      <c r="BI186" s="379">
        <f t="shared" si="362"/>
        <v>2689</v>
      </c>
      <c r="BJ186" s="379">
        <f>SUM(BJ184:BJ185)</f>
        <v>1278</v>
      </c>
      <c r="BK186" s="379">
        <f>SUM(BK184:BK185)</f>
        <v>2639</v>
      </c>
      <c r="BL186" s="379">
        <f>SUM(BL184:BL185)</f>
        <v>1299</v>
      </c>
      <c r="BM186" s="379">
        <f>SUM(BM184:BM185)</f>
        <v>1392</v>
      </c>
      <c r="BN186" s="516">
        <v>0</v>
      </c>
      <c r="BO186" s="516">
        <v>0</v>
      </c>
      <c r="BP186" s="516">
        <v>0</v>
      </c>
      <c r="BQ186" s="516">
        <v>0</v>
      </c>
      <c r="BR186" s="385"/>
      <c r="BS186" s="385"/>
      <c r="BT186" s="385"/>
      <c r="BU186" s="385"/>
      <c r="BV186" s="385"/>
      <c r="BW186" s="385"/>
      <c r="BX186" s="385"/>
      <c r="BY186" s="385"/>
      <c r="BZ186" s="385"/>
      <c r="CA186" s="385"/>
      <c r="CB186" s="385"/>
      <c r="CC186" s="385"/>
      <c r="CD186" s="385"/>
      <c r="CE186" s="385"/>
      <c r="CF186" s="385"/>
      <c r="CG186" s="385"/>
      <c r="CH186" s="516">
        <v>0.29360000000000003</v>
      </c>
      <c r="CI186" s="385"/>
      <c r="CJ186" s="385"/>
      <c r="CK186" s="385"/>
      <c r="CL186" s="385"/>
      <c r="CM186" s="385"/>
      <c r="CN186" s="385"/>
      <c r="CO186" s="385"/>
      <c r="CP186" s="385"/>
      <c r="CQ186" s="385"/>
      <c r="CR186" s="414"/>
      <c r="CS186" s="385"/>
      <c r="CT186" s="414"/>
      <c r="CU186" s="385"/>
      <c r="CV186" s="385"/>
      <c r="CW186" s="385"/>
      <c r="CX186" s="385"/>
      <c r="CY186" s="385"/>
      <c r="CZ186" s="385"/>
      <c r="DA186" s="1020"/>
      <c r="DB186" s="1020"/>
      <c r="DC186" s="1020"/>
      <c r="DD186" s="1020"/>
      <c r="DE186" s="1020"/>
      <c r="DF186" s="385"/>
      <c r="DG186" s="385"/>
      <c r="DH186" s="385"/>
      <c r="DI186" s="385"/>
    </row>
    <row r="187" spans="1:114" collapsed="1">
      <c r="A187" s="411" t="s">
        <v>543</v>
      </c>
      <c r="B187" s="380">
        <f t="shared" ref="B187:I187" si="363">SUM(B180,B186,B182:B182)</f>
        <v>14997</v>
      </c>
      <c r="C187" s="380">
        <f t="shared" si="363"/>
        <v>15790</v>
      </c>
      <c r="D187" s="380">
        <f t="shared" si="363"/>
        <v>17808</v>
      </c>
      <c r="E187" s="380">
        <f t="shared" si="363"/>
        <v>17521</v>
      </c>
      <c r="F187" s="380">
        <f t="shared" si="363"/>
        <v>16624.5</v>
      </c>
      <c r="G187" s="380">
        <f t="shared" si="363"/>
        <v>16913</v>
      </c>
      <c r="H187" s="380">
        <f t="shared" si="363"/>
        <v>17929</v>
      </c>
      <c r="I187" s="380">
        <f t="shared" si="363"/>
        <v>19587</v>
      </c>
      <c r="J187" s="737">
        <f>+J173+J177</f>
        <v>5018</v>
      </c>
      <c r="K187" s="737">
        <f>+K173+K177+K174</f>
        <v>5287</v>
      </c>
      <c r="L187" s="737">
        <f>L173+L175+L176+L174+L177</f>
        <v>6488</v>
      </c>
      <c r="M187" s="737">
        <f>M173+M175+M176+M174+M177</f>
        <v>6786</v>
      </c>
      <c r="N187" s="737">
        <f>N173+N175+N176+N174+N177</f>
        <v>7150</v>
      </c>
      <c r="O187" s="737">
        <f>O173+O175+O176+O174+O177</f>
        <v>7517</v>
      </c>
      <c r="P187" s="737">
        <f>P173+P175+P176+P174+P177</f>
        <v>7727</v>
      </c>
      <c r="Q187" s="737">
        <f>+Q177+Q174+Q176+Q175+Q173</f>
        <v>7888</v>
      </c>
      <c r="R187" s="379">
        <f t="shared" ref="R187:W187" si="364">+R177+R174+R176+R175+R173</f>
        <v>8708</v>
      </c>
      <c r="S187" s="379">
        <f t="shared" si="364"/>
        <v>9379</v>
      </c>
      <c r="T187" s="379">
        <f t="shared" si="364"/>
        <v>10029.000000000002</v>
      </c>
      <c r="U187" s="379">
        <f t="shared" si="364"/>
        <v>9857.1371241514917</v>
      </c>
      <c r="V187" s="379">
        <f t="shared" si="364"/>
        <v>10465.6758920421</v>
      </c>
      <c r="W187" s="379">
        <f t="shared" si="364"/>
        <v>11162.881241985038</v>
      </c>
      <c r="X187" s="379">
        <f>+X177+X174+X176+X175+X173</f>
        <v>11761.523360972293</v>
      </c>
      <c r="Y187" s="379">
        <f>+Y177+Y174+Y176+Y175+Y173</f>
        <v>12353.96226445347</v>
      </c>
      <c r="Z187" s="379">
        <f>+Z177+Z174+Z176+Z175+Z173</f>
        <v>12942.254820782786</v>
      </c>
      <c r="AA187" s="379">
        <f>+AA177+AA174+AA176+AA175+AA173</f>
        <v>13528.391914349193</v>
      </c>
      <c r="AB187" s="379">
        <f>+AB177+AB174+AB176+AB175+AB173</f>
        <v>14114.30985787102</v>
      </c>
      <c r="AD187" s="380">
        <f t="shared" ref="AD187:BE187" si="365">SUM(AD180,AD186,AD182:AD182)</f>
        <v>3714</v>
      </c>
      <c r="AE187" s="380">
        <f t="shared" si="365"/>
        <v>3810</v>
      </c>
      <c r="AF187" s="380">
        <f t="shared" si="365"/>
        <v>3876</v>
      </c>
      <c r="AG187" s="380">
        <f t="shared" si="365"/>
        <v>3452</v>
      </c>
      <c r="AH187" s="380">
        <f t="shared" si="365"/>
        <v>3701</v>
      </c>
      <c r="AI187" s="380">
        <f t="shared" si="365"/>
        <v>3846</v>
      </c>
      <c r="AJ187" s="380">
        <f t="shared" si="365"/>
        <v>3925</v>
      </c>
      <c r="AK187" s="380">
        <f t="shared" si="365"/>
        <v>3525</v>
      </c>
      <c r="AL187" s="380">
        <f t="shared" si="365"/>
        <v>3899</v>
      </c>
      <c r="AM187" s="380">
        <f t="shared" si="365"/>
        <v>4051</v>
      </c>
      <c r="AN187" s="380">
        <f t="shared" si="365"/>
        <v>4136</v>
      </c>
      <c r="AO187" s="380">
        <f t="shared" si="365"/>
        <v>3704</v>
      </c>
      <c r="AP187" s="380">
        <f t="shared" si="365"/>
        <v>4295</v>
      </c>
      <c r="AQ187" s="380">
        <f t="shared" si="365"/>
        <v>4550</v>
      </c>
      <c r="AR187" s="380">
        <f t="shared" si="365"/>
        <v>4645</v>
      </c>
      <c r="AS187" s="380">
        <f t="shared" si="365"/>
        <v>4318</v>
      </c>
      <c r="AT187" s="380">
        <f t="shared" si="365"/>
        <v>4463</v>
      </c>
      <c r="AU187" s="380">
        <f t="shared" si="365"/>
        <v>4811</v>
      </c>
      <c r="AV187" s="380">
        <f t="shared" si="365"/>
        <v>4676</v>
      </c>
      <c r="AW187" s="380">
        <f t="shared" si="365"/>
        <v>3573</v>
      </c>
      <c r="AX187" s="380">
        <f t="shared" si="365"/>
        <v>3966</v>
      </c>
      <c r="AY187" s="380">
        <f t="shared" si="365"/>
        <v>4486.5</v>
      </c>
      <c r="AZ187" s="380">
        <f t="shared" si="365"/>
        <v>4329.5</v>
      </c>
      <c r="BA187" s="380">
        <f t="shared" si="365"/>
        <v>3842.5</v>
      </c>
      <c r="BB187" s="380">
        <f t="shared" si="365"/>
        <v>4151</v>
      </c>
      <c r="BC187" s="380">
        <f t="shared" si="365"/>
        <v>4396</v>
      </c>
      <c r="BD187" s="380">
        <f t="shared" si="365"/>
        <v>4383</v>
      </c>
      <c r="BE187" s="380">
        <f t="shared" si="365"/>
        <v>3983</v>
      </c>
      <c r="BF187" s="380">
        <f t="shared" ref="BF187:BQ187" si="366">SUM(BF180,BF186,BF182:BF182)</f>
        <v>5407</v>
      </c>
      <c r="BG187" s="380">
        <f t="shared" si="366"/>
        <v>5755</v>
      </c>
      <c r="BH187" s="380">
        <f t="shared" si="366"/>
        <v>5665</v>
      </c>
      <c r="BI187" s="380">
        <f t="shared" si="366"/>
        <v>5327</v>
      </c>
      <c r="BJ187" s="380">
        <f t="shared" si="366"/>
        <v>4424</v>
      </c>
      <c r="BK187" s="380">
        <f t="shared" si="366"/>
        <v>6100</v>
      </c>
      <c r="BL187" s="380">
        <f t="shared" si="366"/>
        <v>4753</v>
      </c>
      <c r="BM187" s="380">
        <f t="shared" si="366"/>
        <v>4310</v>
      </c>
      <c r="BN187" s="380">
        <f t="shared" si="366"/>
        <v>1130</v>
      </c>
      <c r="BO187" s="380">
        <f t="shared" si="366"/>
        <v>1322</v>
      </c>
      <c r="BP187" s="380">
        <f t="shared" si="366"/>
        <v>1317</v>
      </c>
      <c r="BQ187" s="380">
        <f t="shared" si="366"/>
        <v>1120</v>
      </c>
      <c r="BR187" s="379">
        <f>+BR173+BR177+BR174</f>
        <v>1183</v>
      </c>
      <c r="BS187" s="379">
        <f>+BS173+BS177+BS174</f>
        <v>1453</v>
      </c>
      <c r="BT187" s="379">
        <f>+BT173+BT177+BT174</f>
        <v>1439</v>
      </c>
      <c r="BU187" s="379">
        <f>+BU173+BU177+BU174</f>
        <v>1212</v>
      </c>
      <c r="BV187" s="379">
        <f t="shared" ref="BV187:CG187" si="367">BV173+BV175+BV176+BV174+BV177</f>
        <v>1492</v>
      </c>
      <c r="BW187" s="379">
        <f t="shared" si="367"/>
        <v>1824</v>
      </c>
      <c r="BX187" s="379">
        <f t="shared" si="367"/>
        <v>1713</v>
      </c>
      <c r="BY187" s="379">
        <f t="shared" si="367"/>
        <v>1459</v>
      </c>
      <c r="BZ187" s="379">
        <f t="shared" si="367"/>
        <v>1528</v>
      </c>
      <c r="CA187" s="379">
        <f t="shared" si="367"/>
        <v>1809</v>
      </c>
      <c r="CB187" s="379">
        <f t="shared" si="367"/>
        <v>1857</v>
      </c>
      <c r="CC187" s="379">
        <f t="shared" si="367"/>
        <v>1592</v>
      </c>
      <c r="CD187" s="379">
        <f t="shared" si="367"/>
        <v>1601</v>
      </c>
      <c r="CE187" s="379">
        <f t="shared" si="367"/>
        <v>1890</v>
      </c>
      <c r="CF187" s="379">
        <f t="shared" si="367"/>
        <v>1928</v>
      </c>
      <c r="CG187" s="379">
        <f t="shared" si="367"/>
        <v>1731</v>
      </c>
      <c r="CH187" s="379">
        <f t="shared" ref="CH187:CN187" si="368">+CH177+CH174+CH176+CH175+CH173</f>
        <v>1703</v>
      </c>
      <c r="CI187" s="379">
        <f t="shared" si="368"/>
        <v>1970</v>
      </c>
      <c r="CJ187" s="379">
        <f t="shared" si="368"/>
        <v>2001</v>
      </c>
      <c r="CK187" s="379">
        <f t="shared" si="368"/>
        <v>1843</v>
      </c>
      <c r="CL187" s="379">
        <f t="shared" si="368"/>
        <v>1735</v>
      </c>
      <c r="CM187" s="379">
        <f t="shared" si="368"/>
        <v>2029</v>
      </c>
      <c r="CN187" s="379">
        <f t="shared" si="368"/>
        <v>2090</v>
      </c>
      <c r="CO187" s="379">
        <f>+CO177+CO174+CO176+CO175+CO173</f>
        <v>1873</v>
      </c>
      <c r="CP187" s="379">
        <f t="shared" ref="CP187:CW187" si="369">+CP177+CP174+CP176+CP175+CP173</f>
        <v>1796</v>
      </c>
      <c r="CQ187" s="379">
        <f t="shared" si="369"/>
        <v>2021</v>
      </c>
      <c r="CR187" s="384">
        <f>+CR177+CR174+CR176+CR175+CR173</f>
        <v>2080</v>
      </c>
      <c r="CS187" s="379">
        <f t="shared" si="369"/>
        <v>1991</v>
      </c>
      <c r="CT187" s="384">
        <f t="shared" si="369"/>
        <v>1966</v>
      </c>
      <c r="CU187" s="379">
        <f t="shared" si="369"/>
        <v>2301</v>
      </c>
      <c r="CV187" s="379">
        <f t="shared" si="369"/>
        <v>2336</v>
      </c>
      <c r="CW187" s="379">
        <f t="shared" si="369"/>
        <v>2105</v>
      </c>
      <c r="CX187" s="379">
        <f t="shared" ref="CX187:DE187" si="370">+CX177+CX174+CX176+CX175+CX173</f>
        <v>2213</v>
      </c>
      <c r="CY187" s="379">
        <f t="shared" si="370"/>
        <v>2490</v>
      </c>
      <c r="CZ187" s="379">
        <f t="shared" si="370"/>
        <v>2495</v>
      </c>
      <c r="DA187" s="1021">
        <f t="shared" si="370"/>
        <v>2181</v>
      </c>
      <c r="DB187" s="1021">
        <f t="shared" si="370"/>
        <v>2318</v>
      </c>
      <c r="DC187" s="1021">
        <f t="shared" si="370"/>
        <v>2645</v>
      </c>
      <c r="DD187" s="1021">
        <f t="shared" si="370"/>
        <v>2688</v>
      </c>
      <c r="DE187" s="1021">
        <f t="shared" si="370"/>
        <v>2378</v>
      </c>
      <c r="DF187" s="379">
        <f t="shared" ref="DF187:DI187" si="371">+DF177+DF174+DF176+DF175+DF173</f>
        <v>2259.7472519522112</v>
      </c>
      <c r="DG187" s="379">
        <f t="shared" si="371"/>
        <v>2572.7617762070859</v>
      </c>
      <c r="DH187" s="379">
        <f t="shared" si="371"/>
        <v>2652.459399074266</v>
      </c>
      <c r="DI187" s="379">
        <f t="shared" si="371"/>
        <v>2372.1686969179291</v>
      </c>
    </row>
    <row r="188" spans="1:114">
      <c r="A188" s="204"/>
      <c r="T188" s="916"/>
      <c r="AD188" s="193"/>
      <c r="AE188" s="193"/>
      <c r="AF188" s="193"/>
      <c r="AG188" s="193"/>
      <c r="AH188" s="193"/>
      <c r="AI188" s="193"/>
      <c r="AJ188" s="193"/>
      <c r="AK188" s="193"/>
      <c r="AL188" s="193"/>
      <c r="AM188" s="193"/>
      <c r="AN188" s="193"/>
      <c r="AO188" s="193"/>
      <c r="AP188" s="193"/>
      <c r="AQ188" s="193"/>
      <c r="AR188" s="193"/>
      <c r="AS188" s="193"/>
      <c r="AT188" s="193"/>
      <c r="AU188" s="193"/>
      <c r="AV188" s="193"/>
      <c r="AW188" s="193"/>
      <c r="AX188" s="193"/>
      <c r="AY188" s="193"/>
      <c r="AZ188" s="193"/>
      <c r="BA188" s="193"/>
      <c r="BB188" s="193"/>
      <c r="BC188" s="193"/>
      <c r="BD188" s="193"/>
      <c r="BE188" s="193"/>
      <c r="BF188" s="193"/>
      <c r="BG188" s="193"/>
      <c r="BH188" s="193"/>
      <c r="BI188" s="193"/>
      <c r="BJ188" s="193"/>
      <c r="BK188" s="193"/>
      <c r="BL188" s="193"/>
      <c r="BM188" s="193"/>
      <c r="BN188" s="193"/>
      <c r="BO188" s="193"/>
      <c r="BP188" s="193"/>
      <c r="BQ188" s="193"/>
      <c r="BR188" s="192"/>
      <c r="BS188" s="192"/>
      <c r="BT188" s="192"/>
      <c r="BU188" s="192"/>
      <c r="BV188" s="192"/>
      <c r="BW188" s="192"/>
      <c r="BX188" s="192"/>
      <c r="BY188" s="192"/>
      <c r="BZ188" s="192"/>
      <c r="CA188" s="192"/>
      <c r="CB188" s="192"/>
      <c r="CC188" s="192"/>
      <c r="CD188" s="192"/>
      <c r="CE188" s="192"/>
      <c r="CF188" s="192"/>
      <c r="CG188" s="192"/>
      <c r="CH188" s="471"/>
      <c r="CI188" s="471"/>
      <c r="CJ188" s="471"/>
      <c r="CK188" s="471"/>
      <c r="CL188" s="524"/>
      <c r="CM188" s="524"/>
      <c r="CN188" s="524"/>
      <c r="CO188" s="524"/>
      <c r="CP188" s="524"/>
      <c r="CQ188" s="524"/>
      <c r="CR188" s="524"/>
      <c r="CS188" s="524"/>
      <c r="CT188" s="525"/>
      <c r="CU188" s="524"/>
      <c r="CV188" s="524"/>
      <c r="CW188" s="524"/>
      <c r="CX188" s="524"/>
      <c r="CY188" s="524"/>
      <c r="CZ188" s="524"/>
      <c r="DA188" s="1022"/>
      <c r="DB188" s="524"/>
      <c r="DC188" s="1022"/>
      <c r="DD188" s="1022"/>
      <c r="DE188" s="524"/>
      <c r="DF188" s="524"/>
      <c r="DG188" s="524"/>
      <c r="DH188" s="524"/>
      <c r="DI188" s="524"/>
    </row>
    <row r="189" spans="1:114" hidden="1" outlineLevel="1">
      <c r="A189" s="204"/>
      <c r="AD189" s="193"/>
      <c r="AE189" s="193"/>
      <c r="AF189" s="193"/>
      <c r="AG189" s="193"/>
      <c r="AH189" s="193"/>
      <c r="AI189" s="193"/>
      <c r="AJ189" s="193"/>
      <c r="AK189" s="193"/>
      <c r="AL189" s="193"/>
      <c r="AM189" s="193"/>
      <c r="AN189" s="193"/>
      <c r="AO189" s="193"/>
      <c r="AP189" s="193"/>
      <c r="AQ189" s="193"/>
      <c r="AR189" s="193"/>
      <c r="AS189" s="193"/>
      <c r="AT189" s="193"/>
      <c r="AU189" s="193"/>
      <c r="AV189" s="193"/>
      <c r="AW189" s="193"/>
      <c r="AX189" s="193"/>
      <c r="AY189" s="193"/>
      <c r="AZ189" s="193"/>
      <c r="BA189" s="193"/>
      <c r="BB189" s="193"/>
      <c r="BC189" s="193"/>
      <c r="BD189" s="193"/>
      <c r="BE189" s="193"/>
      <c r="BF189" s="193"/>
      <c r="BG189" s="193"/>
      <c r="BH189" s="193"/>
      <c r="BI189" s="193"/>
      <c r="BJ189" s="193"/>
      <c r="BK189" s="193"/>
      <c r="BL189" s="193"/>
      <c r="BM189" s="193"/>
      <c r="BN189" s="193"/>
      <c r="BO189" s="193"/>
      <c r="BP189" s="193"/>
      <c r="BQ189" s="193"/>
      <c r="BR189" s="192"/>
      <c r="BS189" s="192"/>
      <c r="BT189" s="192"/>
      <c r="BU189" s="192"/>
      <c r="BV189" s="192"/>
      <c r="BW189" s="192"/>
      <c r="BX189" s="192"/>
      <c r="BY189" s="192"/>
      <c r="BZ189" s="192"/>
      <c r="CA189" s="192"/>
      <c r="CB189" s="192"/>
      <c r="CC189" s="192"/>
      <c r="CD189" s="192"/>
      <c r="CE189" s="192"/>
      <c r="CF189" s="192"/>
      <c r="CG189" s="192"/>
      <c r="CH189" s="471"/>
      <c r="CI189" s="471"/>
      <c r="CJ189" s="471"/>
      <c r="CK189" s="471"/>
      <c r="CL189" s="524"/>
      <c r="CM189" s="524"/>
      <c r="CN189" s="524"/>
      <c r="CO189" s="524"/>
      <c r="CP189" s="524"/>
      <c r="CQ189" s="524"/>
      <c r="CR189" s="524"/>
      <c r="CS189" s="524"/>
      <c r="CT189" s="525"/>
      <c r="CU189" s="524"/>
      <c r="CV189" s="524"/>
      <c r="CW189" s="524"/>
      <c r="CX189" s="524"/>
      <c r="CY189" s="524"/>
      <c r="CZ189" s="524"/>
      <c r="DA189" s="524"/>
      <c r="DB189" s="524"/>
      <c r="DC189" s="1022"/>
      <c r="DD189" s="1022"/>
      <c r="DE189" s="524"/>
      <c r="DF189" s="524"/>
      <c r="DG189" s="524"/>
      <c r="DH189" s="524"/>
      <c r="DI189" s="524"/>
    </row>
    <row r="190" spans="1:114" hidden="1" outlineLevel="1">
      <c r="A190" s="204"/>
      <c r="AD190" s="193"/>
      <c r="AE190" s="193"/>
      <c r="AF190" s="193"/>
      <c r="AG190" s="193"/>
      <c r="AH190" s="193"/>
      <c r="AI190" s="193"/>
      <c r="AJ190" s="193"/>
      <c r="AK190" s="193"/>
      <c r="AL190" s="193"/>
      <c r="AM190" s="193"/>
      <c r="AN190" s="193"/>
      <c r="AO190" s="193"/>
      <c r="AP190" s="193"/>
      <c r="AQ190" s="193"/>
      <c r="AR190" s="193"/>
      <c r="AS190" s="193"/>
      <c r="AT190" s="193"/>
      <c r="AU190" s="193"/>
      <c r="AV190" s="193"/>
      <c r="AW190" s="193"/>
      <c r="AX190" s="193"/>
      <c r="AY190" s="193"/>
      <c r="AZ190" s="193"/>
      <c r="BA190" s="193"/>
      <c r="BB190" s="193"/>
      <c r="BC190" s="193"/>
      <c r="BD190" s="193"/>
      <c r="BE190" s="193"/>
      <c r="BF190" s="193"/>
      <c r="BG190" s="193"/>
      <c r="BH190" s="193"/>
      <c r="BI190" s="193"/>
      <c r="BJ190" s="193"/>
      <c r="BK190" s="193"/>
      <c r="BL190" s="193"/>
      <c r="BM190" s="193"/>
      <c r="BN190" s="193"/>
      <c r="BO190" s="193"/>
      <c r="BP190" s="193"/>
      <c r="BQ190" s="193"/>
      <c r="BR190" s="192"/>
      <c r="BS190" s="192"/>
      <c r="BT190" s="192"/>
      <c r="BU190" s="192"/>
      <c r="BV190" s="192"/>
      <c r="BW190" s="192"/>
      <c r="BX190" s="192"/>
      <c r="BY190" s="192"/>
      <c r="BZ190" s="192"/>
      <c r="CA190" s="192"/>
      <c r="CB190" s="192"/>
      <c r="CC190" s="192"/>
      <c r="CD190" s="192"/>
      <c r="CE190" s="192"/>
      <c r="CF190" s="192"/>
      <c r="CG190" s="192"/>
      <c r="CH190" s="471"/>
      <c r="CI190" s="471"/>
      <c r="CJ190" s="471"/>
      <c r="CK190" s="471"/>
      <c r="CL190" s="524"/>
      <c r="CM190" s="524"/>
      <c r="CN190" s="524"/>
      <c r="CO190" s="524"/>
      <c r="CP190" s="524"/>
      <c r="CQ190" s="524"/>
      <c r="CR190" s="524"/>
      <c r="CS190" s="524"/>
      <c r="CT190" s="525"/>
      <c r="CU190" s="524"/>
      <c r="CV190" s="524"/>
      <c r="CW190" s="524"/>
      <c r="CX190" s="524"/>
      <c r="CY190" s="524"/>
      <c r="CZ190" s="524"/>
      <c r="DA190" s="524"/>
      <c r="DB190" s="524"/>
      <c r="DC190" s="1022"/>
      <c r="DD190" s="1022"/>
      <c r="DE190" s="524"/>
      <c r="DF190" s="524"/>
      <c r="DG190" s="524"/>
      <c r="DH190" s="524"/>
      <c r="DI190" s="524"/>
    </row>
    <row r="191" spans="1:114" hidden="1" outlineLevel="1">
      <c r="A191" s="204"/>
      <c r="AD191" s="193"/>
      <c r="AE191" s="193"/>
      <c r="AF191" s="193"/>
      <c r="AG191" s="193"/>
      <c r="AH191" s="193"/>
      <c r="AI191" s="193"/>
      <c r="AJ191" s="193"/>
      <c r="AK191" s="193"/>
      <c r="AL191" s="193"/>
      <c r="AM191" s="193"/>
      <c r="AN191" s="193"/>
      <c r="AO191" s="193"/>
      <c r="AP191" s="193"/>
      <c r="AQ191" s="193"/>
      <c r="AR191" s="193"/>
      <c r="AS191" s="193"/>
      <c r="AT191" s="193"/>
      <c r="AU191" s="193"/>
      <c r="AV191" s="193"/>
      <c r="AW191" s="193"/>
      <c r="AX191" s="193"/>
      <c r="AY191" s="193"/>
      <c r="AZ191" s="193"/>
      <c r="BA191" s="193"/>
      <c r="BB191" s="193"/>
      <c r="BC191" s="193"/>
      <c r="BD191" s="193"/>
      <c r="BE191" s="193"/>
      <c r="BF191" s="193"/>
      <c r="BG191" s="193"/>
      <c r="BH191" s="193"/>
      <c r="BI191" s="193"/>
      <c r="BJ191" s="193"/>
      <c r="BK191" s="193"/>
      <c r="BL191" s="193"/>
      <c r="BM191" s="193"/>
      <c r="BN191" s="193"/>
      <c r="BO191" s="193"/>
      <c r="BP191" s="193"/>
      <c r="BQ191" s="193"/>
      <c r="BR191" s="192"/>
      <c r="BS191" s="192"/>
      <c r="BT191" s="192"/>
      <c r="BU191" s="192"/>
      <c r="BV191" s="192"/>
      <c r="BW191" s="192"/>
      <c r="BX191" s="192"/>
      <c r="BY191" s="192"/>
      <c r="BZ191" s="192"/>
      <c r="CA191" s="192"/>
      <c r="CB191" s="192"/>
      <c r="CC191" s="192"/>
      <c r="CD191" s="192"/>
      <c r="CE191" s="192"/>
      <c r="CF191" s="192"/>
      <c r="CG191" s="192"/>
      <c r="CH191" s="471"/>
      <c r="CI191" s="471"/>
      <c r="CJ191" s="471"/>
      <c r="CK191" s="471"/>
      <c r="CL191" s="524"/>
      <c r="CM191" s="524"/>
      <c r="CN191" s="524"/>
      <c r="CO191" s="524"/>
      <c r="CP191" s="524"/>
      <c r="CQ191" s="524"/>
      <c r="CR191" s="524"/>
      <c r="CS191" s="524"/>
      <c r="CT191" s="525"/>
      <c r="CU191" s="524"/>
      <c r="CV191" s="524"/>
      <c r="CW191" s="524"/>
      <c r="CX191" s="524"/>
      <c r="CY191" s="524"/>
      <c r="CZ191" s="524"/>
      <c r="DA191" s="524"/>
      <c r="DB191" s="524"/>
      <c r="DC191" s="1022"/>
      <c r="DD191" s="1022"/>
      <c r="DE191" s="524"/>
      <c r="DF191" s="524"/>
      <c r="DG191" s="524"/>
      <c r="DH191" s="524"/>
      <c r="DI191" s="524"/>
    </row>
    <row r="192" spans="1:114" hidden="1" outlineLevel="1">
      <c r="A192" s="934"/>
      <c r="AD192" s="193"/>
      <c r="AE192" s="193"/>
      <c r="AF192" s="193"/>
      <c r="AG192" s="193"/>
      <c r="AH192" s="193"/>
      <c r="AI192" s="193"/>
      <c r="AJ192" s="193"/>
      <c r="AK192" s="193"/>
      <c r="AL192" s="193"/>
      <c r="AM192" s="193"/>
      <c r="AN192" s="193"/>
      <c r="AO192" s="193"/>
      <c r="AP192" s="193"/>
      <c r="AQ192" s="193"/>
      <c r="AR192" s="193"/>
      <c r="AS192" s="193"/>
      <c r="AT192" s="193"/>
      <c r="AU192" s="193"/>
      <c r="AV192" s="193"/>
      <c r="AW192" s="193"/>
      <c r="AX192" s="193"/>
      <c r="AY192" s="193"/>
      <c r="AZ192" s="193"/>
      <c r="BA192" s="193"/>
      <c r="BB192" s="193"/>
      <c r="BC192" s="193"/>
      <c r="BD192" s="193"/>
      <c r="BE192" s="193"/>
      <c r="BF192" s="193"/>
      <c r="BG192" s="193"/>
      <c r="BH192" s="193"/>
      <c r="BI192" s="193"/>
      <c r="BJ192" s="193"/>
      <c r="BK192" s="193"/>
      <c r="BL192" s="193"/>
      <c r="BM192" s="193"/>
      <c r="BN192" s="193"/>
      <c r="BO192" s="193"/>
      <c r="BP192" s="193"/>
      <c r="BQ192" s="193"/>
      <c r="BR192" s="176">
        <f>BR173/BR187</f>
        <v>0.90109890109890112</v>
      </c>
      <c r="BS192" s="176">
        <f>BS173/BS187</f>
        <v>0.94425326909841711</v>
      </c>
      <c r="BT192" s="176">
        <f>BT173/BT187</f>
        <v>0.97289784572619875</v>
      </c>
      <c r="BU192" s="176">
        <f>BU173/BU187</f>
        <v>0.98514851485148514</v>
      </c>
      <c r="BV192" s="404"/>
      <c r="BW192" s="404"/>
      <c r="BX192" s="404"/>
      <c r="BY192" s="404"/>
      <c r="BZ192" s="404"/>
      <c r="CA192" s="404"/>
      <c r="CB192" s="404"/>
      <c r="CC192" s="404"/>
      <c r="CD192" s="404"/>
      <c r="CE192" s="404"/>
      <c r="CF192" s="404"/>
      <c r="CG192" s="404"/>
      <c r="CH192" s="524"/>
      <c r="CI192" s="471"/>
      <c r="CJ192" s="471"/>
      <c r="CK192" s="471"/>
      <c r="CL192" s="458"/>
      <c r="CM192" s="458"/>
      <c r="CN192" s="524"/>
      <c r="CO192" s="524"/>
      <c r="CP192" s="524"/>
      <c r="CQ192" s="458"/>
      <c r="CR192" s="524"/>
      <c r="CS192" s="524"/>
      <c r="CT192" s="525"/>
      <c r="CU192" s="524"/>
      <c r="CV192" s="524"/>
      <c r="CW192" s="524"/>
      <c r="CX192" s="524"/>
      <c r="CY192" s="524"/>
      <c r="CZ192" s="524"/>
      <c r="DA192" s="524"/>
      <c r="DB192" s="524"/>
      <c r="DC192" s="1022"/>
      <c r="DD192" s="1022"/>
      <c r="DE192" s="524"/>
      <c r="DF192" s="524"/>
      <c r="DG192" s="524"/>
      <c r="DH192" s="524"/>
      <c r="DI192" s="524"/>
    </row>
    <row r="193" spans="1:113" hidden="1" outlineLevel="1" collapsed="1">
      <c r="A193" s="935" t="s">
        <v>233</v>
      </c>
      <c r="AD193" s="187"/>
      <c r="AE193" s="187"/>
      <c r="AF193" s="187"/>
      <c r="AG193" s="187"/>
      <c r="AH193" s="187"/>
      <c r="AI193" s="187"/>
      <c r="AJ193" s="187"/>
      <c r="AK193" s="187"/>
      <c r="AL193" s="69"/>
      <c r="AM193" s="69"/>
      <c r="AN193" s="69"/>
      <c r="AO193" s="69"/>
      <c r="AP193" s="69"/>
      <c r="AQ193" s="69"/>
      <c r="AR193" s="69"/>
      <c r="AS193" s="69"/>
      <c r="AT193" s="69"/>
      <c r="AU193" s="69"/>
      <c r="AV193" s="69"/>
      <c r="AW193" s="69"/>
      <c r="AX193" s="69"/>
      <c r="AY193" s="69"/>
      <c r="AZ193" s="69"/>
      <c r="BA193" s="69"/>
      <c r="BB193" s="69"/>
      <c r="BC193" s="69"/>
      <c r="BD193" s="69"/>
      <c r="BE193" s="69"/>
      <c r="BF193" s="69"/>
      <c r="BG193" s="69"/>
      <c r="BH193" s="69"/>
      <c r="BI193" s="69"/>
      <c r="BJ193" s="69"/>
      <c r="BK193" s="69"/>
      <c r="BL193" s="69"/>
      <c r="BM193" s="69"/>
      <c r="BN193" s="69"/>
      <c r="BO193" s="69"/>
      <c r="BP193" s="69"/>
      <c r="BQ193" s="69"/>
      <c r="BR193" s="404"/>
      <c r="BS193" s="404"/>
      <c r="BT193" s="404"/>
      <c r="BU193" s="404"/>
      <c r="BV193" s="404"/>
      <c r="BW193" s="404"/>
      <c r="BX193" s="404"/>
      <c r="BY193" s="404"/>
      <c r="BZ193" s="404"/>
      <c r="CA193" s="404"/>
      <c r="CB193" s="404"/>
      <c r="CC193" s="404"/>
      <c r="CD193" s="404"/>
      <c r="CE193" s="404"/>
      <c r="CF193" s="404"/>
      <c r="CG193" s="404"/>
      <c r="CH193" s="404"/>
      <c r="CI193" s="471"/>
      <c r="CJ193" s="471"/>
      <c r="CK193" s="471"/>
      <c r="CL193" s="404"/>
      <c r="CM193" s="404"/>
      <c r="CN193" s="404"/>
      <c r="CO193" s="404"/>
      <c r="CP193" s="404"/>
      <c r="CQ193" s="404"/>
      <c r="CR193" s="404"/>
      <c r="CS193" s="404"/>
      <c r="CT193" s="409"/>
      <c r="CU193" s="404"/>
      <c r="CV193" s="404"/>
      <c r="CW193" s="404"/>
      <c r="CX193" s="404"/>
      <c r="CY193" s="404"/>
      <c r="CZ193" s="404"/>
      <c r="DA193" s="404"/>
      <c r="DB193" s="404"/>
      <c r="DC193" s="994"/>
      <c r="DD193" s="994"/>
      <c r="DE193" s="404"/>
      <c r="DF193" s="404"/>
      <c r="DG193" s="404"/>
      <c r="DH193" s="404"/>
      <c r="DI193" s="404"/>
    </row>
    <row r="194" spans="1:113" hidden="1" outlineLevel="1">
      <c r="A194" s="936" t="s">
        <v>228</v>
      </c>
      <c r="AD194" s="531"/>
      <c r="AE194" s="531"/>
      <c r="AF194" s="531"/>
      <c r="AG194" s="531"/>
      <c r="AH194" s="531">
        <f t="shared" ref="AH194:BM194" si="372">AH127/AD127-1</f>
        <v>0.33693045563549151</v>
      </c>
      <c r="AI194" s="531">
        <f t="shared" si="372"/>
        <v>0.27079978529253901</v>
      </c>
      <c r="AJ194" s="531">
        <f t="shared" si="372"/>
        <v>0.24505070014485764</v>
      </c>
      <c r="AK194" s="531">
        <f t="shared" si="372"/>
        <v>0.27715538236726744</v>
      </c>
      <c r="AL194" s="531">
        <f t="shared" si="372"/>
        <v>0.2210762331838565</v>
      </c>
      <c r="AM194" s="531">
        <f t="shared" si="372"/>
        <v>0.20506863780359019</v>
      </c>
      <c r="AN194" s="531">
        <f t="shared" si="372"/>
        <v>0.13147178592204778</v>
      </c>
      <c r="AO194" s="531">
        <f t="shared" si="372"/>
        <v>8.142639206712432E-2</v>
      </c>
      <c r="AP194" s="531">
        <f t="shared" si="372"/>
        <v>-0.1595666544252663</v>
      </c>
      <c r="AQ194" s="531">
        <f t="shared" si="372"/>
        <v>-0.10532772520154221</v>
      </c>
      <c r="AR194" s="531">
        <f t="shared" si="372"/>
        <v>-0.11842330762639242</v>
      </c>
      <c r="AS194" s="531">
        <f t="shared" si="372"/>
        <v>-0.10491976723681895</v>
      </c>
      <c r="AT194" s="531">
        <f t="shared" si="372"/>
        <v>9.635132182652395E-2</v>
      </c>
      <c r="AU194" s="531">
        <f t="shared" si="372"/>
        <v>-4.3878550440744402E-2</v>
      </c>
      <c r="AV194" s="531">
        <f t="shared" si="372"/>
        <v>-2.3716951788491425E-2</v>
      </c>
      <c r="AW194" s="531">
        <f t="shared" si="372"/>
        <v>-0.22064617809298659</v>
      </c>
      <c r="AX194" s="531">
        <f t="shared" si="372"/>
        <v>-0.23933838182542844</v>
      </c>
      <c r="AY194" s="531">
        <f t="shared" si="372"/>
        <v>-7.8488014751075696E-2</v>
      </c>
      <c r="AZ194" s="531">
        <f t="shared" si="372"/>
        <v>-0.11589008363201914</v>
      </c>
      <c r="BA194" s="531">
        <f t="shared" si="372"/>
        <v>7.3306370070778559E-2</v>
      </c>
      <c r="BB194" s="531">
        <f t="shared" si="372"/>
        <v>4.8991354466858761E-2</v>
      </c>
      <c r="BC194" s="531">
        <f t="shared" si="372"/>
        <v>1.8697614442295452E-2</v>
      </c>
      <c r="BD194" s="531">
        <f t="shared" si="372"/>
        <v>1.4639639639639546E-2</v>
      </c>
      <c r="BE194" s="531">
        <f t="shared" si="372"/>
        <v>4.0979745642958143E-2</v>
      </c>
      <c r="BF194" s="531">
        <f t="shared" si="372"/>
        <v>3.546453546453554E-2</v>
      </c>
      <c r="BG194" s="531">
        <f t="shared" si="372"/>
        <v>4.5395024006983808E-2</v>
      </c>
      <c r="BH194" s="531">
        <f t="shared" si="372"/>
        <v>5.016648168701443E-2</v>
      </c>
      <c r="BI194" s="531">
        <f t="shared" si="372"/>
        <v>1.063348416289589E-2</v>
      </c>
      <c r="BJ194" s="531">
        <f t="shared" si="372"/>
        <v>4.2691751085383478E-2</v>
      </c>
      <c r="BK194" s="531">
        <f t="shared" si="372"/>
        <v>-1.0438413361169019E-3</v>
      </c>
      <c r="BL194" s="531">
        <f t="shared" si="372"/>
        <v>2.0925808497146425E-2</v>
      </c>
      <c r="BM194" s="531">
        <f t="shared" si="372"/>
        <v>1.5446608462055034E-2</v>
      </c>
      <c r="BN194" s="531">
        <f t="shared" ref="BN194:CG194" si="373">BN127/BJ127-1</f>
        <v>-1.8043025676613422E-2</v>
      </c>
      <c r="BO194" s="531">
        <f t="shared" si="373"/>
        <v>5.0156739811912932E-3</v>
      </c>
      <c r="BP194" s="531">
        <f t="shared" si="373"/>
        <v>2.3602484472049712E-2</v>
      </c>
      <c r="BQ194" s="509">
        <f t="shared" si="373"/>
        <v>-1.0802469135802517E-2</v>
      </c>
      <c r="BR194" s="531">
        <f t="shared" si="373"/>
        <v>-3.5335689045936647E-3</v>
      </c>
      <c r="BS194" s="531">
        <f t="shared" si="373"/>
        <v>0</v>
      </c>
      <c r="BT194" s="531">
        <f t="shared" si="373"/>
        <v>8.6974110032362884E-3</v>
      </c>
      <c r="BU194" s="509">
        <f t="shared" si="373"/>
        <v>-1.292623133496773E-2</v>
      </c>
      <c r="BV194" s="531">
        <f t="shared" si="373"/>
        <v>-7.8959810874704495E-2</v>
      </c>
      <c r="BW194" s="531">
        <f t="shared" si="373"/>
        <v>0.25265127885215222</v>
      </c>
      <c r="BX194" s="531">
        <f t="shared" si="373"/>
        <v>0.1281331461800681</v>
      </c>
      <c r="BY194" s="509">
        <f t="shared" si="373"/>
        <v>0.21314066380672836</v>
      </c>
      <c r="BZ194" s="531">
        <f t="shared" si="373"/>
        <v>0.31493839835728954</v>
      </c>
      <c r="CA194" s="531">
        <f t="shared" si="373"/>
        <v>-7.2211155378486103E-2</v>
      </c>
      <c r="CB194" s="531">
        <f t="shared" si="373"/>
        <v>1.8307856381087895E-2</v>
      </c>
      <c r="CC194" s="509">
        <f t="shared" si="373"/>
        <v>-3.4059184812953669E-2</v>
      </c>
      <c r="CD194" s="531">
        <f t="shared" si="373"/>
        <v>-2.1862190122974856E-2</v>
      </c>
      <c r="CE194" s="531">
        <f t="shared" si="373"/>
        <v>1.7534442655215532E-2</v>
      </c>
      <c r="CF194" s="531">
        <f t="shared" si="373"/>
        <v>-6.9471111886891257E-2</v>
      </c>
      <c r="CG194" s="509">
        <f t="shared" si="373"/>
        <v>2.1387283236994126E-2</v>
      </c>
      <c r="CH194" s="509"/>
      <c r="CI194" s="471"/>
      <c r="CJ194" s="471"/>
      <c r="CK194" s="471"/>
      <c r="CL194" s="509"/>
      <c r="CM194" s="509"/>
      <c r="CN194" s="509"/>
      <c r="CO194" s="509"/>
      <c r="CP194" s="509"/>
      <c r="CQ194" s="509"/>
      <c r="CR194" s="509"/>
      <c r="CS194" s="509"/>
      <c r="CT194" s="582"/>
      <c r="CU194" s="509"/>
      <c r="CV194" s="509"/>
      <c r="CW194" s="509"/>
      <c r="CX194" s="509"/>
      <c r="CY194" s="509"/>
      <c r="CZ194" s="509"/>
      <c r="DA194" s="509"/>
      <c r="DB194" s="509"/>
      <c r="DC194" s="1074"/>
      <c r="DD194" s="1074"/>
      <c r="DE194" s="509"/>
      <c r="DF194" s="509"/>
      <c r="DG194" s="509"/>
      <c r="DH194" s="509"/>
      <c r="DI194" s="509"/>
    </row>
    <row r="195" spans="1:113" hidden="1" outlineLevel="1">
      <c r="A195" s="933" t="s">
        <v>698</v>
      </c>
      <c r="AD195" s="532"/>
      <c r="AE195" s="532"/>
      <c r="AF195" s="532"/>
      <c r="AG195" s="532"/>
      <c r="AH195" s="532"/>
      <c r="AI195" s="532"/>
      <c r="AJ195" s="532"/>
      <c r="AK195" s="532"/>
      <c r="AL195" s="532"/>
      <c r="AM195" s="532"/>
      <c r="AN195" s="532"/>
      <c r="AO195" s="532"/>
      <c r="AP195" s="532"/>
      <c r="AQ195" s="532"/>
      <c r="AR195" s="532"/>
      <c r="AS195" s="532"/>
      <c r="AT195" s="532"/>
      <c r="AU195" s="532"/>
      <c r="AV195" s="532"/>
      <c r="AW195" s="532"/>
      <c r="AX195" s="532"/>
      <c r="AY195" s="532"/>
      <c r="AZ195" s="532"/>
      <c r="BA195" s="532"/>
      <c r="BB195" s="532"/>
      <c r="BC195" s="532"/>
      <c r="BD195" s="533"/>
      <c r="BE195" s="533"/>
      <c r="BF195" s="534"/>
      <c r="BG195" s="534"/>
      <c r="BH195" s="534"/>
      <c r="BI195" s="534"/>
      <c r="BJ195" s="534"/>
      <c r="BK195" s="534"/>
      <c r="BL195" s="534"/>
      <c r="BM195" s="534"/>
      <c r="BN195" s="531" t="s">
        <v>618</v>
      </c>
      <c r="BO195" s="531" t="s">
        <v>618</v>
      </c>
      <c r="BP195" s="531" t="s">
        <v>618</v>
      </c>
      <c r="BQ195" s="531" t="s">
        <v>618</v>
      </c>
      <c r="BR195" s="531" t="s">
        <v>618</v>
      </c>
      <c r="BS195" s="531" t="s">
        <v>618</v>
      </c>
      <c r="BT195" s="531" t="s">
        <v>618</v>
      </c>
      <c r="BU195" s="531" t="s">
        <v>618</v>
      </c>
      <c r="BV195" s="531" t="s">
        <v>618</v>
      </c>
      <c r="BW195" s="531" t="s">
        <v>618</v>
      </c>
      <c r="BX195" s="531" t="s">
        <v>618</v>
      </c>
      <c r="BY195" s="531" t="s">
        <v>618</v>
      </c>
      <c r="BZ195" s="531" t="s">
        <v>618</v>
      </c>
      <c r="CA195" s="531" t="s">
        <v>618</v>
      </c>
      <c r="CB195" s="531" t="s">
        <v>618</v>
      </c>
      <c r="CC195" s="531" t="s">
        <v>618</v>
      </c>
      <c r="CD195" s="531" t="s">
        <v>618</v>
      </c>
      <c r="CE195" s="531" t="s">
        <v>618</v>
      </c>
      <c r="CF195" s="531" t="s">
        <v>618</v>
      </c>
      <c r="CG195" s="531" t="s">
        <v>618</v>
      </c>
      <c r="CH195" s="509"/>
      <c r="CI195" s="471"/>
      <c r="CJ195" s="471"/>
      <c r="CK195" s="471"/>
      <c r="CL195" s="509"/>
      <c r="CM195" s="509"/>
      <c r="CN195" s="509"/>
      <c r="CO195" s="509"/>
      <c r="CP195" s="509"/>
      <c r="CQ195" s="509"/>
      <c r="CR195" s="509"/>
      <c r="CS195" s="509"/>
      <c r="CT195" s="582"/>
      <c r="CU195" s="509"/>
      <c r="CV195" s="509"/>
      <c r="CW195" s="509"/>
      <c r="CX195" s="509"/>
      <c r="CY195" s="509"/>
      <c r="CZ195" s="509"/>
      <c r="DA195" s="509"/>
      <c r="DB195" s="509"/>
      <c r="DC195" s="1074"/>
      <c r="DD195" s="1074"/>
      <c r="DE195" s="509"/>
      <c r="DF195" s="509"/>
      <c r="DG195" s="509"/>
      <c r="DH195" s="509"/>
      <c r="DI195" s="509"/>
    </row>
    <row r="196" spans="1:113" hidden="1" outlineLevel="1">
      <c r="A196" s="933" t="s">
        <v>229</v>
      </c>
      <c r="AD196" s="532"/>
      <c r="AE196" s="532"/>
      <c r="AF196" s="532"/>
      <c r="AG196" s="532"/>
      <c r="AH196" s="532"/>
      <c r="AI196" s="532"/>
      <c r="AJ196" s="532"/>
      <c r="AK196" s="532"/>
      <c r="AL196" s="532"/>
      <c r="AM196" s="532"/>
      <c r="AN196" s="532"/>
      <c r="AO196" s="532"/>
      <c r="AP196" s="532"/>
      <c r="AQ196" s="532"/>
      <c r="AR196" s="532"/>
      <c r="AS196" s="532"/>
      <c r="AT196" s="532"/>
      <c r="AU196" s="532"/>
      <c r="AV196" s="532"/>
      <c r="AW196" s="532"/>
      <c r="AX196" s="532"/>
      <c r="AY196" s="532"/>
      <c r="AZ196" s="532"/>
      <c r="BA196" s="532"/>
      <c r="BB196" s="532"/>
      <c r="BC196" s="532"/>
      <c r="BD196" s="533"/>
      <c r="BE196" s="533"/>
      <c r="BF196" s="534"/>
      <c r="BG196" s="534"/>
      <c r="BH196" s="534"/>
      <c r="BI196" s="534"/>
      <c r="BJ196" s="534"/>
      <c r="BK196" s="534"/>
      <c r="BL196" s="534"/>
      <c r="BM196" s="534"/>
      <c r="BN196" s="531" t="s">
        <v>618</v>
      </c>
      <c r="BO196" s="531" t="s">
        <v>618</v>
      </c>
      <c r="BP196" s="531" t="s">
        <v>618</v>
      </c>
      <c r="BQ196" s="531" t="s">
        <v>618</v>
      </c>
      <c r="BR196" s="531" t="s">
        <v>618</v>
      </c>
      <c r="BS196" s="531" t="s">
        <v>618</v>
      </c>
      <c r="BT196" s="531" t="s">
        <v>618</v>
      </c>
      <c r="BU196" s="531" t="s">
        <v>618</v>
      </c>
      <c r="BV196" s="531" t="s">
        <v>618</v>
      </c>
      <c r="BW196" s="531" t="s">
        <v>618</v>
      </c>
      <c r="BX196" s="531" t="s">
        <v>618</v>
      </c>
      <c r="BY196" s="531" t="s">
        <v>618</v>
      </c>
      <c r="BZ196" s="531" t="s">
        <v>618</v>
      </c>
      <c r="CA196" s="531" t="s">
        <v>618</v>
      </c>
      <c r="CB196" s="531" t="s">
        <v>618</v>
      </c>
      <c r="CC196" s="531" t="s">
        <v>618</v>
      </c>
      <c r="CD196" s="531" t="s">
        <v>618</v>
      </c>
      <c r="CE196" s="531" t="s">
        <v>618</v>
      </c>
      <c r="CF196" s="531" t="s">
        <v>618</v>
      </c>
      <c r="CG196" s="531" t="s">
        <v>618</v>
      </c>
      <c r="CH196" s="509"/>
      <c r="CI196" s="471"/>
      <c r="CJ196" s="471"/>
      <c r="CK196" s="471"/>
      <c r="CL196" s="509"/>
      <c r="CM196" s="509"/>
      <c r="CN196" s="509"/>
      <c r="CO196" s="509"/>
      <c r="CP196" s="509"/>
      <c r="CQ196" s="509"/>
      <c r="CR196" s="509"/>
      <c r="CS196" s="509"/>
      <c r="CT196" s="582"/>
      <c r="CU196" s="509"/>
      <c r="CV196" s="509"/>
      <c r="CW196" s="509"/>
      <c r="CX196" s="509"/>
      <c r="CY196" s="509"/>
      <c r="CZ196" s="509"/>
      <c r="DA196" s="509"/>
      <c r="DB196" s="509"/>
      <c r="DC196" s="1074"/>
      <c r="DD196" s="1074"/>
      <c r="DE196" s="509"/>
      <c r="DF196" s="509"/>
      <c r="DG196" s="509"/>
      <c r="DH196" s="509"/>
      <c r="DI196" s="509"/>
    </row>
    <row r="197" spans="1:113" hidden="1" outlineLevel="1">
      <c r="A197" s="933" t="s">
        <v>230</v>
      </c>
      <c r="AD197" s="531"/>
      <c r="AE197" s="531"/>
      <c r="AF197" s="531"/>
      <c r="AG197" s="531"/>
      <c r="AH197" s="531"/>
      <c r="AI197" s="531"/>
      <c r="AJ197" s="531"/>
      <c r="AK197" s="531"/>
      <c r="AL197" s="531"/>
      <c r="AM197" s="531"/>
      <c r="AN197" s="531"/>
      <c r="AO197" s="531"/>
      <c r="AP197" s="531"/>
      <c r="AQ197" s="531"/>
      <c r="AR197" s="531"/>
      <c r="AS197" s="531"/>
      <c r="AT197" s="531"/>
      <c r="AU197" s="531"/>
      <c r="AV197" s="531"/>
      <c r="AW197" s="531"/>
      <c r="AX197" s="531"/>
      <c r="AY197" s="531"/>
      <c r="AZ197" s="531"/>
      <c r="BA197" s="531"/>
      <c r="BB197" s="531"/>
      <c r="BC197" s="531"/>
      <c r="BD197" s="531"/>
      <c r="BE197" s="531"/>
      <c r="BF197" s="531"/>
      <c r="BG197" s="531"/>
      <c r="BH197" s="531"/>
      <c r="BI197" s="531"/>
      <c r="BJ197" s="154" t="s">
        <v>618</v>
      </c>
      <c r="BK197" s="154" t="s">
        <v>618</v>
      </c>
      <c r="BL197" s="154" t="s">
        <v>618</v>
      </c>
      <c r="BM197" s="531" t="s">
        <v>618</v>
      </c>
      <c r="BN197" s="154" t="s">
        <v>618</v>
      </c>
      <c r="BO197" s="154" t="s">
        <v>618</v>
      </c>
      <c r="BP197" s="531" t="s">
        <v>618</v>
      </c>
      <c r="BQ197" s="531" t="s">
        <v>618</v>
      </c>
      <c r="BR197" s="531" t="s">
        <v>618</v>
      </c>
      <c r="BS197" s="531" t="s">
        <v>618</v>
      </c>
      <c r="BT197" s="531" t="s">
        <v>618</v>
      </c>
      <c r="BU197" s="531" t="s">
        <v>618</v>
      </c>
      <c r="BV197" s="531">
        <f t="shared" ref="BV197:CG197" si="374">BV128/BR128-1</f>
        <v>0.26373626373626369</v>
      </c>
      <c r="BW197" s="531">
        <f t="shared" si="374"/>
        <v>0.16831683168316824</v>
      </c>
      <c r="BX197" s="531">
        <f t="shared" si="374"/>
        <v>0.56122448979591844</v>
      </c>
      <c r="BY197" s="531">
        <f t="shared" si="374"/>
        <v>0.38144329896907214</v>
      </c>
      <c r="BZ197" s="531">
        <f t="shared" si="374"/>
        <v>0.17391304347826098</v>
      </c>
      <c r="CA197" s="531">
        <f t="shared" si="374"/>
        <v>0.31355932203389836</v>
      </c>
      <c r="CB197" s="531">
        <f t="shared" si="374"/>
        <v>-3.9215686274509776E-2</v>
      </c>
      <c r="CC197" s="531">
        <f t="shared" si="374"/>
        <v>-8.2089552238805985E-2</v>
      </c>
      <c r="CD197" s="531">
        <f t="shared" si="374"/>
        <v>-2.2222222222222254E-2</v>
      </c>
      <c r="CE197" s="531">
        <f t="shared" si="374"/>
        <v>0.10322580645161294</v>
      </c>
      <c r="CF197" s="531">
        <f t="shared" si="374"/>
        <v>0.14965986394557818</v>
      </c>
      <c r="CG197" s="531">
        <f t="shared" si="374"/>
        <v>7.3170731707317138E-2</v>
      </c>
      <c r="CH197" s="509"/>
      <c r="CI197" s="471"/>
      <c r="CJ197" s="471"/>
      <c r="CK197" s="471"/>
      <c r="CL197" s="509"/>
      <c r="CM197" s="509"/>
      <c r="CN197" s="509"/>
      <c r="CO197" s="509"/>
      <c r="CP197" s="509"/>
      <c r="CQ197" s="509"/>
      <c r="CR197" s="509"/>
      <c r="CS197" s="509"/>
      <c r="CT197" s="582"/>
      <c r="CU197" s="509"/>
      <c r="CV197" s="509"/>
      <c r="CW197" s="509"/>
      <c r="CX197" s="509"/>
      <c r="CY197" s="509"/>
      <c r="CZ197" s="509"/>
      <c r="DA197" s="509"/>
      <c r="DB197" s="509"/>
      <c r="DC197" s="1074"/>
      <c r="DD197" s="1074"/>
      <c r="DE197" s="509"/>
      <c r="DF197" s="509"/>
      <c r="DG197" s="509"/>
      <c r="DH197" s="509"/>
      <c r="DI197" s="509"/>
    </row>
    <row r="198" spans="1:113" hidden="1" outlineLevel="1">
      <c r="A198" s="933" t="s">
        <v>231</v>
      </c>
      <c r="AD198" s="531"/>
      <c r="AE198" s="531"/>
      <c r="AF198" s="531"/>
      <c r="AG198" s="531"/>
      <c r="AH198" s="531">
        <f t="shared" ref="AH198:BM198" si="375">AH131/AD131-1</f>
        <v>0.12307692307692308</v>
      </c>
      <c r="AI198" s="531">
        <f t="shared" si="375"/>
        <v>0.31081081081081074</v>
      </c>
      <c r="AJ198" s="531">
        <f t="shared" si="375"/>
        <v>0.28985507246376807</v>
      </c>
      <c r="AK198" s="531">
        <f t="shared" si="375"/>
        <v>0.43283582089552231</v>
      </c>
      <c r="AL198" s="531">
        <f t="shared" si="375"/>
        <v>0.26027397260273966</v>
      </c>
      <c r="AM198" s="531">
        <f t="shared" si="375"/>
        <v>0.10309278350515472</v>
      </c>
      <c r="AN198" s="531">
        <f t="shared" si="375"/>
        <v>0.1910112359550562</v>
      </c>
      <c r="AO198" s="531">
        <f t="shared" si="375"/>
        <v>0.16666666666666674</v>
      </c>
      <c r="AP198" s="531">
        <f t="shared" si="375"/>
        <v>8.6956521739130377E-2</v>
      </c>
      <c r="AQ198" s="531">
        <f t="shared" si="375"/>
        <v>3.7383177570093462E-2</v>
      </c>
      <c r="AR198" s="531">
        <f t="shared" si="375"/>
        <v>3.7735849056603765E-2</v>
      </c>
      <c r="AS198" s="531">
        <f t="shared" si="375"/>
        <v>1.7857142857142794E-2</v>
      </c>
      <c r="AT198" s="531">
        <f t="shared" si="375"/>
        <v>0.16999999999999993</v>
      </c>
      <c r="AU198" s="531">
        <f t="shared" si="375"/>
        <v>0.33333333333333326</v>
      </c>
      <c r="AV198" s="531">
        <f t="shared" si="375"/>
        <v>3.6363636363636376E-2</v>
      </c>
      <c r="AW198" s="531">
        <f t="shared" si="375"/>
        <v>1.7543859649122862E-2</v>
      </c>
      <c r="AX198" s="531">
        <f t="shared" si="375"/>
        <v>-8.5470085470085166E-3</v>
      </c>
      <c r="AY198" s="531">
        <f t="shared" si="375"/>
        <v>-0.29729729729729726</v>
      </c>
      <c r="AZ198" s="531">
        <f t="shared" si="375"/>
        <v>-6.1403508771929793E-2</v>
      </c>
      <c r="BA198" s="531">
        <f t="shared" si="375"/>
        <v>-9.4827586206896575E-2</v>
      </c>
      <c r="BB198" s="531">
        <f t="shared" si="375"/>
        <v>-0.14655172413793105</v>
      </c>
      <c r="BC198" s="531">
        <f t="shared" si="375"/>
        <v>0.50961538461538458</v>
      </c>
      <c r="BD198" s="531">
        <f t="shared" si="375"/>
        <v>-0.28971962616822433</v>
      </c>
      <c r="BE198" s="531">
        <f t="shared" si="375"/>
        <v>-0.4</v>
      </c>
      <c r="BF198" s="531">
        <f t="shared" si="375"/>
        <v>-0.31313131313131315</v>
      </c>
      <c r="BG198" s="531">
        <f t="shared" si="375"/>
        <v>-0.39490445859872614</v>
      </c>
      <c r="BH198" s="531">
        <f t="shared" si="375"/>
        <v>0.30263157894736836</v>
      </c>
      <c r="BI198" s="531">
        <f t="shared" si="375"/>
        <v>0</v>
      </c>
      <c r="BJ198" s="531">
        <f t="shared" si="375"/>
        <v>0.58823529411764697</v>
      </c>
      <c r="BK198" s="531">
        <f t="shared" si="375"/>
        <v>-0.42105263157894735</v>
      </c>
      <c r="BL198" s="531">
        <f t="shared" si="375"/>
        <v>0.10101010101010099</v>
      </c>
      <c r="BM198" s="531">
        <f t="shared" si="375"/>
        <v>-0.2857142857142857</v>
      </c>
      <c r="BN198" s="509">
        <f t="shared" ref="BN198:CG198" si="376">BN131/BJ131-1</f>
        <v>-0.60185185185185186</v>
      </c>
      <c r="BO198" s="509">
        <f t="shared" si="376"/>
        <v>-5.4545454545454564E-2</v>
      </c>
      <c r="BP198" s="509">
        <f t="shared" si="376"/>
        <v>-0.60550458715596323</v>
      </c>
      <c r="BQ198" s="509">
        <f t="shared" si="376"/>
        <v>-8.8888888888888906E-2</v>
      </c>
      <c r="BR198" s="509">
        <f t="shared" si="376"/>
        <v>1</v>
      </c>
      <c r="BS198" s="509">
        <f t="shared" si="376"/>
        <v>-0.28846153846153844</v>
      </c>
      <c r="BT198" s="509">
        <f t="shared" si="376"/>
        <v>0.30232558139534893</v>
      </c>
      <c r="BU198" s="509">
        <f t="shared" si="376"/>
        <v>-9.7560975609756073E-2</v>
      </c>
      <c r="BV198" s="509">
        <f t="shared" si="376"/>
        <v>0.61627906976744184</v>
      </c>
      <c r="BW198" s="509">
        <f t="shared" si="376"/>
        <v>1.9729729729729728</v>
      </c>
      <c r="BX198" s="509">
        <f t="shared" si="376"/>
        <v>0.1964285714285714</v>
      </c>
      <c r="BY198" s="509">
        <f t="shared" si="376"/>
        <v>-0.13513513513513509</v>
      </c>
      <c r="BZ198" s="509">
        <f t="shared" si="376"/>
        <v>-0.81294964028776984</v>
      </c>
      <c r="CA198" s="509">
        <f t="shared" si="376"/>
        <v>-0.69090909090909092</v>
      </c>
      <c r="CB198" s="509">
        <f t="shared" si="376"/>
        <v>-0.55223880597014929</v>
      </c>
      <c r="CC198" s="509">
        <f t="shared" si="376"/>
        <v>1.21875</v>
      </c>
      <c r="CD198" s="509">
        <f t="shared" si="376"/>
        <v>-0.23076923076923073</v>
      </c>
      <c r="CE198" s="509">
        <f t="shared" si="376"/>
        <v>-5.8823529411764719E-2</v>
      </c>
      <c r="CF198" s="509">
        <f t="shared" si="376"/>
        <v>0.7</v>
      </c>
      <c r="CG198" s="509">
        <f t="shared" si="376"/>
        <v>4.2253521126760507E-2</v>
      </c>
      <c r="CH198" s="509"/>
      <c r="CI198" s="471"/>
      <c r="CJ198" s="471"/>
      <c r="CK198" s="471"/>
      <c r="CL198" s="509"/>
      <c r="CM198" s="509"/>
      <c r="CN198" s="509"/>
      <c r="CO198" s="509"/>
      <c r="CP198" s="509"/>
      <c r="CQ198" s="509"/>
      <c r="CR198" s="509"/>
      <c r="CS198" s="509"/>
      <c r="CT198" s="582"/>
      <c r="CU198" s="509"/>
      <c r="CV198" s="509"/>
      <c r="CW198" s="509"/>
      <c r="CX198" s="509"/>
      <c r="CY198" s="509"/>
      <c r="CZ198" s="509"/>
      <c r="DA198" s="509"/>
      <c r="DB198" s="509"/>
      <c r="DC198" s="1074"/>
      <c r="DD198" s="1074"/>
      <c r="DE198" s="509"/>
      <c r="DF198" s="509"/>
      <c r="DG198" s="509"/>
      <c r="DH198" s="509"/>
      <c r="DI198" s="509"/>
    </row>
    <row r="199" spans="1:113" hidden="1" outlineLevel="1">
      <c r="A199" s="733"/>
      <c r="AD199" s="531"/>
      <c r="AE199" s="531"/>
      <c r="AF199" s="531"/>
      <c r="AG199" s="531"/>
      <c r="AH199" s="531"/>
      <c r="AI199" s="531"/>
      <c r="AJ199" s="531"/>
      <c r="AK199" s="531"/>
      <c r="AL199" s="531"/>
      <c r="AM199" s="531"/>
      <c r="AN199" s="531"/>
      <c r="AO199" s="531"/>
      <c r="AP199" s="531"/>
      <c r="AQ199" s="531"/>
      <c r="AR199" s="531"/>
      <c r="AS199" s="531"/>
      <c r="AT199" s="531"/>
      <c r="AU199" s="531"/>
      <c r="AV199" s="531"/>
      <c r="AW199" s="531"/>
      <c r="AX199" s="531"/>
      <c r="AY199" s="531"/>
      <c r="AZ199" s="531"/>
      <c r="BA199" s="531"/>
      <c r="BB199" s="531"/>
      <c r="BC199" s="531"/>
      <c r="BD199" s="531"/>
      <c r="BE199" s="531"/>
      <c r="BF199" s="531"/>
      <c r="BG199" s="531"/>
      <c r="BH199" s="531"/>
      <c r="BI199" s="531"/>
      <c r="BJ199" s="531"/>
      <c r="BK199" s="531"/>
      <c r="BL199" s="531"/>
      <c r="BM199" s="531"/>
      <c r="BN199" s="509"/>
      <c r="BO199" s="509"/>
      <c r="BP199" s="509"/>
      <c r="BQ199" s="509"/>
      <c r="BR199" s="509"/>
      <c r="BS199" s="509"/>
      <c r="BT199" s="509"/>
      <c r="BU199" s="509"/>
      <c r="BV199" s="509"/>
      <c r="BW199" s="509"/>
      <c r="BX199" s="509"/>
      <c r="BY199" s="509"/>
      <c r="BZ199" s="509"/>
      <c r="CA199" s="509"/>
      <c r="CB199" s="509"/>
      <c r="CC199" s="509"/>
      <c r="CD199" s="509"/>
      <c r="CE199" s="509"/>
      <c r="CF199" s="509"/>
      <c r="CG199" s="509"/>
      <c r="CH199" s="509"/>
      <c r="CI199" s="471"/>
      <c r="CJ199" s="471"/>
      <c r="CK199" s="471"/>
      <c r="CL199" s="509"/>
      <c r="CM199" s="509"/>
      <c r="CN199" s="509"/>
      <c r="CO199" s="509"/>
      <c r="CP199" s="509"/>
      <c r="CQ199" s="509"/>
      <c r="CR199" s="509"/>
      <c r="CS199" s="509"/>
      <c r="CT199" s="582"/>
      <c r="CU199" s="509"/>
      <c r="CV199" s="509"/>
      <c r="CW199" s="509"/>
      <c r="CX199" s="509"/>
      <c r="CY199" s="509"/>
      <c r="CZ199" s="509"/>
      <c r="DA199" s="509"/>
      <c r="DB199" s="509"/>
      <c r="DC199" s="1074"/>
      <c r="DD199" s="1074"/>
      <c r="DE199" s="509"/>
      <c r="DF199" s="509"/>
      <c r="DG199" s="509"/>
      <c r="DH199" s="509"/>
      <c r="DI199" s="509"/>
    </row>
    <row r="200" spans="1:113" hidden="1" outlineLevel="1">
      <c r="A200" s="733" t="s">
        <v>327</v>
      </c>
      <c r="AD200" s="531"/>
      <c r="AE200" s="531"/>
      <c r="AF200" s="531"/>
      <c r="AG200" s="531"/>
      <c r="AH200" s="531">
        <f t="shared" ref="AH200:AQ201" si="377">AH133/AD133-1</f>
        <v>1.7742595878258438E-3</v>
      </c>
      <c r="AI200" s="531">
        <f t="shared" si="377"/>
        <v>-3.0228875773715691E-3</v>
      </c>
      <c r="AJ200" s="531">
        <f t="shared" si="377"/>
        <v>2.4931938673162346E-2</v>
      </c>
      <c r="AK200" s="531">
        <f t="shared" si="377"/>
        <v>-2.9167345608603568E-2</v>
      </c>
      <c r="AL200" s="531">
        <f t="shared" si="377"/>
        <v>-2.9019073569482301E-2</v>
      </c>
      <c r="AM200" s="531">
        <f t="shared" si="377"/>
        <v>-1.8047935316199859E-2</v>
      </c>
      <c r="AN200" s="531">
        <f t="shared" si="377"/>
        <v>-5.5920592758283205E-2</v>
      </c>
      <c r="AO200" s="531">
        <f t="shared" si="377"/>
        <v>-2.282645182947296E-2</v>
      </c>
      <c r="AP200" s="531">
        <f t="shared" si="377"/>
        <v>-2.1888592675740171E-2</v>
      </c>
      <c r="AQ200" s="531">
        <f t="shared" si="377"/>
        <v>-7.4988972209969473E-3</v>
      </c>
      <c r="AR200" s="531">
        <f t="shared" ref="AR200:BA201" si="378">AR133/AN133-1</f>
        <v>-1.6289056715533823E-3</v>
      </c>
      <c r="AS200" s="531">
        <f t="shared" si="378"/>
        <v>3.9848849192717362E-2</v>
      </c>
      <c r="AT200" s="531">
        <f t="shared" si="378"/>
        <v>9.0374408262803296E-3</v>
      </c>
      <c r="AU200" s="531">
        <f t="shared" si="378"/>
        <v>5.7629629629629697E-2</v>
      </c>
      <c r="AV200" s="531">
        <f t="shared" si="378"/>
        <v>0.13378819341441717</v>
      </c>
      <c r="AW200" s="531">
        <f t="shared" si="378"/>
        <v>0.13230921704658072</v>
      </c>
      <c r="AX200" s="531">
        <f t="shared" si="378"/>
        <v>0.14856411714529427</v>
      </c>
      <c r="AY200" s="531">
        <f t="shared" si="378"/>
        <v>0.17495447541672493</v>
      </c>
      <c r="AZ200" s="531">
        <f t="shared" si="378"/>
        <v>0.16588173731030875</v>
      </c>
      <c r="BA200" s="531">
        <f t="shared" si="378"/>
        <v>0.16849015317286642</v>
      </c>
      <c r="BB200" s="531">
        <f t="shared" ref="BB200:BK201" si="379">BB133/AX133-1</f>
        <v>0.24309939348929333</v>
      </c>
      <c r="BC200" s="531">
        <f t="shared" si="379"/>
        <v>0.19980925131139715</v>
      </c>
      <c r="BD200" s="531">
        <f t="shared" si="379"/>
        <v>0.15754039497307004</v>
      </c>
      <c r="BE200" s="531">
        <f t="shared" si="379"/>
        <v>0.13770287141073667</v>
      </c>
      <c r="BF200" s="531">
        <f t="shared" si="379"/>
        <v>0.12964253709051077</v>
      </c>
      <c r="BG200" s="531">
        <f t="shared" si="379"/>
        <v>0.14914546899841019</v>
      </c>
      <c r="BH200" s="531">
        <f t="shared" si="379"/>
        <v>0.17051182628925932</v>
      </c>
      <c r="BI200" s="531">
        <f t="shared" si="379"/>
        <v>0.13058268407769114</v>
      </c>
      <c r="BJ200" s="531">
        <f t="shared" si="379"/>
        <v>4.0193918025561937E-2</v>
      </c>
      <c r="BK200" s="531">
        <f t="shared" si="379"/>
        <v>6.4418504107220054E-2</v>
      </c>
      <c r="BL200" s="531">
        <f t="shared" ref="BL200:BR201" si="380">BL133/BH133-1</f>
        <v>5.2008281573499016E-2</v>
      </c>
      <c r="BM200" s="531">
        <f t="shared" si="380"/>
        <v>0.11093856158400461</v>
      </c>
      <c r="BN200" s="531">
        <f t="shared" si="380"/>
        <v>-1</v>
      </c>
      <c r="BO200" s="531">
        <f t="shared" si="380"/>
        <v>-1</v>
      </c>
      <c r="BP200" s="531">
        <f t="shared" si="380"/>
        <v>-1</v>
      </c>
      <c r="BQ200" s="509">
        <f t="shared" si="380"/>
        <v>-1</v>
      </c>
      <c r="BR200" s="531" t="e">
        <f t="shared" si="380"/>
        <v>#DIV/0!</v>
      </c>
      <c r="BS200" s="509"/>
      <c r="BT200" s="509"/>
      <c r="BU200" s="509"/>
      <c r="BV200" s="531" t="e">
        <f>BV133/BR133-1</f>
        <v>#DIV/0!</v>
      </c>
      <c r="BW200" s="509"/>
      <c r="BX200" s="509"/>
      <c r="BY200" s="509"/>
      <c r="BZ200" s="531" t="e">
        <f>BZ133/BV133-1</f>
        <v>#DIV/0!</v>
      </c>
      <c r="CA200" s="509"/>
      <c r="CB200" s="509"/>
      <c r="CC200" s="509"/>
      <c r="CD200" s="531" t="e">
        <f>CD133/BZ133-1</f>
        <v>#DIV/0!</v>
      </c>
      <c r="CE200" s="509"/>
      <c r="CF200" s="509"/>
      <c r="CG200" s="509"/>
      <c r="CH200" s="509"/>
      <c r="CI200" s="471"/>
      <c r="CJ200" s="471"/>
      <c r="CK200" s="471"/>
      <c r="CL200" s="509"/>
      <c r="CM200" s="509"/>
      <c r="CN200" s="509"/>
      <c r="CO200" s="509"/>
      <c r="CP200" s="509"/>
      <c r="CQ200" s="509"/>
      <c r="CR200" s="509"/>
      <c r="CS200" s="509"/>
      <c r="CT200" s="582"/>
      <c r="CU200" s="509"/>
      <c r="CV200" s="509"/>
      <c r="CW200" s="509"/>
      <c r="CX200" s="509"/>
      <c r="CY200" s="509"/>
      <c r="CZ200" s="509"/>
      <c r="DA200" s="509"/>
      <c r="DB200" s="509"/>
      <c r="DC200" s="1074"/>
      <c r="DD200" s="1074"/>
      <c r="DE200" s="509"/>
      <c r="DF200" s="509"/>
      <c r="DG200" s="509"/>
      <c r="DH200" s="509"/>
      <c r="DI200" s="509"/>
    </row>
    <row r="201" spans="1:113" hidden="1" outlineLevel="1">
      <c r="A201" s="937" t="s">
        <v>341</v>
      </c>
      <c r="AD201" s="153"/>
      <c r="AE201" s="153"/>
      <c r="AF201" s="153"/>
      <c r="AG201" s="153"/>
      <c r="AH201" s="153">
        <f t="shared" si="377"/>
        <v>0.10663040420144432</v>
      </c>
      <c r="AI201" s="153">
        <f t="shared" si="377"/>
        <v>9.2570036540803979E-2</v>
      </c>
      <c r="AJ201" s="153">
        <f t="shared" si="377"/>
        <v>0.1069148457872493</v>
      </c>
      <c r="AK201" s="153">
        <f t="shared" si="377"/>
        <v>9.3624914575807905E-2</v>
      </c>
      <c r="AL201" s="153">
        <f t="shared" si="377"/>
        <v>6.5508474576271292E-2</v>
      </c>
      <c r="AM201" s="153">
        <f t="shared" si="377"/>
        <v>7.2549524054540848E-2</v>
      </c>
      <c r="AN201" s="153">
        <f t="shared" si="377"/>
        <v>2.2583265637692973E-2</v>
      </c>
      <c r="AO201" s="153">
        <f t="shared" si="377"/>
        <v>2.5977504017139719E-2</v>
      </c>
      <c r="AP201" s="153">
        <f t="shared" si="377"/>
        <v>-8.1523900421538231E-2</v>
      </c>
      <c r="AQ201" s="153">
        <f t="shared" si="377"/>
        <v>-5.2130806748221015E-2</v>
      </c>
      <c r="AR201" s="153">
        <f t="shared" si="378"/>
        <v>-5.5767397521448991E-2</v>
      </c>
      <c r="AS201" s="153">
        <f t="shared" si="378"/>
        <v>-3.1584442704254756E-2</v>
      </c>
      <c r="AT201" s="153">
        <f t="shared" si="378"/>
        <v>4.3643921025285692E-2</v>
      </c>
      <c r="AU201" s="153">
        <f t="shared" si="378"/>
        <v>1.391817798397299E-2</v>
      </c>
      <c r="AV201" s="153">
        <f t="shared" si="378"/>
        <v>6.5623422513881868E-2</v>
      </c>
      <c r="AW201" s="153">
        <f t="shared" si="378"/>
        <v>-2.866127583108713E-2</v>
      </c>
      <c r="AX201" s="153">
        <f t="shared" si="378"/>
        <v>-1.2943909724527081E-2</v>
      </c>
      <c r="AY201" s="153">
        <f t="shared" si="378"/>
        <v>7.2038269550748657E-2</v>
      </c>
      <c r="AZ201" s="153">
        <f t="shared" si="378"/>
        <v>5.4160745302384239E-2</v>
      </c>
      <c r="BA201" s="153">
        <f t="shared" si="378"/>
        <v>0.13366016094718347</v>
      </c>
      <c r="BB201" s="153">
        <f t="shared" si="379"/>
        <v>0.18081708137188968</v>
      </c>
      <c r="BC201" s="153">
        <f t="shared" si="379"/>
        <v>0.13659115777710529</v>
      </c>
      <c r="BD201" s="153">
        <f t="shared" si="379"/>
        <v>0.11002097064110239</v>
      </c>
      <c r="BE201" s="153">
        <f t="shared" si="379"/>
        <v>0.10419386422976507</v>
      </c>
      <c r="BF201" s="153">
        <f t="shared" si="379"/>
        <v>0.10279775040934003</v>
      </c>
      <c r="BG201" s="153">
        <f t="shared" si="379"/>
        <v>0.11668715007510588</v>
      </c>
      <c r="BH201" s="153">
        <f t="shared" si="379"/>
        <v>0.13393158356386214</v>
      </c>
      <c r="BI201" s="153">
        <f t="shared" si="379"/>
        <v>9.1406192270745645E-2</v>
      </c>
      <c r="BJ201" s="153">
        <f t="shared" si="379"/>
        <v>4.0862436253308321E-2</v>
      </c>
      <c r="BK201" s="153">
        <f t="shared" si="379"/>
        <v>4.5246102109446573E-2</v>
      </c>
      <c r="BL201" s="153">
        <f t="shared" si="380"/>
        <v>4.3258360109484695E-2</v>
      </c>
      <c r="BM201" s="153">
        <f t="shared" si="380"/>
        <v>8.2058226134055445E-2</v>
      </c>
      <c r="BN201" s="509">
        <f t="shared" si="380"/>
        <v>-0.73672785909203675</v>
      </c>
      <c r="BO201" s="509">
        <f t="shared" si="380"/>
        <v>-0.71868967534366779</v>
      </c>
      <c r="BP201" s="509">
        <f t="shared" si="380"/>
        <v>-0.71801745280328522</v>
      </c>
      <c r="BQ201" s="509">
        <f t="shared" si="380"/>
        <v>-0.71924665248404462</v>
      </c>
      <c r="BR201" s="509">
        <f t="shared" si="380"/>
        <v>-3.5335689045936647E-3</v>
      </c>
      <c r="BS201" s="509"/>
      <c r="BT201" s="509"/>
      <c r="BU201" s="509"/>
      <c r="BV201" s="509">
        <f>BV134/BR134-1</f>
        <v>-1</v>
      </c>
      <c r="BW201" s="509"/>
      <c r="BX201" s="509"/>
      <c r="BY201" s="509"/>
      <c r="BZ201" s="509" t="e">
        <f>BZ134/BV134-1</f>
        <v>#DIV/0!</v>
      </c>
      <c r="CA201" s="509"/>
      <c r="CB201" s="509"/>
      <c r="CC201" s="509"/>
      <c r="CD201" s="509" t="e">
        <f>CD134/BZ134-1</f>
        <v>#DIV/0!</v>
      </c>
      <c r="CE201" s="509"/>
      <c r="CF201" s="509"/>
      <c r="CG201" s="509"/>
      <c r="CH201" s="509"/>
      <c r="CI201" s="471"/>
      <c r="CJ201" s="471"/>
      <c r="CK201" s="471"/>
      <c r="CL201" s="509"/>
      <c r="CM201" s="509"/>
      <c r="CN201" s="509"/>
      <c r="CO201" s="509"/>
      <c r="CP201" s="509"/>
      <c r="CQ201" s="509"/>
      <c r="CR201" s="509"/>
      <c r="CS201" s="509"/>
      <c r="CT201" s="582"/>
      <c r="CU201" s="509"/>
      <c r="CV201" s="509"/>
      <c r="CW201" s="509"/>
      <c r="CX201" s="509"/>
      <c r="CY201" s="509"/>
      <c r="CZ201" s="509"/>
      <c r="DA201" s="509"/>
      <c r="DB201" s="509"/>
      <c r="DC201" s="1074"/>
      <c r="DD201" s="1074"/>
      <c r="DE201" s="509"/>
      <c r="DF201" s="509"/>
      <c r="DG201" s="509"/>
      <c r="DH201" s="509"/>
      <c r="DI201" s="509"/>
    </row>
    <row r="202" spans="1:113" hidden="1" outlineLevel="1">
      <c r="A202" s="937"/>
      <c r="AD202" s="531"/>
      <c r="AE202" s="531"/>
      <c r="AF202" s="531"/>
      <c r="AG202" s="531"/>
      <c r="AH202" s="531"/>
      <c r="AI202" s="531"/>
      <c r="AJ202" s="531"/>
      <c r="AK202" s="531"/>
      <c r="AL202" s="531"/>
      <c r="AM202" s="531"/>
      <c r="AN202" s="531"/>
      <c r="AO202" s="531"/>
      <c r="AP202" s="531"/>
      <c r="AQ202" s="531"/>
      <c r="AR202" s="531"/>
      <c r="AS202" s="531"/>
      <c r="AT202" s="531"/>
      <c r="AU202" s="531"/>
      <c r="AV202" s="531"/>
      <c r="AW202" s="531"/>
      <c r="AX202" s="531"/>
      <c r="AY202" s="531"/>
      <c r="AZ202" s="531"/>
      <c r="BA202" s="531"/>
      <c r="BB202" s="531"/>
      <c r="BC202" s="531"/>
      <c r="BD202" s="531"/>
      <c r="BE202" s="531"/>
      <c r="BF202" s="531"/>
      <c r="BG202" s="531"/>
      <c r="BH202" s="531"/>
      <c r="BI202" s="531"/>
      <c r="BJ202" s="531"/>
      <c r="BK202" s="531"/>
      <c r="BL202" s="531"/>
      <c r="BM202" s="531"/>
      <c r="BN202" s="509"/>
      <c r="BO202" s="509"/>
      <c r="BP202" s="509"/>
      <c r="BQ202" s="509"/>
      <c r="BR202" s="509"/>
      <c r="BS202" s="509"/>
      <c r="BT202" s="509"/>
      <c r="BU202" s="509"/>
      <c r="BV202" s="509"/>
      <c r="BW202" s="509"/>
      <c r="BX202" s="509"/>
      <c r="BY202" s="509"/>
      <c r="BZ202" s="509"/>
      <c r="CA202" s="509"/>
      <c r="CB202" s="509"/>
      <c r="CC202" s="509"/>
      <c r="CD202" s="509"/>
      <c r="CE202" s="509"/>
      <c r="CF202" s="509"/>
      <c r="CG202" s="509"/>
      <c r="CH202" s="509"/>
      <c r="CI202" s="471"/>
      <c r="CJ202" s="471"/>
      <c r="CK202" s="471"/>
      <c r="CL202" s="509"/>
      <c r="CM202" s="509"/>
      <c r="CN202" s="509"/>
      <c r="CO202" s="509"/>
      <c r="CP202" s="509"/>
      <c r="CQ202" s="509"/>
      <c r="CR202" s="509"/>
      <c r="CS202" s="509"/>
      <c r="CT202" s="582"/>
      <c r="CU202" s="509"/>
      <c r="CV202" s="509"/>
      <c r="CW202" s="509"/>
      <c r="CX202" s="509"/>
      <c r="CY202" s="509"/>
      <c r="CZ202" s="509"/>
      <c r="DA202" s="509"/>
      <c r="DB202" s="509"/>
      <c r="DC202" s="1074"/>
      <c r="DD202" s="1074"/>
      <c r="DE202" s="509"/>
      <c r="DF202" s="509"/>
      <c r="DG202" s="509"/>
      <c r="DH202" s="509"/>
      <c r="DI202" s="509"/>
    </row>
    <row r="203" spans="1:113" hidden="1" outlineLevel="1">
      <c r="A203" s="733" t="s">
        <v>142</v>
      </c>
      <c r="AD203" s="531"/>
      <c r="AE203" s="531"/>
      <c r="AF203" s="531"/>
      <c r="AG203" s="531"/>
      <c r="AH203" s="531">
        <f t="shared" ref="AH203:AU203" si="381">AH136/AD136-1</f>
        <v>6.1224489795919101E-3</v>
      </c>
      <c r="AI203" s="531">
        <f t="shared" si="381"/>
        <v>2.1739130434782705E-2</v>
      </c>
      <c r="AJ203" s="531">
        <f t="shared" si="381"/>
        <v>7.6563958916900043E-2</v>
      </c>
      <c r="AK203" s="531">
        <f t="shared" si="381"/>
        <v>0.14335664335664333</v>
      </c>
      <c r="AL203" s="531">
        <f t="shared" si="381"/>
        <v>5.8823529411764719E-2</v>
      </c>
      <c r="AM203" s="531">
        <f t="shared" si="381"/>
        <v>2.7823240589198051E-2</v>
      </c>
      <c r="AN203" s="531">
        <f t="shared" si="381"/>
        <v>-3.4692107545533091E-3</v>
      </c>
      <c r="AO203" s="531">
        <f t="shared" si="381"/>
        <v>-0.1834862385321101</v>
      </c>
      <c r="AP203" s="531">
        <f t="shared" si="381"/>
        <v>6.7049808429118674E-2</v>
      </c>
      <c r="AQ203" s="531">
        <f t="shared" si="381"/>
        <v>7.4840764331210119E-2</v>
      </c>
      <c r="AR203" s="531">
        <f t="shared" si="381"/>
        <v>7.4847693646649338E-2</v>
      </c>
      <c r="AS203" s="531">
        <f t="shared" si="381"/>
        <v>0.36329588014981273</v>
      </c>
      <c r="AT203" s="531">
        <f t="shared" si="381"/>
        <v>9.4254937163375185E-2</v>
      </c>
      <c r="AU203" s="531">
        <f t="shared" si="381"/>
        <v>5.3333333333333233E-2</v>
      </c>
      <c r="AV203" s="531" t="s">
        <v>92</v>
      </c>
      <c r="AW203" s="531" t="s">
        <v>92</v>
      </c>
      <c r="AX203" s="531" t="s">
        <v>92</v>
      </c>
      <c r="AY203" s="531" t="s">
        <v>92</v>
      </c>
      <c r="AZ203" s="531" t="s">
        <v>92</v>
      </c>
      <c r="BA203" s="531" t="s">
        <v>92</v>
      </c>
      <c r="BB203" s="531" t="s">
        <v>92</v>
      </c>
      <c r="BC203" s="531" t="s">
        <v>92</v>
      </c>
      <c r="BD203" s="531" t="s">
        <v>92</v>
      </c>
      <c r="BE203" s="531" t="s">
        <v>92</v>
      </c>
      <c r="BF203" s="531" t="s">
        <v>92</v>
      </c>
      <c r="BG203" s="531" t="s">
        <v>92</v>
      </c>
      <c r="BH203" s="531" t="s">
        <v>92</v>
      </c>
      <c r="BI203" s="531" t="s">
        <v>92</v>
      </c>
      <c r="BJ203" s="531" t="s">
        <v>92</v>
      </c>
      <c r="BK203" s="531" t="s">
        <v>92</v>
      </c>
      <c r="BL203" s="531" t="s">
        <v>92</v>
      </c>
      <c r="BM203" s="531" t="s">
        <v>92</v>
      </c>
      <c r="BN203" s="509" t="s">
        <v>92</v>
      </c>
      <c r="BO203" s="509" t="s">
        <v>92</v>
      </c>
      <c r="BP203" s="509" t="s">
        <v>92</v>
      </c>
      <c r="BQ203" s="509" t="s">
        <v>92</v>
      </c>
      <c r="BR203" s="509" t="s">
        <v>92</v>
      </c>
      <c r="BS203" s="509"/>
      <c r="BT203" s="509"/>
      <c r="BU203" s="509"/>
      <c r="BV203" s="509" t="s">
        <v>92</v>
      </c>
      <c r="BW203" s="509"/>
      <c r="BX203" s="509"/>
      <c r="BY203" s="509"/>
      <c r="BZ203" s="509" t="s">
        <v>92</v>
      </c>
      <c r="CA203" s="509"/>
      <c r="CB203" s="509"/>
      <c r="CC203" s="509"/>
      <c r="CD203" s="509" t="s">
        <v>92</v>
      </c>
      <c r="CE203" s="509"/>
      <c r="CF203" s="509"/>
      <c r="CG203" s="509"/>
      <c r="CH203" s="509"/>
      <c r="CI203" s="471"/>
      <c r="CJ203" s="471"/>
      <c r="CK203" s="471"/>
      <c r="CL203" s="509"/>
      <c r="CM203" s="509"/>
      <c r="CN203" s="509"/>
      <c r="CO203" s="509"/>
      <c r="CP203" s="509"/>
      <c r="CQ203" s="509"/>
      <c r="CR203" s="509"/>
      <c r="CS203" s="509"/>
      <c r="CT203" s="582"/>
      <c r="CU203" s="509"/>
      <c r="CV203" s="509"/>
      <c r="CW203" s="509"/>
      <c r="CX203" s="509"/>
      <c r="CY203" s="509"/>
      <c r="CZ203" s="509"/>
      <c r="DA203" s="509"/>
      <c r="DB203" s="509"/>
      <c r="DC203" s="1074"/>
      <c r="DD203" s="1074"/>
      <c r="DE203" s="509"/>
      <c r="DF203" s="509"/>
      <c r="DG203" s="509"/>
      <c r="DH203" s="509"/>
      <c r="DI203" s="509"/>
    </row>
    <row r="204" spans="1:113" hidden="1" outlineLevel="1">
      <c r="A204" s="937"/>
      <c r="AD204" s="531"/>
      <c r="AE204" s="531"/>
      <c r="AF204" s="531"/>
      <c r="AG204" s="531"/>
      <c r="AH204" s="531"/>
      <c r="AI204" s="531"/>
      <c r="AJ204" s="531"/>
      <c r="AK204" s="531"/>
      <c r="AL204" s="531"/>
      <c r="AM204" s="531"/>
      <c r="AN204" s="531"/>
      <c r="AO204" s="531"/>
      <c r="AP204" s="531"/>
      <c r="AQ204" s="531"/>
      <c r="AR204" s="531"/>
      <c r="AS204" s="531"/>
      <c r="AT204" s="531"/>
      <c r="AU204" s="531"/>
      <c r="AV204" s="531"/>
      <c r="AW204" s="531"/>
      <c r="AX204" s="531"/>
      <c r="AY204" s="531"/>
      <c r="AZ204" s="531"/>
      <c r="BA204" s="531"/>
      <c r="BB204" s="531"/>
      <c r="BC204" s="531"/>
      <c r="BD204" s="531"/>
      <c r="BE204" s="531"/>
      <c r="BF204" s="509"/>
      <c r="BG204" s="509"/>
      <c r="BH204" s="509"/>
      <c r="BI204" s="509"/>
      <c r="BJ204" s="509"/>
      <c r="BK204" s="509"/>
      <c r="BL204" s="509"/>
      <c r="BM204" s="509"/>
      <c r="BN204" s="509"/>
      <c r="BO204" s="509"/>
      <c r="BP204" s="509"/>
      <c r="BQ204" s="509"/>
      <c r="BR204" s="509"/>
      <c r="BS204" s="509"/>
      <c r="BT204" s="509"/>
      <c r="BU204" s="509"/>
      <c r="BV204" s="509"/>
      <c r="BW204" s="509"/>
      <c r="BX204" s="509"/>
      <c r="BY204" s="509"/>
      <c r="BZ204" s="509"/>
      <c r="CA204" s="509"/>
      <c r="CB204" s="509"/>
      <c r="CC204" s="509"/>
      <c r="CD204" s="509"/>
      <c r="CE204" s="509"/>
      <c r="CF204" s="509"/>
      <c r="CG204" s="509"/>
      <c r="CH204" s="509"/>
      <c r="CI204" s="471"/>
      <c r="CJ204" s="471"/>
      <c r="CK204" s="471"/>
      <c r="CL204" s="509"/>
      <c r="CM204" s="509"/>
      <c r="CN204" s="509"/>
      <c r="CO204" s="509"/>
      <c r="CP204" s="509"/>
      <c r="CQ204" s="509"/>
      <c r="CR204" s="509"/>
      <c r="CS204" s="509"/>
      <c r="CT204" s="582"/>
      <c r="CU204" s="509"/>
      <c r="CV204" s="509"/>
      <c r="CW204" s="509"/>
      <c r="CX204" s="509"/>
      <c r="CY204" s="509"/>
      <c r="CZ204" s="509"/>
      <c r="DA204" s="509"/>
      <c r="DB204" s="509"/>
      <c r="DC204" s="1074"/>
      <c r="DD204" s="1074"/>
      <c r="DE204" s="509"/>
      <c r="DF204" s="509"/>
      <c r="DG204" s="509"/>
      <c r="DH204" s="509"/>
      <c r="DI204" s="509"/>
    </row>
    <row r="205" spans="1:113" hidden="1" outlineLevel="1">
      <c r="A205" s="733" t="s">
        <v>320</v>
      </c>
      <c r="AD205" s="531"/>
      <c r="AE205" s="531"/>
      <c r="AF205" s="531"/>
      <c r="AG205" s="531"/>
      <c r="AH205" s="531">
        <f t="shared" ref="AH205:AQ208" si="382">AH137/AD137-1</f>
        <v>7.1019473081328499E-3</v>
      </c>
      <c r="AI205" s="531">
        <f t="shared" si="382"/>
        <v>1.8942731277532987E-2</v>
      </c>
      <c r="AJ205" s="531">
        <f t="shared" si="382"/>
        <v>3.8595617529880499E-2</v>
      </c>
      <c r="AK205" s="531">
        <f t="shared" si="382"/>
        <v>-2.4368025506718238E-2</v>
      </c>
      <c r="AL205" s="531">
        <f t="shared" si="382"/>
        <v>5.0272975432211098E-2</v>
      </c>
      <c r="AM205" s="531">
        <f t="shared" si="382"/>
        <v>5.8365758754863828E-2</v>
      </c>
      <c r="AN205" s="531">
        <f t="shared" si="382"/>
        <v>4.747063054423406E-2</v>
      </c>
      <c r="AO205" s="531">
        <f t="shared" si="382"/>
        <v>8.3099906629318321E-2</v>
      </c>
      <c r="AP205" s="531">
        <f t="shared" si="382"/>
        <v>0.12995451591942819</v>
      </c>
      <c r="AQ205" s="531">
        <f t="shared" si="382"/>
        <v>0.1327614379084967</v>
      </c>
      <c r="AR205" s="531">
        <f t="shared" ref="AR205:BA208" si="383">AR137/AN137-1</f>
        <v>0.19043259327077133</v>
      </c>
      <c r="AS205" s="531">
        <f t="shared" si="383"/>
        <v>0.12952586206896544</v>
      </c>
      <c r="AT205" s="531">
        <f t="shared" si="383"/>
        <v>1.4759440291355119E-2</v>
      </c>
      <c r="AU205" s="531">
        <f t="shared" si="383"/>
        <v>3.9668229354490325E-3</v>
      </c>
      <c r="AV205" s="531">
        <f t="shared" si="383"/>
        <v>6.2295712363007016E-2</v>
      </c>
      <c r="AW205" s="531">
        <f t="shared" si="383"/>
        <v>2.9192902117916475E-2</v>
      </c>
      <c r="AX205" s="531">
        <f t="shared" si="383"/>
        <v>1.6244805440120968E-2</v>
      </c>
      <c r="AY205" s="531">
        <f t="shared" si="383"/>
        <v>1.3649425287356243E-2</v>
      </c>
      <c r="AZ205" s="531">
        <f t="shared" si="383"/>
        <v>-3.601809954751134E-2</v>
      </c>
      <c r="BA205" s="531">
        <f t="shared" si="383"/>
        <v>3.0218761586948473E-2</v>
      </c>
      <c r="BB205" s="531">
        <f t="shared" ref="BB205:BK208" si="384">BB137/AX137-1</f>
        <v>3.5315985130111027E-3</v>
      </c>
      <c r="BC205" s="531">
        <f t="shared" si="384"/>
        <v>9.390503189227406E-3</v>
      </c>
      <c r="BD205" s="531">
        <f t="shared" si="384"/>
        <v>2.7224934284641344E-2</v>
      </c>
      <c r="BE205" s="531">
        <f t="shared" si="384"/>
        <v>4.3908583768220266E-2</v>
      </c>
      <c r="BF205" s="509">
        <f t="shared" si="384"/>
        <v>2.8523800703833979E-2</v>
      </c>
      <c r="BG205" s="509">
        <f t="shared" si="384"/>
        <v>9.4786729857820884E-3</v>
      </c>
      <c r="BH205" s="509">
        <f t="shared" si="384"/>
        <v>1.4622555291537109E-2</v>
      </c>
      <c r="BI205" s="509">
        <f t="shared" si="384"/>
        <v>0.10980865368039994</v>
      </c>
      <c r="BJ205" s="509">
        <f t="shared" si="384"/>
        <v>1.620745542949753E-2</v>
      </c>
      <c r="BK205" s="509">
        <f t="shared" si="384"/>
        <v>3.373326378021213E-2</v>
      </c>
      <c r="BL205" s="509">
        <f t="shared" ref="BL205:BM208" si="385">BL137/BH137-1</f>
        <v>7.2059088452531839E-3</v>
      </c>
      <c r="BM205" s="509">
        <f t="shared" si="385"/>
        <v>-7.750854302578436E-2</v>
      </c>
      <c r="BN205" s="509" t="s">
        <v>92</v>
      </c>
      <c r="BO205" s="509" t="s">
        <v>92</v>
      </c>
      <c r="BP205" s="509" t="s">
        <v>92</v>
      </c>
      <c r="BQ205" s="509" t="s">
        <v>92</v>
      </c>
      <c r="BR205" s="509" t="s">
        <v>92</v>
      </c>
      <c r="BS205" s="509"/>
      <c r="BT205" s="509"/>
      <c r="BU205" s="509"/>
      <c r="BV205" s="509" t="s">
        <v>92</v>
      </c>
      <c r="BW205" s="509"/>
      <c r="BX205" s="509"/>
      <c r="BY205" s="509"/>
      <c r="BZ205" s="509" t="s">
        <v>92</v>
      </c>
      <c r="CA205" s="509"/>
      <c r="CB205" s="509"/>
      <c r="CC205" s="509"/>
      <c r="CD205" s="509" t="s">
        <v>92</v>
      </c>
      <c r="CE205" s="509"/>
      <c r="CF205" s="509"/>
      <c r="CG205" s="509"/>
      <c r="CH205" s="509"/>
      <c r="CI205" s="471"/>
      <c r="CJ205" s="471"/>
      <c r="CK205" s="471"/>
      <c r="CL205" s="509"/>
      <c r="CM205" s="509"/>
      <c r="CN205" s="509"/>
      <c r="CO205" s="509"/>
      <c r="CP205" s="509"/>
      <c r="CQ205" s="509"/>
      <c r="CR205" s="509"/>
      <c r="CS205" s="509"/>
      <c r="CT205" s="582"/>
      <c r="CU205" s="509"/>
      <c r="CV205" s="509"/>
      <c r="CW205" s="509"/>
      <c r="CX205" s="509"/>
      <c r="CY205" s="509"/>
      <c r="CZ205" s="509"/>
      <c r="DA205" s="509"/>
      <c r="DB205" s="509"/>
      <c r="DC205" s="1074"/>
      <c r="DD205" s="1074"/>
      <c r="DE205" s="509"/>
      <c r="DF205" s="509"/>
      <c r="DG205" s="509"/>
      <c r="DH205" s="509"/>
      <c r="DI205" s="509"/>
    </row>
    <row r="206" spans="1:113" hidden="1" outlineLevel="1">
      <c r="A206" s="733" t="s">
        <v>321</v>
      </c>
      <c r="AD206" s="531"/>
      <c r="AE206" s="531"/>
      <c r="AF206" s="531"/>
      <c r="AG206" s="531"/>
      <c r="AH206" s="531">
        <f t="shared" si="382"/>
        <v>-2.9437229437229484E-2</v>
      </c>
      <c r="AI206" s="531">
        <f t="shared" si="382"/>
        <v>-0.11663326653306616</v>
      </c>
      <c r="AJ206" s="531">
        <f t="shared" si="382"/>
        <v>-6.7099567099567103E-2</v>
      </c>
      <c r="AK206" s="531">
        <f t="shared" si="382"/>
        <v>-0.11905588337382855</v>
      </c>
      <c r="AL206" s="531">
        <f t="shared" si="382"/>
        <v>-0.15700267618198038</v>
      </c>
      <c r="AM206" s="531">
        <f t="shared" si="382"/>
        <v>-7.8039927404718656E-2</v>
      </c>
      <c r="AN206" s="531">
        <f t="shared" si="382"/>
        <v>-0.16426914153132255</v>
      </c>
      <c r="AO206" s="531">
        <f t="shared" si="382"/>
        <v>-0.11623325453112687</v>
      </c>
      <c r="AP206" s="531">
        <f t="shared" si="382"/>
        <v>3.7037037037036979E-2</v>
      </c>
      <c r="AQ206" s="531">
        <f t="shared" si="382"/>
        <v>8.8582677165354173E-3</v>
      </c>
      <c r="AR206" s="531">
        <f t="shared" si="383"/>
        <v>3.7756801776790638E-2</v>
      </c>
      <c r="AS206" s="531">
        <f t="shared" si="383"/>
        <v>5.2162282657155501E-2</v>
      </c>
      <c r="AT206" s="531">
        <f t="shared" si="383"/>
        <v>-5.4591836734693922E-2</v>
      </c>
      <c r="AU206" s="531">
        <f t="shared" si="383"/>
        <v>-5.1219512195121997E-2</v>
      </c>
      <c r="AV206" s="531">
        <f t="shared" si="383"/>
        <v>6.527554842161587E-2</v>
      </c>
      <c r="AW206" s="531">
        <f t="shared" si="383"/>
        <v>3.3474576271186551E-2</v>
      </c>
      <c r="AX206" s="531">
        <f t="shared" si="383"/>
        <v>6.7997841338370169E-2</v>
      </c>
      <c r="AY206" s="531">
        <f t="shared" si="383"/>
        <v>0.12956298200514138</v>
      </c>
      <c r="AZ206" s="531">
        <f t="shared" si="383"/>
        <v>8.1868407835258727E-2</v>
      </c>
      <c r="BA206" s="531">
        <f t="shared" si="383"/>
        <v>0.13694136941369406</v>
      </c>
      <c r="BB206" s="531">
        <f t="shared" si="384"/>
        <v>0.15917129863567459</v>
      </c>
      <c r="BC206" s="531">
        <f t="shared" si="384"/>
        <v>0.14155666818388712</v>
      </c>
      <c r="BD206" s="531">
        <f t="shared" si="384"/>
        <v>9.5636025998143026E-2</v>
      </c>
      <c r="BE206" s="531">
        <f t="shared" si="384"/>
        <v>7.573025604038941E-2</v>
      </c>
      <c r="BF206" s="509">
        <f t="shared" si="384"/>
        <v>9.2414995640802022E-2</v>
      </c>
      <c r="BG206" s="509">
        <f t="shared" si="384"/>
        <v>2.9904306220095656E-2</v>
      </c>
      <c r="BH206" s="509">
        <f t="shared" si="384"/>
        <v>6.1864406779660985E-2</v>
      </c>
      <c r="BI206" s="509">
        <f t="shared" si="384"/>
        <v>8.1126382836071098E-2</v>
      </c>
      <c r="BJ206" s="509">
        <f t="shared" si="384"/>
        <v>-1.0375099760574602E-2</v>
      </c>
      <c r="BK206" s="509">
        <f t="shared" si="384"/>
        <v>3.5230352303523116E-2</v>
      </c>
      <c r="BL206" s="509">
        <f t="shared" si="385"/>
        <v>5.8260175578611406E-2</v>
      </c>
      <c r="BM206" s="509">
        <f t="shared" si="385"/>
        <v>6.4186046511627959E-2</v>
      </c>
      <c r="BN206" s="509" t="s">
        <v>92</v>
      </c>
      <c r="BO206" s="509" t="s">
        <v>92</v>
      </c>
      <c r="BP206" s="509" t="s">
        <v>92</v>
      </c>
      <c r="BQ206" s="509" t="s">
        <v>92</v>
      </c>
      <c r="BR206" s="509" t="s">
        <v>92</v>
      </c>
      <c r="BS206" s="509"/>
      <c r="BT206" s="509"/>
      <c r="BU206" s="509"/>
      <c r="BV206" s="509" t="s">
        <v>92</v>
      </c>
      <c r="BW206" s="509"/>
      <c r="BX206" s="509"/>
      <c r="BY206" s="509"/>
      <c r="BZ206" s="509" t="s">
        <v>92</v>
      </c>
      <c r="CA206" s="509"/>
      <c r="CB206" s="509"/>
      <c r="CC206" s="509"/>
      <c r="CD206" s="509" t="s">
        <v>92</v>
      </c>
      <c r="CE206" s="509"/>
      <c r="CF206" s="509"/>
      <c r="CG206" s="509"/>
      <c r="CH206" s="509"/>
      <c r="CI206" s="471"/>
      <c r="CJ206" s="471"/>
      <c r="CK206" s="471"/>
      <c r="CL206" s="509"/>
      <c r="CM206" s="509"/>
      <c r="CN206" s="509"/>
      <c r="CO206" s="509"/>
      <c r="CP206" s="509"/>
      <c r="CQ206" s="509"/>
      <c r="CR206" s="509"/>
      <c r="CS206" s="509"/>
      <c r="CT206" s="582"/>
      <c r="CU206" s="509"/>
      <c r="CV206" s="509"/>
      <c r="CW206" s="509"/>
      <c r="CX206" s="509"/>
      <c r="CY206" s="509"/>
      <c r="CZ206" s="509"/>
      <c r="DA206" s="509"/>
      <c r="DB206" s="509"/>
      <c r="DC206" s="1074"/>
      <c r="DD206" s="1074"/>
      <c r="DE206" s="509"/>
      <c r="DF206" s="509"/>
      <c r="DG206" s="509"/>
      <c r="DH206" s="509"/>
      <c r="DI206" s="509"/>
    </row>
    <row r="207" spans="1:113" hidden="1" outlineLevel="1">
      <c r="A207" s="937" t="s">
        <v>290</v>
      </c>
      <c r="AD207" s="153"/>
      <c r="AE207" s="153"/>
      <c r="AF207" s="153"/>
      <c r="AG207" s="153"/>
      <c r="AH207" s="153">
        <f t="shared" si="382"/>
        <v>-5.5430711610486849E-3</v>
      </c>
      <c r="AI207" s="153">
        <f t="shared" si="382"/>
        <v>-2.9140014214641075E-2</v>
      </c>
      <c r="AJ207" s="153">
        <f t="shared" si="382"/>
        <v>0</v>
      </c>
      <c r="AK207" s="153">
        <f t="shared" si="382"/>
        <v>-6.1881188118811936E-2</v>
      </c>
      <c r="AL207" s="153">
        <f t="shared" si="382"/>
        <v>-1.973485989755952E-2</v>
      </c>
      <c r="AM207" s="153">
        <f t="shared" si="382"/>
        <v>1.4348462664714567E-2</v>
      </c>
      <c r="AN207" s="153">
        <f t="shared" si="382"/>
        <v>-2.4660132785330413E-2</v>
      </c>
      <c r="AO207" s="153">
        <f t="shared" si="382"/>
        <v>8.9416593374376241E-3</v>
      </c>
      <c r="AP207" s="153">
        <f t="shared" si="382"/>
        <v>0.10296603657599501</v>
      </c>
      <c r="AQ207" s="153">
        <f t="shared" si="382"/>
        <v>9.6420323325635104E-2</v>
      </c>
      <c r="AR207" s="153">
        <f t="shared" si="383"/>
        <v>0.14586709886547822</v>
      </c>
      <c r="AS207" s="153">
        <f t="shared" si="383"/>
        <v>0.10431497893360464</v>
      </c>
      <c r="AT207" s="153">
        <f t="shared" si="383"/>
        <v>-4.1800195067577262E-3</v>
      </c>
      <c r="AU207" s="153">
        <f t="shared" si="383"/>
        <v>-1.0926803580831979E-2</v>
      </c>
      <c r="AV207" s="153">
        <f t="shared" si="383"/>
        <v>6.3083451202263108E-2</v>
      </c>
      <c r="AW207" s="153">
        <f t="shared" si="383"/>
        <v>3.0522299697408162E-2</v>
      </c>
      <c r="AX207" s="153">
        <f t="shared" si="383"/>
        <v>2.9662795578564438E-2</v>
      </c>
      <c r="AY207" s="153">
        <f t="shared" si="383"/>
        <v>4.3657660055903103E-2</v>
      </c>
      <c r="AZ207" s="153">
        <f t="shared" si="383"/>
        <v>-4.7897817988291624E-3</v>
      </c>
      <c r="BA207" s="153">
        <f t="shared" si="383"/>
        <v>6.3449508489722861E-2</v>
      </c>
      <c r="BB207" s="153">
        <f t="shared" si="384"/>
        <v>4.5386601440413177E-2</v>
      </c>
      <c r="BC207" s="153">
        <f t="shared" si="384"/>
        <v>4.6422650172171842E-2</v>
      </c>
      <c r="BD207" s="153">
        <f t="shared" si="384"/>
        <v>4.6925133689839527E-2</v>
      </c>
      <c r="BE207" s="153">
        <f t="shared" si="384"/>
        <v>5.4501800720288207E-2</v>
      </c>
      <c r="BF207" s="188">
        <f t="shared" si="384"/>
        <v>4.7575718185363325E-2</v>
      </c>
      <c r="BG207" s="188">
        <f t="shared" si="384"/>
        <v>1.5722120658135275E-2</v>
      </c>
      <c r="BH207" s="188">
        <f t="shared" si="384"/>
        <v>2.8859660324351832E-2</v>
      </c>
      <c r="BI207" s="188">
        <f t="shared" si="384"/>
        <v>0.10006830601092886</v>
      </c>
      <c r="BJ207" s="188">
        <f t="shared" si="384"/>
        <v>7.9414319394466304E-3</v>
      </c>
      <c r="BK207" s="188">
        <f t="shared" si="384"/>
        <v>3.41972642188626E-2</v>
      </c>
      <c r="BL207" s="188">
        <f t="shared" si="385"/>
        <v>2.3085515700632886E-2</v>
      </c>
      <c r="BM207" s="188">
        <f t="shared" si="385"/>
        <v>-3.0218358687778113E-2</v>
      </c>
      <c r="BN207" s="509" t="s">
        <v>92</v>
      </c>
      <c r="BO207" s="509" t="s">
        <v>92</v>
      </c>
      <c r="BP207" s="509" t="s">
        <v>92</v>
      </c>
      <c r="BQ207" s="509" t="s">
        <v>92</v>
      </c>
      <c r="BR207" s="509" t="s">
        <v>92</v>
      </c>
      <c r="BS207" s="509"/>
      <c r="BT207" s="509"/>
      <c r="BU207" s="509"/>
      <c r="BV207" s="509" t="s">
        <v>92</v>
      </c>
      <c r="BW207" s="509"/>
      <c r="BX207" s="509"/>
      <c r="BY207" s="509"/>
      <c r="BZ207" s="509" t="s">
        <v>92</v>
      </c>
      <c r="CA207" s="509"/>
      <c r="CB207" s="509"/>
      <c r="CC207" s="509"/>
      <c r="CD207" s="509" t="s">
        <v>92</v>
      </c>
      <c r="CE207" s="509"/>
      <c r="CF207" s="509"/>
      <c r="CG207" s="509"/>
      <c r="CH207" s="509"/>
      <c r="CI207" s="471"/>
      <c r="CJ207" s="471"/>
      <c r="CK207" s="471"/>
      <c r="CL207" s="509"/>
      <c r="CM207" s="509"/>
      <c r="CN207" s="509"/>
      <c r="CO207" s="509"/>
      <c r="CP207" s="509"/>
      <c r="CQ207" s="509"/>
      <c r="CR207" s="509"/>
      <c r="CS207" s="509"/>
      <c r="CT207" s="582"/>
      <c r="CU207" s="509"/>
      <c r="CV207" s="509"/>
      <c r="CW207" s="509"/>
      <c r="CX207" s="509"/>
      <c r="CY207" s="509"/>
      <c r="CZ207" s="509"/>
      <c r="DA207" s="509"/>
      <c r="DB207" s="509"/>
      <c r="DC207" s="1074"/>
      <c r="DD207" s="1074"/>
      <c r="DE207" s="509"/>
      <c r="DF207" s="509"/>
      <c r="DG207" s="509"/>
      <c r="DH207" s="509"/>
      <c r="DI207" s="509"/>
    </row>
    <row r="208" spans="1:113" hidden="1" outlineLevel="1">
      <c r="A208" s="204" t="s">
        <v>543</v>
      </c>
      <c r="AD208" s="153"/>
      <c r="AE208" s="153"/>
      <c r="AF208" s="153"/>
      <c r="AG208" s="153"/>
      <c r="AH208" s="153">
        <f t="shared" si="382"/>
        <v>6.0377770498962757E-2</v>
      </c>
      <c r="AI208" s="153">
        <f t="shared" si="382"/>
        <v>4.2795175624206427E-2</v>
      </c>
      <c r="AJ208" s="153">
        <f t="shared" si="382"/>
        <v>6.8635921805810574E-2</v>
      </c>
      <c r="AK208" s="153">
        <f t="shared" si="382"/>
        <v>3.4398301855984359E-2</v>
      </c>
      <c r="AL208" s="153">
        <f t="shared" si="382"/>
        <v>3.6037891268533739E-2</v>
      </c>
      <c r="AM208" s="153">
        <f t="shared" si="382"/>
        <v>4.961193121290508E-2</v>
      </c>
      <c r="AN208" s="153">
        <f t="shared" si="382"/>
        <v>5.9629086866441749E-3</v>
      </c>
      <c r="AO208" s="153">
        <f t="shared" si="382"/>
        <v>9.0502499342277609E-3</v>
      </c>
      <c r="AP208" s="153">
        <f t="shared" si="382"/>
        <v>-1.4162194394752525E-2</v>
      </c>
      <c r="AQ208" s="153">
        <f t="shared" si="382"/>
        <v>5.3163211057947191E-3</v>
      </c>
      <c r="AR208" s="153">
        <f t="shared" si="383"/>
        <v>1.4266338473903684E-2</v>
      </c>
      <c r="AS208" s="153">
        <f t="shared" si="383"/>
        <v>3.3686186577671196E-2</v>
      </c>
      <c r="AT208" s="153">
        <f t="shared" si="383"/>
        <v>2.9184938756993795E-2</v>
      </c>
      <c r="AU208" s="153">
        <f t="shared" si="383"/>
        <v>7.4034902168165218E-3</v>
      </c>
      <c r="AV208" s="153">
        <f t="shared" si="383"/>
        <v>-4.4574315288992139E-4</v>
      </c>
      <c r="AW208" s="153">
        <f t="shared" si="383"/>
        <v>-5.9476365837663359E-2</v>
      </c>
      <c r="AX208" s="153">
        <f t="shared" si="383"/>
        <v>-5.6959545499069453E-2</v>
      </c>
      <c r="AY208" s="153">
        <f t="shared" si="383"/>
        <v>-1.0885230255308964E-2</v>
      </c>
      <c r="AZ208" s="153">
        <f t="shared" si="383"/>
        <v>3.2206917054801387E-2</v>
      </c>
      <c r="BA208" s="153">
        <f t="shared" si="383"/>
        <v>0.10416219695344342</v>
      </c>
      <c r="BB208" s="153">
        <f t="shared" si="384"/>
        <v>0.12905738769150865</v>
      </c>
      <c r="BC208" s="153">
        <f t="shared" si="384"/>
        <v>0.10248035162035807</v>
      </c>
      <c r="BD208" s="153">
        <f t="shared" si="384"/>
        <v>8.7365591397849496E-2</v>
      </c>
      <c r="BE208" s="153">
        <f t="shared" si="384"/>
        <v>8.4086272223841352E-2</v>
      </c>
      <c r="BF208" s="153">
        <f t="shared" si="384"/>
        <v>8.3256669733210664E-2</v>
      </c>
      <c r="BG208" s="153">
        <f t="shared" si="384"/>
        <v>8.0434116668854694E-2</v>
      </c>
      <c r="BH208" s="153">
        <f t="shared" si="384"/>
        <v>9.7607275295779727E-2</v>
      </c>
      <c r="BI208" s="153">
        <f t="shared" si="384"/>
        <v>9.4815611417305101E-2</v>
      </c>
      <c r="BJ208" s="153">
        <f t="shared" si="384"/>
        <v>2.9596602972399078E-2</v>
      </c>
      <c r="BK208" s="153">
        <f t="shared" si="384"/>
        <v>4.1516464822390464E-2</v>
      </c>
      <c r="BL208" s="153">
        <f t="shared" si="385"/>
        <v>3.6721232353296163E-2</v>
      </c>
      <c r="BM208" s="153">
        <f t="shared" si="385"/>
        <v>3.7653992551057947E-2</v>
      </c>
      <c r="BN208" s="188">
        <f t="shared" ref="BN208:CG208" si="386">BN140/BJ140-1</f>
        <v>-0.82492679506743105</v>
      </c>
      <c r="BO208" s="188">
        <f t="shared" si="386"/>
        <v>-0.81298125534728161</v>
      </c>
      <c r="BP208" s="188">
        <f t="shared" si="386"/>
        <v>-0.8081936685288641</v>
      </c>
      <c r="BQ208" s="188">
        <f t="shared" si="386"/>
        <v>-0.82301897211375374</v>
      </c>
      <c r="BR208" s="188">
        <f t="shared" si="386"/>
        <v>3.8162544169611401E-2</v>
      </c>
      <c r="BS208" s="188">
        <f t="shared" si="386"/>
        <v>2.8696194635059236E-2</v>
      </c>
      <c r="BT208" s="188">
        <f t="shared" si="386"/>
        <v>3.984627831715204E-2</v>
      </c>
      <c r="BU208" s="188">
        <f t="shared" si="386"/>
        <v>1.6937820369957723E-2</v>
      </c>
      <c r="BV208" s="188">
        <f t="shared" si="386"/>
        <v>2.6321760835035235E-2</v>
      </c>
      <c r="BW208" s="188">
        <f t="shared" si="386"/>
        <v>0.35819688700222363</v>
      </c>
      <c r="BX208" s="188">
        <f t="shared" si="386"/>
        <v>0.22544252091032879</v>
      </c>
      <c r="BY208" s="188">
        <f t="shared" si="386"/>
        <v>0.31799254876177963</v>
      </c>
      <c r="BZ208" s="188">
        <f t="shared" si="386"/>
        <v>0.27349104576608441</v>
      </c>
      <c r="CA208" s="188">
        <f t="shared" si="386"/>
        <v>-6.6230093763952946E-2</v>
      </c>
      <c r="CB208" s="188">
        <f t="shared" si="386"/>
        <v>1.6190476190476089E-2</v>
      </c>
      <c r="CC208" s="188">
        <f t="shared" si="386"/>
        <v>-1.4466245427336211E-2</v>
      </c>
      <c r="CD208" s="188">
        <f t="shared" si="386"/>
        <v>-2.0312499999999956E-2</v>
      </c>
      <c r="CE208" s="188">
        <f t="shared" si="386"/>
        <v>2.1676761236850473E-2</v>
      </c>
      <c r="CF208" s="188">
        <f t="shared" si="386"/>
        <v>-4.5766947828803528E-2</v>
      </c>
      <c r="CG208" s="188">
        <f t="shared" si="386"/>
        <v>2.7838704234857348E-2</v>
      </c>
      <c r="CH208" s="509"/>
      <c r="CI208" s="471"/>
      <c r="CJ208" s="471"/>
      <c r="CK208" s="471"/>
      <c r="CL208" s="509"/>
      <c r="CM208" s="509"/>
      <c r="CN208" s="509"/>
      <c r="CO208" s="509"/>
      <c r="CP208" s="509"/>
      <c r="CQ208" s="509"/>
      <c r="CR208" s="509"/>
      <c r="CS208" s="509"/>
      <c r="CT208" s="582"/>
      <c r="CU208" s="509"/>
      <c r="CV208" s="509"/>
      <c r="CW208" s="509"/>
      <c r="CX208" s="509"/>
      <c r="CY208" s="509"/>
      <c r="CZ208" s="509"/>
      <c r="DA208" s="509"/>
      <c r="DB208" s="509"/>
      <c r="DC208" s="1074"/>
      <c r="DD208" s="1074"/>
      <c r="DE208" s="509"/>
      <c r="DF208" s="509"/>
      <c r="DG208" s="509"/>
      <c r="DH208" s="509"/>
      <c r="DI208" s="509"/>
    </row>
    <row r="209" spans="1:113" hidden="1" outlineLevel="1">
      <c r="A209" s="34"/>
      <c r="AD209" s="132"/>
      <c r="AE209" s="132"/>
      <c r="AF209" s="132"/>
      <c r="AG209" s="132"/>
      <c r="AH209" s="70"/>
      <c r="AI209" s="70"/>
      <c r="AJ209" s="70"/>
      <c r="AK209" s="70"/>
      <c r="AL209" s="70"/>
      <c r="AM209" s="70"/>
      <c r="AN209" s="70"/>
      <c r="AO209" s="70"/>
      <c r="AP209" s="70"/>
      <c r="AQ209" s="70"/>
      <c r="AR209" s="70"/>
      <c r="AS209" s="70"/>
      <c r="AT209" s="70"/>
      <c r="AU209" s="70"/>
      <c r="AV209" s="70"/>
      <c r="AW209" s="70"/>
      <c r="AX209" s="70"/>
      <c r="AY209" s="70"/>
      <c r="AZ209" s="70"/>
      <c r="BA209" s="70"/>
      <c r="BB209" s="70"/>
      <c r="BC209" s="394"/>
      <c r="BD209" s="394"/>
      <c r="BE209" s="394"/>
      <c r="BF209" s="404"/>
      <c r="BG209" s="404"/>
      <c r="BH209" s="404"/>
      <c r="BI209" s="404"/>
      <c r="BJ209" s="404"/>
      <c r="BK209" s="404"/>
      <c r="BL209" s="404"/>
      <c r="BM209" s="404"/>
      <c r="BN209" s="458"/>
      <c r="BO209" s="458"/>
      <c r="BP209" s="458"/>
      <c r="BQ209" s="458"/>
      <c r="BR209" s="458"/>
      <c r="BS209" s="404"/>
      <c r="BT209" s="404"/>
      <c r="BU209" s="404"/>
      <c r="BV209" s="458"/>
      <c r="BW209" s="404"/>
      <c r="BX209" s="404"/>
      <c r="BY209" s="404"/>
      <c r="BZ209" s="458"/>
      <c r="CA209" s="404"/>
      <c r="CB209" s="404"/>
      <c r="CC209" s="404"/>
      <c r="CD209" s="458"/>
      <c r="CE209" s="404"/>
      <c r="CF209" s="404"/>
      <c r="CG209" s="404"/>
      <c r="CH209" s="404"/>
      <c r="CI209" s="471"/>
      <c r="CJ209" s="471"/>
      <c r="CK209" s="471"/>
      <c r="CL209" s="404"/>
      <c r="CM209" s="404"/>
      <c r="CN209" s="404"/>
      <c r="CO209" s="404"/>
      <c r="CP209" s="404"/>
      <c r="CQ209" s="404"/>
      <c r="CR209" s="404"/>
      <c r="CS209" s="404"/>
      <c r="CT209" s="409"/>
      <c r="CU209" s="404"/>
      <c r="CV209" s="404"/>
      <c r="CW209" s="404"/>
      <c r="CX209" s="404"/>
      <c r="CY209" s="404"/>
      <c r="CZ209" s="404"/>
      <c r="DA209" s="404"/>
      <c r="DB209" s="404"/>
      <c r="DC209" s="994"/>
      <c r="DD209" s="994"/>
      <c r="DE209" s="404"/>
      <c r="DF209" s="404"/>
      <c r="DG209" s="404"/>
      <c r="DH209" s="404"/>
      <c r="DI209" s="404"/>
    </row>
    <row r="210" spans="1:113" collapsed="1">
      <c r="A210" s="34" t="s">
        <v>232</v>
      </c>
      <c r="T210" s="1054"/>
      <c r="AD210" s="394"/>
      <c r="AE210" s="394"/>
      <c r="AF210" s="394"/>
      <c r="AG210" s="394"/>
      <c r="AH210" s="394"/>
      <c r="AI210" s="394"/>
      <c r="AJ210" s="394"/>
      <c r="AK210" s="394"/>
      <c r="AL210" s="394"/>
      <c r="AM210" s="394"/>
      <c r="AN210" s="394"/>
      <c r="AO210" s="394"/>
      <c r="AP210" s="394"/>
      <c r="AQ210" s="394"/>
      <c r="AR210" s="394"/>
      <c r="AS210" s="394"/>
      <c r="AT210" s="394"/>
      <c r="AU210" s="394"/>
      <c r="AV210" s="394"/>
      <c r="AW210" s="394"/>
      <c r="AX210" s="394"/>
      <c r="AY210" s="394"/>
      <c r="AZ210" s="394"/>
      <c r="BA210" s="394"/>
      <c r="BB210" s="394"/>
      <c r="BC210" s="394"/>
      <c r="BD210" s="394"/>
      <c r="BE210" s="394"/>
      <c r="BF210" s="404"/>
      <c r="BG210" s="496"/>
      <c r="BH210" s="404"/>
      <c r="BI210" s="404"/>
      <c r="BJ210" s="535"/>
      <c r="BK210" s="535"/>
      <c r="BL210" s="535"/>
      <c r="BM210" s="535"/>
      <c r="BN210" s="404"/>
      <c r="BO210" s="404"/>
      <c r="BP210" s="404"/>
      <c r="BQ210" s="404"/>
      <c r="BR210" s="404"/>
      <c r="BS210" s="404"/>
      <c r="BT210" s="404"/>
      <c r="BU210" s="404"/>
      <c r="BV210" s="404"/>
      <c r="BW210" s="404"/>
      <c r="BX210" s="404"/>
      <c r="BY210" s="404"/>
      <c r="BZ210" s="404"/>
      <c r="CA210" s="404"/>
      <c r="CB210" s="404"/>
      <c r="CC210" s="404"/>
      <c r="CD210" s="404"/>
      <c r="CE210" s="404"/>
      <c r="CF210" s="404"/>
      <c r="CG210" s="404"/>
      <c r="CH210" s="404"/>
      <c r="CI210" s="471"/>
      <c r="CJ210" s="471"/>
      <c r="CK210" s="471"/>
      <c r="CL210" s="404"/>
      <c r="CM210" s="404"/>
      <c r="CN210" s="404"/>
      <c r="CO210" s="404"/>
      <c r="CP210" s="404"/>
      <c r="CQ210" s="404"/>
      <c r="CR210" s="404"/>
      <c r="CS210" s="404"/>
      <c r="CT210" s="409"/>
      <c r="CU210" s="404"/>
      <c r="CV210" s="404"/>
      <c r="CW210" s="404"/>
      <c r="CX210" s="404"/>
      <c r="CY210" s="404"/>
      <c r="CZ210" s="404"/>
      <c r="DA210" s="404"/>
      <c r="DB210" s="404"/>
      <c r="DC210" s="994"/>
      <c r="DD210" s="994"/>
      <c r="DE210" s="404"/>
      <c r="DF210" s="404"/>
      <c r="DG210" s="404"/>
      <c r="DH210" s="404"/>
      <c r="DI210" s="404"/>
    </row>
    <row r="211" spans="1:113">
      <c r="A211" s="301" t="s">
        <v>50</v>
      </c>
      <c r="AD211" s="394"/>
      <c r="AE211" s="394"/>
      <c r="AF211" s="394"/>
      <c r="AG211" s="394"/>
      <c r="AH211" s="394"/>
      <c r="AI211" s="394"/>
      <c r="AJ211" s="394"/>
      <c r="AK211" s="394"/>
      <c r="AL211" s="394"/>
      <c r="AM211" s="394"/>
      <c r="AN211" s="394"/>
      <c r="AO211" s="394"/>
      <c r="AP211" s="394"/>
      <c r="AQ211" s="394"/>
      <c r="AR211" s="394"/>
      <c r="AS211" s="394"/>
      <c r="AT211" s="394"/>
      <c r="AU211" s="394"/>
      <c r="AV211" s="394"/>
      <c r="AW211" s="394"/>
      <c r="AX211" s="394"/>
      <c r="AY211" s="394"/>
      <c r="AZ211" s="394"/>
      <c r="BA211" s="394"/>
      <c r="BB211" s="394"/>
      <c r="BC211" s="394"/>
      <c r="BD211" s="394"/>
      <c r="BE211" s="394"/>
      <c r="BF211" s="404"/>
      <c r="BG211" s="496"/>
      <c r="BH211" s="404"/>
      <c r="BI211" s="404"/>
      <c r="BJ211" s="535"/>
      <c r="BK211" s="535"/>
      <c r="BL211" s="535"/>
      <c r="BM211" s="535"/>
      <c r="BN211" s="404"/>
      <c r="BO211" s="404"/>
      <c r="BP211" s="404"/>
      <c r="BQ211" s="404"/>
      <c r="BR211" s="404"/>
      <c r="BS211" s="404"/>
      <c r="BT211" s="404"/>
      <c r="BU211" s="404"/>
      <c r="BV211" s="404"/>
      <c r="BW211" s="404"/>
      <c r="BX211" s="404"/>
      <c r="BY211" s="404"/>
      <c r="BZ211" s="531">
        <f t="shared" ref="BZ211:CI212" si="387">BZ160/BV160-1</f>
        <v>4.9472096530920107E-2</v>
      </c>
      <c r="CA211" s="531">
        <f t="shared" si="387"/>
        <v>-5.0420168067226934E-2</v>
      </c>
      <c r="CB211" s="531">
        <f t="shared" si="387"/>
        <v>3.6591740721380051E-2</v>
      </c>
      <c r="CC211" s="509">
        <f t="shared" si="387"/>
        <v>-1.9034482758620741E-2</v>
      </c>
      <c r="CD211" s="531">
        <f t="shared" si="387"/>
        <v>-1.7246335153779935E-3</v>
      </c>
      <c r="CE211" s="531">
        <f t="shared" si="387"/>
        <v>3.3576262363352427E-2</v>
      </c>
      <c r="CF211" s="531">
        <f t="shared" si="387"/>
        <v>-5.3706505295007534E-2</v>
      </c>
      <c r="CG211" s="509">
        <f t="shared" si="387"/>
        <v>3.5995500562429728E-2</v>
      </c>
      <c r="CH211" s="531">
        <f t="shared" si="387"/>
        <v>1.4396775122371697E-3</v>
      </c>
      <c r="CI211" s="531">
        <f t="shared" si="387"/>
        <v>1.4354066985645897E-2</v>
      </c>
      <c r="CJ211" s="531">
        <f t="shared" ref="CJ211:CS212" si="388">CJ160/CF160-1</f>
        <v>3.1441513455901848E-2</v>
      </c>
      <c r="CK211" s="531">
        <f t="shared" si="388"/>
        <v>4.6416938110749095E-2</v>
      </c>
      <c r="CL211" s="531">
        <f t="shared" si="388"/>
        <v>-9.7757331799884772E-3</v>
      </c>
      <c r="CM211" s="531">
        <f t="shared" si="388"/>
        <v>-2.2591857000993087E-2</v>
      </c>
      <c r="CN211" s="531">
        <f t="shared" si="388"/>
        <v>4.6499612503229093E-2</v>
      </c>
      <c r="CO211" s="531">
        <f t="shared" si="388"/>
        <v>-1.8158236057068788E-2</v>
      </c>
      <c r="CP211" s="531">
        <f t="shared" si="388"/>
        <v>1.1614401858304202E-2</v>
      </c>
      <c r="CQ211" s="531">
        <f t="shared" si="388"/>
        <v>7.620015240030531E-3</v>
      </c>
      <c r="CR211" s="531">
        <f t="shared" si="388"/>
        <v>2.7400641816835325E-2</v>
      </c>
      <c r="CS211" s="531">
        <f t="shared" si="388"/>
        <v>3.302509907529716E-2</v>
      </c>
      <c r="CT211" s="696">
        <f t="shared" ref="CT211:DC212" si="389">CT160/CP160-1</f>
        <v>6.9460390355912782E-2</v>
      </c>
      <c r="CU211" s="696">
        <f t="shared" si="389"/>
        <v>7.7640534408873307E-2</v>
      </c>
      <c r="CV211" s="531">
        <f t="shared" si="389"/>
        <v>4.7092743873137888E-2</v>
      </c>
      <c r="CW211" s="531">
        <f t="shared" si="389"/>
        <v>2.5575447570332477E-2</v>
      </c>
      <c r="CX211" s="696">
        <f t="shared" si="389"/>
        <v>5.287171229200216E-2</v>
      </c>
      <c r="CY211" s="696">
        <f t="shared" si="389"/>
        <v>-1.0526315789473717E-2</v>
      </c>
      <c r="CZ211" s="531">
        <f t="shared" si="389"/>
        <v>2.7076640660853579E-2</v>
      </c>
      <c r="DA211" s="531">
        <f t="shared" si="389"/>
        <v>-8.7281795511221505E-3</v>
      </c>
      <c r="DB211" s="531">
        <f t="shared" si="389"/>
        <v>1.9118021921998407E-2</v>
      </c>
      <c r="DC211" s="1075">
        <f t="shared" si="389"/>
        <v>3.2151300236406666E-2</v>
      </c>
      <c r="DD211" s="1075">
        <f>DD160/CZ160-1</f>
        <v>-1.4745308310991967E-2</v>
      </c>
      <c r="DE211" s="1075">
        <f>DE160/DA160-1</f>
        <v>-1.0062893081761004E-2</v>
      </c>
      <c r="DF211" s="531">
        <f t="shared" ref="DF211:DF214" si="390">DF160/DB160-1</f>
        <v>-2.5289832416208191E-2</v>
      </c>
      <c r="DG211" s="531">
        <f t="shared" ref="DG211:DG214" si="391">DG160/DC160-1</f>
        <v>-8.4549415941365114E-3</v>
      </c>
      <c r="DH211" s="531">
        <f>DH160/DD160-1</f>
        <v>1.5323299319727202E-3</v>
      </c>
      <c r="DI211" s="531">
        <f>DI160/DE160-1</f>
        <v>1.8894090151217791E-2</v>
      </c>
    </row>
    <row r="212" spans="1:113">
      <c r="A212" s="936" t="s">
        <v>228</v>
      </c>
      <c r="B212" s="784"/>
      <c r="C212" s="741">
        <f t="shared" ref="C212:W212" si="392">C161/B161-1</f>
        <v>-0.10036025965721229</v>
      </c>
      <c r="D212" s="741">
        <f t="shared" si="392"/>
        <v>6.7568446584107988E-2</v>
      </c>
      <c r="E212" s="741">
        <f t="shared" si="392"/>
        <v>-7.9919531821506906E-2</v>
      </c>
      <c r="F212" s="741">
        <f t="shared" si="392"/>
        <v>-0.11541774332471999</v>
      </c>
      <c r="G212" s="741">
        <f t="shared" si="392"/>
        <v>3.4903752527900345E-2</v>
      </c>
      <c r="H212" s="741">
        <f t="shared" si="392"/>
        <v>4.7622494029094575E-2</v>
      </c>
      <c r="I212" s="741">
        <f t="shared" si="392"/>
        <v>2.6390328151986164E-2</v>
      </c>
      <c r="J212" s="741">
        <f t="shared" si="392"/>
        <v>1.184626775257458E-2</v>
      </c>
      <c r="K212" s="741">
        <f t="shared" si="392"/>
        <v>5.587707044502066E-3</v>
      </c>
      <c r="L212" s="741">
        <f t="shared" si="392"/>
        <v>-4.3857908315141914E-2</v>
      </c>
      <c r="M212" s="741">
        <f t="shared" si="392"/>
        <v>2.8365850283658123E-3</v>
      </c>
      <c r="N212" s="741">
        <f t="shared" si="392"/>
        <v>-7.5888237323218366E-4</v>
      </c>
      <c r="O212" s="741">
        <f t="shared" si="392"/>
        <v>1.4913007456503813E-2</v>
      </c>
      <c r="P212" s="741">
        <f t="shared" si="392"/>
        <v>-1.4965986394558373E-3</v>
      </c>
      <c r="Q212" s="741">
        <f t="shared" si="392"/>
        <v>1.7849843302902402E-2</v>
      </c>
      <c r="R212" s="741">
        <f t="shared" si="392"/>
        <v>5.515394912985272E-2</v>
      </c>
      <c r="S212" s="741">
        <f t="shared" si="392"/>
        <v>1.2369956863740095E-2</v>
      </c>
      <c r="T212" s="741">
        <f t="shared" si="392"/>
        <v>1.4480796779858807E-4</v>
      </c>
      <c r="U212" s="741" t="s">
        <v>707</v>
      </c>
      <c r="V212" s="741">
        <f t="shared" si="392"/>
        <v>5.8124999999999982E-3</v>
      </c>
      <c r="W212" s="741">
        <f t="shared" si="392"/>
        <v>8.4249999999996827E-3</v>
      </c>
      <c r="X212" s="741">
        <f t="shared" ref="X212:Z214" si="393">X161/W161-1</f>
        <v>8.655999999999997E-3</v>
      </c>
      <c r="Y212" s="741">
        <f t="shared" si="393"/>
        <v>8.655999999999997E-3</v>
      </c>
      <c r="Z212" s="741">
        <f t="shared" si="393"/>
        <v>8.655999999999997E-3</v>
      </c>
      <c r="AA212" s="741">
        <f t="shared" ref="AA212:AB214" si="394">AA161/Z161-1</f>
        <v>8.6560000000002191E-3</v>
      </c>
      <c r="AB212" s="741">
        <f t="shared" si="394"/>
        <v>8.655999999999775E-3</v>
      </c>
      <c r="AD212" s="531"/>
      <c r="AE212" s="531"/>
      <c r="AF212" s="531"/>
      <c r="AG212" s="531"/>
      <c r="AH212" s="531"/>
      <c r="AI212" s="531"/>
      <c r="AJ212" s="531"/>
      <c r="AK212" s="531"/>
      <c r="AL212" s="531"/>
      <c r="AM212" s="531"/>
      <c r="AN212" s="531"/>
      <c r="AO212" s="531"/>
      <c r="AP212" s="531"/>
      <c r="AQ212" s="531"/>
      <c r="AR212" s="531"/>
      <c r="AS212" s="531"/>
      <c r="AT212" s="531"/>
      <c r="AU212" s="531"/>
      <c r="AV212" s="531"/>
      <c r="AW212" s="531"/>
      <c r="AX212" s="531"/>
      <c r="AY212" s="531"/>
      <c r="AZ212" s="531"/>
      <c r="BA212" s="531"/>
      <c r="BB212" s="531"/>
      <c r="BC212" s="531"/>
      <c r="BD212" s="531"/>
      <c r="BE212" s="531"/>
      <c r="BF212" s="531"/>
      <c r="BG212" s="531"/>
      <c r="BH212" s="531"/>
      <c r="BI212" s="531"/>
      <c r="BJ212" s="531"/>
      <c r="BK212" s="531"/>
      <c r="BL212" s="531"/>
      <c r="BM212" s="531"/>
      <c r="BN212" s="531"/>
      <c r="BO212" s="531"/>
      <c r="BP212" s="531"/>
      <c r="BQ212" s="509"/>
      <c r="BR212" s="531">
        <f t="shared" ref="BR212:BY212" si="395">BR161/BN161-1</f>
        <v>-1.7416545718432763E-3</v>
      </c>
      <c r="BS212" s="531">
        <f t="shared" si="395"/>
        <v>1.0230179028132946E-2</v>
      </c>
      <c r="BT212" s="531">
        <f t="shared" si="395"/>
        <v>2.165795369678869E-2</v>
      </c>
      <c r="BU212" s="509">
        <f t="shared" si="395"/>
        <v>-1.0106528270964255E-2</v>
      </c>
      <c r="BV212" s="531">
        <f t="shared" si="395"/>
        <v>-6.4844431520790891E-2</v>
      </c>
      <c r="BW212" s="531">
        <f t="shared" si="395"/>
        <v>5.5696202531645422E-3</v>
      </c>
      <c r="BX212" s="531">
        <f t="shared" si="395"/>
        <v>-9.1861598440545755E-2</v>
      </c>
      <c r="BY212" s="509">
        <f t="shared" si="395"/>
        <v>-2.3454746136865379E-2</v>
      </c>
      <c r="BZ212" s="531">
        <f t="shared" si="387"/>
        <v>5.4726368159204064E-2</v>
      </c>
      <c r="CA212" s="531">
        <f t="shared" si="387"/>
        <v>-5.7905337361530695E-2</v>
      </c>
      <c r="CB212" s="531">
        <f t="shared" si="387"/>
        <v>3.9978535014757233E-2</v>
      </c>
      <c r="CC212" s="509">
        <f t="shared" si="387"/>
        <v>-1.5258547612319817E-2</v>
      </c>
      <c r="CD212" s="531">
        <f t="shared" si="387"/>
        <v>0</v>
      </c>
      <c r="CE212" s="531">
        <f t="shared" si="387"/>
        <v>2.993051843933725E-2</v>
      </c>
      <c r="CF212" s="531">
        <f t="shared" si="387"/>
        <v>-5.9855521155830704E-2</v>
      </c>
      <c r="CG212" s="509">
        <f t="shared" si="387"/>
        <v>3.1276901004304136E-2</v>
      </c>
      <c r="CH212" s="531">
        <f t="shared" si="387"/>
        <v>-1.385613207547165E-2</v>
      </c>
      <c r="CI212" s="531">
        <f t="shared" si="387"/>
        <v>9.3409444732746039E-3</v>
      </c>
      <c r="CJ212" s="531">
        <f t="shared" si="388"/>
        <v>2.5795828759604733E-2</v>
      </c>
      <c r="CK212" s="531">
        <f t="shared" si="388"/>
        <v>3.7006121313299944E-2</v>
      </c>
      <c r="CL212" s="531">
        <f t="shared" si="388"/>
        <v>-5.3811659192825045E-3</v>
      </c>
      <c r="CM212" s="531">
        <f t="shared" si="388"/>
        <v>-2.1850899742930641E-2</v>
      </c>
      <c r="CN212" s="531">
        <f t="shared" si="388"/>
        <v>4.3071161048689133E-2</v>
      </c>
      <c r="CO212" s="531">
        <f t="shared" si="388"/>
        <v>-2.1464985242822698E-2</v>
      </c>
      <c r="CP212" s="531">
        <f t="shared" si="388"/>
        <v>9.3177036369100907E-3</v>
      </c>
      <c r="CQ212" s="531">
        <f t="shared" si="388"/>
        <v>2.3653088042050463E-3</v>
      </c>
      <c r="CR212" s="531">
        <f t="shared" si="388"/>
        <v>2.6417030007694242E-2</v>
      </c>
      <c r="CS212" s="531">
        <f t="shared" si="388"/>
        <v>3.2629558541266812E-2</v>
      </c>
      <c r="CT212" s="696">
        <f t="shared" si="389"/>
        <v>6.8790946992257407E-2</v>
      </c>
      <c r="CU212" s="696">
        <f t="shared" si="389"/>
        <v>8.1803880440482368E-2</v>
      </c>
      <c r="CV212" s="531">
        <f t="shared" si="389"/>
        <v>4.8225887056471795E-2</v>
      </c>
      <c r="CW212" s="531">
        <f t="shared" si="389"/>
        <v>2.3366967604885769E-2</v>
      </c>
      <c r="CX212" s="696">
        <f t="shared" si="389"/>
        <v>5.2660908331011447E-2</v>
      </c>
      <c r="CY212" s="696">
        <f t="shared" si="389"/>
        <v>-1.5269025690741622E-2</v>
      </c>
      <c r="CZ212" s="531">
        <f t="shared" si="389"/>
        <v>2.7413587604290912E-2</v>
      </c>
      <c r="DA212" s="531">
        <f t="shared" si="389"/>
        <v>-1.1935651271406278E-2</v>
      </c>
      <c r="DB212" s="531">
        <f t="shared" si="389"/>
        <v>1.2440444679724827E-2</v>
      </c>
      <c r="DC212" s="1075">
        <f t="shared" si="389"/>
        <v>2.8058085158749746E-2</v>
      </c>
      <c r="DD212" s="1075">
        <f>DD161/CZ161-1</f>
        <v>-2.2505800464037162E-2</v>
      </c>
      <c r="DE212" s="1075">
        <f>DE161/DA161-1</f>
        <v>-1.6199844968986521E-2</v>
      </c>
      <c r="DF212" s="531">
        <f t="shared" si="390"/>
        <v>-2.9170000000000029E-2</v>
      </c>
      <c r="DG212" s="531">
        <f t="shared" si="391"/>
        <v>-1.1575000000000113E-2</v>
      </c>
      <c r="DH212" s="531">
        <f>DH161/DD161-1</f>
        <v>-1.2250000000000316E-3</v>
      </c>
      <c r="DI212" s="531">
        <f>DI161/DE161-1</f>
        <v>1.6798541237947662E-2</v>
      </c>
    </row>
    <row r="213" spans="1:113">
      <c r="A213" s="933" t="s">
        <v>230</v>
      </c>
      <c r="B213" s="784"/>
      <c r="C213" s="784"/>
      <c r="D213" s="784"/>
      <c r="E213" s="784"/>
      <c r="F213" s="784"/>
      <c r="G213" s="420"/>
      <c r="H213" s="802" t="s">
        <v>269</v>
      </c>
      <c r="I213" s="802" t="s">
        <v>269</v>
      </c>
      <c r="J213" s="802" t="s">
        <v>269</v>
      </c>
      <c r="K213" s="802" t="s">
        <v>269</v>
      </c>
      <c r="L213" s="741">
        <f t="shared" ref="L213:W213" si="396">L162/K162-1</f>
        <v>9.8159509202454087E-2</v>
      </c>
      <c r="M213" s="741">
        <f t="shared" si="396"/>
        <v>-2.7932960893854775E-2</v>
      </c>
      <c r="N213" s="741">
        <f t="shared" si="396"/>
        <v>0.14080459770114939</v>
      </c>
      <c r="O213" s="741">
        <f t="shared" si="396"/>
        <v>0.34005037783375314</v>
      </c>
      <c r="P213" s="741">
        <f t="shared" si="396"/>
        <v>1.3157894736842035E-2</v>
      </c>
      <c r="Q213" s="741">
        <f t="shared" si="396"/>
        <v>8.163265306122458E-2</v>
      </c>
      <c r="R213" s="741">
        <f t="shared" si="396"/>
        <v>3.7735849056603765E-2</v>
      </c>
      <c r="S213" s="741">
        <f t="shared" si="396"/>
        <v>6.6115702479338845E-2</v>
      </c>
      <c r="T213" s="741">
        <f t="shared" si="396"/>
        <v>0.1592077668866676</v>
      </c>
      <c r="U213" s="741">
        <f t="shared" si="396"/>
        <v>6.0499999999999998E-2</v>
      </c>
      <c r="V213" s="741">
        <f t="shared" si="396"/>
        <v>4.1128117294778388E-2</v>
      </c>
      <c r="W213" s="741">
        <f t="shared" si="396"/>
        <v>4.1119265947631378E-2</v>
      </c>
      <c r="X213" s="741">
        <f t="shared" si="393"/>
        <v>4.7113163109719469E-2</v>
      </c>
      <c r="Y213" s="741">
        <f t="shared" si="393"/>
        <v>4.7079095980946173E-2</v>
      </c>
      <c r="Z213" s="741">
        <f t="shared" si="393"/>
        <v>4.7045798580720888E-2</v>
      </c>
      <c r="AA213" s="741">
        <f t="shared" si="394"/>
        <v>4.701325142356394E-2</v>
      </c>
      <c r="AB213" s="741">
        <f t="shared" si="394"/>
        <v>4.6981435604605659E-2</v>
      </c>
      <c r="AD213" s="531"/>
      <c r="AE213" s="531"/>
      <c r="AF213" s="531"/>
      <c r="AG213" s="531"/>
      <c r="AH213" s="531"/>
      <c r="AI213" s="531"/>
      <c r="AJ213" s="531"/>
      <c r="AK213" s="531"/>
      <c r="AL213" s="531"/>
      <c r="AM213" s="531"/>
      <c r="AN213" s="531"/>
      <c r="AO213" s="531"/>
      <c r="AP213" s="531"/>
      <c r="AQ213" s="531"/>
      <c r="AR213" s="531"/>
      <c r="AS213" s="531"/>
      <c r="AT213" s="531"/>
      <c r="AU213" s="531"/>
      <c r="AV213" s="531"/>
      <c r="AW213" s="531"/>
      <c r="AX213" s="531"/>
      <c r="AY213" s="531"/>
      <c r="AZ213" s="531"/>
      <c r="BA213" s="531"/>
      <c r="BB213" s="531"/>
      <c r="BC213" s="531"/>
      <c r="BD213" s="531"/>
      <c r="BE213" s="531"/>
      <c r="BF213" s="531"/>
      <c r="BG213" s="531"/>
      <c r="BH213" s="531"/>
      <c r="BI213" s="531"/>
      <c r="BJ213" s="154"/>
      <c r="BK213" s="154"/>
      <c r="BL213" s="154"/>
      <c r="BM213" s="531"/>
      <c r="BN213" s="154"/>
      <c r="BO213" s="154"/>
      <c r="BP213" s="531"/>
      <c r="BQ213" s="531"/>
      <c r="BR213" s="531" t="s">
        <v>618</v>
      </c>
      <c r="BS213" s="531" t="s">
        <v>618</v>
      </c>
      <c r="BT213" s="531" t="s">
        <v>618</v>
      </c>
      <c r="BU213" s="531" t="s">
        <v>618</v>
      </c>
      <c r="BV213" s="531">
        <f>BV162/BR162-1</f>
        <v>0.30263157894736836</v>
      </c>
      <c r="BW213" s="531">
        <f>BW162/BS162-1</f>
        <v>-0.12941176470588234</v>
      </c>
      <c r="BX213" s="531">
        <f>BX162/BT162-1</f>
        <v>0.1785714285714286</v>
      </c>
      <c r="BY213" s="531">
        <f>BY162/BU162-1</f>
        <v>6.1728395061728447E-2</v>
      </c>
      <c r="BZ213" s="531">
        <v>-0.1</v>
      </c>
      <c r="CA213" s="531">
        <v>0.2</v>
      </c>
      <c r="CB213" s="531">
        <f>CB162/BX162-1</f>
        <v>-9.0909090909090939E-2</v>
      </c>
      <c r="CC213" s="531">
        <f>CC162/BY162-1</f>
        <v>-0.17441860465116277</v>
      </c>
      <c r="CD213" s="531">
        <v>-0.1</v>
      </c>
      <c r="CE213" s="531">
        <v>-0.1</v>
      </c>
      <c r="CF213" s="531">
        <f t="shared" ref="CF213:CO214" si="397">CF162/CB162-1</f>
        <v>0.21111111111111103</v>
      </c>
      <c r="CG213" s="531">
        <f t="shared" si="397"/>
        <v>0.26760563380281699</v>
      </c>
      <c r="CH213" s="531">
        <f t="shared" si="397"/>
        <v>0.64197530864197527</v>
      </c>
      <c r="CI213" s="531">
        <f t="shared" si="397"/>
        <v>0.17948717948717952</v>
      </c>
      <c r="CJ213" s="531">
        <f t="shared" si="397"/>
        <v>0.22018348623853212</v>
      </c>
      <c r="CK213" s="531">
        <f t="shared" si="397"/>
        <v>0.42222222222222228</v>
      </c>
      <c r="CL213" s="531">
        <f t="shared" si="397"/>
        <v>-0.12030075187969924</v>
      </c>
      <c r="CM213" s="531">
        <f t="shared" si="397"/>
        <v>-4.3478260869565188E-2</v>
      </c>
      <c r="CN213" s="531">
        <f t="shared" si="397"/>
        <v>0.14285714285714279</v>
      </c>
      <c r="CO213" s="531">
        <f t="shared" si="397"/>
        <v>7.8125E-2</v>
      </c>
      <c r="CP213" s="531">
        <f t="shared" ref="CP213:CY214" si="398">CP162/CL162-1</f>
        <v>7.6923076923076872E-2</v>
      </c>
      <c r="CQ213" s="531">
        <f t="shared" si="398"/>
        <v>0.15909090909090917</v>
      </c>
      <c r="CR213" s="531">
        <f t="shared" si="398"/>
        <v>5.2631578947368363E-2</v>
      </c>
      <c r="CS213" s="531">
        <f t="shared" si="398"/>
        <v>4.3478260869565188E-2</v>
      </c>
      <c r="CT213" s="696">
        <f t="shared" si="398"/>
        <v>8.7301587301587213E-2</v>
      </c>
      <c r="CU213" s="696">
        <f t="shared" si="398"/>
        <v>-2.6143790849673221E-2</v>
      </c>
      <c r="CV213" s="531">
        <f t="shared" si="398"/>
        <v>1.8750000000000044E-2</v>
      </c>
      <c r="CW213" s="531">
        <f t="shared" si="398"/>
        <v>8.3333333333333259E-2</v>
      </c>
      <c r="CX213" s="696">
        <f t="shared" si="398"/>
        <v>5.8394160583941535E-2</v>
      </c>
      <c r="CY213" s="696">
        <f t="shared" si="398"/>
        <v>0.12080536912751683</v>
      </c>
      <c r="CZ213" s="531">
        <f t="shared" ref="CZ213:DE214" si="399">CZ162/CV162-1</f>
        <v>1.8404907975460016E-2</v>
      </c>
      <c r="DA213" s="531">
        <f t="shared" si="399"/>
        <v>7.0512820512820484E-2</v>
      </c>
      <c r="DB213" s="531">
        <f t="shared" si="399"/>
        <v>0.19310344827586201</v>
      </c>
      <c r="DC213" s="1075">
        <f t="shared" si="399"/>
        <v>0.13173652694610771</v>
      </c>
      <c r="DD213" s="1075">
        <f t="shared" si="399"/>
        <v>0.18674698795180733</v>
      </c>
      <c r="DE213" s="1075">
        <f t="shared" si="399"/>
        <v>0.12987430923293775</v>
      </c>
      <c r="DF213" s="531">
        <f t="shared" si="390"/>
        <v>6.050000000000022E-2</v>
      </c>
      <c r="DG213" s="531">
        <f t="shared" si="391"/>
        <v>6.0499999999999998E-2</v>
      </c>
      <c r="DH213" s="531">
        <f t="shared" ref="DH213:DH214" si="400">DH162/DD162-1</f>
        <v>6.0499999999999776E-2</v>
      </c>
      <c r="DI213" s="531">
        <f t="shared" ref="DI213:DI214" si="401">DI162/DE162-1</f>
        <v>6.0500000000000664E-2</v>
      </c>
    </row>
    <row r="214" spans="1:113">
      <c r="A214" s="933" t="s">
        <v>698</v>
      </c>
      <c r="B214" s="784"/>
      <c r="C214" s="784"/>
      <c r="D214" s="784"/>
      <c r="E214" s="784"/>
      <c r="F214" s="784"/>
      <c r="G214" s="420"/>
      <c r="H214" s="802" t="s">
        <v>269</v>
      </c>
      <c r="I214" s="802" t="s">
        <v>269</v>
      </c>
      <c r="J214" s="802" t="s">
        <v>269</v>
      </c>
      <c r="K214" s="802" t="s">
        <v>269</v>
      </c>
      <c r="L214" s="802" t="s">
        <v>269</v>
      </c>
      <c r="M214" s="741">
        <f t="shared" ref="M214:W214" si="402">M163/L163-1</f>
        <v>0.13223787167449141</v>
      </c>
      <c r="N214" s="741">
        <f t="shared" si="402"/>
        <v>4.9758120248790672E-2</v>
      </c>
      <c r="O214" s="741">
        <f t="shared" si="402"/>
        <v>3.8841342988808369E-2</v>
      </c>
      <c r="P214" s="741">
        <f t="shared" si="402"/>
        <v>4.4359949302914981E-2</v>
      </c>
      <c r="Q214" s="741">
        <f t="shared" si="402"/>
        <v>1.3956310679611672E-2</v>
      </c>
      <c r="R214" s="741">
        <f t="shared" si="402"/>
        <v>4.4883303411131115E-2</v>
      </c>
      <c r="S214" s="741">
        <f t="shared" si="402"/>
        <v>9.7365406643757257E-2</v>
      </c>
      <c r="T214" s="741">
        <f t="shared" si="402"/>
        <v>5.5845511482254695E-2</v>
      </c>
      <c r="U214" s="741">
        <f t="shared" si="402"/>
        <v>6.3795106277805269E-2</v>
      </c>
      <c r="V214" s="741">
        <f t="shared" si="402"/>
        <v>5.2902780711017172E-2</v>
      </c>
      <c r="W214" s="741">
        <f t="shared" si="402"/>
        <v>5.2800799546203647E-2</v>
      </c>
      <c r="X214" s="741">
        <f t="shared" si="393"/>
        <v>6.2661603572339519E-2</v>
      </c>
      <c r="Y214" s="741">
        <f t="shared" si="393"/>
        <v>6.260745952748259E-2</v>
      </c>
      <c r="Z214" s="741">
        <f t="shared" si="393"/>
        <v>6.2555063963214641E-2</v>
      </c>
      <c r="AA214" s="741">
        <f t="shared" si="394"/>
        <v>6.2504355331715722E-2</v>
      </c>
      <c r="AB214" s="741">
        <f t="shared" si="394"/>
        <v>6.2455274558052665E-2</v>
      </c>
      <c r="AD214" s="532"/>
      <c r="AE214" s="532"/>
      <c r="AF214" s="532"/>
      <c r="AG214" s="532"/>
      <c r="AH214" s="532"/>
      <c r="AI214" s="532"/>
      <c r="AJ214" s="532"/>
      <c r="AK214" s="532"/>
      <c r="AL214" s="532"/>
      <c r="AM214" s="532"/>
      <c r="AN214" s="532"/>
      <c r="AO214" s="532"/>
      <c r="AP214" s="532"/>
      <c r="AQ214" s="532"/>
      <c r="AR214" s="532"/>
      <c r="AS214" s="532"/>
      <c r="AT214" s="532"/>
      <c r="AU214" s="532"/>
      <c r="AV214" s="532"/>
      <c r="AW214" s="532"/>
      <c r="AX214" s="532"/>
      <c r="AY214" s="532"/>
      <c r="AZ214" s="532"/>
      <c r="BA214" s="532"/>
      <c r="BB214" s="532"/>
      <c r="BC214" s="532"/>
      <c r="BD214" s="533"/>
      <c r="BE214" s="533"/>
      <c r="BF214" s="534"/>
      <c r="BG214" s="534"/>
      <c r="BH214" s="534"/>
      <c r="BI214" s="534"/>
      <c r="BJ214" s="534"/>
      <c r="BK214" s="534"/>
      <c r="BL214" s="534"/>
      <c r="BM214" s="534"/>
      <c r="BN214" s="531"/>
      <c r="BO214" s="531"/>
      <c r="BP214" s="531"/>
      <c r="BQ214" s="531"/>
      <c r="BR214" s="531" t="s">
        <v>618</v>
      </c>
      <c r="BS214" s="531" t="s">
        <v>618</v>
      </c>
      <c r="BT214" s="531" t="s">
        <v>618</v>
      </c>
      <c r="BU214" s="531" t="s">
        <v>618</v>
      </c>
      <c r="BV214" s="531" t="s">
        <v>618</v>
      </c>
      <c r="BW214" s="531" t="s">
        <v>618</v>
      </c>
      <c r="BX214" s="531" t="s">
        <v>618</v>
      </c>
      <c r="BY214" s="531" t="s">
        <v>618</v>
      </c>
      <c r="BZ214" s="531">
        <f>BZ163/BV163-1</f>
        <v>0.24125874125874125</v>
      </c>
      <c r="CA214" s="531">
        <f>CA163/BW163-1</f>
        <v>4.0114613180515679E-2</v>
      </c>
      <c r="CB214" s="531">
        <f>CB163/BX163-1</f>
        <v>0.11349693251533743</v>
      </c>
      <c r="CC214" s="509">
        <f>CC163/BY163-1</f>
        <v>0.15457413249211349</v>
      </c>
      <c r="CD214" s="531">
        <f>CD163/BZ163-1</f>
        <v>-5.6338028169014009E-3</v>
      </c>
      <c r="CE214" s="531">
        <f>CE163/CA163-1</f>
        <v>3.8567493112947604E-2</v>
      </c>
      <c r="CF214" s="531">
        <f t="shared" si="397"/>
        <v>9.6418732782369121E-2</v>
      </c>
      <c r="CG214" s="509">
        <f t="shared" si="397"/>
        <v>6.8306010928961713E-2</v>
      </c>
      <c r="CH214" s="531">
        <f t="shared" si="397"/>
        <v>0</v>
      </c>
      <c r="CI214" s="531">
        <f t="shared" si="397"/>
        <v>5.8355437665782439E-2</v>
      </c>
      <c r="CJ214" s="531">
        <f t="shared" si="397"/>
        <v>2.5125628140703515E-2</v>
      </c>
      <c r="CK214" s="531">
        <f t="shared" si="397"/>
        <v>6.9053708439897665E-2</v>
      </c>
      <c r="CL214" s="531">
        <f t="shared" si="397"/>
        <v>3.1161473087818692E-2</v>
      </c>
      <c r="CM214" s="531">
        <f t="shared" si="397"/>
        <v>6.5162907268170533E-2</v>
      </c>
      <c r="CN214" s="531">
        <f t="shared" si="397"/>
        <v>9.8039215686274606E-2</v>
      </c>
      <c r="CO214" s="531">
        <f t="shared" si="397"/>
        <v>-1.674641148325362E-2</v>
      </c>
      <c r="CP214" s="531">
        <f t="shared" si="398"/>
        <v>5.7692307692307709E-2</v>
      </c>
      <c r="CQ214" s="531">
        <f t="shared" si="398"/>
        <v>7.058823529411784E-3</v>
      </c>
      <c r="CR214" s="531">
        <f t="shared" si="398"/>
        <v>-4.0178571428571397E-2</v>
      </c>
      <c r="CS214" s="531">
        <f t="shared" si="398"/>
        <v>4.1362530413625365E-2</v>
      </c>
      <c r="CT214" s="531">
        <f t="shared" si="398"/>
        <v>3.3766233766233666E-2</v>
      </c>
      <c r="CU214" s="531">
        <f t="shared" si="398"/>
        <v>4.4392523364485958E-2</v>
      </c>
      <c r="CV214" s="531">
        <f t="shared" si="398"/>
        <v>4.1860465116279055E-2</v>
      </c>
      <c r="CW214" s="531">
        <f t="shared" si="398"/>
        <v>5.8411214953270951E-2</v>
      </c>
      <c r="CX214" s="531">
        <f t="shared" si="398"/>
        <v>0.12311557788944727</v>
      </c>
      <c r="CY214" s="531">
        <f t="shared" si="398"/>
        <v>9.1722595078299829E-2</v>
      </c>
      <c r="CZ214" s="531">
        <f t="shared" si="399"/>
        <v>0.1004464285714286</v>
      </c>
      <c r="DA214" s="531">
        <f>DA163/CW163-1</f>
        <v>7.7262693156732842E-2</v>
      </c>
      <c r="DB214" s="531">
        <f t="shared" si="399"/>
        <v>-2.4608501118568271E-2</v>
      </c>
      <c r="DC214" s="1075">
        <f t="shared" si="399"/>
        <v>8.6065573770491843E-2</v>
      </c>
      <c r="DD214" s="1075">
        <f t="shared" si="399"/>
        <v>4.4624746450304231E-2</v>
      </c>
      <c r="DE214" s="1075">
        <f t="shared" si="399"/>
        <v>0.11065573770491799</v>
      </c>
      <c r="DF214" s="531">
        <f t="shared" si="390"/>
        <v>0.13838381240478626</v>
      </c>
      <c r="DG214" s="531">
        <f t="shared" si="391"/>
        <v>5.1934136074224702E-2</v>
      </c>
      <c r="DH214" s="531">
        <f t="shared" si="400"/>
        <v>6.7154335811775434E-2</v>
      </c>
      <c r="DI214" s="531">
        <f t="shared" si="401"/>
        <v>1.2200337138578599E-2</v>
      </c>
    </row>
    <row r="215" spans="1:113" hidden="1" outlineLevel="1">
      <c r="A215" s="938" t="s">
        <v>699</v>
      </c>
      <c r="B215" s="784"/>
      <c r="AD215" s="532"/>
      <c r="AE215" s="532"/>
      <c r="AF215" s="532"/>
      <c r="AG215" s="532"/>
      <c r="AH215" s="532"/>
      <c r="AI215" s="532"/>
      <c r="AJ215" s="532"/>
      <c r="AK215" s="532"/>
      <c r="AL215" s="532"/>
      <c r="AM215" s="532"/>
      <c r="AN215" s="532"/>
      <c r="AO215" s="532"/>
      <c r="AP215" s="532"/>
      <c r="AQ215" s="532"/>
      <c r="AR215" s="532"/>
      <c r="AS215" s="532"/>
      <c r="AT215" s="532"/>
      <c r="AU215" s="532"/>
      <c r="AV215" s="532"/>
      <c r="AW215" s="532"/>
      <c r="AX215" s="532"/>
      <c r="AY215" s="532"/>
      <c r="AZ215" s="532"/>
      <c r="BA215" s="532"/>
      <c r="BB215" s="532"/>
      <c r="BC215" s="532"/>
      <c r="BD215" s="533"/>
      <c r="BE215" s="533"/>
      <c r="BF215" s="534"/>
      <c r="BG215" s="534"/>
      <c r="BH215" s="534"/>
      <c r="BI215" s="534"/>
      <c r="BJ215" s="534"/>
      <c r="BK215" s="534"/>
      <c r="BL215" s="534"/>
      <c r="BM215" s="534"/>
      <c r="BN215" s="531"/>
      <c r="BO215" s="531"/>
      <c r="BP215" s="531"/>
      <c r="BQ215" s="531"/>
      <c r="BR215" s="531" t="s">
        <v>618</v>
      </c>
      <c r="BS215" s="531" t="s">
        <v>618</v>
      </c>
      <c r="BT215" s="531" t="s">
        <v>618</v>
      </c>
      <c r="BU215" s="531" t="s">
        <v>618</v>
      </c>
      <c r="BV215" s="531" t="e">
        <f>BV163/#REF!-1</f>
        <v>#REF!</v>
      </c>
      <c r="BW215" s="531" t="e">
        <f>BW163/#REF!-1</f>
        <v>#REF!</v>
      </c>
      <c r="BX215" s="531" t="e">
        <f>BX163/#REF!-1</f>
        <v>#REF!</v>
      </c>
      <c r="BY215" s="531" t="e">
        <f>BY163/#REF!-1</f>
        <v>#REF!</v>
      </c>
      <c r="BZ215" s="531" t="e">
        <f>BZ163/#REF!-1</f>
        <v>#REF!</v>
      </c>
      <c r="CA215" s="531" t="e">
        <f>CA163/#REF!-1</f>
        <v>#REF!</v>
      </c>
      <c r="CB215" s="531" t="e">
        <f>CB163/#REF!-1</f>
        <v>#REF!</v>
      </c>
      <c r="CC215" s="531" t="e">
        <f>CC163/#REF!-1</f>
        <v>#REF!</v>
      </c>
      <c r="CD215" s="531" t="e">
        <f>CD163/#REF!-1</f>
        <v>#REF!</v>
      </c>
      <c r="CE215" s="531" t="e">
        <f>CE163/#REF!-1</f>
        <v>#REF!</v>
      </c>
      <c r="CF215" s="531" t="e">
        <f>CF163/#REF!-1</f>
        <v>#REF!</v>
      </c>
      <c r="CG215" s="531" t="e">
        <f>CG163/#REF!-1</f>
        <v>#REF!</v>
      </c>
      <c r="CH215" s="531" t="e">
        <f>CH163/#REF!-1</f>
        <v>#REF!</v>
      </c>
      <c r="CI215" s="531" t="e">
        <f>CI163/#REF!-1</f>
        <v>#REF!</v>
      </c>
      <c r="CJ215" s="531" t="e">
        <f>CJ163/#REF!-1</f>
        <v>#REF!</v>
      </c>
      <c r="CK215" s="531" t="e">
        <f>CK163/#REF!-1</f>
        <v>#REF!</v>
      </c>
      <c r="CL215" s="531"/>
      <c r="CM215" s="531"/>
      <c r="CN215" s="531"/>
      <c r="CO215" s="531"/>
      <c r="CP215" s="531"/>
      <c r="CQ215" s="531"/>
      <c r="CR215" s="531"/>
      <c r="CS215" s="531"/>
      <c r="CT215" s="531"/>
      <c r="CU215" s="531"/>
      <c r="CV215" s="531"/>
      <c r="CW215" s="531"/>
      <c r="CX215" s="531"/>
      <c r="CY215" s="531"/>
      <c r="CZ215" s="531"/>
      <c r="DA215" s="531"/>
      <c r="DB215" s="531"/>
      <c r="DC215" s="531"/>
      <c r="DD215" s="531"/>
      <c r="DE215" s="531"/>
      <c r="DF215" s="531"/>
      <c r="DG215" s="531"/>
      <c r="DH215" s="531"/>
      <c r="DI215" s="531"/>
    </row>
    <row r="216" spans="1:113" collapsed="1">
      <c r="A216" s="933" t="s">
        <v>229</v>
      </c>
      <c r="B216" s="784"/>
      <c r="C216" s="784"/>
      <c r="D216" s="784"/>
      <c r="E216" s="784"/>
      <c r="F216" s="784"/>
      <c r="G216" s="420"/>
      <c r="H216" s="802" t="s">
        <v>269</v>
      </c>
      <c r="I216" s="802" t="s">
        <v>269</v>
      </c>
      <c r="J216" s="802" t="s">
        <v>269</v>
      </c>
      <c r="K216" s="802" t="s">
        <v>269</v>
      </c>
      <c r="L216" s="802" t="s">
        <v>269</v>
      </c>
      <c r="M216" s="741">
        <f t="shared" ref="M216:T218" si="403">M164/L164-1</f>
        <v>0.14248704663212441</v>
      </c>
      <c r="N216" s="741">
        <f t="shared" si="403"/>
        <v>0.12471655328798192</v>
      </c>
      <c r="O216" s="741">
        <f t="shared" si="403"/>
        <v>8.870967741935476E-2</v>
      </c>
      <c r="P216" s="741">
        <f t="shared" si="403"/>
        <v>8.7037037037037024E-2</v>
      </c>
      <c r="Q216" s="741">
        <f t="shared" si="403"/>
        <v>5.6792726314402575E-2</v>
      </c>
      <c r="R216" s="741">
        <f t="shared" si="403"/>
        <v>7.6859884845908777E-2</v>
      </c>
      <c r="S216" s="741">
        <f t="shared" si="403"/>
        <v>7.9314841638729483E-2</v>
      </c>
      <c r="T216" s="741">
        <f t="shared" si="403"/>
        <v>-6.3800277392510374E-2</v>
      </c>
      <c r="U216" s="803">
        <v>0</v>
      </c>
      <c r="V216" s="803">
        <v>0.05</v>
      </c>
      <c r="W216" s="803">
        <v>7.0000000000000007E-2</v>
      </c>
      <c r="X216" s="803">
        <v>5.5E-2</v>
      </c>
      <c r="Y216" s="803">
        <v>5.5E-2</v>
      </c>
      <c r="Z216" s="803">
        <v>5.5E-2</v>
      </c>
      <c r="AA216" s="803">
        <v>5.5E-2</v>
      </c>
      <c r="AB216" s="803">
        <v>5.5E-2</v>
      </c>
      <c r="AD216" s="532"/>
      <c r="AE216" s="532"/>
      <c r="AF216" s="532"/>
      <c r="AG216" s="532"/>
      <c r="AH216" s="532"/>
      <c r="AI216" s="532"/>
      <c r="AJ216" s="532"/>
      <c r="AK216" s="532"/>
      <c r="AL216" s="532"/>
      <c r="AM216" s="532"/>
      <c r="AN216" s="532"/>
      <c r="AO216" s="532"/>
      <c r="AP216" s="532"/>
      <c r="AQ216" s="532"/>
      <c r="AR216" s="532"/>
      <c r="AS216" s="532"/>
      <c r="AT216" s="532"/>
      <c r="AU216" s="532"/>
      <c r="AV216" s="532"/>
      <c r="AW216" s="532"/>
      <c r="AX216" s="532"/>
      <c r="AY216" s="532"/>
      <c r="AZ216" s="532"/>
      <c r="BA216" s="532"/>
      <c r="BB216" s="532"/>
      <c r="BC216" s="532"/>
      <c r="BD216" s="533"/>
      <c r="BE216" s="533"/>
      <c r="BF216" s="534"/>
      <c r="BG216" s="534"/>
      <c r="BH216" s="534"/>
      <c r="BI216" s="534"/>
      <c r="BJ216" s="534"/>
      <c r="BK216" s="534"/>
      <c r="BL216" s="534"/>
      <c r="BM216" s="534"/>
      <c r="BN216" s="531"/>
      <c r="BO216" s="531"/>
      <c r="BP216" s="531"/>
      <c r="BQ216" s="531"/>
      <c r="BR216" s="531" t="s">
        <v>618</v>
      </c>
      <c r="BS216" s="531" t="s">
        <v>618</v>
      </c>
      <c r="BT216" s="531" t="s">
        <v>618</v>
      </c>
      <c r="BU216" s="531" t="s">
        <v>618</v>
      </c>
      <c r="BV216" s="531" t="s">
        <v>618</v>
      </c>
      <c r="BW216" s="531" t="s">
        <v>618</v>
      </c>
      <c r="BX216" s="531" t="s">
        <v>618</v>
      </c>
      <c r="BY216" s="531" t="s">
        <v>618</v>
      </c>
      <c r="BZ216" s="531">
        <f t="shared" ref="BZ216:CI218" si="404">BZ164/BV164-1</f>
        <v>0.26388888888888884</v>
      </c>
      <c r="CA216" s="531">
        <f t="shared" si="404"/>
        <v>0.14606741573033699</v>
      </c>
      <c r="CB216" s="531">
        <f t="shared" si="404"/>
        <v>3.0303030303030276E-2</v>
      </c>
      <c r="CC216" s="531">
        <f t="shared" si="404"/>
        <v>0.15873015873015883</v>
      </c>
      <c r="CD216" s="531">
        <f t="shared" si="404"/>
        <v>6.5934065934065922E-2</v>
      </c>
      <c r="CE216" s="531">
        <f t="shared" si="404"/>
        <v>9.8039215686274606E-2</v>
      </c>
      <c r="CF216" s="531">
        <f t="shared" si="404"/>
        <v>0.24509803921568629</v>
      </c>
      <c r="CG216" s="531">
        <f t="shared" si="404"/>
        <v>9.5890410958904049E-2</v>
      </c>
      <c r="CH216" s="531">
        <f t="shared" si="404"/>
        <v>0.12371134020618557</v>
      </c>
      <c r="CI216" s="531">
        <f t="shared" si="404"/>
        <v>9.8214285714285809E-2</v>
      </c>
      <c r="CJ216" s="531">
        <f t="shared" ref="CJ216:CS218" si="405">CJ164/CF164-1</f>
        <v>6.2992125984252079E-2</v>
      </c>
      <c r="CK216" s="531">
        <f t="shared" si="405"/>
        <v>8.1250000000000044E-2</v>
      </c>
      <c r="CL216" s="531">
        <f t="shared" si="405"/>
        <v>0.11009174311926606</v>
      </c>
      <c r="CM216" s="531">
        <f t="shared" si="405"/>
        <v>7.3170731707317138E-2</v>
      </c>
      <c r="CN216" s="531">
        <f t="shared" si="405"/>
        <v>5.9259259259259345E-2</v>
      </c>
      <c r="CO216" s="531">
        <f t="shared" si="405"/>
        <v>0.10404624277456653</v>
      </c>
      <c r="CP216" s="531">
        <f t="shared" si="405"/>
        <v>2.7581242533506023E-2</v>
      </c>
      <c r="CQ216" s="531">
        <f t="shared" si="405"/>
        <v>6.8181818181818121E-2</v>
      </c>
      <c r="CR216" s="531">
        <f t="shared" si="405"/>
        <v>3.4965034965035002E-2</v>
      </c>
      <c r="CS216" s="531">
        <f t="shared" si="405"/>
        <v>8.3769633507853491E-2</v>
      </c>
      <c r="CT216" s="531">
        <f t="shared" ref="CT216:DC218" si="406">CT164/CP164-1</f>
        <v>3.7500158966337294E-2</v>
      </c>
      <c r="CU216" s="531">
        <f t="shared" si="406"/>
        <v>0.10649919235892824</v>
      </c>
      <c r="CV216" s="531">
        <f t="shared" si="406"/>
        <v>8.783783783783794E-2</v>
      </c>
      <c r="CW216" s="531">
        <f t="shared" si="406"/>
        <v>7.2463768115942129E-2</v>
      </c>
      <c r="CX216" s="531">
        <f t="shared" si="406"/>
        <v>8.5271317829457294E-2</v>
      </c>
      <c r="CY216" s="531">
        <f t="shared" si="406"/>
        <v>5.75812201567798E-2</v>
      </c>
      <c r="CZ216" s="531">
        <f t="shared" si="406"/>
        <v>9.3167701863354102E-2</v>
      </c>
      <c r="DA216" s="531">
        <f t="shared" si="406"/>
        <v>8.1081081081081141E-2</v>
      </c>
      <c r="DB216" s="531">
        <f t="shared" si="406"/>
        <v>-2.8571428571428581E-2</v>
      </c>
      <c r="DC216" s="531">
        <f t="shared" si="406"/>
        <v>-0.12121212121212122</v>
      </c>
      <c r="DD216" s="531">
        <f t="shared" ref="DD216:DE218" si="407">DD164/CZ164-1</f>
        <v>-5.6818181818182323E-3</v>
      </c>
      <c r="DE216" s="531">
        <f t="shared" si="407"/>
        <v>-8.7500000000000022E-2</v>
      </c>
      <c r="DF216" s="531">
        <f t="shared" ref="DF216:DF218" si="408">DF164/DB164-1</f>
        <v>-1.819084181787789E-2</v>
      </c>
      <c r="DG216" s="531">
        <f t="shared" ref="DG216:DG218" si="409">DG164/DC164-1</f>
        <v>3.4293730475787321E-3</v>
      </c>
      <c r="DH216" s="531">
        <f t="shared" ref="DH216:DH218" si="410">DH164/DD164-1</f>
        <v>-2.1364505149417123E-3</v>
      </c>
      <c r="DI216" s="531">
        <f t="shared" ref="DI216:DI218" si="411">DI164/DE164-1</f>
        <v>1.073321568697394E-2</v>
      </c>
    </row>
    <row r="217" spans="1:113">
      <c r="A217" s="933" t="s">
        <v>212</v>
      </c>
      <c r="B217" s="209"/>
      <c r="C217" s="741">
        <f t="shared" ref="C217:L217" si="412">C165/B165-1</f>
        <v>0.17464788732394365</v>
      </c>
      <c r="D217" s="741">
        <f t="shared" si="412"/>
        <v>4.3165467625899234E-2</v>
      </c>
      <c r="E217" s="741">
        <f t="shared" si="412"/>
        <v>0.13793103448275867</v>
      </c>
      <c r="F217" s="741">
        <f t="shared" si="412"/>
        <v>-0.11313131313131308</v>
      </c>
      <c r="G217" s="741">
        <f t="shared" si="412"/>
        <v>-0.10022779043280183</v>
      </c>
      <c r="H217" s="741">
        <f t="shared" si="412"/>
        <v>-0.17721518987341767</v>
      </c>
      <c r="I217" s="741">
        <f t="shared" si="412"/>
        <v>-2.4615384615384595E-2</v>
      </c>
      <c r="J217" s="741">
        <f t="shared" si="412"/>
        <v>-0.43533123028391163</v>
      </c>
      <c r="K217" s="741">
        <f t="shared" si="412"/>
        <v>0.2067039106145252</v>
      </c>
      <c r="L217" s="741">
        <f t="shared" si="412"/>
        <v>0.61111111111111116</v>
      </c>
      <c r="M217" s="741">
        <f t="shared" si="403"/>
        <v>-0.53735632183908044</v>
      </c>
      <c r="N217" s="741">
        <f t="shared" si="403"/>
        <v>9.9378881987577605E-2</v>
      </c>
      <c r="O217" s="741">
        <f t="shared" si="403"/>
        <v>-0.15254237288135597</v>
      </c>
      <c r="P217" s="741">
        <f t="shared" si="403"/>
        <v>0.40666666666666673</v>
      </c>
      <c r="Q217" s="741">
        <f t="shared" si="403"/>
        <v>-0.37914691943127965</v>
      </c>
      <c r="R217" s="741">
        <f t="shared" si="403"/>
        <v>-0.6950691793893129</v>
      </c>
      <c r="S217" s="741">
        <f t="shared" si="403"/>
        <v>1.4032481400643051</v>
      </c>
      <c r="T217" s="741">
        <f t="shared" si="403"/>
        <v>-9.375E-2</v>
      </c>
      <c r="U217" s="741">
        <f>U165/T165-1</f>
        <v>0.27931034482758643</v>
      </c>
      <c r="V217" s="741">
        <f t="shared" ref="U217:W218" si="413">V165/U165-1</f>
        <v>6.0000000000000053E-2</v>
      </c>
      <c r="W217" s="741">
        <f t="shared" si="413"/>
        <v>6.0000000000000053E-2</v>
      </c>
      <c r="X217" s="741">
        <f t="shared" ref="X217:AB218" si="414">X165/W165-1</f>
        <v>6.0000000000000053E-2</v>
      </c>
      <c r="Y217" s="741">
        <f t="shared" si="414"/>
        <v>6.0000000000000053E-2</v>
      </c>
      <c r="Z217" s="741">
        <f t="shared" si="414"/>
        <v>6.0000000000000053E-2</v>
      </c>
      <c r="AA217" s="741">
        <f t="shared" si="414"/>
        <v>6.0000000000000053E-2</v>
      </c>
      <c r="AB217" s="741">
        <f t="shared" si="414"/>
        <v>6.0000000000000053E-2</v>
      </c>
      <c r="AD217" s="531"/>
      <c r="AE217" s="531"/>
      <c r="AF217" s="531"/>
      <c r="AG217" s="531"/>
      <c r="AH217" s="531"/>
      <c r="AI217" s="531"/>
      <c r="AJ217" s="531"/>
      <c r="AK217" s="531"/>
      <c r="AL217" s="531"/>
      <c r="AM217" s="531"/>
      <c r="AN217" s="531"/>
      <c r="AO217" s="531"/>
      <c r="AP217" s="531"/>
      <c r="AQ217" s="531"/>
      <c r="AR217" s="531"/>
      <c r="AS217" s="531"/>
      <c r="AT217" s="531"/>
      <c r="AU217" s="531"/>
      <c r="AV217" s="531"/>
      <c r="AW217" s="531"/>
      <c r="AX217" s="531"/>
      <c r="AY217" s="531"/>
      <c r="AZ217" s="531"/>
      <c r="BA217" s="531"/>
      <c r="BB217" s="531"/>
      <c r="BC217" s="531"/>
      <c r="BD217" s="531"/>
      <c r="BE217" s="531"/>
      <c r="BF217" s="531"/>
      <c r="BG217" s="531"/>
      <c r="BH217" s="531"/>
      <c r="BI217" s="531"/>
      <c r="BJ217" s="531"/>
      <c r="BK217" s="531"/>
      <c r="BL217" s="531"/>
      <c r="BM217" s="531"/>
      <c r="BN217" s="509"/>
      <c r="BO217" s="509"/>
      <c r="BP217" s="509"/>
      <c r="BQ217" s="509"/>
      <c r="BR217" s="509">
        <f t="shared" ref="BR217:BY218" si="415">BR165/BN165-1</f>
        <v>1</v>
      </c>
      <c r="BS217" s="509">
        <f t="shared" si="415"/>
        <v>-0.28846153846153844</v>
      </c>
      <c r="BT217" s="509">
        <f t="shared" si="415"/>
        <v>0.30232558139534893</v>
      </c>
      <c r="BU217" s="509">
        <f t="shared" si="415"/>
        <v>-9.7560975609756073E-2</v>
      </c>
      <c r="BV217" s="509">
        <f t="shared" si="415"/>
        <v>0.61627906976744184</v>
      </c>
      <c r="BW217" s="509">
        <f t="shared" si="415"/>
        <v>1.9729729729729728</v>
      </c>
      <c r="BX217" s="509">
        <f t="shared" si="415"/>
        <v>0.1964285714285714</v>
      </c>
      <c r="BY217" s="509">
        <f t="shared" si="415"/>
        <v>-0.13513513513513509</v>
      </c>
      <c r="BZ217" s="509">
        <f t="shared" si="404"/>
        <v>-0.81294964028776984</v>
      </c>
      <c r="CA217" s="509">
        <f t="shared" si="404"/>
        <v>-0.69090909090909092</v>
      </c>
      <c r="CB217" s="509">
        <f t="shared" si="404"/>
        <v>-0.55223880597014929</v>
      </c>
      <c r="CC217" s="509">
        <f t="shared" si="404"/>
        <v>1.21875</v>
      </c>
      <c r="CD217" s="509">
        <f t="shared" si="404"/>
        <v>-0.23076923076923073</v>
      </c>
      <c r="CE217" s="509">
        <f t="shared" si="404"/>
        <v>-5.8823529411764719E-2</v>
      </c>
      <c r="CF217" s="509">
        <f t="shared" si="404"/>
        <v>0.7</v>
      </c>
      <c r="CG217" s="509">
        <f t="shared" si="404"/>
        <v>4.2253521126760507E-2</v>
      </c>
      <c r="CH217" s="509">
        <f t="shared" si="404"/>
        <v>1.7000000000000002</v>
      </c>
      <c r="CI217" s="509">
        <f t="shared" si="404"/>
        <v>-6.25E-2</v>
      </c>
      <c r="CJ217" s="509">
        <f t="shared" si="405"/>
        <v>1.9607843137254832E-2</v>
      </c>
      <c r="CK217" s="509">
        <f t="shared" si="405"/>
        <v>-0.81081081081081074</v>
      </c>
      <c r="CL217" s="509">
        <f t="shared" si="405"/>
        <v>-0.18518518518518523</v>
      </c>
      <c r="CM217" s="509">
        <f t="shared" si="405"/>
        <v>6.6666666666666652E-2</v>
      </c>
      <c r="CN217" s="509">
        <f t="shared" si="405"/>
        <v>1.2692307692307692</v>
      </c>
      <c r="CO217" s="509">
        <f t="shared" si="405"/>
        <v>0.21428571428571419</v>
      </c>
      <c r="CP217" s="509">
        <f t="shared" si="405"/>
        <v>-0.65909090909090917</v>
      </c>
      <c r="CQ217" s="509">
        <f t="shared" si="405"/>
        <v>9.375E-2</v>
      </c>
      <c r="CR217" s="509">
        <f t="shared" si="405"/>
        <v>-0.88983050847457623</v>
      </c>
      <c r="CS217" s="509">
        <f t="shared" si="405"/>
        <v>3</v>
      </c>
      <c r="CT217" s="509">
        <f t="shared" si="406"/>
        <v>0.26666666666666661</v>
      </c>
      <c r="CU217" s="509">
        <f t="shared" si="406"/>
        <v>-1.0857142857142856</v>
      </c>
      <c r="CV217" s="509">
        <f t="shared" si="406"/>
        <v>-0.15384615384615385</v>
      </c>
      <c r="CW217" s="509">
        <f t="shared" si="406"/>
        <v>-0.80961856617647054</v>
      </c>
      <c r="CX217" s="509">
        <f t="shared" si="406"/>
        <v>5.2631578947368363E-2</v>
      </c>
      <c r="CY217" s="509">
        <f t="shared" si="406"/>
        <v>-0.33333333333333337</v>
      </c>
      <c r="CZ217" s="509">
        <f t="shared" si="406"/>
        <v>3.3636363636363633</v>
      </c>
      <c r="DA217" s="509">
        <f t="shared" si="406"/>
        <v>1.3173292780070955</v>
      </c>
      <c r="DB217" s="509">
        <f t="shared" si="406"/>
        <v>-5.0000000000000044E-2</v>
      </c>
      <c r="DC217" s="509">
        <f t="shared" si="406"/>
        <v>-14.5</v>
      </c>
      <c r="DD217" s="509">
        <f t="shared" si="407"/>
        <v>-0.52083333333333326</v>
      </c>
      <c r="DE217" s="509">
        <f t="shared" si="407"/>
        <v>-0.4</v>
      </c>
      <c r="DF217" s="509">
        <f t="shared" si="408"/>
        <v>0.47368421052631571</v>
      </c>
      <c r="DG217" s="509">
        <f t="shared" si="409"/>
        <v>3.7037037037036979E-2</v>
      </c>
      <c r="DH217" s="509">
        <f t="shared" si="410"/>
        <v>0.21739130434782616</v>
      </c>
      <c r="DI217" s="509">
        <f t="shared" si="411"/>
        <v>0.51666666666666727</v>
      </c>
    </row>
    <row r="218" spans="1:113">
      <c r="A218" s="204" t="s">
        <v>543</v>
      </c>
      <c r="C218" s="212">
        <f t="shared" ref="C218:L218" si="416">C166/B166-1</f>
        <v>-7.1707000162416712E-2</v>
      </c>
      <c r="D218" s="212">
        <f t="shared" si="416"/>
        <v>0.12789782171288611</v>
      </c>
      <c r="E218" s="212">
        <f t="shared" si="416"/>
        <v>-2.4338788489878249E-2</v>
      </c>
      <c r="F218" s="212">
        <f t="shared" si="416"/>
        <v>-3.4851182905113243E-2</v>
      </c>
      <c r="G218" s="212">
        <f t="shared" si="416"/>
        <v>5.9370057986294134E-2</v>
      </c>
      <c r="H218" s="212">
        <f t="shared" si="416"/>
        <v>7.1810661193008718E-2</v>
      </c>
      <c r="I218" s="212">
        <f t="shared" si="416"/>
        <v>2.0282621942373069E-2</v>
      </c>
      <c r="J218" s="212">
        <f t="shared" si="416"/>
        <v>-0.78368693475911499</v>
      </c>
      <c r="K218" s="212">
        <f t="shared" si="416"/>
        <v>2.9384696292400703E-2</v>
      </c>
      <c r="L218" s="212">
        <f t="shared" si="416"/>
        <v>7.4398109713263993E-2</v>
      </c>
      <c r="M218" s="212">
        <f t="shared" si="403"/>
        <v>4.0418449833570236E-3</v>
      </c>
      <c r="N218" s="212">
        <f t="shared" si="403"/>
        <v>1.071513142315883E-2</v>
      </c>
      <c r="O218" s="212">
        <f t="shared" si="403"/>
        <v>2.501025010250113E-2</v>
      </c>
      <c r="P218" s="212">
        <f t="shared" si="403"/>
        <v>9.3142857142856084E-3</v>
      </c>
      <c r="Q218" s="212">
        <f t="shared" si="403"/>
        <v>1.5984675895745593E-2</v>
      </c>
      <c r="R218" s="212">
        <f t="shared" si="403"/>
        <v>4.8905460907215259E-2</v>
      </c>
      <c r="S218" s="212">
        <f t="shared" si="403"/>
        <v>2.7309074285946977E-2</v>
      </c>
      <c r="T218" s="212">
        <f t="shared" si="403"/>
        <v>8.1191498164141507E-3</v>
      </c>
      <c r="U218" s="212">
        <f t="shared" si="413"/>
        <v>4.9471783494943189E-3</v>
      </c>
      <c r="V218" s="212">
        <f t="shared" si="413"/>
        <v>1.4245247194571542E-2</v>
      </c>
      <c r="W218" s="212">
        <f t="shared" si="413"/>
        <v>1.7346594956539896E-2</v>
      </c>
      <c r="X218" s="212">
        <f t="shared" si="414"/>
        <v>1.8720849991456179E-2</v>
      </c>
      <c r="Y218" s="212">
        <f t="shared" si="414"/>
        <v>1.9107962766065745E-2</v>
      </c>
      <c r="Z218" s="212">
        <f t="shared" si="414"/>
        <v>1.95059992056692E-2</v>
      </c>
      <c r="AA218" s="212">
        <f t="shared" si="414"/>
        <v>1.9914961783703999E-2</v>
      </c>
      <c r="AB218" s="212">
        <f t="shared" si="414"/>
        <v>2.0334827699191926E-2</v>
      </c>
      <c r="AD218" s="153"/>
      <c r="AE218" s="153"/>
      <c r="AF218" s="153"/>
      <c r="AG218" s="153"/>
      <c r="AH218" s="153"/>
      <c r="AI218" s="153"/>
      <c r="AJ218" s="153"/>
      <c r="AK218" s="153"/>
      <c r="AL218" s="153"/>
      <c r="AM218" s="153"/>
      <c r="AN218" s="153"/>
      <c r="AO218" s="153"/>
      <c r="AP218" s="153"/>
      <c r="AQ218" s="153"/>
      <c r="AR218" s="153"/>
      <c r="AS218" s="153"/>
      <c r="AT218" s="153"/>
      <c r="AU218" s="153"/>
      <c r="AV218" s="153"/>
      <c r="AW218" s="153"/>
      <c r="AX218" s="153"/>
      <c r="AY218" s="153"/>
      <c r="AZ218" s="153"/>
      <c r="BA218" s="153"/>
      <c r="BB218" s="153"/>
      <c r="BC218" s="153"/>
      <c r="BD218" s="153"/>
      <c r="BE218" s="153"/>
      <c r="BF218" s="153"/>
      <c r="BG218" s="153"/>
      <c r="BH218" s="153"/>
      <c r="BI218" s="153"/>
      <c r="BJ218" s="153"/>
      <c r="BK218" s="153"/>
      <c r="BL218" s="153"/>
      <c r="BM218" s="153"/>
      <c r="BN218" s="188"/>
      <c r="BO218" s="188"/>
      <c r="BP218" s="188"/>
      <c r="BQ218" s="188"/>
      <c r="BR218" s="188">
        <f t="shared" si="415"/>
        <v>3.2396788990825653E-2</v>
      </c>
      <c r="BS218" s="188">
        <f t="shared" si="415"/>
        <v>2.7763755678950064E-2</v>
      </c>
      <c r="BT218" s="188">
        <f t="shared" si="415"/>
        <v>4.5320197044334876E-2</v>
      </c>
      <c r="BU218" s="188">
        <f t="shared" si="415"/>
        <v>1.0804970286331761E-2</v>
      </c>
      <c r="BV218" s="188">
        <f t="shared" si="415"/>
        <v>5.8594834768119997E-2</v>
      </c>
      <c r="BW218" s="188">
        <f t="shared" si="415"/>
        <v>0.12819253438113942</v>
      </c>
      <c r="BX218" s="188">
        <f t="shared" si="415"/>
        <v>1.7436380772855697E-2</v>
      </c>
      <c r="BY218" s="188">
        <f t="shared" si="415"/>
        <v>9.5670764297167254E-2</v>
      </c>
      <c r="BZ218" s="188">
        <f t="shared" si="404"/>
        <v>3.6463798530954827E-2</v>
      </c>
      <c r="CA218" s="188">
        <f t="shared" si="404"/>
        <v>-5.5071832825424494E-2</v>
      </c>
      <c r="CB218" s="188">
        <f t="shared" si="404"/>
        <v>3.3117183881426593E-2</v>
      </c>
      <c r="CC218" s="188">
        <f t="shared" si="404"/>
        <v>9.512195121951228E-3</v>
      </c>
      <c r="CD218" s="188">
        <f t="shared" si="404"/>
        <v>-2.0248038471273322E-3</v>
      </c>
      <c r="CE218" s="188">
        <f t="shared" si="404"/>
        <v>3.4784611840589674E-2</v>
      </c>
      <c r="CF218" s="188">
        <f t="shared" si="404"/>
        <v>-2.9589778076664408E-2</v>
      </c>
      <c r="CG218" s="188">
        <f t="shared" si="404"/>
        <v>4.1072722879922585E-2</v>
      </c>
      <c r="CH218" s="188">
        <f t="shared" si="404"/>
        <v>1.2934313974131362E-2</v>
      </c>
      <c r="CI218" s="188">
        <f t="shared" si="404"/>
        <v>1.9590382902938464E-2</v>
      </c>
      <c r="CJ218" s="188">
        <f t="shared" si="405"/>
        <v>3.1647031647031643E-2</v>
      </c>
      <c r="CK218" s="188">
        <f t="shared" si="405"/>
        <v>3.5042933395219356E-2</v>
      </c>
      <c r="CL218" s="188">
        <f t="shared" si="405"/>
        <v>-5.2578868302454174E-3</v>
      </c>
      <c r="CM218" s="188">
        <f t="shared" si="405"/>
        <v>-1.1790393013100475E-2</v>
      </c>
      <c r="CN218" s="188">
        <f t="shared" si="405"/>
        <v>6.5830721003134807E-2</v>
      </c>
      <c r="CO218" s="188">
        <f t="shared" si="405"/>
        <v>-1.255605381165914E-2</v>
      </c>
      <c r="CP218" s="188">
        <f t="shared" si="405"/>
        <v>8.8943695813124002E-3</v>
      </c>
      <c r="CQ218" s="188">
        <f t="shared" si="405"/>
        <v>9.9425541316835453E-3</v>
      </c>
      <c r="CR218" s="188">
        <f t="shared" si="405"/>
        <v>-1.4705882352941124E-3</v>
      </c>
      <c r="CS218" s="188">
        <f t="shared" si="405"/>
        <v>4.7456857402361496E-2</v>
      </c>
      <c r="CT218" s="188">
        <f t="shared" si="406"/>
        <v>6.577856301097551E-2</v>
      </c>
      <c r="CU218" s="188">
        <f t="shared" si="406"/>
        <v>6.6509819759923205E-2</v>
      </c>
      <c r="CV218" s="188">
        <f t="shared" si="406"/>
        <v>4.7338523038081171E-2</v>
      </c>
      <c r="CW218" s="188">
        <f t="shared" si="406"/>
        <v>1.841446726642082E-2</v>
      </c>
      <c r="CX218" s="188">
        <f t="shared" si="406"/>
        <v>6.039325842696619E-2</v>
      </c>
      <c r="CY218" s="188">
        <f t="shared" si="406"/>
        <v>1.2274038492310346E-3</v>
      </c>
      <c r="CZ218" s="188">
        <f t="shared" si="406"/>
        <v>4.3190036159099998E-2</v>
      </c>
      <c r="DA218" s="188">
        <f t="shared" si="406"/>
        <v>7.4615721352158104E-3</v>
      </c>
      <c r="DB218" s="188">
        <f t="shared" si="406"/>
        <v>1.3024282560706313E-2</v>
      </c>
      <c r="DC218" s="188">
        <f t="shared" si="406"/>
        <v>3.8311821348084418E-2</v>
      </c>
      <c r="DD218" s="188">
        <f t="shared" si="407"/>
        <v>-1.3479684190256136E-2</v>
      </c>
      <c r="DE218" s="188">
        <f t="shared" si="407"/>
        <v>-4.0143672089584248E-3</v>
      </c>
      <c r="DF218" s="188">
        <f t="shared" si="408"/>
        <v>-7.4629248809644499E-3</v>
      </c>
      <c r="DG218" s="188">
        <f t="shared" si="409"/>
        <v>-1.5572067460067895E-3</v>
      </c>
      <c r="DH218" s="188">
        <f t="shared" si="410"/>
        <v>8.9729024210323249E-3</v>
      </c>
      <c r="DI218" s="188">
        <f t="shared" si="411"/>
        <v>1.9646033455578804E-2</v>
      </c>
    </row>
    <row r="219" spans="1:113">
      <c r="A219" s="938" t="s">
        <v>700</v>
      </c>
      <c r="AD219" s="531"/>
      <c r="AE219" s="531"/>
      <c r="AF219" s="531"/>
      <c r="AG219" s="531"/>
      <c r="AH219" s="531"/>
      <c r="AI219" s="531"/>
      <c r="AJ219" s="531"/>
      <c r="AK219" s="531"/>
      <c r="AL219" s="531"/>
      <c r="AM219" s="531"/>
      <c r="AN219" s="531"/>
      <c r="AO219" s="531"/>
      <c r="AP219" s="531"/>
      <c r="AQ219" s="531"/>
      <c r="AR219" s="531"/>
      <c r="AS219" s="531"/>
      <c r="AT219" s="531"/>
      <c r="AU219" s="531"/>
      <c r="AV219" s="531"/>
      <c r="AW219" s="531"/>
      <c r="AX219" s="531"/>
      <c r="AY219" s="531"/>
      <c r="AZ219" s="531"/>
      <c r="BA219" s="531"/>
      <c r="BB219" s="531"/>
      <c r="BC219" s="531"/>
      <c r="BD219" s="531"/>
      <c r="BE219" s="531"/>
      <c r="BF219" s="531"/>
      <c r="BG219" s="531"/>
      <c r="BH219" s="531"/>
      <c r="BI219" s="531"/>
      <c r="BJ219" s="531"/>
      <c r="BK219" s="531"/>
      <c r="BL219" s="531"/>
      <c r="BM219" s="531"/>
      <c r="BN219" s="509"/>
      <c r="BO219" s="509"/>
      <c r="BP219" s="509"/>
      <c r="BQ219" s="509"/>
      <c r="BR219" s="531" t="s">
        <v>618</v>
      </c>
      <c r="BS219" s="531" t="s">
        <v>618</v>
      </c>
      <c r="BT219" s="531" t="s">
        <v>618</v>
      </c>
      <c r="BU219" s="531" t="s">
        <v>618</v>
      </c>
      <c r="BV219" s="509">
        <f t="shared" ref="BV219:DE219" si="417">SUM(BV161,BV162,BV165)/SUM(BR161,BR162,BR165)-1</f>
        <v>-4.0821993890585939E-2</v>
      </c>
      <c r="BW219" s="509">
        <f t="shared" si="417"/>
        <v>2.0628683693516781E-2</v>
      </c>
      <c r="BX219" s="509">
        <f t="shared" si="417"/>
        <v>-8.2704995287464667E-2</v>
      </c>
      <c r="BY219" s="509">
        <f t="shared" si="417"/>
        <v>-2.2715125601282748E-2</v>
      </c>
      <c r="BZ219" s="509">
        <f t="shared" si="417"/>
        <v>1.4765489287782207E-2</v>
      </c>
      <c r="CA219" s="509">
        <f t="shared" si="417"/>
        <v>-6.7372473532242516E-2</v>
      </c>
      <c r="CB219" s="509">
        <f t="shared" si="417"/>
        <v>2.6457744669920347E-2</v>
      </c>
      <c r="CC219" s="509">
        <f t="shared" si="417"/>
        <v>-8.2034454470877316E-3</v>
      </c>
      <c r="CD219" s="509">
        <f t="shared" si="417"/>
        <v>-3.4236804564907741E-3</v>
      </c>
      <c r="CE219" s="509">
        <f t="shared" si="417"/>
        <v>3.2765737874097089E-2</v>
      </c>
      <c r="CF219" s="509">
        <f t="shared" si="417"/>
        <v>-4.8048048048048075E-2</v>
      </c>
      <c r="CG219" s="509">
        <f t="shared" si="417"/>
        <v>3.6118003859939352E-2</v>
      </c>
      <c r="CH219" s="509">
        <f t="shared" si="417"/>
        <v>1.1165187517892861E-2</v>
      </c>
      <c r="CI219" s="509">
        <f t="shared" si="417"/>
        <v>1.3739695228578652E-2</v>
      </c>
      <c r="CJ219" s="509">
        <f t="shared" si="417"/>
        <v>3.1282860147213487E-2</v>
      </c>
      <c r="CK219" s="509">
        <f t="shared" si="417"/>
        <v>2.9536987759446465E-2</v>
      </c>
      <c r="CL219" s="509">
        <f t="shared" si="417"/>
        <v>-1.245753114382786E-2</v>
      </c>
      <c r="CM219" s="509">
        <f t="shared" si="417"/>
        <v>-2.1931986200098619E-2</v>
      </c>
      <c r="CN219" s="509">
        <f t="shared" si="417"/>
        <v>6.27071119041549E-2</v>
      </c>
      <c r="CO219" s="509">
        <f t="shared" si="417"/>
        <v>-1.7317136210907247E-2</v>
      </c>
      <c r="CP219" s="509">
        <f t="shared" si="417"/>
        <v>3.1536697247707135E-3</v>
      </c>
      <c r="CQ219" s="509">
        <f t="shared" si="417"/>
        <v>8.3144368858654172E-3</v>
      </c>
      <c r="CR219" s="509">
        <f t="shared" si="417"/>
        <v>1.439194051331194E-3</v>
      </c>
      <c r="CS219" s="509">
        <f t="shared" si="417"/>
        <v>4.6291425565491817E-2</v>
      </c>
      <c r="CT219" s="509">
        <f t="shared" si="417"/>
        <v>7.0305801657616351E-2</v>
      </c>
      <c r="CU219" s="509">
        <f t="shared" si="417"/>
        <v>6.7466266866566649E-2</v>
      </c>
      <c r="CV219" s="509">
        <f t="shared" si="417"/>
        <v>4.6467065868263546E-2</v>
      </c>
      <c r="CW219" s="509">
        <f t="shared" si="417"/>
        <v>1.1298626822523916E-2</v>
      </c>
      <c r="CX219" s="509">
        <f t="shared" si="417"/>
        <v>5.2870493991989287E-2</v>
      </c>
      <c r="CY219" s="509">
        <f t="shared" si="417"/>
        <v>-1.0299625468164764E-2</v>
      </c>
      <c r="CZ219" s="509">
        <f t="shared" si="417"/>
        <v>3.5477225909819277E-2</v>
      </c>
      <c r="DA219" s="509">
        <f t="shared" si="417"/>
        <v>-4.4608945232688102E-3</v>
      </c>
      <c r="DB219" s="509">
        <f t="shared" si="417"/>
        <v>1.8767435962465218E-2</v>
      </c>
      <c r="DC219" s="509">
        <f t="shared" si="417"/>
        <v>3.9025543992431411E-2</v>
      </c>
      <c r="DD219" s="509">
        <f t="shared" si="417"/>
        <v>-2.011494252873558E-2</v>
      </c>
      <c r="DE219" s="509">
        <f t="shared" si="417"/>
        <v>-1.2983770287141039E-2</v>
      </c>
      <c r="DF219" s="509">
        <f t="shared" ref="DF219" si="418">SUM(DF161,DF162,DF165)/SUM(DB161,DB162,DB165)-1</f>
        <v>-2.2929736121483746E-2</v>
      </c>
      <c r="DG219" s="509">
        <f t="shared" ref="DG219" si="419">SUM(DG161,DG162,DG165)/SUM(DC161,DC162,DC165)-1</f>
        <v>-8.1753414523104695E-3</v>
      </c>
      <c r="DH219" s="509">
        <f t="shared" ref="DH219" si="420">SUM(DH161,DH162,DH165)/SUM(DD161,DD162,DD165)-1</f>
        <v>2.652284006316119E-3</v>
      </c>
      <c r="DI219" s="509">
        <f t="shared" ref="DI219" si="421">SUM(DI161,DI162,DI165)/SUM(DE161,DE162,DE165)-1</f>
        <v>2.1160699404260574E-2</v>
      </c>
    </row>
    <row r="220" spans="1:113">
      <c r="A220" s="34"/>
      <c r="AD220" s="132"/>
      <c r="AE220" s="132"/>
      <c r="AF220" s="132"/>
      <c r="AG220" s="132"/>
      <c r="AH220" s="70"/>
      <c r="AI220" s="70"/>
      <c r="AJ220" s="70"/>
      <c r="AK220" s="70"/>
      <c r="AL220" s="70"/>
      <c r="AM220" s="70"/>
      <c r="AN220" s="70"/>
      <c r="AO220" s="70"/>
      <c r="AP220" s="70"/>
      <c r="AQ220" s="70"/>
      <c r="AR220" s="70"/>
      <c r="AS220" s="70"/>
      <c r="AT220" s="70"/>
      <c r="AU220" s="70"/>
      <c r="AV220" s="70"/>
      <c r="AW220" s="70"/>
      <c r="AX220" s="70"/>
      <c r="AY220" s="70"/>
      <c r="AZ220" s="70"/>
      <c r="BA220" s="70"/>
      <c r="BB220" s="70"/>
      <c r="BC220" s="394"/>
      <c r="BD220" s="394"/>
      <c r="BE220" s="394"/>
      <c r="BF220" s="404"/>
      <c r="BG220" s="404"/>
      <c r="BH220" s="404"/>
      <c r="BI220" s="404"/>
      <c r="BJ220" s="404"/>
      <c r="BK220" s="404"/>
      <c r="BL220" s="404"/>
      <c r="BM220" s="404"/>
      <c r="BN220" s="458"/>
      <c r="BO220" s="458"/>
      <c r="BP220" s="458"/>
      <c r="BQ220" s="458"/>
      <c r="BR220" s="458"/>
      <c r="BS220" s="404"/>
      <c r="BT220" s="404"/>
      <c r="BU220" s="404"/>
      <c r="BV220" s="458"/>
      <c r="BW220" s="404"/>
      <c r="BX220" s="404"/>
      <c r="BY220" s="404"/>
      <c r="BZ220" s="458"/>
      <c r="CA220" s="404"/>
      <c r="CB220" s="404"/>
      <c r="CC220" s="404"/>
      <c r="CD220" s="458"/>
      <c r="CE220" s="458"/>
      <c r="CF220" s="404"/>
      <c r="CG220" s="404"/>
      <c r="CH220" s="404"/>
      <c r="CI220" s="404"/>
      <c r="CJ220" s="404"/>
      <c r="CK220" s="404"/>
      <c r="CL220" s="404"/>
      <c r="CM220" s="404"/>
      <c r="CN220" s="404"/>
      <c r="CO220" s="404"/>
      <c r="CP220" s="404"/>
      <c r="CQ220" s="404"/>
      <c r="CR220" s="404"/>
      <c r="CS220" s="404"/>
      <c r="CT220" s="404"/>
      <c r="CU220" s="404"/>
      <c r="CV220" s="404"/>
      <c r="CW220" s="404"/>
      <c r="CX220" s="404"/>
      <c r="CY220" s="404"/>
      <c r="CZ220" s="404"/>
      <c r="DA220" s="404"/>
      <c r="DB220" s="404"/>
      <c r="DC220" s="404"/>
      <c r="DD220" s="404"/>
      <c r="DE220" s="404"/>
      <c r="DF220" s="404"/>
      <c r="DG220" s="404"/>
      <c r="DH220" s="404"/>
      <c r="DI220" s="404"/>
    </row>
    <row r="221" spans="1:113">
      <c r="A221" s="937" t="s">
        <v>234</v>
      </c>
      <c r="AD221" s="153"/>
      <c r="AE221" s="153"/>
      <c r="AF221" s="153"/>
      <c r="AG221" s="153"/>
      <c r="AH221" s="509"/>
      <c r="AI221" s="509"/>
      <c r="AJ221" s="509"/>
      <c r="AK221" s="509"/>
      <c r="AL221" s="153"/>
      <c r="AM221" s="153"/>
      <c r="AN221" s="153"/>
      <c r="AO221" s="153"/>
      <c r="AP221" s="153"/>
      <c r="AQ221" s="153"/>
      <c r="AR221" s="153"/>
      <c r="AS221" s="153"/>
      <c r="AT221" s="153"/>
      <c r="AU221" s="153"/>
      <c r="AV221" s="153"/>
      <c r="AW221" s="153"/>
      <c r="AX221" s="153"/>
      <c r="AY221" s="153"/>
      <c r="AZ221" s="153"/>
      <c r="BA221" s="153"/>
      <c r="BB221" s="153"/>
      <c r="BC221" s="531"/>
      <c r="BD221" s="531"/>
      <c r="BE221" s="531"/>
      <c r="BF221" s="509"/>
      <c r="BG221" s="509"/>
      <c r="BH221" s="509"/>
      <c r="BI221" s="509"/>
      <c r="BJ221" s="509"/>
      <c r="BK221" s="509"/>
      <c r="BL221" s="509"/>
      <c r="BM221" s="509"/>
      <c r="BN221" s="509"/>
      <c r="BO221" s="509"/>
      <c r="BP221" s="509"/>
      <c r="BQ221" s="509"/>
      <c r="BR221" s="509"/>
      <c r="BS221" s="509"/>
      <c r="BT221" s="509"/>
      <c r="BU221" s="509"/>
      <c r="BV221" s="509"/>
      <c r="BW221" s="509"/>
      <c r="BX221" s="509"/>
      <c r="BY221" s="509"/>
      <c r="BZ221" s="509"/>
      <c r="CA221" s="509"/>
      <c r="CB221" s="509"/>
      <c r="CC221" s="509"/>
      <c r="CD221" s="509"/>
      <c r="CE221" s="509"/>
      <c r="CF221" s="509"/>
      <c r="CG221" s="509"/>
      <c r="CH221" s="509"/>
      <c r="CI221" s="509"/>
      <c r="CJ221" s="509"/>
      <c r="CK221" s="509"/>
      <c r="CL221" s="509"/>
      <c r="CM221" s="509"/>
      <c r="CN221" s="509"/>
      <c r="CO221" s="509"/>
      <c r="CP221" s="509"/>
      <c r="CQ221" s="509"/>
      <c r="CR221" s="509"/>
      <c r="CS221" s="509"/>
      <c r="CT221" s="509"/>
      <c r="CU221" s="509"/>
      <c r="CV221" s="509"/>
      <c r="CW221" s="509"/>
      <c r="CX221" s="509"/>
      <c r="CY221" s="509"/>
      <c r="CZ221" s="509"/>
      <c r="DA221" s="509"/>
      <c r="DB221" s="509"/>
      <c r="DC221" s="509"/>
      <c r="DD221" s="509"/>
      <c r="DE221" s="509"/>
      <c r="DF221" s="509"/>
      <c r="DG221" s="509"/>
      <c r="DH221" s="509"/>
      <c r="DI221" s="509"/>
    </row>
    <row r="222" spans="1:113">
      <c r="A222" s="733" t="s">
        <v>50</v>
      </c>
      <c r="C222" s="804">
        <f t="shared" ref="C222:O222" si="422">C172/B172-1</f>
        <v>5.9825673534072976E-2</v>
      </c>
      <c r="D222" s="804">
        <f t="shared" si="422"/>
        <v>7.7383177570093498E-2</v>
      </c>
      <c r="E222" s="804">
        <f t="shared" si="422"/>
        <v>-0.12543372657876473</v>
      </c>
      <c r="F222" s="804">
        <f t="shared" si="422"/>
        <v>-0.17645308470541554</v>
      </c>
      <c r="G222" s="804">
        <f t="shared" si="422"/>
        <v>6.8770323979284509E-2</v>
      </c>
      <c r="H222" s="804">
        <f t="shared" si="422"/>
        <v>3.8539553752535483E-2</v>
      </c>
      <c r="I222" s="804">
        <f t="shared" si="422"/>
        <v>4.6440972222222321E-2</v>
      </c>
      <c r="J222" s="804">
        <f t="shared" si="422"/>
        <v>1.3894649523019442E-2</v>
      </c>
      <c r="K222" s="804">
        <f t="shared" si="422"/>
        <v>6.6475761914501996E-2</v>
      </c>
      <c r="L222" s="804">
        <f t="shared" si="422"/>
        <v>5.3701572688914512E-2</v>
      </c>
      <c r="M222" s="804">
        <f t="shared" si="422"/>
        <v>4.095376774663273E-2</v>
      </c>
      <c r="N222" s="804">
        <f t="shared" si="422"/>
        <v>5.2281867459345932E-2</v>
      </c>
      <c r="O222" s="804">
        <f t="shared" si="422"/>
        <v>4.2040545031571952E-2</v>
      </c>
      <c r="P222" s="804">
        <f t="shared" ref="F222:Q225" si="423">P172/O172-1</f>
        <v>2.3919630043055307E-2</v>
      </c>
      <c r="Q222" s="804">
        <f t="shared" si="423"/>
        <v>6.6967762030836209E-2</v>
      </c>
      <c r="R222" s="804">
        <f t="shared" ref="R222:W225" si="424">R172/Q172-1</f>
        <v>0.10918114143920588</v>
      </c>
      <c r="S222" s="804">
        <f t="shared" si="424"/>
        <v>5.3033293854454433E-2</v>
      </c>
      <c r="T222" s="804">
        <f t="shared" si="424"/>
        <v>6.9857535616095978E-2</v>
      </c>
      <c r="U222" s="804">
        <f t="shared" si="424"/>
        <v>-1.5155977838522627E-2</v>
      </c>
      <c r="V222" s="804">
        <f t="shared" si="424"/>
        <v>4.7223260525847355E-2</v>
      </c>
      <c r="W222" s="804">
        <f t="shared" si="424"/>
        <v>5.0164693212054523E-2</v>
      </c>
      <c r="X222" s="804">
        <f t="shared" ref="X222:Z225" si="425">X172/W172-1</f>
        <v>4.9483093784342014E-2</v>
      </c>
      <c r="Y222" s="804">
        <f t="shared" si="425"/>
        <v>4.5582594466708315E-2</v>
      </c>
      <c r="Z222" s="804">
        <f t="shared" si="425"/>
        <v>4.2240175841459005E-2</v>
      </c>
      <c r="AA222" s="804">
        <f t="shared" ref="AA222:AB225" si="426">AA172/Z172-1</f>
        <v>3.9356070226020057E-2</v>
      </c>
      <c r="AB222" s="804">
        <f t="shared" si="426"/>
        <v>3.6852596831401074E-2</v>
      </c>
      <c r="AD222" s="153"/>
      <c r="AE222" s="153"/>
      <c r="AF222" s="153"/>
      <c r="AG222" s="153"/>
      <c r="AH222" s="509"/>
      <c r="AI222" s="509"/>
      <c r="AJ222" s="509"/>
      <c r="AK222" s="509"/>
      <c r="AL222" s="153"/>
      <c r="AM222" s="153"/>
      <c r="AN222" s="153"/>
      <c r="AO222" s="153"/>
      <c r="AP222" s="153"/>
      <c r="AQ222" s="153"/>
      <c r="AR222" s="153"/>
      <c r="AS222" s="153"/>
      <c r="AT222" s="153"/>
      <c r="AU222" s="153"/>
      <c r="AV222" s="153"/>
      <c r="AW222" s="153"/>
      <c r="AX222" s="153"/>
      <c r="AY222" s="153"/>
      <c r="AZ222" s="153"/>
      <c r="BA222" s="153"/>
      <c r="BB222" s="153"/>
      <c r="BC222" s="531"/>
      <c r="BD222" s="531"/>
      <c r="BE222" s="531"/>
      <c r="BF222" s="509"/>
      <c r="BG222" s="509"/>
      <c r="BH222" s="509"/>
      <c r="BI222" s="509"/>
      <c r="BJ222" s="509"/>
      <c r="BK222" s="509"/>
      <c r="BL222" s="509"/>
      <c r="BM222" s="509"/>
      <c r="BN222" s="509"/>
      <c r="BO222" s="509"/>
      <c r="BP222" s="509"/>
      <c r="BQ222" s="509"/>
      <c r="BR222" s="509"/>
      <c r="BS222" s="509"/>
      <c r="BT222" s="509"/>
      <c r="BU222" s="509"/>
      <c r="BV222" s="509"/>
      <c r="BW222" s="509"/>
      <c r="BX222" s="509"/>
      <c r="BY222" s="509"/>
      <c r="BZ222" s="189">
        <f t="shared" ref="BZ222:CI226" si="427">BZ172/BV172-1</f>
        <v>5.6588520614389681E-2</v>
      </c>
      <c r="CA222" s="189">
        <f t="shared" si="427"/>
        <v>2.5115664243225311E-2</v>
      </c>
      <c r="CB222" s="189">
        <f t="shared" si="427"/>
        <v>8.2543978349120417E-2</v>
      </c>
      <c r="CC222" s="509">
        <f t="shared" si="427"/>
        <v>-3.949447077409185E-3</v>
      </c>
      <c r="CD222" s="189">
        <f t="shared" si="427"/>
        <v>4.8967100229533322E-2</v>
      </c>
      <c r="CE222" s="189">
        <f t="shared" si="427"/>
        <v>4.4487427466150864E-2</v>
      </c>
      <c r="CF222" s="189">
        <f t="shared" si="427"/>
        <v>-1.5625E-2</v>
      </c>
      <c r="CG222" s="509">
        <f t="shared" si="427"/>
        <v>0.15146708961141941</v>
      </c>
      <c r="CH222" s="189">
        <f t="shared" si="427"/>
        <v>3.938730853391692E-2</v>
      </c>
      <c r="CI222" s="189">
        <f t="shared" si="427"/>
        <v>2.839506172839501E-2</v>
      </c>
      <c r="CJ222" s="189">
        <f t="shared" ref="CJ222:CS226" si="428">CJ172/CF172-1</f>
        <v>4.2539682539682433E-2</v>
      </c>
      <c r="CK222" s="189">
        <f t="shared" si="428"/>
        <v>5.9228650137741035E-2</v>
      </c>
      <c r="CL222" s="189">
        <f t="shared" si="428"/>
        <v>1.2631578947368327E-2</v>
      </c>
      <c r="CM222" s="189">
        <f t="shared" si="428"/>
        <v>1.5006002400960394E-2</v>
      </c>
      <c r="CN222" s="189">
        <f t="shared" si="428"/>
        <v>3.1059683313032993E-2</v>
      </c>
      <c r="CO222" s="189">
        <f t="shared" si="428"/>
        <v>3.6410923276983143E-2</v>
      </c>
      <c r="CP222" s="189">
        <f t="shared" si="428"/>
        <v>6.4449064449064508E-2</v>
      </c>
      <c r="CQ222" s="189">
        <f t="shared" si="428"/>
        <v>3.6073329390893027E-2</v>
      </c>
      <c r="CR222" s="189">
        <f t="shared" si="428"/>
        <v>8.9781453041937409E-2</v>
      </c>
      <c r="CS222" s="189">
        <f t="shared" si="428"/>
        <v>7.779171894604775E-2</v>
      </c>
      <c r="CT222" s="189">
        <f t="shared" ref="CT222:DE226" si="429">CT172/CP172-1</f>
        <v>0.12565104166666674</v>
      </c>
      <c r="CU222" s="189">
        <f t="shared" si="429"/>
        <v>0.15810502283105032</v>
      </c>
      <c r="CV222" s="189">
        <f t="shared" si="429"/>
        <v>0.11056910569105693</v>
      </c>
      <c r="CW222" s="189">
        <f t="shared" si="429"/>
        <v>4.3073341094295614E-2</v>
      </c>
      <c r="CX222" s="189">
        <f t="shared" si="429"/>
        <v>9.1960670908039388E-2</v>
      </c>
      <c r="CY222" s="189">
        <f t="shared" si="429"/>
        <v>4.5342533267619611E-2</v>
      </c>
      <c r="CZ222" s="189">
        <f t="shared" si="429"/>
        <v>4.1971693509028851E-2</v>
      </c>
      <c r="DA222" s="189">
        <f t="shared" si="429"/>
        <v>3.6830357142857206E-2</v>
      </c>
      <c r="DB222" s="189">
        <f t="shared" si="429"/>
        <v>8.0508474576271194E-2</v>
      </c>
      <c r="DC222" s="189">
        <f t="shared" si="429"/>
        <v>6.412069778406404E-2</v>
      </c>
      <c r="DD222" s="189">
        <f t="shared" si="429"/>
        <v>7.7283372365339664E-2</v>
      </c>
      <c r="DE222" s="189">
        <f t="shared" si="429"/>
        <v>5.7050592034445735E-2</v>
      </c>
      <c r="DF222" s="189">
        <f>DF172/DB172-1</f>
        <v>-4.0497195085128501E-2</v>
      </c>
      <c r="DG222" s="189">
        <f t="shared" ref="DG222:DG226" si="430">DG172/DC172-1</f>
        <v>-2.3015639802338228E-2</v>
      </c>
      <c r="DH222" s="189">
        <f t="shared" ref="DH222:DH226" si="431">DH172/DD172-1</f>
        <v>-8.7086195652178455E-3</v>
      </c>
      <c r="DI222" s="189">
        <f t="shared" ref="DI222:DI226" si="432">DI172/DE172-1</f>
        <v>1.2647696401195896E-2</v>
      </c>
    </row>
    <row r="223" spans="1:113">
      <c r="A223" s="936" t="s">
        <v>228</v>
      </c>
      <c r="B223" s="784"/>
      <c r="C223" s="804">
        <f>C173/B173-1</f>
        <v>5.9825673534072976E-2</v>
      </c>
      <c r="D223" s="804">
        <f>D173/C173-1</f>
        <v>7.7383177570093498E-2</v>
      </c>
      <c r="E223" s="804">
        <f>E173/D173-1</f>
        <v>-0.12543372657876473</v>
      </c>
      <c r="F223" s="804">
        <f t="shared" si="423"/>
        <v>-0.17645308470541554</v>
      </c>
      <c r="G223" s="804">
        <f t="shared" si="423"/>
        <v>6.8770323979284509E-2</v>
      </c>
      <c r="H223" s="804">
        <f t="shared" si="423"/>
        <v>3.8539553752535483E-2</v>
      </c>
      <c r="I223" s="804">
        <f t="shared" si="423"/>
        <v>4.6440972222222321E-2</v>
      </c>
      <c r="J223" s="804">
        <f t="shared" si="423"/>
        <v>1.3894649523019442E-2</v>
      </c>
      <c r="K223" s="804">
        <f t="shared" si="423"/>
        <v>2.9249335242380825E-2</v>
      </c>
      <c r="L223" s="804">
        <f t="shared" si="423"/>
        <v>5.5047694753577181E-2</v>
      </c>
      <c r="M223" s="804">
        <f t="shared" si="423"/>
        <v>4.5394612921454192E-2</v>
      </c>
      <c r="N223" s="804">
        <f t="shared" si="423"/>
        <v>5.4234234234234124E-2</v>
      </c>
      <c r="O223" s="804">
        <f t="shared" si="423"/>
        <v>3.3226064364227481E-2</v>
      </c>
      <c r="P223" s="804">
        <f t="shared" si="423"/>
        <v>2.3382275837291022E-2</v>
      </c>
      <c r="Q223" s="804">
        <f t="shared" si="423"/>
        <v>6.4524687844619288E-2</v>
      </c>
      <c r="R223" s="804">
        <f t="shared" si="424"/>
        <v>0.11009303743992738</v>
      </c>
      <c r="S223" s="804">
        <f t="shared" si="424"/>
        <v>5.099173682438507E-2</v>
      </c>
      <c r="T223" s="804">
        <f t="shared" si="424"/>
        <v>7.0823622335687064E-2</v>
      </c>
      <c r="U223" s="804">
        <f t="shared" si="424"/>
        <v>-1.768840601820354E-2</v>
      </c>
      <c r="V223" s="804">
        <f t="shared" si="424"/>
        <v>4.7440761165001399E-2</v>
      </c>
      <c r="W223" s="804">
        <f t="shared" si="424"/>
        <v>5.050833413703204E-2</v>
      </c>
      <c r="X223" s="804">
        <f t="shared" si="425"/>
        <v>4.8111854492317141E-2</v>
      </c>
      <c r="Y223" s="804">
        <f t="shared" si="425"/>
        <v>4.4086085215024884E-2</v>
      </c>
      <c r="Z223" s="804">
        <f t="shared" si="425"/>
        <v>4.0625904992319883E-2</v>
      </c>
      <c r="AA223" s="804">
        <f t="shared" si="426"/>
        <v>3.7629242009766806E-2</v>
      </c>
      <c r="AB223" s="804">
        <f t="shared" si="426"/>
        <v>3.5016719289131304E-2</v>
      </c>
      <c r="AD223" s="153"/>
      <c r="AE223" s="153"/>
      <c r="AF223" s="153"/>
      <c r="AG223" s="153"/>
      <c r="AH223" s="531">
        <f t="shared" ref="AH223:BY223" si="433">AH173/AD173-1</f>
        <v>-7.3386383731211313E-2</v>
      </c>
      <c r="AI223" s="531">
        <f t="shared" si="433"/>
        <v>-3.8585209003215382E-2</v>
      </c>
      <c r="AJ223" s="531">
        <f t="shared" si="433"/>
        <v>-1.7857142857142905E-2</v>
      </c>
      <c r="AK223" s="531">
        <f t="shared" si="433"/>
        <v>1.0608203677510586E-2</v>
      </c>
      <c r="AL223" s="531">
        <f t="shared" si="433"/>
        <v>6.4885496183206159E-2</v>
      </c>
      <c r="AM223" s="531">
        <f t="shared" si="433"/>
        <v>6.5217391304347894E-2</v>
      </c>
      <c r="AN223" s="531">
        <f t="shared" si="433"/>
        <v>6.1090909090909085E-2</v>
      </c>
      <c r="AO223" s="531">
        <f t="shared" si="433"/>
        <v>5.0384884534639518E-2</v>
      </c>
      <c r="AP223" s="531">
        <f t="shared" si="433"/>
        <v>7.7060931899641583E-2</v>
      </c>
      <c r="AQ223" s="531">
        <f t="shared" si="433"/>
        <v>8.5557299843014079E-2</v>
      </c>
      <c r="AR223" s="531">
        <f t="shared" si="433"/>
        <v>8.0877313228238545E-2</v>
      </c>
      <c r="AS223" s="531">
        <f t="shared" si="433"/>
        <v>6.7288474350432947E-2</v>
      </c>
      <c r="AT223" s="531">
        <f t="shared" si="433"/>
        <v>3.9933444259567352E-2</v>
      </c>
      <c r="AU223" s="531">
        <f t="shared" si="433"/>
        <v>5.133767172812731E-2</v>
      </c>
      <c r="AV223" s="531">
        <f t="shared" si="433"/>
        <v>-3.7412809131261882E-2</v>
      </c>
      <c r="AW223" s="531">
        <f t="shared" si="433"/>
        <v>-0.48751560549313355</v>
      </c>
      <c r="AX223" s="531">
        <f t="shared" si="433"/>
        <v>-0.40639999999999998</v>
      </c>
      <c r="AY223" s="531">
        <f t="shared" si="433"/>
        <v>-0.17159559834938098</v>
      </c>
      <c r="AZ223" s="531">
        <f t="shared" si="433"/>
        <v>-0.24143610013175232</v>
      </c>
      <c r="BA223" s="531">
        <f t="shared" si="433"/>
        <v>0.28319123020706449</v>
      </c>
      <c r="BB223" s="531">
        <f t="shared" si="433"/>
        <v>0.32210242587601079</v>
      </c>
      <c r="BC223" s="531">
        <f t="shared" si="433"/>
        <v>1.4528850145288486E-2</v>
      </c>
      <c r="BD223" s="531">
        <f t="shared" si="433"/>
        <v>4.3421623968731282E-4</v>
      </c>
      <c r="BE223" s="154">
        <f t="shared" si="433"/>
        <v>2.7052681537731438E-2</v>
      </c>
      <c r="BF223" s="189">
        <f t="shared" si="433"/>
        <v>5.9123343527013317E-2</v>
      </c>
      <c r="BG223" s="189">
        <f t="shared" si="433"/>
        <v>3.3551554828150643E-2</v>
      </c>
      <c r="BH223" s="189">
        <f t="shared" si="433"/>
        <v>6.336805555555558E-2</v>
      </c>
      <c r="BI223" s="509">
        <f t="shared" si="433"/>
        <v>-9.2421441774492852E-4</v>
      </c>
      <c r="BJ223" s="189">
        <f t="shared" si="433"/>
        <v>7.4109720885466857E-2</v>
      </c>
      <c r="BK223" s="189">
        <f t="shared" si="433"/>
        <v>3.0087094220110799E-2</v>
      </c>
      <c r="BL223" s="189">
        <f t="shared" si="433"/>
        <v>3.6734693877551017E-2</v>
      </c>
      <c r="BM223" s="509">
        <f t="shared" si="433"/>
        <v>4.9953746530989829E-2</v>
      </c>
      <c r="BN223" s="189">
        <f t="shared" si="433"/>
        <v>1.2544802867383575E-2</v>
      </c>
      <c r="BO223" s="189">
        <f t="shared" si="433"/>
        <v>1.6141429669485063E-2</v>
      </c>
      <c r="BP223" s="189">
        <f t="shared" si="433"/>
        <v>3.700787401574801E-2</v>
      </c>
      <c r="BQ223" s="509">
        <f t="shared" si="433"/>
        <v>-1.3215859030836996E-2</v>
      </c>
      <c r="BR223" s="189">
        <f t="shared" si="433"/>
        <v>-5.663716814159292E-2</v>
      </c>
      <c r="BS223" s="189">
        <f t="shared" si="433"/>
        <v>3.7821482602117928E-2</v>
      </c>
      <c r="BT223" s="189">
        <f t="shared" si="433"/>
        <v>6.302201974183741E-2</v>
      </c>
      <c r="BU223" s="509">
        <f t="shared" si="433"/>
        <v>6.6071428571428559E-2</v>
      </c>
      <c r="BV223" s="189">
        <f t="shared" si="433"/>
        <v>0.10694183864915563</v>
      </c>
      <c r="BW223" s="189">
        <f t="shared" si="433"/>
        <v>7.3615160349854269E-2</v>
      </c>
      <c r="BX223" s="189">
        <f t="shared" si="433"/>
        <v>2.0714285714285685E-2</v>
      </c>
      <c r="BY223" s="509">
        <f t="shared" si="433"/>
        <v>2.7638190954773822E-2</v>
      </c>
      <c r="BZ223" s="189">
        <f t="shared" si="427"/>
        <v>6.6949152542372881E-2</v>
      </c>
      <c r="CA223" s="189">
        <f t="shared" si="427"/>
        <v>1.4935505770536261E-2</v>
      </c>
      <c r="CB223" s="189">
        <f t="shared" si="427"/>
        <v>8.9573128061581464E-2</v>
      </c>
      <c r="CC223" s="509">
        <f t="shared" si="427"/>
        <v>9.7799511002445438E-3</v>
      </c>
      <c r="CD223" s="189">
        <f t="shared" si="427"/>
        <v>7.1485305798252519E-2</v>
      </c>
      <c r="CE223" s="189">
        <f t="shared" si="427"/>
        <v>5.2173913043478182E-2</v>
      </c>
      <c r="CF223" s="189">
        <f t="shared" si="427"/>
        <v>-2.3763648041104646E-2</v>
      </c>
      <c r="CG223" s="509">
        <f t="shared" si="427"/>
        <v>0.13720742534301866</v>
      </c>
      <c r="CH223" s="189">
        <f t="shared" si="427"/>
        <v>2.3511893652502946E-2</v>
      </c>
      <c r="CI223" s="189">
        <f t="shared" si="427"/>
        <v>2.3312546063147588E-2</v>
      </c>
      <c r="CJ223" s="189">
        <f t="shared" si="428"/>
        <v>3.6833251051118676E-2</v>
      </c>
      <c r="CK223" s="189">
        <f t="shared" si="428"/>
        <v>4.9702612848003813E-2</v>
      </c>
      <c r="CL223" s="189">
        <f t="shared" si="428"/>
        <v>1.7125588772324729E-2</v>
      </c>
      <c r="CM223" s="189">
        <f t="shared" si="428"/>
        <v>1.577546198633728E-2</v>
      </c>
      <c r="CN223" s="189">
        <f t="shared" si="428"/>
        <v>2.7681814818159456E-2</v>
      </c>
      <c r="CO223" s="189">
        <f t="shared" si="428"/>
        <v>3.2920390380022591E-2</v>
      </c>
      <c r="CP223" s="189">
        <f t="shared" si="428"/>
        <v>6.2032414124005619E-2</v>
      </c>
      <c r="CQ223" s="189">
        <f t="shared" si="428"/>
        <v>3.0670239823799905E-2</v>
      </c>
      <c r="CR223" s="189">
        <f t="shared" si="428"/>
        <v>8.8738119153514372E-2</v>
      </c>
      <c r="CS223" s="189">
        <f t="shared" si="428"/>
        <v>7.7379037480256541E-2</v>
      </c>
      <c r="CT223" s="189">
        <f t="shared" si="429"/>
        <v>0.12494642499602504</v>
      </c>
      <c r="CU223" s="189">
        <f t="shared" si="429"/>
        <v>0.16257923459001611</v>
      </c>
      <c r="CV223" s="189">
        <f t="shared" si="429"/>
        <v>0.11177094174531144</v>
      </c>
      <c r="CW223" s="189">
        <f t="shared" si="429"/>
        <v>4.109724520227398E-2</v>
      </c>
      <c r="CX223" s="189">
        <f t="shared" si="429"/>
        <v>9.1742040630498289E-2</v>
      </c>
      <c r="CY223" s="189">
        <f t="shared" si="429"/>
        <v>4.0332034795696581E-2</v>
      </c>
      <c r="CZ223" s="189">
        <f t="shared" si="429"/>
        <v>4.2313526984133487E-2</v>
      </c>
      <c r="DA223" s="189">
        <f t="shared" si="429"/>
        <v>3.3207384023036246E-2</v>
      </c>
      <c r="DB223" s="189">
        <f>DB173/CX173-1</f>
        <v>7.3428648054994383E-2</v>
      </c>
      <c r="DC223" s="189">
        <f t="shared" si="429"/>
        <v>6.7302928343150326E-2</v>
      </c>
      <c r="DD223" s="189">
        <f t="shared" si="429"/>
        <v>8.0564689059395844E-2</v>
      </c>
      <c r="DE223" s="189">
        <f t="shared" si="429"/>
        <v>6.0939004626188176E-2</v>
      </c>
      <c r="DF223" s="189">
        <f>DF173/DB173-1</f>
        <v>-4.5079674744027298E-2</v>
      </c>
      <c r="DG223" s="189">
        <f t="shared" si="430"/>
        <v>-2.69263197828431E-2</v>
      </c>
      <c r="DH223" s="189">
        <f t="shared" si="431"/>
        <v>-1.2341293025362687E-2</v>
      </c>
      <c r="DI223" s="189">
        <f t="shared" si="432"/>
        <v>1.5397746481567109E-2</v>
      </c>
    </row>
    <row r="224" spans="1:113">
      <c r="A224" s="933" t="s">
        <v>230</v>
      </c>
      <c r="B224" s="784"/>
      <c r="C224" s="804"/>
      <c r="D224" s="804"/>
      <c r="E224" s="804"/>
      <c r="F224" s="804"/>
      <c r="G224" s="804"/>
      <c r="H224" s="804"/>
      <c r="I224" s="804"/>
      <c r="J224" s="804"/>
      <c r="K224" s="804"/>
      <c r="L224" s="804">
        <f t="shared" si="423"/>
        <v>1.6483516483516425E-2</v>
      </c>
      <c r="M224" s="804">
        <f t="shared" ref="M224:M225" si="434">M174/L174-1</f>
        <v>-8.6486486486486491E-2</v>
      </c>
      <c r="N224" s="804">
        <f t="shared" si="423"/>
        <v>-1.1834319526627168E-2</v>
      </c>
      <c r="O224" s="804">
        <f t="shared" si="423"/>
        <v>0.35086405631679551</v>
      </c>
      <c r="P224" s="804">
        <f t="shared" si="423"/>
        <v>3.8319480647478255E-2</v>
      </c>
      <c r="Q224" s="804">
        <f t="shared" si="423"/>
        <v>0.13149467341137888</v>
      </c>
      <c r="R224" s="804">
        <f t="shared" si="424"/>
        <v>8.6521514373728348E-2</v>
      </c>
      <c r="S224" s="804">
        <f t="shared" si="424"/>
        <v>0.10486434441591475</v>
      </c>
      <c r="T224" s="804">
        <f t="shared" si="424"/>
        <v>4.6526449834416228E-2</v>
      </c>
      <c r="U224" s="804">
        <f t="shared" si="424"/>
        <v>4.7422314804166588E-2</v>
      </c>
      <c r="V224" s="804">
        <f t="shared" si="424"/>
        <v>4.2182749631318295E-2</v>
      </c>
      <c r="W224" s="804">
        <f t="shared" si="424"/>
        <v>4.2160740950609066E-2</v>
      </c>
      <c r="X224" s="804">
        <f t="shared" si="425"/>
        <v>8.167729490536213E-2</v>
      </c>
      <c r="Y224" s="804">
        <f t="shared" si="425"/>
        <v>7.9627625079417008E-2</v>
      </c>
      <c r="Z224" s="804">
        <f t="shared" si="425"/>
        <v>7.7755276219781289E-2</v>
      </c>
      <c r="AA224" s="804">
        <f t="shared" si="426"/>
        <v>7.6038682363813059E-2</v>
      </c>
      <c r="AB224" s="804">
        <f t="shared" si="426"/>
        <v>7.4459636229571524E-2</v>
      </c>
      <c r="AD224" s="153"/>
      <c r="AE224" s="153"/>
      <c r="AF224" s="153"/>
      <c r="AG224" s="153"/>
      <c r="AH224" s="531"/>
      <c r="AI224" s="531"/>
      <c r="AJ224" s="531"/>
      <c r="AK224" s="531"/>
      <c r="AL224" s="531"/>
      <c r="AM224" s="531"/>
      <c r="AN224" s="531"/>
      <c r="AO224" s="531"/>
      <c r="AP224" s="531"/>
      <c r="AQ224" s="531"/>
      <c r="AR224" s="531"/>
      <c r="AS224" s="531"/>
      <c r="AT224" s="531"/>
      <c r="AU224" s="531"/>
      <c r="AV224" s="531"/>
      <c r="AW224" s="531"/>
      <c r="AX224" s="531"/>
      <c r="AY224" s="531"/>
      <c r="AZ224" s="531"/>
      <c r="BA224" s="531"/>
      <c r="BB224" s="531"/>
      <c r="BC224" s="531"/>
      <c r="BD224" s="531"/>
      <c r="BE224" s="154"/>
      <c r="BF224" s="189"/>
      <c r="BG224" s="189"/>
      <c r="BH224" s="189"/>
      <c r="BI224" s="509"/>
      <c r="BJ224" s="154" t="s">
        <v>618</v>
      </c>
      <c r="BK224" s="154" t="s">
        <v>618</v>
      </c>
      <c r="BL224" s="154" t="s">
        <v>618</v>
      </c>
      <c r="BM224" s="531" t="s">
        <v>618</v>
      </c>
      <c r="BN224" s="154" t="s">
        <v>618</v>
      </c>
      <c r="BO224" s="154" t="s">
        <v>618</v>
      </c>
      <c r="BP224" s="531" t="s">
        <v>618</v>
      </c>
      <c r="BQ224" s="531" t="s">
        <v>618</v>
      </c>
      <c r="BR224" s="531" t="s">
        <v>618</v>
      </c>
      <c r="BS224" s="531" t="s">
        <v>618</v>
      </c>
      <c r="BT224" s="531" t="s">
        <v>618</v>
      </c>
      <c r="BU224" s="531" t="s">
        <v>618</v>
      </c>
      <c r="BV224" s="531">
        <f>BV174/BR174-1</f>
        <v>0.32558139534883712</v>
      </c>
      <c r="BW224" s="531">
        <f>BW174/BS174-1</f>
        <v>-0.21568627450980393</v>
      </c>
      <c r="BX224" s="531">
        <f>BX174/BT174-1</f>
        <v>6.5217391304347894E-2</v>
      </c>
      <c r="BY224" s="531">
        <f>BY174/BU174-1</f>
        <v>-7.1428571428571397E-2</v>
      </c>
      <c r="BZ224" s="531">
        <f t="shared" si="427"/>
        <v>-0.15789473684210531</v>
      </c>
      <c r="CA224" s="531">
        <f t="shared" si="427"/>
        <v>0.39999999999999991</v>
      </c>
      <c r="CB224" s="531">
        <f t="shared" si="427"/>
        <v>-0.12244897959183676</v>
      </c>
      <c r="CC224" s="531">
        <f t="shared" si="427"/>
        <v>-0.4358974358974359</v>
      </c>
      <c r="CD224" s="531">
        <f t="shared" si="427"/>
        <v>-0.54166666666666674</v>
      </c>
      <c r="CE224" s="531">
        <f t="shared" si="427"/>
        <v>-0.1607142857142857</v>
      </c>
      <c r="CF224" s="531">
        <f t="shared" si="427"/>
        <v>0.27906976744186052</v>
      </c>
      <c r="CG224" s="531">
        <f t="shared" si="427"/>
        <v>0.95454545454545459</v>
      </c>
      <c r="CH224" s="531">
        <f t="shared" si="427"/>
        <v>1.0128388846715199</v>
      </c>
      <c r="CI224" s="531">
        <f t="shared" si="427"/>
        <v>0.19849712856742552</v>
      </c>
      <c r="CJ224" s="531">
        <f t="shared" si="428"/>
        <v>0.20024469822362989</v>
      </c>
      <c r="CK224" s="531">
        <f t="shared" si="428"/>
        <v>0.37137252318983216</v>
      </c>
      <c r="CL224" s="531">
        <f t="shared" si="428"/>
        <v>-0.12749069173060035</v>
      </c>
      <c r="CM224" s="531">
        <f t="shared" si="428"/>
        <v>-6.9821115859319827E-3</v>
      </c>
      <c r="CN224" s="531">
        <f t="shared" si="428"/>
        <v>0.11170195560189211</v>
      </c>
      <c r="CO224" s="531">
        <f t="shared" si="428"/>
        <v>0.1239586971441704</v>
      </c>
      <c r="CP224" s="531">
        <f t="shared" si="428"/>
        <v>0.15228889220898068</v>
      </c>
      <c r="CQ224" s="531">
        <f t="shared" si="428"/>
        <v>0.19401072703858313</v>
      </c>
      <c r="CR224" s="531">
        <f t="shared" si="428"/>
        <v>0.11280719506297521</v>
      </c>
      <c r="CS224" s="531">
        <f t="shared" si="428"/>
        <v>8.7304003533349883E-2</v>
      </c>
      <c r="CT224" s="531">
        <f t="shared" si="429"/>
        <v>0.14925620288857511</v>
      </c>
      <c r="CU224" s="531">
        <f t="shared" si="429"/>
        <v>4.5211024804761246E-2</v>
      </c>
      <c r="CV224" s="531">
        <f t="shared" si="429"/>
        <v>8.4619004668989195E-2</v>
      </c>
      <c r="CW224" s="531">
        <f t="shared" si="429"/>
        <v>8.8206467657048426E-2</v>
      </c>
      <c r="CX224" s="531">
        <f t="shared" si="429"/>
        <v>9.9130013707393383E-2</v>
      </c>
      <c r="CY224" s="531">
        <f t="shared" si="429"/>
        <v>0.18596471514344115</v>
      </c>
      <c r="CZ224" s="531">
        <f t="shared" si="429"/>
        <v>3.4406038679620776E-2</v>
      </c>
      <c r="DA224" s="531">
        <f t="shared" si="429"/>
        <v>0.11599522862191969</v>
      </c>
      <c r="DB224" s="531">
        <f t="shared" si="429"/>
        <v>0.31111023784962066</v>
      </c>
      <c r="DC224" s="531">
        <f t="shared" si="429"/>
        <v>-1.422312224572575E-2</v>
      </c>
      <c r="DD224" s="531">
        <f t="shared" si="429"/>
        <v>4.1042143669229869E-3</v>
      </c>
      <c r="DE224" s="531">
        <f t="shared" si="429"/>
        <v>-2.1611393338197615E-2</v>
      </c>
      <c r="DF224" s="531">
        <f t="shared" ref="DF224:DF226" si="435">DF174/DB174-1</f>
        <v>8.1703739261496988E-2</v>
      </c>
      <c r="DG224" s="531">
        <f t="shared" si="430"/>
        <v>8.1224372466807804E-2</v>
      </c>
      <c r="DH224" s="531">
        <f t="shared" si="431"/>
        <v>7.8475543478260468E-2</v>
      </c>
      <c r="DI224" s="531">
        <f t="shared" si="432"/>
        <v>-4.7679368339728523E-2</v>
      </c>
    </row>
    <row r="225" spans="1:126">
      <c r="A225" s="933" t="s">
        <v>698</v>
      </c>
      <c r="B225" s="784"/>
      <c r="C225" s="804"/>
      <c r="D225" s="804"/>
      <c r="E225" s="804"/>
      <c r="F225" s="804"/>
      <c r="G225" s="804"/>
      <c r="H225" s="804"/>
      <c r="I225" s="804"/>
      <c r="J225" s="804"/>
      <c r="K225" s="804"/>
      <c r="L225" s="804"/>
      <c r="M225" s="804">
        <f t="shared" si="434"/>
        <v>0.30854430379746844</v>
      </c>
      <c r="N225" s="804">
        <f t="shared" si="423"/>
        <v>8.3434099153567143E-2</v>
      </c>
      <c r="O225" s="804">
        <f t="shared" si="423"/>
        <v>7.03125E-2</v>
      </c>
      <c r="P225" s="804">
        <f t="shared" si="423"/>
        <v>6.9864442127215876E-2</v>
      </c>
      <c r="Q225" s="804">
        <f t="shared" si="423"/>
        <v>3.3138401559454245E-2</v>
      </c>
      <c r="R225" s="804">
        <f t="shared" si="424"/>
        <v>4.9056603773584895E-2</v>
      </c>
      <c r="S225" s="804">
        <f t="shared" si="424"/>
        <v>0.10971223021582732</v>
      </c>
      <c r="T225" s="804">
        <f t="shared" si="424"/>
        <v>0.11183144246353316</v>
      </c>
      <c r="U225" s="804">
        <f t="shared" si="424"/>
        <v>7.4692019261722864E-2</v>
      </c>
      <c r="V225" s="804">
        <f t="shared" si="424"/>
        <v>6.9731258324821521E-2</v>
      </c>
      <c r="W225" s="804">
        <f t="shared" si="424"/>
        <v>9.0758271927303458E-2</v>
      </c>
      <c r="X225" s="804">
        <f t="shared" si="425"/>
        <v>7.0452651041061021E-2</v>
      </c>
      <c r="Y225" s="804">
        <f t="shared" si="425"/>
        <v>7.0138181747754436E-2</v>
      </c>
      <c r="Z225" s="804">
        <f t="shared" si="425"/>
        <v>6.9837358967199004E-2</v>
      </c>
      <c r="AA225" s="804">
        <f t="shared" si="426"/>
        <v>6.9549416723309276E-2</v>
      </c>
      <c r="AB225" s="804">
        <f t="shared" si="426"/>
        <v>6.9273643674219842E-2</v>
      </c>
      <c r="AD225" s="532"/>
      <c r="AE225" s="532"/>
      <c r="AF225" s="532"/>
      <c r="AG225" s="532"/>
      <c r="AH225" s="532"/>
      <c r="AI225" s="532"/>
      <c r="AJ225" s="532"/>
      <c r="AK225" s="532"/>
      <c r="AL225" s="532"/>
      <c r="AM225" s="532"/>
      <c r="AN225" s="532"/>
      <c r="AO225" s="532"/>
      <c r="AP225" s="532"/>
      <c r="AQ225" s="532"/>
      <c r="AR225" s="532"/>
      <c r="AS225" s="532"/>
      <c r="AT225" s="532"/>
      <c r="AU225" s="532"/>
      <c r="AV225" s="532"/>
      <c r="AW225" s="532"/>
      <c r="AX225" s="532"/>
      <c r="AY225" s="532"/>
      <c r="AZ225" s="532"/>
      <c r="BA225" s="532"/>
      <c r="BB225" s="532"/>
      <c r="BC225" s="532"/>
      <c r="BD225" s="533"/>
      <c r="BE225" s="533"/>
      <c r="BF225" s="534"/>
      <c r="BG225" s="534"/>
      <c r="BH225" s="534"/>
      <c r="BI225" s="534"/>
      <c r="BJ225" s="534"/>
      <c r="BK225" s="534"/>
      <c r="BL225" s="534"/>
      <c r="BM225" s="534"/>
      <c r="BN225" s="531" t="s">
        <v>618</v>
      </c>
      <c r="BO225" s="531" t="s">
        <v>618</v>
      </c>
      <c r="BP225" s="531" t="s">
        <v>618</v>
      </c>
      <c r="BQ225" s="531" t="s">
        <v>618</v>
      </c>
      <c r="BR225" s="531" t="s">
        <v>618</v>
      </c>
      <c r="BS225" s="531" t="s">
        <v>618</v>
      </c>
      <c r="BT225" s="531" t="s">
        <v>618</v>
      </c>
      <c r="BU225" s="531" t="s">
        <v>618</v>
      </c>
      <c r="BV225" s="531" t="s">
        <v>618</v>
      </c>
      <c r="BW225" s="531" t="s">
        <v>618</v>
      </c>
      <c r="BX225" s="531" t="s">
        <v>618</v>
      </c>
      <c r="BY225" s="531" t="s">
        <v>618</v>
      </c>
      <c r="BZ225" s="189">
        <f t="shared" si="427"/>
        <v>0.49206349206349209</v>
      </c>
      <c r="CA225" s="189">
        <f t="shared" si="427"/>
        <v>-5.1643192488262879E-2</v>
      </c>
      <c r="CB225" s="189">
        <f t="shared" si="427"/>
        <v>0.36538461538461542</v>
      </c>
      <c r="CC225" s="509">
        <f t="shared" si="427"/>
        <v>0.63503649635036497</v>
      </c>
      <c r="CD225" s="189">
        <f t="shared" si="427"/>
        <v>3.1914893617021267E-2</v>
      </c>
      <c r="CE225" s="189">
        <f t="shared" si="427"/>
        <v>0.10891089108910901</v>
      </c>
      <c r="CF225" s="189">
        <f t="shared" si="427"/>
        <v>0.15492957746478875</v>
      </c>
      <c r="CG225" s="509">
        <f t="shared" si="427"/>
        <v>3.5714285714285809E-2</v>
      </c>
      <c r="CH225" s="189">
        <f t="shared" si="427"/>
        <v>8.7628865979381354E-2</v>
      </c>
      <c r="CI225" s="189">
        <f t="shared" si="427"/>
        <v>7.1428571428571397E-2</v>
      </c>
      <c r="CJ225" s="189">
        <f t="shared" si="428"/>
        <v>3.2520325203251987E-2</v>
      </c>
      <c r="CK225" s="189">
        <f t="shared" si="428"/>
        <v>9.4827586206896575E-2</v>
      </c>
      <c r="CL225" s="189">
        <f t="shared" si="428"/>
        <v>5.2132701421800931E-2</v>
      </c>
      <c r="CM225" s="189">
        <f t="shared" si="428"/>
        <v>0.125</v>
      </c>
      <c r="CN225" s="189">
        <f t="shared" si="428"/>
        <v>9.0551181102362266E-2</v>
      </c>
      <c r="CO225" s="189">
        <f t="shared" si="428"/>
        <v>1.1811023622047223E-2</v>
      </c>
      <c r="CP225" s="189">
        <f t="shared" si="428"/>
        <v>7.6576576576576683E-2</v>
      </c>
      <c r="CQ225" s="189">
        <f t="shared" si="428"/>
        <v>5.555555555555558E-2</v>
      </c>
      <c r="CR225" s="189">
        <f t="shared" si="428"/>
        <v>7.2202166064982976E-3</v>
      </c>
      <c r="CS225" s="189">
        <f t="shared" si="428"/>
        <v>0</v>
      </c>
      <c r="CT225" s="189">
        <f t="shared" si="429"/>
        <v>5.0209205020920411E-2</v>
      </c>
      <c r="CU225" s="189">
        <f t="shared" si="429"/>
        <v>4.2105263157894646E-2</v>
      </c>
      <c r="CV225" s="189">
        <f t="shared" si="429"/>
        <v>2.5089605734766929E-2</v>
      </c>
      <c r="CW225" s="189">
        <f t="shared" si="429"/>
        <v>8.171206225680927E-2</v>
      </c>
      <c r="CX225" s="189">
        <f t="shared" si="429"/>
        <v>0.16733067729083673</v>
      </c>
      <c r="CY225" s="189">
        <f t="shared" si="429"/>
        <v>0.13804713804713797</v>
      </c>
      <c r="CZ225" s="189">
        <f t="shared" si="429"/>
        <v>9.4405594405594373E-2</v>
      </c>
      <c r="DA225" s="189">
        <f t="shared" si="429"/>
        <v>4.3165467625899234E-2</v>
      </c>
      <c r="DB225" s="189">
        <f t="shared" si="429"/>
        <v>-7.8498293515358308E-2</v>
      </c>
      <c r="DC225" s="189">
        <f t="shared" si="429"/>
        <v>9.76331360946745E-2</v>
      </c>
      <c r="DD225" s="189">
        <f t="shared" si="429"/>
        <v>0.15654952076677309</v>
      </c>
      <c r="DE225" s="189">
        <f t="shared" si="429"/>
        <v>0.27241379310344827</v>
      </c>
      <c r="DF225" s="189">
        <f t="shared" si="435"/>
        <v>0.21215276579178943</v>
      </c>
      <c r="DG225" s="189">
        <f t="shared" si="430"/>
        <v>4.8367274788671866E-2</v>
      </c>
      <c r="DH225" s="189">
        <f t="shared" si="431"/>
        <v>6.5583574742719808E-2</v>
      </c>
      <c r="DI225" s="189">
        <f t="shared" si="432"/>
        <v>9.5140668288313801E-3</v>
      </c>
    </row>
    <row r="226" spans="1:126" hidden="1" outlineLevel="1">
      <c r="A226" s="938" t="s">
        <v>699</v>
      </c>
      <c r="B226" s="784"/>
      <c r="AD226" s="532"/>
      <c r="AE226" s="532"/>
      <c r="AF226" s="532"/>
      <c r="AG226" s="532"/>
      <c r="AH226" s="532"/>
      <c r="AI226" s="532"/>
      <c r="AJ226" s="532"/>
      <c r="AK226" s="532"/>
      <c r="AL226" s="532"/>
      <c r="AM226" s="532"/>
      <c r="AN226" s="532"/>
      <c r="AO226" s="532"/>
      <c r="AP226" s="532"/>
      <c r="AQ226" s="532"/>
      <c r="AR226" s="532"/>
      <c r="AS226" s="532"/>
      <c r="AT226" s="532"/>
      <c r="AU226" s="532"/>
      <c r="AV226" s="532"/>
      <c r="AW226" s="532"/>
      <c r="AX226" s="532"/>
      <c r="AY226" s="532"/>
      <c r="AZ226" s="532"/>
      <c r="BA226" s="532"/>
      <c r="BB226" s="532"/>
      <c r="BC226" s="532"/>
      <c r="BD226" s="533"/>
      <c r="BE226" s="533"/>
      <c r="BF226" s="534"/>
      <c r="BG226" s="534"/>
      <c r="BH226" s="534"/>
      <c r="BI226" s="534"/>
      <c r="BJ226" s="534"/>
      <c r="BK226" s="534"/>
      <c r="BL226" s="534"/>
      <c r="BM226" s="534"/>
      <c r="BN226" s="531"/>
      <c r="BO226" s="531"/>
      <c r="BP226" s="531"/>
      <c r="BQ226" s="531"/>
      <c r="BR226" s="531" t="s">
        <v>618</v>
      </c>
      <c r="BS226" s="531" t="s">
        <v>618</v>
      </c>
      <c r="BT226" s="531" t="s">
        <v>618</v>
      </c>
      <c r="BU226" s="531" t="s">
        <v>618</v>
      </c>
      <c r="BV226" s="531" t="e">
        <f>BV175/#REF!-1</f>
        <v>#REF!</v>
      </c>
      <c r="BW226" s="531" t="e">
        <f>BW175/#REF!-1</f>
        <v>#REF!</v>
      </c>
      <c r="BX226" s="531" t="e">
        <f>BX175/#REF!-1</f>
        <v>#REF!</v>
      </c>
      <c r="BY226" s="531" t="e">
        <f>BY175/#REF!-1</f>
        <v>#REF!</v>
      </c>
      <c r="BZ226" s="189">
        <f t="shared" si="427"/>
        <v>0.33333333333333326</v>
      </c>
      <c r="CA226" s="189">
        <f t="shared" si="427"/>
        <v>0.1333333333333333</v>
      </c>
      <c r="CB226" s="189">
        <f t="shared" si="427"/>
        <v>-0.10526315789473684</v>
      </c>
      <c r="CC226" s="509">
        <f t="shared" si="427"/>
        <v>0.23333333333333339</v>
      </c>
      <c r="CD226" s="189">
        <f t="shared" si="427"/>
        <v>0.25</v>
      </c>
      <c r="CE226" s="189">
        <f t="shared" si="427"/>
        <v>0.11764705882352944</v>
      </c>
      <c r="CF226" s="189">
        <f t="shared" si="427"/>
        <v>0.41176470588235303</v>
      </c>
      <c r="CG226" s="509">
        <f t="shared" si="427"/>
        <v>0</v>
      </c>
      <c r="CH226" s="189">
        <f t="shared" si="427"/>
        <v>0</v>
      </c>
      <c r="CI226" s="189">
        <f t="shared" si="427"/>
        <v>0.15789473684210531</v>
      </c>
      <c r="CJ226" s="189">
        <f t="shared" si="428"/>
        <v>8.3333333333333259E-2</v>
      </c>
      <c r="CK226" s="189">
        <f t="shared" si="428"/>
        <v>0.10810810810810811</v>
      </c>
      <c r="CL226" s="189">
        <f t="shared" si="428"/>
        <v>0.33333333333333326</v>
      </c>
      <c r="CM226" s="189">
        <f t="shared" si="428"/>
        <v>0.13636363636363646</v>
      </c>
      <c r="CN226" s="189">
        <f t="shared" si="428"/>
        <v>7.6923076923076872E-2</v>
      </c>
      <c r="CO226" s="189">
        <f t="shared" si="428"/>
        <v>9.7560975609756184E-2</v>
      </c>
      <c r="CP226" s="189">
        <f t="shared" si="428"/>
        <v>0.10000000000000009</v>
      </c>
      <c r="CQ226" s="189">
        <f t="shared" si="428"/>
        <v>0.12000000000000011</v>
      </c>
      <c r="CR226" s="189">
        <f t="shared" si="428"/>
        <v>0.10714285714285721</v>
      </c>
      <c r="CS226" s="189">
        <f t="shared" si="428"/>
        <v>0.17777777777777781</v>
      </c>
      <c r="CT226" s="189">
        <f t="shared" si="429"/>
        <v>0.22727272727272729</v>
      </c>
      <c r="CU226" s="189">
        <f t="shared" si="429"/>
        <v>0.25</v>
      </c>
      <c r="CV226" s="189">
        <f t="shared" si="429"/>
        <v>0.12903225806451624</v>
      </c>
      <c r="CW226" s="189">
        <f t="shared" si="429"/>
        <v>3.7735849056603765E-2</v>
      </c>
      <c r="CX226" s="189">
        <f t="shared" si="429"/>
        <v>3.7037037037036979E-2</v>
      </c>
      <c r="CY226" s="189">
        <f t="shared" si="429"/>
        <v>5.7142857142857162E-2</v>
      </c>
      <c r="CZ226" s="189">
        <f t="shared" si="429"/>
        <v>8.5714285714285632E-2</v>
      </c>
      <c r="DA226" s="189">
        <f t="shared" si="429"/>
        <v>0.16363636363636358</v>
      </c>
      <c r="DB226" s="189">
        <f t="shared" si="429"/>
        <v>-0.25</v>
      </c>
      <c r="DC226" s="189">
        <f t="shared" si="429"/>
        <v>-0.32432432432432434</v>
      </c>
      <c r="DD226" s="189">
        <f t="shared" si="429"/>
        <v>-5.2631578947368474E-2</v>
      </c>
      <c r="DE226" s="189">
        <f t="shared" si="429"/>
        <v>1.5625E-2</v>
      </c>
      <c r="DF226" s="189">
        <f t="shared" si="435"/>
        <v>0.19429919819476793</v>
      </c>
      <c r="DG226" s="189">
        <f t="shared" si="430"/>
        <v>0.15055265177465182</v>
      </c>
      <c r="DH226" s="189">
        <f t="shared" si="431"/>
        <v>2.0776944927833885E-2</v>
      </c>
      <c r="DI226" s="189">
        <f t="shared" si="432"/>
        <v>-6.4339530367052866E-2</v>
      </c>
    </row>
    <row r="227" spans="1:126" hidden="1" outlineLevel="1">
      <c r="A227" s="938" t="s">
        <v>701</v>
      </c>
      <c r="B227" s="784"/>
      <c r="AD227" s="532"/>
      <c r="AE227" s="532"/>
      <c r="AF227" s="532"/>
      <c r="AG227" s="532"/>
      <c r="AH227" s="532"/>
      <c r="AI227" s="532"/>
      <c r="AJ227" s="532"/>
      <c r="AK227" s="532"/>
      <c r="AL227" s="532"/>
      <c r="AM227" s="532"/>
      <c r="AN227" s="532"/>
      <c r="AO227" s="532"/>
      <c r="AP227" s="532"/>
      <c r="AQ227" s="532"/>
      <c r="AR227" s="532"/>
      <c r="AS227" s="532"/>
      <c r="AT227" s="532"/>
      <c r="AU227" s="532"/>
      <c r="AV227" s="532"/>
      <c r="AW227" s="532"/>
      <c r="AX227" s="532"/>
      <c r="AY227" s="532"/>
      <c r="AZ227" s="532"/>
      <c r="BA227" s="532"/>
      <c r="BB227" s="532"/>
      <c r="BC227" s="532"/>
      <c r="BD227" s="533"/>
      <c r="BE227" s="533"/>
      <c r="BF227" s="534"/>
      <c r="BG227" s="534"/>
      <c r="BH227" s="534"/>
      <c r="BI227" s="534"/>
      <c r="BJ227" s="534"/>
      <c r="BK227" s="534"/>
      <c r="BL227" s="534"/>
      <c r="BM227" s="534"/>
      <c r="BN227" s="531"/>
      <c r="BO227" s="531"/>
      <c r="BP227" s="531"/>
      <c r="BQ227" s="531"/>
      <c r="BR227" s="531" t="s">
        <v>618</v>
      </c>
      <c r="BS227" s="531" t="s">
        <v>618</v>
      </c>
      <c r="BT227" s="531" t="s">
        <v>618</v>
      </c>
      <c r="BU227" s="531" t="s">
        <v>618</v>
      </c>
      <c r="BV227" s="189">
        <f t="shared" ref="BV227:DE227" si="436">BV174/BR174-1</f>
        <v>0.32558139534883712</v>
      </c>
      <c r="BW227" s="189">
        <f t="shared" si="436"/>
        <v>-0.21568627450980393</v>
      </c>
      <c r="BX227" s="189">
        <f t="shared" si="436"/>
        <v>6.5217391304347894E-2</v>
      </c>
      <c r="BY227" s="509">
        <f t="shared" si="436"/>
        <v>-7.1428571428571397E-2</v>
      </c>
      <c r="BZ227" s="189">
        <f t="shared" si="436"/>
        <v>-0.15789473684210531</v>
      </c>
      <c r="CA227" s="189">
        <f t="shared" si="436"/>
        <v>0.39999999999999991</v>
      </c>
      <c r="CB227" s="189">
        <f t="shared" si="436"/>
        <v>-0.12244897959183676</v>
      </c>
      <c r="CC227" s="509">
        <f t="shared" si="436"/>
        <v>-0.4358974358974359</v>
      </c>
      <c r="CD227" s="189">
        <f t="shared" si="436"/>
        <v>-0.54166666666666674</v>
      </c>
      <c r="CE227" s="189">
        <f t="shared" si="436"/>
        <v>-0.1607142857142857</v>
      </c>
      <c r="CF227" s="189">
        <f t="shared" si="436"/>
        <v>0.27906976744186052</v>
      </c>
      <c r="CG227" s="509">
        <f t="shared" si="436"/>
        <v>0.95454545454545459</v>
      </c>
      <c r="CH227" s="189">
        <f t="shared" si="436"/>
        <v>1.0128388846715199</v>
      </c>
      <c r="CI227" s="189">
        <f t="shared" si="436"/>
        <v>0.19849712856742552</v>
      </c>
      <c r="CJ227" s="189">
        <f t="shared" si="436"/>
        <v>0.20024469822362989</v>
      </c>
      <c r="CK227" s="189">
        <f t="shared" si="436"/>
        <v>0.37137252318983216</v>
      </c>
      <c r="CL227" s="189">
        <f t="shared" si="436"/>
        <v>-0.12749069173060035</v>
      </c>
      <c r="CM227" s="189">
        <f t="shared" si="436"/>
        <v>-6.9821115859319827E-3</v>
      </c>
      <c r="CN227" s="189">
        <f t="shared" si="436"/>
        <v>0.11170195560189211</v>
      </c>
      <c r="CO227" s="189">
        <f t="shared" si="436"/>
        <v>0.1239586971441704</v>
      </c>
      <c r="CP227" s="189">
        <f t="shared" si="436"/>
        <v>0.15228889220898068</v>
      </c>
      <c r="CQ227" s="189">
        <f t="shared" si="436"/>
        <v>0.19401072703858313</v>
      </c>
      <c r="CR227" s="189">
        <f t="shared" si="436"/>
        <v>0.11280719506297521</v>
      </c>
      <c r="CS227" s="189">
        <f t="shared" si="436"/>
        <v>8.7304003533349883E-2</v>
      </c>
      <c r="CT227" s="189">
        <f t="shared" si="436"/>
        <v>0.14925620288857511</v>
      </c>
      <c r="CU227" s="189">
        <f t="shared" si="436"/>
        <v>4.5211024804761246E-2</v>
      </c>
      <c r="CV227" s="189">
        <f t="shared" si="436"/>
        <v>8.4619004668989195E-2</v>
      </c>
      <c r="CW227" s="189">
        <f t="shared" si="436"/>
        <v>8.8206467657048426E-2</v>
      </c>
      <c r="CX227" s="189">
        <f t="shared" si="436"/>
        <v>9.9130013707393383E-2</v>
      </c>
      <c r="CY227" s="189">
        <f t="shared" si="436"/>
        <v>0.18596471514344115</v>
      </c>
      <c r="CZ227" s="189">
        <f t="shared" si="436"/>
        <v>3.4406038679620776E-2</v>
      </c>
      <c r="DA227" s="189">
        <f t="shared" si="436"/>
        <v>0.11599522862191969</v>
      </c>
      <c r="DB227" s="189">
        <f t="shared" si="436"/>
        <v>0.31111023784962066</v>
      </c>
      <c r="DC227" s="189">
        <f t="shared" si="436"/>
        <v>-1.422312224572575E-2</v>
      </c>
      <c r="DD227" s="189">
        <f t="shared" si="436"/>
        <v>4.1042143669229869E-3</v>
      </c>
      <c r="DE227" s="189">
        <f t="shared" si="436"/>
        <v>-2.1611393338197615E-2</v>
      </c>
      <c r="DF227" s="189">
        <f t="shared" ref="DF227" si="437">DF174/DB174-1</f>
        <v>8.1703739261496988E-2</v>
      </c>
      <c r="DG227" s="189">
        <f t="shared" ref="DG227" si="438">DG174/DC174-1</f>
        <v>8.1224372466807804E-2</v>
      </c>
      <c r="DH227" s="189">
        <f t="shared" ref="DH227" si="439">DH174/DD174-1</f>
        <v>7.8475543478260468E-2</v>
      </c>
      <c r="DI227" s="189">
        <f t="shared" ref="DI227" si="440">DI174/DE174-1</f>
        <v>-4.7679368339728523E-2</v>
      </c>
    </row>
    <row r="228" spans="1:126" collapsed="1">
      <c r="A228" s="933" t="s">
        <v>229</v>
      </c>
      <c r="C228" s="804"/>
      <c r="D228" s="804"/>
      <c r="E228" s="804"/>
      <c r="F228" s="804"/>
      <c r="G228" s="804"/>
      <c r="H228" s="804"/>
      <c r="I228" s="804"/>
      <c r="J228" s="804"/>
      <c r="K228" s="804"/>
      <c r="L228" s="804"/>
      <c r="M228" s="804">
        <f t="shared" ref="M228:O228" si="441">M176/L176-1</f>
        <v>0.13698630136986312</v>
      </c>
      <c r="N228" s="804">
        <f t="shared" si="441"/>
        <v>0.14457831325301207</v>
      </c>
      <c r="O228" s="804">
        <f t="shared" si="441"/>
        <v>9.473684210526323E-2</v>
      </c>
      <c r="P228" s="804">
        <f>P176/O176-1</f>
        <v>0.13461538461538458</v>
      </c>
      <c r="Q228" s="804">
        <f>Q176/P176-1</f>
        <v>0.13559322033898313</v>
      </c>
      <c r="R228" s="804">
        <f>R176/Q176-1</f>
        <v>0.13432835820895517</v>
      </c>
      <c r="S228" s="804">
        <f>S176/R176-1</f>
        <v>9.8684210526315708E-2</v>
      </c>
      <c r="T228" s="804">
        <f>T176/S176-1</f>
        <v>-0.11976047904191611</v>
      </c>
      <c r="U228" s="805">
        <v>0.03</v>
      </c>
      <c r="V228" s="805">
        <v>0.05</v>
      </c>
      <c r="W228" s="805">
        <v>7.0000000000000007E-2</v>
      </c>
      <c r="X228" s="805">
        <v>0.08</v>
      </c>
      <c r="Y228" s="805">
        <v>0.08</v>
      </c>
      <c r="Z228" s="805">
        <v>0.08</v>
      </c>
      <c r="AA228" s="805">
        <v>0.08</v>
      </c>
      <c r="AB228" s="805">
        <v>0.08</v>
      </c>
      <c r="AD228" s="532"/>
      <c r="AE228" s="532"/>
      <c r="AF228" s="532"/>
      <c r="AG228" s="532"/>
      <c r="AH228" s="532"/>
      <c r="AI228" s="532"/>
      <c r="AJ228" s="532"/>
      <c r="AK228" s="532"/>
      <c r="AL228" s="532"/>
      <c r="AM228" s="532"/>
      <c r="AN228" s="532"/>
      <c r="AO228" s="532"/>
      <c r="AP228" s="532"/>
      <c r="AQ228" s="532"/>
      <c r="AR228" s="532"/>
      <c r="AS228" s="532"/>
      <c r="AT228" s="532"/>
      <c r="AU228" s="532"/>
      <c r="AV228" s="532"/>
      <c r="AW228" s="532"/>
      <c r="AX228" s="532"/>
      <c r="AY228" s="532"/>
      <c r="AZ228" s="532"/>
      <c r="BA228" s="532"/>
      <c r="BB228" s="532"/>
      <c r="BC228" s="532"/>
      <c r="BD228" s="533"/>
      <c r="BE228" s="533"/>
      <c r="BF228" s="534"/>
      <c r="BG228" s="534"/>
      <c r="BH228" s="534"/>
      <c r="BI228" s="534"/>
      <c r="BJ228" s="534"/>
      <c r="BK228" s="534"/>
      <c r="BL228" s="534"/>
      <c r="BM228" s="534"/>
      <c r="BN228" s="531" t="s">
        <v>618</v>
      </c>
      <c r="BO228" s="531" t="s">
        <v>618</v>
      </c>
      <c r="BP228" s="531" t="s">
        <v>618</v>
      </c>
      <c r="BQ228" s="531" t="s">
        <v>618</v>
      </c>
      <c r="BR228" s="531" t="s">
        <v>618</v>
      </c>
      <c r="BS228" s="531" t="s">
        <v>618</v>
      </c>
      <c r="BT228" s="531" t="s">
        <v>618</v>
      </c>
      <c r="BU228" s="531" t="s">
        <v>618</v>
      </c>
      <c r="BV228" s="531" t="s">
        <v>618</v>
      </c>
      <c r="BW228" s="531" t="s">
        <v>618</v>
      </c>
      <c r="BX228" s="531" t="s">
        <v>618</v>
      </c>
      <c r="BY228" s="531" t="s">
        <v>618</v>
      </c>
      <c r="BZ228" s="189">
        <f t="shared" ref="BZ228:CI229" si="442">BZ176/BV176-1</f>
        <v>0.33333333333333326</v>
      </c>
      <c r="CA228" s="531">
        <f t="shared" si="442"/>
        <v>0.1333333333333333</v>
      </c>
      <c r="CB228" s="531">
        <f t="shared" si="442"/>
        <v>-0.10526315789473684</v>
      </c>
      <c r="CC228" s="531">
        <f t="shared" si="442"/>
        <v>0.23333333333333339</v>
      </c>
      <c r="CD228" s="189">
        <f t="shared" si="442"/>
        <v>0.25</v>
      </c>
      <c r="CE228" s="189">
        <f t="shared" si="442"/>
        <v>0.11764705882352944</v>
      </c>
      <c r="CF228" s="531">
        <f t="shared" si="442"/>
        <v>0.41176470588235303</v>
      </c>
      <c r="CG228" s="531">
        <f t="shared" si="442"/>
        <v>0</v>
      </c>
      <c r="CH228" s="531">
        <f t="shared" si="442"/>
        <v>0</v>
      </c>
      <c r="CI228" s="531">
        <f t="shared" si="442"/>
        <v>0.15789473684210531</v>
      </c>
      <c r="CJ228" s="531">
        <f t="shared" ref="CJ228:CS229" si="443">CJ176/CF176-1</f>
        <v>8.3333333333333259E-2</v>
      </c>
      <c r="CK228" s="531">
        <f t="shared" si="443"/>
        <v>0.10810810810810811</v>
      </c>
      <c r="CL228" s="531">
        <f t="shared" si="443"/>
        <v>0.33333333333333326</v>
      </c>
      <c r="CM228" s="531">
        <f t="shared" si="443"/>
        <v>0.13636363636363646</v>
      </c>
      <c r="CN228" s="531">
        <f t="shared" si="443"/>
        <v>7.6923076923076872E-2</v>
      </c>
      <c r="CO228" s="531">
        <f t="shared" si="443"/>
        <v>9.7560975609756184E-2</v>
      </c>
      <c r="CP228" s="531">
        <f t="shared" si="443"/>
        <v>0.10000000000000009</v>
      </c>
      <c r="CQ228" s="531">
        <f t="shared" si="443"/>
        <v>0.12000000000000011</v>
      </c>
      <c r="CR228" s="531">
        <f t="shared" si="443"/>
        <v>0.10714285714285721</v>
      </c>
      <c r="CS228" s="531">
        <f t="shared" si="443"/>
        <v>0.17777777777777781</v>
      </c>
      <c r="CT228" s="531">
        <f t="shared" ref="CT228:DE229" si="444">CT176/CP176-1</f>
        <v>0.22727272727272729</v>
      </c>
      <c r="CU228" s="531">
        <f t="shared" si="444"/>
        <v>0.25</v>
      </c>
      <c r="CV228" s="531">
        <f t="shared" si="444"/>
        <v>0.12903225806451624</v>
      </c>
      <c r="CW228" s="531">
        <f t="shared" si="444"/>
        <v>3.7735849056603765E-2</v>
      </c>
      <c r="CX228" s="531">
        <f t="shared" si="444"/>
        <v>3.7037037037036979E-2</v>
      </c>
      <c r="CY228" s="531">
        <f t="shared" si="444"/>
        <v>5.7142857142857162E-2</v>
      </c>
      <c r="CZ228" s="531">
        <f t="shared" si="444"/>
        <v>8.5714285714285632E-2</v>
      </c>
      <c r="DA228" s="531">
        <f t="shared" si="444"/>
        <v>0.16363636363636358</v>
      </c>
      <c r="DB228" s="531">
        <f t="shared" si="444"/>
        <v>-0.25</v>
      </c>
      <c r="DC228" s="531">
        <f>DC176/CY176-1</f>
        <v>-0.32432432432432434</v>
      </c>
      <c r="DD228" s="531">
        <f>DD176/CZ176-1</f>
        <v>-5.2631578947368474E-2</v>
      </c>
      <c r="DE228" s="531">
        <f>DE176/DA176-1</f>
        <v>1.5625E-2</v>
      </c>
      <c r="DF228" s="531">
        <f t="shared" ref="DF228:DF229" si="445">DF176/DB176-1</f>
        <v>0.19429919819476793</v>
      </c>
      <c r="DG228" s="531">
        <f t="shared" ref="DG228:DG229" si="446">DG176/DC176-1</f>
        <v>0.15055265177465182</v>
      </c>
      <c r="DH228" s="531">
        <f>DH176/DD176-1</f>
        <v>2.0776944927833885E-2</v>
      </c>
      <c r="DI228" s="531">
        <f>DI176/DE176-1</f>
        <v>-6.4339530367052866E-2</v>
      </c>
    </row>
    <row r="229" spans="1:126">
      <c r="A229" s="933" t="s">
        <v>212</v>
      </c>
      <c r="C229" s="804">
        <f>C177/B177-1</f>
        <v>0.14912280701754388</v>
      </c>
      <c r="D229" s="804">
        <f>D177/C177-1</f>
        <v>0.12977099236641232</v>
      </c>
      <c r="E229" s="804">
        <f>E177/D177-1</f>
        <v>0.16554054054054057</v>
      </c>
      <c r="F229" s="804">
        <f t="shared" ref="F229:T229" si="447">F177/E177-1</f>
        <v>-9.2985507246376775E-2</v>
      </c>
      <c r="G229" s="804">
        <f t="shared" si="447"/>
        <v>-9.241978780518989E-2</v>
      </c>
      <c r="H229" s="804">
        <f t="shared" si="447"/>
        <v>-0.18661971830985913</v>
      </c>
      <c r="I229" s="804">
        <f t="shared" si="447"/>
        <v>0.20779220779220786</v>
      </c>
      <c r="J229" s="804">
        <f t="shared" si="447"/>
        <v>-0.5376344086021505</v>
      </c>
      <c r="K229" s="804">
        <f t="shared" si="447"/>
        <v>-0.43410852713178294</v>
      </c>
      <c r="L229" s="804">
        <f t="shared" si="447"/>
        <v>2.9589041095890409</v>
      </c>
      <c r="M229" s="804">
        <f t="shared" si="447"/>
        <v>-0.45674740484429066</v>
      </c>
      <c r="N229" s="804">
        <f t="shared" si="447"/>
        <v>-0.10191082802547768</v>
      </c>
      <c r="O229" s="804">
        <f t="shared" si="447"/>
        <v>0.2978723404255319</v>
      </c>
      <c r="P229" s="804">
        <f t="shared" si="447"/>
        <v>-0.11475409836065575</v>
      </c>
      <c r="Q229" s="804">
        <f t="shared" si="447"/>
        <v>-1.9691358024691357</v>
      </c>
      <c r="R229" s="804">
        <f t="shared" si="447"/>
        <v>-1.2738853503184711E-2</v>
      </c>
      <c r="S229" s="804">
        <f t="shared" si="447"/>
        <v>-0.84516129032258069</v>
      </c>
      <c r="T229" s="804">
        <f t="shared" si="447"/>
        <v>1.125</v>
      </c>
      <c r="U229" s="804">
        <f>U177/T177-1</f>
        <v>2.9215686274509802</v>
      </c>
      <c r="V229" s="804">
        <f t="shared" ref="V229:AB229" si="448">V177/U177-1</f>
        <v>-0.5</v>
      </c>
      <c r="W229" s="804">
        <f t="shared" si="448"/>
        <v>-1</v>
      </c>
      <c r="X229" s="804" t="e">
        <f t="shared" si="448"/>
        <v>#DIV/0!</v>
      </c>
      <c r="Y229" s="804">
        <f t="shared" si="448"/>
        <v>1</v>
      </c>
      <c r="Z229" s="804">
        <f t="shared" si="448"/>
        <v>0.5</v>
      </c>
      <c r="AA229" s="804">
        <f t="shared" si="448"/>
        <v>0.33333333333333326</v>
      </c>
      <c r="AB229" s="804">
        <f t="shared" si="448"/>
        <v>0.25</v>
      </c>
      <c r="AD229" s="153"/>
      <c r="AE229" s="153"/>
      <c r="AF229" s="153"/>
      <c r="AG229" s="153"/>
      <c r="AH229" s="531">
        <f t="shared" ref="AH229:BY229" si="449">AH177/AD177-1</f>
        <v>0.19047619047619047</v>
      </c>
      <c r="AI229" s="531">
        <f t="shared" si="449"/>
        <v>0.17647058823529416</v>
      </c>
      <c r="AJ229" s="531">
        <f t="shared" si="449"/>
        <v>0.31818181818181812</v>
      </c>
      <c r="AK229" s="531">
        <f t="shared" si="449"/>
        <v>0.30434782608695654</v>
      </c>
      <c r="AL229" s="531">
        <f t="shared" si="449"/>
        <v>0.15999999999999992</v>
      </c>
      <c r="AM229" s="531">
        <f t="shared" si="449"/>
        <v>0.14999999999999991</v>
      </c>
      <c r="AN229" s="531">
        <f t="shared" si="449"/>
        <v>0.13793103448275867</v>
      </c>
      <c r="AO229" s="531">
        <f t="shared" si="449"/>
        <v>0.14999999999999991</v>
      </c>
      <c r="AP229" s="531">
        <f t="shared" si="449"/>
        <v>0.10344827586206895</v>
      </c>
      <c r="AQ229" s="531">
        <f t="shared" si="449"/>
        <v>0.10144927536231885</v>
      </c>
      <c r="AR229" s="531">
        <f t="shared" si="449"/>
        <v>0.13450000000000006</v>
      </c>
      <c r="AS229" s="531">
        <f t="shared" si="449"/>
        <v>0.17391304347826098</v>
      </c>
      <c r="AT229" s="531">
        <f t="shared" si="449"/>
        <v>0.109375</v>
      </c>
      <c r="AU229" s="531">
        <f t="shared" si="449"/>
        <v>0.36842105263157898</v>
      </c>
      <c r="AV229" s="531">
        <f t="shared" si="449"/>
        <v>9.5129345459887382E-2</v>
      </c>
      <c r="AW229" s="531">
        <f t="shared" si="449"/>
        <v>8.6419753086419693E-2</v>
      </c>
      <c r="AX229" s="531">
        <f t="shared" si="449"/>
        <v>0.16901408450704225</v>
      </c>
      <c r="AY229" s="531">
        <f t="shared" si="449"/>
        <v>-0.21230769230769231</v>
      </c>
      <c r="AZ229" s="531">
        <f t="shared" si="449"/>
        <v>-7.3170731707317027E-2</v>
      </c>
      <c r="BA229" s="531">
        <f t="shared" si="449"/>
        <v>-0.18181818181818177</v>
      </c>
      <c r="BB229" s="531">
        <f t="shared" si="449"/>
        <v>-0.15662650602409633</v>
      </c>
      <c r="BC229" s="531">
        <f t="shared" si="449"/>
        <v>0.52587890625</v>
      </c>
      <c r="BD229" s="531">
        <f t="shared" si="449"/>
        <v>-0.27631578947368418</v>
      </c>
      <c r="BE229" s="531">
        <f t="shared" si="449"/>
        <v>-0.52777777777777779</v>
      </c>
      <c r="BF229" s="189">
        <f t="shared" si="449"/>
        <v>-0.41428571428571426</v>
      </c>
      <c r="BG229" s="189">
        <f t="shared" si="449"/>
        <v>-0.43999999999999995</v>
      </c>
      <c r="BH229" s="189">
        <f t="shared" si="449"/>
        <v>0.43636363636363629</v>
      </c>
      <c r="BI229" s="509">
        <f t="shared" si="449"/>
        <v>0.20588235294117641</v>
      </c>
      <c r="BJ229" s="189">
        <f t="shared" si="449"/>
        <v>1.3414634146341462</v>
      </c>
      <c r="BK229" s="189">
        <f t="shared" si="449"/>
        <v>-0.37142857142857144</v>
      </c>
      <c r="BL229" s="189">
        <f t="shared" si="449"/>
        <v>0.27848101265822778</v>
      </c>
      <c r="BM229" s="509">
        <f t="shared" si="449"/>
        <v>-7.3170731707317027E-2</v>
      </c>
      <c r="BN229" s="509">
        <f t="shared" si="449"/>
        <v>-0.67708333333333326</v>
      </c>
      <c r="BO229" s="509">
        <f t="shared" si="449"/>
        <v>0.38636363636363646</v>
      </c>
      <c r="BP229" s="509">
        <f t="shared" si="449"/>
        <v>-0.84158415841584155</v>
      </c>
      <c r="BQ229" s="509">
        <f t="shared" si="449"/>
        <v>-0.44736842105263153</v>
      </c>
      <c r="BR229" s="509">
        <f t="shared" si="449"/>
        <v>1.3870967741935485</v>
      </c>
      <c r="BS229" s="509">
        <f t="shared" si="449"/>
        <v>-0.50819672131147542</v>
      </c>
      <c r="BT229" s="509">
        <f t="shared" si="449"/>
        <v>-1.4375</v>
      </c>
      <c r="BU229" s="509">
        <f t="shared" si="449"/>
        <v>-2.1428571428571428</v>
      </c>
      <c r="BV229" s="509">
        <f t="shared" si="449"/>
        <v>0.62162162162162171</v>
      </c>
      <c r="BW229" s="509">
        <f t="shared" si="449"/>
        <v>1.7666666666666666</v>
      </c>
      <c r="BX229" s="509">
        <f t="shared" si="449"/>
        <v>-9.5714285714285712</v>
      </c>
      <c r="BY229" s="509">
        <f t="shared" si="449"/>
        <v>-2.083333333333333</v>
      </c>
      <c r="BZ229" s="509">
        <f t="shared" si="442"/>
        <v>-0.82499999999999996</v>
      </c>
      <c r="CA229" s="509">
        <f t="shared" si="442"/>
        <v>-0.53012048192771077</v>
      </c>
      <c r="CB229" s="509">
        <f t="shared" si="442"/>
        <v>-0.55000000000000004</v>
      </c>
      <c r="CC229" s="509">
        <f t="shared" si="442"/>
        <v>1.6923076923076925</v>
      </c>
      <c r="CD229" s="509">
        <f t="shared" si="442"/>
        <v>0</v>
      </c>
      <c r="CE229" s="509">
        <f t="shared" si="442"/>
        <v>-0.30769230769230771</v>
      </c>
      <c r="CF229" s="509">
        <f t="shared" si="442"/>
        <v>2.074074074074074</v>
      </c>
      <c r="CG229" s="509">
        <f t="shared" si="442"/>
        <v>-0.85714285714285721</v>
      </c>
      <c r="CH229" s="509">
        <f t="shared" si="442"/>
        <v>1.4761904761904763</v>
      </c>
      <c r="CI229" s="509">
        <f t="shared" si="442"/>
        <v>0.55555555555555558</v>
      </c>
      <c r="CJ229" s="509">
        <f t="shared" si="443"/>
        <v>-4.8192771084337394E-2</v>
      </c>
      <c r="CK229" s="509">
        <f t="shared" si="443"/>
        <v>0</v>
      </c>
      <c r="CL229" s="509">
        <f t="shared" si="443"/>
        <v>-3.8461538461538436E-2</v>
      </c>
      <c r="CM229" s="509">
        <f t="shared" si="443"/>
        <v>2.3809523809523725E-2</v>
      </c>
      <c r="CN229" s="509">
        <f t="shared" si="443"/>
        <v>0.16455696202531644</v>
      </c>
      <c r="CO229" s="509">
        <f t="shared" si="443"/>
        <v>-3.3</v>
      </c>
      <c r="CP229" s="509">
        <f t="shared" si="443"/>
        <v>-1.02</v>
      </c>
      <c r="CQ229" s="509">
        <f t="shared" si="443"/>
        <v>-2.0232558139534884</v>
      </c>
      <c r="CR229" s="509">
        <f t="shared" si="443"/>
        <v>-1.8152173913043477</v>
      </c>
      <c r="CS229" s="509">
        <f t="shared" si="443"/>
        <v>0.60869565217391308</v>
      </c>
      <c r="CT229" s="509">
        <f t="shared" si="444"/>
        <v>40</v>
      </c>
      <c r="CU229" s="509">
        <f t="shared" si="444"/>
        <v>0.36363636363636354</v>
      </c>
      <c r="CV229" s="509">
        <f t="shared" si="444"/>
        <v>-0.54666666666666663</v>
      </c>
      <c r="CW229" s="509">
        <f t="shared" si="444"/>
        <v>-0.45945945945945943</v>
      </c>
      <c r="CX229" s="509">
        <f t="shared" si="444"/>
        <v>-1.0975609756097562</v>
      </c>
      <c r="CY229" s="509">
        <f t="shared" si="444"/>
        <v>-0.9</v>
      </c>
      <c r="CZ229" s="509">
        <f t="shared" si="444"/>
        <v>-1.2647058823529411</v>
      </c>
      <c r="DA229" s="509">
        <f t="shared" si="444"/>
        <v>0.55000000000000004</v>
      </c>
      <c r="DB229" s="509">
        <f t="shared" si="444"/>
        <v>-4.25</v>
      </c>
      <c r="DC229" s="509">
        <f t="shared" si="444"/>
        <v>0.33333333333333326</v>
      </c>
      <c r="DD229" s="509">
        <f t="shared" si="444"/>
        <v>-2.1111111111111112</v>
      </c>
      <c r="DE229" s="509">
        <f t="shared" si="444"/>
        <v>-0.35483870967741937</v>
      </c>
      <c r="DF229" s="509">
        <f t="shared" si="445"/>
        <v>2.8461538461538463</v>
      </c>
      <c r="DG229" s="509">
        <f t="shared" si="446"/>
        <v>5.25</v>
      </c>
      <c r="DH229" s="509">
        <f>DH177/DD177-1</f>
        <v>4</v>
      </c>
      <c r="DI229" s="509">
        <f>DI177/DE177-1</f>
        <v>1.5</v>
      </c>
    </row>
    <row r="230" spans="1:126" s="8" customFormat="1" hidden="1" outlineLevel="1">
      <c r="A230" s="937"/>
      <c r="B230" s="10"/>
      <c r="AC230" s="10"/>
      <c r="AD230" s="153"/>
      <c r="AE230" s="153"/>
      <c r="AF230" s="153"/>
      <c r="AG230" s="153"/>
      <c r="AH230" s="153"/>
      <c r="AI230" s="153"/>
      <c r="AJ230" s="153"/>
      <c r="AK230" s="153"/>
      <c r="AL230" s="153"/>
      <c r="AM230" s="153"/>
      <c r="AN230" s="153"/>
      <c r="AO230" s="153"/>
      <c r="AP230" s="153"/>
      <c r="AQ230" s="153"/>
      <c r="AR230" s="153"/>
      <c r="AS230" s="153"/>
      <c r="AT230" s="153"/>
      <c r="AU230" s="153"/>
      <c r="AV230" s="153"/>
      <c r="AW230" s="153"/>
      <c r="AX230" s="153"/>
      <c r="AY230" s="153"/>
      <c r="AZ230" s="153"/>
      <c r="BA230" s="153"/>
      <c r="BB230" s="153"/>
      <c r="BC230" s="153"/>
      <c r="BD230" s="153"/>
      <c r="BE230" s="153"/>
      <c r="BF230" s="923"/>
      <c r="BG230" s="923"/>
      <c r="BH230" s="923"/>
      <c r="BI230" s="188"/>
      <c r="BJ230" s="923"/>
      <c r="BK230" s="923"/>
      <c r="BL230" s="923"/>
      <c r="BM230" s="188"/>
      <c r="BN230" s="188"/>
      <c r="BO230" s="188"/>
      <c r="BP230" s="188"/>
      <c r="BQ230" s="188"/>
      <c r="BR230" s="188"/>
      <c r="BS230" s="188"/>
      <c r="BT230" s="188"/>
      <c r="BU230" s="188"/>
      <c r="BV230" s="188"/>
      <c r="BW230" s="188"/>
      <c r="BX230" s="188"/>
      <c r="BY230" s="188"/>
      <c r="BZ230" s="188"/>
      <c r="CA230" s="188"/>
      <c r="CB230" s="188"/>
      <c r="CC230" s="188"/>
      <c r="CD230" s="188"/>
      <c r="CE230" s="188"/>
      <c r="CF230" s="188"/>
      <c r="CG230" s="188"/>
      <c r="CH230" s="188"/>
      <c r="CI230" s="188"/>
      <c r="CJ230" s="188"/>
      <c r="CK230" s="188"/>
      <c r="CL230" s="188"/>
      <c r="CM230" s="188"/>
      <c r="CN230" s="188"/>
      <c r="CO230" s="188"/>
      <c r="CP230" s="188"/>
      <c r="CQ230" s="188"/>
      <c r="CR230" s="188"/>
      <c r="CS230" s="188"/>
      <c r="CT230" s="188"/>
      <c r="CU230" s="188"/>
      <c r="CV230" s="188"/>
      <c r="CW230" s="188"/>
      <c r="CX230" s="188"/>
      <c r="CY230" s="188"/>
      <c r="CZ230" s="188"/>
      <c r="DA230" s="188"/>
      <c r="DB230" s="188"/>
      <c r="DC230" s="188"/>
      <c r="DD230" s="188"/>
      <c r="DE230" s="188"/>
      <c r="DF230" s="188"/>
      <c r="DG230" s="188"/>
      <c r="DH230" s="188"/>
      <c r="DI230" s="188"/>
      <c r="DJ230" s="10"/>
      <c r="DQ230"/>
      <c r="DR230"/>
      <c r="DS230"/>
      <c r="DT230"/>
      <c r="DU230"/>
      <c r="DV230"/>
    </row>
    <row r="231" spans="1:126" hidden="1" outlineLevel="1">
      <c r="A231" s="733" t="s">
        <v>327</v>
      </c>
      <c r="AD231" s="153"/>
      <c r="AE231" s="153"/>
      <c r="AF231" s="153"/>
      <c r="AG231" s="153"/>
      <c r="AH231" s="531">
        <f t="shared" ref="AH231:AQ232" si="450">AH179/AD179-1</f>
        <v>9.167842031029716E-3</v>
      </c>
      <c r="AI231" s="531">
        <f t="shared" si="450"/>
        <v>0</v>
      </c>
      <c r="AJ231" s="531">
        <f t="shared" si="450"/>
        <v>7.2780203784561515E-4</v>
      </c>
      <c r="AK231" s="531">
        <f t="shared" si="450"/>
        <v>2.0304568527917954E-3</v>
      </c>
      <c r="AL231" s="531">
        <f t="shared" si="450"/>
        <v>4.1229909154437472E-2</v>
      </c>
      <c r="AM231" s="531">
        <f t="shared" si="450"/>
        <v>4.6325878594249303E-2</v>
      </c>
      <c r="AN231" s="531">
        <f t="shared" si="450"/>
        <v>4.6545454545454445E-2</v>
      </c>
      <c r="AO231" s="531">
        <f t="shared" si="450"/>
        <v>4.4579533941236038E-2</v>
      </c>
      <c r="AP231" s="531">
        <f t="shared" si="450"/>
        <v>4.5637583892617517E-2</v>
      </c>
      <c r="AQ231" s="531">
        <f t="shared" si="450"/>
        <v>2.9007633587786241E-2</v>
      </c>
      <c r="AR231" s="531">
        <f t="shared" ref="AR231:BA232" si="451">AR179/AN179-1</f>
        <v>6.9492703266149647E-4</v>
      </c>
      <c r="AS231" s="531">
        <f t="shared" si="451"/>
        <v>2.812803103782735E-2</v>
      </c>
      <c r="AT231" s="531">
        <f t="shared" si="451"/>
        <v>3.8510911424902705E-3</v>
      </c>
      <c r="AU231" s="531">
        <f t="shared" si="451"/>
        <v>5.9347181008902128E-2</v>
      </c>
      <c r="AV231" s="531">
        <f t="shared" si="451"/>
        <v>7.986111111111116E-2</v>
      </c>
      <c r="AW231" s="531">
        <f t="shared" si="451"/>
        <v>0.11037735849056607</v>
      </c>
      <c r="AX231" s="531">
        <f t="shared" si="451"/>
        <v>8.0562659846547424E-2</v>
      </c>
      <c r="AY231" s="531">
        <f t="shared" si="451"/>
        <v>0.12254901960784315</v>
      </c>
      <c r="AZ231" s="531">
        <f t="shared" si="451"/>
        <v>0.10546623794212229</v>
      </c>
      <c r="BA231" s="531">
        <f t="shared" si="451"/>
        <v>8.2412914188615183E-2</v>
      </c>
      <c r="BB231" s="531">
        <f t="shared" ref="BB231:BK232" si="452">BB179/AX179-1</f>
        <v>8.5798816568047442E-2</v>
      </c>
      <c r="BC231" s="531">
        <f t="shared" si="452"/>
        <v>8.6088583905177707E-2</v>
      </c>
      <c r="BD231" s="531">
        <f t="shared" si="452"/>
        <v>7.0971495055264677E-2</v>
      </c>
      <c r="BE231" s="154">
        <f t="shared" si="452"/>
        <v>0.13265306122448983</v>
      </c>
      <c r="BF231" s="509">
        <f t="shared" si="452"/>
        <v>0.13242506811989108</v>
      </c>
      <c r="BG231" s="509">
        <f t="shared" si="452"/>
        <v>0.17461229178632975</v>
      </c>
      <c r="BH231" s="509">
        <f t="shared" si="452"/>
        <v>0.21401412275936993</v>
      </c>
      <c r="BI231" s="509">
        <f t="shared" si="452"/>
        <v>7.9002079002078895E-2</v>
      </c>
      <c r="BJ231" s="509">
        <f t="shared" si="452"/>
        <v>-2.3099133782483183E-2</v>
      </c>
      <c r="BK231" s="509">
        <f t="shared" si="452"/>
        <v>5.623471882640585E-2</v>
      </c>
      <c r="BL231" s="509">
        <f t="shared" ref="BL231:BQ232" si="453">BL179/BH179-1</f>
        <v>-2.2818791946308759E-2</v>
      </c>
      <c r="BM231" s="509">
        <f t="shared" si="453"/>
        <v>0.14515093127809897</v>
      </c>
      <c r="BN231" s="509">
        <f t="shared" si="453"/>
        <v>-1</v>
      </c>
      <c r="BO231" s="509">
        <f t="shared" si="453"/>
        <v>-1</v>
      </c>
      <c r="BP231" s="509">
        <f t="shared" si="453"/>
        <v>-1</v>
      </c>
      <c r="BQ231" s="509">
        <f t="shared" si="453"/>
        <v>-1</v>
      </c>
      <c r="BR231" s="509"/>
      <c r="BS231" s="509"/>
      <c r="BT231" s="509"/>
      <c r="BU231" s="509"/>
      <c r="BV231" s="509"/>
      <c r="BW231" s="509"/>
      <c r="BX231" s="509"/>
      <c r="BY231" s="509"/>
      <c r="BZ231" s="509"/>
      <c r="CA231" s="509"/>
      <c r="CB231" s="509"/>
      <c r="CC231" s="509"/>
      <c r="CD231" s="509"/>
      <c r="CE231" s="509"/>
      <c r="CF231" s="509"/>
      <c r="CG231" s="509"/>
      <c r="CH231" s="509"/>
      <c r="CI231" s="509"/>
      <c r="CJ231" s="509"/>
      <c r="CK231" s="509"/>
      <c r="CL231" s="509"/>
      <c r="CM231" s="509"/>
      <c r="CN231" s="509"/>
      <c r="CO231" s="509"/>
      <c r="CP231" s="509"/>
      <c r="CQ231" s="509"/>
      <c r="CR231" s="509"/>
      <c r="CS231" s="509"/>
      <c r="CT231" s="509"/>
      <c r="CU231" s="509"/>
      <c r="CV231" s="509"/>
      <c r="CW231" s="509"/>
      <c r="CX231" s="509"/>
      <c r="CY231" s="509"/>
      <c r="CZ231" s="509"/>
      <c r="DA231" s="509"/>
      <c r="DB231" s="509"/>
      <c r="DC231" s="509"/>
      <c r="DD231" s="509"/>
      <c r="DE231" s="509"/>
      <c r="DF231" s="509"/>
      <c r="DG231" s="509"/>
      <c r="DH231" s="509"/>
      <c r="DI231" s="509"/>
    </row>
    <row r="232" spans="1:126" hidden="1" outlineLevel="1">
      <c r="A232" s="937" t="s">
        <v>341</v>
      </c>
      <c r="AD232" s="153"/>
      <c r="AE232" s="153"/>
      <c r="AF232" s="153"/>
      <c r="AG232" s="153"/>
      <c r="AH232" s="153">
        <f t="shared" si="450"/>
        <v>-2.746174970576698E-2</v>
      </c>
      <c r="AI232" s="153">
        <f t="shared" si="450"/>
        <v>-1.9230769230769273E-2</v>
      </c>
      <c r="AJ232" s="153">
        <f t="shared" si="450"/>
        <v>-8.6517664023071372E-3</v>
      </c>
      <c r="AK232" s="153">
        <f t="shared" si="450"/>
        <v>7.0862859524802868E-3</v>
      </c>
      <c r="AL232" s="153">
        <f t="shared" si="450"/>
        <v>5.1230334812424339E-2</v>
      </c>
      <c r="AM232" s="153">
        <f t="shared" si="450"/>
        <v>5.555555555555558E-2</v>
      </c>
      <c r="AN232" s="153">
        <f t="shared" si="450"/>
        <v>5.3818181818181765E-2</v>
      </c>
      <c r="AO232" s="153">
        <f t="shared" si="450"/>
        <v>4.801324503311255E-2</v>
      </c>
      <c r="AP232" s="153">
        <f t="shared" si="450"/>
        <v>5.9094397544128929E-2</v>
      </c>
      <c r="AQ232" s="153">
        <f t="shared" si="450"/>
        <v>5.6888544891640969E-2</v>
      </c>
      <c r="AR232" s="153">
        <f t="shared" si="451"/>
        <v>4.106280193236711E-2</v>
      </c>
      <c r="AS232" s="153">
        <f t="shared" si="451"/>
        <v>5.1342812006319072E-2</v>
      </c>
      <c r="AT232" s="153">
        <f t="shared" si="451"/>
        <v>1.9565217391304346E-2</v>
      </c>
      <c r="AU232" s="153">
        <f t="shared" si="451"/>
        <v>5.5291102160380801E-2</v>
      </c>
      <c r="AV232" s="153">
        <f t="shared" si="451"/>
        <v>1.8561484918793614E-2</v>
      </c>
      <c r="AW232" s="153">
        <f t="shared" si="451"/>
        <v>-0.24943651389932386</v>
      </c>
      <c r="AX232" s="153">
        <f t="shared" si="451"/>
        <v>-0.13574982231698651</v>
      </c>
      <c r="AY232" s="153">
        <f t="shared" si="451"/>
        <v>-2.5850104094378934E-2</v>
      </c>
      <c r="AZ232" s="153">
        <f t="shared" si="451"/>
        <v>-6.5896518060527209E-2</v>
      </c>
      <c r="BA232" s="153">
        <f t="shared" si="451"/>
        <v>0.16491491491491495</v>
      </c>
      <c r="BB232" s="153">
        <f t="shared" si="452"/>
        <v>0.15789473684210531</v>
      </c>
      <c r="BC232" s="153">
        <f t="shared" si="452"/>
        <v>5.5387355298308183E-2</v>
      </c>
      <c r="BD232" s="153">
        <f t="shared" si="452"/>
        <v>4.2675492074551569E-2</v>
      </c>
      <c r="BE232" s="153">
        <f t="shared" si="452"/>
        <v>8.4854994629430802E-2</v>
      </c>
      <c r="BF232" s="153">
        <f t="shared" si="452"/>
        <v>0.10688920454545459</v>
      </c>
      <c r="BG232" s="153">
        <f t="shared" si="452"/>
        <v>0.11643604454944323</v>
      </c>
      <c r="BH232" s="153">
        <f t="shared" si="452"/>
        <v>0.1560307383895756</v>
      </c>
      <c r="BI232" s="153">
        <f t="shared" si="452"/>
        <v>4.4752475247524792E-2</v>
      </c>
      <c r="BJ232" s="153">
        <f t="shared" si="452"/>
        <v>9.3038177735000893E-3</v>
      </c>
      <c r="BK232" s="153">
        <f t="shared" si="452"/>
        <v>4.6251511487303443E-2</v>
      </c>
      <c r="BL232" s="153">
        <f t="shared" si="453"/>
        <v>-1.7341040462427459E-3</v>
      </c>
      <c r="BM232" s="153">
        <f t="shared" si="453"/>
        <v>0.10614101592115244</v>
      </c>
      <c r="BN232" s="509">
        <f t="shared" si="453"/>
        <v>-0.64081373172282263</v>
      </c>
      <c r="BO232" s="509">
        <f t="shared" si="453"/>
        <v>-0.61802947125108343</v>
      </c>
      <c r="BP232" s="509">
        <f t="shared" si="453"/>
        <v>-0.61870295309785761</v>
      </c>
      <c r="BQ232" s="509">
        <f t="shared" si="453"/>
        <v>-0.61617546264564771</v>
      </c>
      <c r="BR232" s="509">
        <f t="shared" ref="BR232:CK232" si="454">BR180/BN180-1</f>
        <v>-5.663716814159292E-2</v>
      </c>
      <c r="BS232" s="509">
        <f t="shared" si="454"/>
        <v>3.7821482602117928E-2</v>
      </c>
      <c r="BT232" s="509">
        <f t="shared" si="454"/>
        <v>6.302201974183741E-2</v>
      </c>
      <c r="BU232" s="509">
        <f t="shared" si="454"/>
        <v>-1</v>
      </c>
      <c r="BV232" s="509">
        <f t="shared" si="454"/>
        <v>-1</v>
      </c>
      <c r="BW232" s="509">
        <f t="shared" si="454"/>
        <v>-1</v>
      </c>
      <c r="BX232" s="509">
        <f t="shared" si="454"/>
        <v>-1</v>
      </c>
      <c r="BY232" s="509" t="e">
        <f t="shared" si="454"/>
        <v>#DIV/0!</v>
      </c>
      <c r="BZ232" s="509" t="e">
        <f t="shared" si="454"/>
        <v>#DIV/0!</v>
      </c>
      <c r="CA232" s="509" t="e">
        <f t="shared" si="454"/>
        <v>#DIV/0!</v>
      </c>
      <c r="CB232" s="509" t="e">
        <f t="shared" si="454"/>
        <v>#DIV/0!</v>
      </c>
      <c r="CC232" s="509">
        <f t="shared" si="454"/>
        <v>9.7799511002445438E-3</v>
      </c>
      <c r="CD232" s="509" t="e">
        <f t="shared" si="454"/>
        <v>#DIV/0!</v>
      </c>
      <c r="CE232" s="509" t="e">
        <f t="shared" si="454"/>
        <v>#DIV/0!</v>
      </c>
      <c r="CF232" s="509" t="e">
        <f t="shared" si="454"/>
        <v>#DIV/0!</v>
      </c>
      <c r="CG232" s="509">
        <f t="shared" si="454"/>
        <v>0.13720742534301866</v>
      </c>
      <c r="CH232" s="509" t="e">
        <f t="shared" si="454"/>
        <v>#DIV/0!</v>
      </c>
      <c r="CI232" s="509" t="e">
        <f t="shared" si="454"/>
        <v>#DIV/0!</v>
      </c>
      <c r="CJ232" s="509" t="e">
        <f t="shared" si="454"/>
        <v>#DIV/0!</v>
      </c>
      <c r="CK232" s="509">
        <f t="shared" si="454"/>
        <v>-1</v>
      </c>
      <c r="CL232" s="509"/>
      <c r="CM232" s="509"/>
      <c r="CN232" s="509"/>
      <c r="CO232" s="509"/>
      <c r="CP232" s="509"/>
      <c r="CQ232" s="509"/>
      <c r="CR232" s="509"/>
      <c r="CS232" s="509"/>
      <c r="CT232" s="509"/>
      <c r="CU232" s="509"/>
      <c r="CV232" s="509"/>
      <c r="CW232" s="509"/>
      <c r="CX232" s="509"/>
      <c r="CY232" s="509"/>
      <c r="CZ232" s="509"/>
      <c r="DA232" s="509"/>
      <c r="DB232" s="509"/>
      <c r="DC232" s="509"/>
      <c r="DD232" s="509"/>
      <c r="DE232" s="509"/>
      <c r="DF232" s="509"/>
      <c r="DG232" s="509"/>
      <c r="DH232" s="509"/>
      <c r="DI232" s="509"/>
    </row>
    <row r="233" spans="1:126" hidden="1" outlineLevel="1">
      <c r="A233" s="937"/>
      <c r="AD233" s="153"/>
      <c r="AE233" s="153"/>
      <c r="AF233" s="153"/>
      <c r="AG233" s="153"/>
      <c r="AH233" s="531"/>
      <c r="AI233" s="531"/>
      <c r="AJ233" s="531"/>
      <c r="AK233" s="531"/>
      <c r="AL233" s="153"/>
      <c r="AM233" s="153"/>
      <c r="AN233" s="153"/>
      <c r="AO233" s="153"/>
      <c r="AP233" s="153"/>
      <c r="AQ233" s="153"/>
      <c r="AR233" s="153"/>
      <c r="AS233" s="153"/>
      <c r="AT233" s="153"/>
      <c r="AU233" s="153"/>
      <c r="AV233" s="153"/>
      <c r="AW233" s="153"/>
      <c r="AX233" s="153"/>
      <c r="AY233" s="153"/>
      <c r="AZ233" s="153"/>
      <c r="BA233" s="153"/>
      <c r="BB233" s="153"/>
      <c r="BC233" s="531"/>
      <c r="BD233" s="531"/>
      <c r="BE233" s="531"/>
      <c r="BF233" s="509"/>
      <c r="BG233" s="509"/>
      <c r="BH233" s="509"/>
      <c r="BI233" s="509"/>
      <c r="BJ233" s="509"/>
      <c r="BK233" s="509"/>
      <c r="BL233" s="509"/>
      <c r="BM233" s="509"/>
      <c r="BN233" s="509"/>
      <c r="BO233" s="509"/>
      <c r="BP233" s="509"/>
      <c r="BQ233" s="509"/>
      <c r="BR233" s="509"/>
      <c r="BS233" s="509"/>
      <c r="BT233" s="509"/>
      <c r="BU233" s="509"/>
      <c r="BV233" s="509"/>
      <c r="BW233" s="509"/>
      <c r="BX233" s="509"/>
      <c r="BY233" s="509"/>
      <c r="BZ233" s="509"/>
      <c r="CA233" s="509"/>
      <c r="CB233" s="509"/>
      <c r="CC233" s="509"/>
      <c r="CD233" s="509"/>
      <c r="CE233" s="509"/>
      <c r="CF233" s="509"/>
      <c r="CG233" s="509"/>
      <c r="CH233" s="509"/>
      <c r="CI233" s="509"/>
      <c r="CJ233" s="509"/>
      <c r="CK233" s="509"/>
      <c r="CL233" s="509"/>
      <c r="CM233" s="509"/>
      <c r="CN233" s="509"/>
      <c r="CO233" s="509"/>
      <c r="CP233" s="509"/>
      <c r="CQ233" s="509"/>
      <c r="CR233" s="509"/>
      <c r="CS233" s="509"/>
      <c r="CT233" s="509"/>
      <c r="CU233" s="509"/>
      <c r="CV233" s="509"/>
      <c r="CW233" s="509"/>
      <c r="CX233" s="509"/>
      <c r="CY233" s="509"/>
      <c r="CZ233" s="509"/>
      <c r="DA233" s="509"/>
      <c r="DB233" s="509"/>
      <c r="DC233" s="509"/>
      <c r="DD233" s="509"/>
      <c r="DE233" s="509"/>
      <c r="DF233" s="509"/>
      <c r="DG233" s="509"/>
      <c r="DH233" s="509"/>
      <c r="DI233" s="509"/>
    </row>
    <row r="234" spans="1:126" hidden="1" outlineLevel="1">
      <c r="A234" s="733" t="s">
        <v>142</v>
      </c>
      <c r="AD234" s="153"/>
      <c r="AE234" s="153"/>
      <c r="AF234" s="153"/>
      <c r="AG234" s="153"/>
      <c r="AH234" s="531">
        <f t="shared" ref="AH234:AU234" si="455">AH182/AD182-1</f>
        <v>6.25E-2</v>
      </c>
      <c r="AI234" s="531">
        <f t="shared" si="455"/>
        <v>0.12658227848101267</v>
      </c>
      <c r="AJ234" s="531">
        <f t="shared" si="455"/>
        <v>0.18644067796610164</v>
      </c>
      <c r="AK234" s="531">
        <f t="shared" si="455"/>
        <v>0.82978723404255317</v>
      </c>
      <c r="AL234" s="531">
        <f t="shared" si="455"/>
        <v>0.125</v>
      </c>
      <c r="AM234" s="531">
        <f t="shared" si="455"/>
        <v>8.4269662921348409E-2</v>
      </c>
      <c r="AN234" s="531">
        <f t="shared" si="455"/>
        <v>3.5714285714285809E-2</v>
      </c>
      <c r="AO234" s="531">
        <f t="shared" si="455"/>
        <v>-0.31395348837209303</v>
      </c>
      <c r="AP234" s="531">
        <f t="shared" si="455"/>
        <v>-0.18954248366013071</v>
      </c>
      <c r="AQ234" s="531">
        <f t="shared" si="455"/>
        <v>-0.1295336787564767</v>
      </c>
      <c r="AR234" s="531">
        <f t="shared" si="455"/>
        <v>-9.6551724137931005E-2</v>
      </c>
      <c r="AS234" s="531">
        <f t="shared" si="455"/>
        <v>0.30508474576271194</v>
      </c>
      <c r="AT234" s="531">
        <f t="shared" si="455"/>
        <v>4.8387096774193505E-2</v>
      </c>
      <c r="AU234" s="531">
        <f t="shared" si="455"/>
        <v>5.9523809523809312E-3</v>
      </c>
      <c r="AV234" s="531" t="s">
        <v>92</v>
      </c>
      <c r="AW234" s="531" t="s">
        <v>92</v>
      </c>
      <c r="AX234" s="531" t="s">
        <v>92</v>
      </c>
      <c r="AY234" s="531" t="s">
        <v>92</v>
      </c>
      <c r="AZ234" s="531" t="s">
        <v>92</v>
      </c>
      <c r="BA234" s="531" t="s">
        <v>92</v>
      </c>
      <c r="BB234" s="531" t="s">
        <v>92</v>
      </c>
      <c r="BC234" s="531" t="s">
        <v>92</v>
      </c>
      <c r="BD234" s="531" t="s">
        <v>92</v>
      </c>
      <c r="BE234" s="531" t="s">
        <v>92</v>
      </c>
      <c r="BF234" s="531" t="s">
        <v>92</v>
      </c>
      <c r="BG234" s="531" t="s">
        <v>92</v>
      </c>
      <c r="BH234" s="531" t="s">
        <v>92</v>
      </c>
      <c r="BI234" s="531" t="s">
        <v>92</v>
      </c>
      <c r="BJ234" s="531" t="s">
        <v>92</v>
      </c>
      <c r="BK234" s="531" t="s">
        <v>92</v>
      </c>
      <c r="BL234" s="531" t="s">
        <v>92</v>
      </c>
      <c r="BM234" s="531" t="s">
        <v>92</v>
      </c>
      <c r="BN234" s="509" t="s">
        <v>92</v>
      </c>
      <c r="BO234" s="509" t="s">
        <v>92</v>
      </c>
      <c r="BP234" s="509" t="s">
        <v>92</v>
      </c>
      <c r="BQ234" s="509" t="s">
        <v>92</v>
      </c>
      <c r="BR234" s="509"/>
      <c r="BS234" s="509"/>
      <c r="BT234" s="509"/>
      <c r="BU234" s="509"/>
      <c r="BV234" s="509"/>
      <c r="BW234" s="509"/>
      <c r="BX234" s="509"/>
      <c r="BY234" s="509"/>
      <c r="BZ234" s="509"/>
      <c r="CA234" s="509"/>
      <c r="CB234" s="509"/>
      <c r="CC234" s="509"/>
      <c r="CD234" s="509"/>
      <c r="CE234" s="509"/>
      <c r="CF234" s="509"/>
      <c r="CG234" s="509"/>
      <c r="CH234" s="509"/>
      <c r="CI234" s="509"/>
      <c r="CJ234" s="509"/>
      <c r="CK234" s="509"/>
      <c r="CL234" s="509"/>
      <c r="CM234" s="509"/>
      <c r="CN234" s="509"/>
      <c r="CO234" s="509"/>
      <c r="CP234" s="509"/>
      <c r="CQ234" s="509"/>
      <c r="CR234" s="509"/>
      <c r="CS234" s="509"/>
      <c r="CT234" s="509"/>
      <c r="CU234" s="509"/>
      <c r="CV234" s="509"/>
      <c r="CW234" s="509"/>
      <c r="CX234" s="509"/>
      <c r="CY234" s="509"/>
      <c r="CZ234" s="509"/>
      <c r="DA234" s="509"/>
      <c r="DB234" s="509"/>
      <c r="DC234" s="509"/>
      <c r="DD234" s="509"/>
      <c r="DE234" s="509"/>
      <c r="DF234" s="509"/>
      <c r="DG234" s="509"/>
      <c r="DH234" s="509"/>
      <c r="DI234" s="509"/>
    </row>
    <row r="235" spans="1:126" hidden="1" outlineLevel="1">
      <c r="A235" s="937"/>
      <c r="AD235" s="153"/>
      <c r="AE235" s="153"/>
      <c r="AF235" s="153"/>
      <c r="AG235" s="153"/>
      <c r="AH235" s="153"/>
      <c r="AI235" s="153"/>
      <c r="AJ235" s="153"/>
      <c r="AK235" s="153"/>
      <c r="AL235" s="153"/>
      <c r="AM235" s="153"/>
      <c r="AN235" s="153"/>
      <c r="AO235" s="153"/>
      <c r="AP235" s="153"/>
      <c r="AQ235" s="153"/>
      <c r="AR235" s="153"/>
      <c r="AS235" s="153"/>
      <c r="AT235" s="153"/>
      <c r="AU235" s="153"/>
      <c r="AV235" s="153"/>
      <c r="AW235" s="153"/>
      <c r="AX235" s="153"/>
      <c r="AY235" s="153"/>
      <c r="AZ235" s="153"/>
      <c r="BA235" s="153"/>
      <c r="BB235" s="153"/>
      <c r="BC235" s="531"/>
      <c r="BD235" s="531"/>
      <c r="BE235" s="531"/>
      <c r="BF235" s="509"/>
      <c r="BG235" s="509"/>
      <c r="BH235" s="509"/>
      <c r="BI235" s="509"/>
      <c r="BJ235" s="509"/>
      <c r="BK235" s="509"/>
      <c r="BL235" s="509"/>
      <c r="BM235" s="509"/>
      <c r="BN235" s="509"/>
      <c r="BO235" s="509"/>
      <c r="BP235" s="509"/>
      <c r="BQ235" s="509"/>
      <c r="BR235" s="509"/>
      <c r="BS235" s="509"/>
      <c r="BT235" s="509"/>
      <c r="BU235" s="509"/>
      <c r="BV235" s="509"/>
      <c r="BW235" s="509"/>
      <c r="BX235" s="509"/>
      <c r="BY235" s="509"/>
      <c r="BZ235" s="509"/>
      <c r="CA235" s="509"/>
      <c r="CB235" s="509"/>
      <c r="CC235" s="509"/>
      <c r="CD235" s="509"/>
      <c r="CE235" s="509"/>
      <c r="CF235" s="509"/>
      <c r="CG235" s="509"/>
      <c r="CH235" s="509"/>
      <c r="CI235" s="509"/>
      <c r="CJ235" s="509"/>
      <c r="CK235" s="509"/>
      <c r="CL235" s="509"/>
      <c r="CM235" s="509"/>
      <c r="CN235" s="509"/>
      <c r="CO235" s="509"/>
      <c r="CP235" s="509"/>
      <c r="CQ235" s="509"/>
      <c r="CR235" s="509"/>
      <c r="CS235" s="509"/>
      <c r="CT235" s="509"/>
      <c r="CU235" s="509"/>
      <c r="CV235" s="509"/>
      <c r="CW235" s="509"/>
      <c r="CX235" s="509"/>
      <c r="CY235" s="509"/>
      <c r="CZ235" s="509"/>
      <c r="DA235" s="509"/>
      <c r="DB235" s="509"/>
      <c r="DC235" s="509"/>
      <c r="DD235" s="509"/>
      <c r="DE235" s="509"/>
      <c r="DF235" s="509"/>
      <c r="DG235" s="509"/>
      <c r="DH235" s="509"/>
      <c r="DI235" s="509"/>
    </row>
    <row r="236" spans="1:126" hidden="1" outlineLevel="1">
      <c r="A236" s="733" t="s">
        <v>320</v>
      </c>
      <c r="AD236" s="153"/>
      <c r="AE236" s="153"/>
      <c r="AF236" s="153"/>
      <c r="AG236" s="153"/>
      <c r="AH236" s="531">
        <f t="shared" ref="AH236:AQ239" si="456">AH184/AD184-1</f>
        <v>4.9875311720698257E-2</v>
      </c>
      <c r="AI236" s="531">
        <f t="shared" si="456"/>
        <v>7.0135746606334815E-2</v>
      </c>
      <c r="AJ236" s="531">
        <f t="shared" si="456"/>
        <v>7.063711911357351E-2</v>
      </c>
      <c r="AK236" s="531">
        <f t="shared" si="456"/>
        <v>4.6367851622874712E-2</v>
      </c>
      <c r="AL236" s="531">
        <f t="shared" si="456"/>
        <v>0.10134204275534442</v>
      </c>
      <c r="AM236" s="531">
        <f t="shared" si="456"/>
        <v>8.9143763213530569E-2</v>
      </c>
      <c r="AN236" s="531">
        <f t="shared" si="456"/>
        <v>0.11426908150064685</v>
      </c>
      <c r="AO236" s="531">
        <f t="shared" si="456"/>
        <v>0.10930576070901044</v>
      </c>
      <c r="AP236" s="531">
        <f t="shared" si="456"/>
        <v>0.26384350770491616</v>
      </c>
      <c r="AQ236" s="531">
        <f t="shared" si="456"/>
        <v>0.31317150815758077</v>
      </c>
      <c r="AR236" s="531">
        <f t="shared" ref="AR236:BA239" si="457">AR184/AN184-1</f>
        <v>0.41641415020955952</v>
      </c>
      <c r="AS236" s="531">
        <f t="shared" si="457"/>
        <v>0.53661784287616521</v>
      </c>
      <c r="AT236" s="531">
        <f t="shared" si="457"/>
        <v>7.5085324232081918E-2</v>
      </c>
      <c r="AU236" s="531">
        <f t="shared" si="457"/>
        <v>6.7257945306725686E-2</v>
      </c>
      <c r="AV236" s="531">
        <f t="shared" si="457"/>
        <v>6.8032786885245944E-2</v>
      </c>
      <c r="AW236" s="531">
        <f t="shared" si="457"/>
        <v>1.0398613518197486E-2</v>
      </c>
      <c r="AX236" s="531">
        <f t="shared" si="457"/>
        <v>2.9365079365079261E-2</v>
      </c>
      <c r="AY236" s="531">
        <f t="shared" si="457"/>
        <v>-4.2243767313019376E-2</v>
      </c>
      <c r="AZ236" s="531">
        <f t="shared" si="457"/>
        <v>-0.11588641596316196</v>
      </c>
      <c r="BA236" s="531">
        <f t="shared" si="457"/>
        <v>-0.10720411663807894</v>
      </c>
      <c r="BB236" s="531">
        <f t="shared" ref="BB236:BK239" si="458">BB184/AX184-1</f>
        <v>-0.15728604471858132</v>
      </c>
      <c r="BC236" s="531">
        <f t="shared" si="458"/>
        <v>-0.19667389732465657</v>
      </c>
      <c r="BD236" s="531">
        <f t="shared" si="458"/>
        <v>-5.121527777777779E-2</v>
      </c>
      <c r="BE236" s="531">
        <f t="shared" si="458"/>
        <v>3.0739673390970168E-2</v>
      </c>
      <c r="BF236" s="509">
        <f t="shared" si="458"/>
        <v>-4.9405306495882928E-2</v>
      </c>
      <c r="BG236" s="509">
        <f t="shared" si="458"/>
        <v>-2.4302430243024253E-2</v>
      </c>
      <c r="BH236" s="509">
        <f t="shared" si="458"/>
        <v>-0.11985361390667881</v>
      </c>
      <c r="BI236" s="509">
        <f t="shared" si="458"/>
        <v>6.0577819198508909E-2</v>
      </c>
      <c r="BJ236" s="509">
        <f t="shared" si="458"/>
        <v>9.6246390760357237E-4</v>
      </c>
      <c r="BK236" s="509">
        <f t="shared" si="458"/>
        <v>8.8560885608855999E-2</v>
      </c>
      <c r="BL236" s="509">
        <f t="shared" ref="BL236:BM239" si="459">BL184/BH184-1</f>
        <v>5.6133056133056192E-2</v>
      </c>
      <c r="BM236" s="509">
        <f t="shared" si="459"/>
        <v>-0.13796133567662561</v>
      </c>
      <c r="BN236" s="509" t="s">
        <v>92</v>
      </c>
      <c r="BO236" s="509" t="s">
        <v>92</v>
      </c>
      <c r="BP236" s="509" t="s">
        <v>92</v>
      </c>
      <c r="BQ236" s="509" t="s">
        <v>92</v>
      </c>
      <c r="BR236" s="509"/>
      <c r="BS236" s="509"/>
      <c r="BT236" s="509"/>
      <c r="BU236" s="509"/>
      <c r="BV236" s="509"/>
      <c r="BW236" s="509"/>
      <c r="BX236" s="509"/>
      <c r="BY236" s="509"/>
      <c r="BZ236" s="509"/>
      <c r="CA236" s="509"/>
      <c r="CB236" s="509"/>
      <c r="CC236" s="509"/>
      <c r="CD236" s="509"/>
      <c r="CE236" s="509"/>
      <c r="CF236" s="509"/>
      <c r="CG236" s="509"/>
      <c r="CH236" s="509"/>
      <c r="CI236" s="509"/>
      <c r="CJ236" s="509"/>
      <c r="CK236" s="509"/>
      <c r="CL236" s="509"/>
      <c r="CM236" s="509"/>
      <c r="CN236" s="509"/>
      <c r="CO236" s="509"/>
      <c r="CP236" s="509"/>
      <c r="CQ236" s="509"/>
      <c r="CR236" s="509"/>
      <c r="CS236" s="509"/>
      <c r="CT236" s="509"/>
      <c r="CU236" s="509"/>
      <c r="CV236" s="509"/>
      <c r="CW236" s="509"/>
      <c r="CX236" s="509"/>
      <c r="CY236" s="509"/>
      <c r="CZ236" s="509"/>
      <c r="DA236" s="509"/>
      <c r="DB236" s="509"/>
      <c r="DC236" s="509"/>
      <c r="DD236" s="509"/>
      <c r="DE236" s="509"/>
      <c r="DF236" s="509"/>
      <c r="DG236" s="509"/>
      <c r="DH236" s="509"/>
      <c r="DI236" s="509"/>
    </row>
    <row r="237" spans="1:126" hidden="1" outlineLevel="1">
      <c r="A237" s="733" t="s">
        <v>321</v>
      </c>
      <c r="AD237" s="153"/>
      <c r="AE237" s="153"/>
      <c r="AF237" s="153"/>
      <c r="AG237" s="153"/>
      <c r="AH237" s="531">
        <f t="shared" si="456"/>
        <v>3.8297872340425476E-2</v>
      </c>
      <c r="AI237" s="531">
        <f t="shared" si="456"/>
        <v>7.3529411764705621E-3</v>
      </c>
      <c r="AJ237" s="531">
        <f t="shared" si="456"/>
        <v>0</v>
      </c>
      <c r="AK237" s="531">
        <f t="shared" si="456"/>
        <v>-3.6211699164345412E-2</v>
      </c>
      <c r="AL237" s="531">
        <f t="shared" si="456"/>
        <v>-0.12840163934426219</v>
      </c>
      <c r="AM237" s="531">
        <f t="shared" si="456"/>
        <v>-0.11069343065693427</v>
      </c>
      <c r="AN237" s="531">
        <f t="shared" si="456"/>
        <v>-0.11576335877862587</v>
      </c>
      <c r="AO237" s="531">
        <f t="shared" si="456"/>
        <v>4.6242774566473965E-2</v>
      </c>
      <c r="AP237" s="531">
        <f t="shared" si="456"/>
        <v>0.12380683688343441</v>
      </c>
      <c r="AQ237" s="531">
        <f t="shared" si="456"/>
        <v>0.22296548610826106</v>
      </c>
      <c r="AR237" s="531">
        <f t="shared" si="457"/>
        <v>0.19566624940648336</v>
      </c>
      <c r="AS237" s="531">
        <f t="shared" si="457"/>
        <v>0.17403314917127077</v>
      </c>
      <c r="AT237" s="531">
        <f t="shared" si="457"/>
        <v>8.3682008368200833E-2</v>
      </c>
      <c r="AU237" s="531">
        <f t="shared" si="457"/>
        <v>6.0402684563758413E-2</v>
      </c>
      <c r="AV237" s="531">
        <f t="shared" si="457"/>
        <v>8.3032490974729312E-2</v>
      </c>
      <c r="AW237" s="531">
        <f t="shared" si="457"/>
        <v>-3.7647058823529367E-2</v>
      </c>
      <c r="AX237" s="531">
        <f t="shared" si="457"/>
        <v>-8.4942084942084994E-2</v>
      </c>
      <c r="AY237" s="531">
        <f t="shared" si="457"/>
        <v>-6.3291139240506333E-2</v>
      </c>
      <c r="AZ237" s="531">
        <f t="shared" si="457"/>
        <v>2.3333333333333428E-2</v>
      </c>
      <c r="BA237" s="531">
        <f t="shared" si="457"/>
        <v>0.158924205378973</v>
      </c>
      <c r="BB237" s="531">
        <f t="shared" si="458"/>
        <v>2.1097046413502074E-2</v>
      </c>
      <c r="BC237" s="531">
        <f t="shared" si="458"/>
        <v>8.783783783783794E-2</v>
      </c>
      <c r="BD237" s="531">
        <f t="shared" si="458"/>
        <v>-3.2573289902280145E-2</v>
      </c>
      <c r="BE237" s="531">
        <f t="shared" si="458"/>
        <v>-0.18776371308016881</v>
      </c>
      <c r="BF237" s="509">
        <f t="shared" si="458"/>
        <v>4.169421487603306</v>
      </c>
      <c r="BG237" s="509">
        <f t="shared" si="458"/>
        <v>3.2329192546583849</v>
      </c>
      <c r="BH237" s="509">
        <f t="shared" si="458"/>
        <v>3.1851851851851851</v>
      </c>
      <c r="BI237" s="509">
        <f t="shared" si="458"/>
        <v>3.0285714285714285</v>
      </c>
      <c r="BJ237" s="509">
        <f t="shared" si="458"/>
        <v>-0.80975219824140687</v>
      </c>
      <c r="BK237" s="509">
        <f t="shared" si="458"/>
        <v>7.0432868672047011E-2</v>
      </c>
      <c r="BL237" s="509">
        <f t="shared" si="459"/>
        <v>-0.77232502011263071</v>
      </c>
      <c r="BM237" s="509">
        <f t="shared" si="459"/>
        <v>-0.73500967117988392</v>
      </c>
      <c r="BN237" s="509" t="s">
        <v>92</v>
      </c>
      <c r="BO237" s="509" t="s">
        <v>92</v>
      </c>
      <c r="BP237" s="509" t="s">
        <v>92</v>
      </c>
      <c r="BQ237" s="509" t="s">
        <v>92</v>
      </c>
      <c r="BR237" s="509"/>
      <c r="BS237" s="509"/>
      <c r="BT237" s="509"/>
      <c r="BU237" s="509"/>
      <c r="BV237" s="509"/>
      <c r="BW237" s="509"/>
      <c r="BX237" s="509"/>
      <c r="BY237" s="509"/>
      <c r="BZ237" s="509"/>
      <c r="CA237" s="509"/>
      <c r="CB237" s="509"/>
      <c r="CC237" s="509"/>
      <c r="CD237" s="509"/>
      <c r="CE237" s="509"/>
      <c r="CF237" s="509"/>
      <c r="CG237" s="509"/>
      <c r="CH237" s="509"/>
      <c r="CI237" s="509"/>
      <c r="CJ237" s="509"/>
      <c r="CK237" s="509"/>
      <c r="CL237" s="509"/>
      <c r="CM237" s="509"/>
      <c r="CN237" s="509"/>
      <c r="CO237" s="509"/>
      <c r="CP237" s="509"/>
      <c r="CQ237" s="509"/>
      <c r="CR237" s="509"/>
      <c r="CS237" s="509"/>
      <c r="CT237" s="509"/>
      <c r="CU237" s="509"/>
      <c r="CV237" s="509"/>
      <c r="CW237" s="509"/>
      <c r="CX237" s="509"/>
      <c r="CY237" s="509"/>
      <c r="CZ237" s="509"/>
      <c r="DA237" s="509"/>
      <c r="DB237" s="509"/>
      <c r="DC237" s="509"/>
      <c r="DD237" s="509"/>
      <c r="DE237" s="509"/>
      <c r="DF237" s="509"/>
      <c r="DG237" s="509"/>
      <c r="DH237" s="509"/>
      <c r="DI237" s="509"/>
    </row>
    <row r="238" spans="1:126" hidden="1" outlineLevel="1">
      <c r="A238" s="937" t="s">
        <v>290</v>
      </c>
      <c r="AD238" s="153"/>
      <c r="AE238" s="153"/>
      <c r="AF238" s="153"/>
      <c r="AG238" s="153"/>
      <c r="AH238" s="153">
        <f t="shared" si="456"/>
        <v>4.7251687560269984E-2</v>
      </c>
      <c r="AI238" s="153">
        <f t="shared" si="456"/>
        <v>5.5363321799307919E-2</v>
      </c>
      <c r="AJ238" s="153">
        <f t="shared" si="456"/>
        <v>5.1829268292682862E-2</v>
      </c>
      <c r="AK238" s="153">
        <f t="shared" si="456"/>
        <v>1.6898608349900535E-2</v>
      </c>
      <c r="AL238" s="153">
        <f t="shared" si="456"/>
        <v>4.9723756906077332E-2</v>
      </c>
      <c r="AM238" s="153">
        <f t="shared" si="456"/>
        <v>4.4262295081967107E-2</v>
      </c>
      <c r="AN238" s="153">
        <f t="shared" si="456"/>
        <v>5.603864734299524E-2</v>
      </c>
      <c r="AO238" s="153">
        <f t="shared" si="456"/>
        <v>8.7976539589442737E-2</v>
      </c>
      <c r="AP238" s="153">
        <f t="shared" si="456"/>
        <v>0.237719298245614</v>
      </c>
      <c r="AQ238" s="153">
        <f t="shared" si="456"/>
        <v>0.29591836734693877</v>
      </c>
      <c r="AR238" s="153">
        <f t="shared" si="457"/>
        <v>0.3696248856358646</v>
      </c>
      <c r="AS238" s="153">
        <f t="shared" si="457"/>
        <v>0.4186882300089847</v>
      </c>
      <c r="AT238" s="153">
        <f t="shared" si="457"/>
        <v>7.6541459957476965E-2</v>
      </c>
      <c r="AU238" s="153">
        <f t="shared" si="457"/>
        <v>6.6020593579648734E-2</v>
      </c>
      <c r="AV238" s="153">
        <f t="shared" si="457"/>
        <v>7.0808283233132929E-2</v>
      </c>
      <c r="AW238" s="153">
        <f t="shared" si="457"/>
        <v>-2.5332488917035878E-3</v>
      </c>
      <c r="AX238" s="153">
        <f t="shared" si="457"/>
        <v>9.8749177090191598E-3</v>
      </c>
      <c r="AY238" s="153">
        <f t="shared" si="457"/>
        <v>-4.6022727272727271E-2</v>
      </c>
      <c r="AZ238" s="153">
        <f t="shared" si="457"/>
        <v>-8.9831565814098568E-2</v>
      </c>
      <c r="BA238" s="153">
        <f t="shared" si="457"/>
        <v>-3.8095238095238071E-2</v>
      </c>
      <c r="BB238" s="153">
        <f t="shared" si="458"/>
        <v>-0.12972620599739249</v>
      </c>
      <c r="BC238" s="153">
        <f t="shared" si="458"/>
        <v>-0.14651578320428826</v>
      </c>
      <c r="BD238" s="153">
        <f t="shared" si="458"/>
        <v>-4.7292666209732714E-2</v>
      </c>
      <c r="BE238" s="153">
        <f t="shared" si="458"/>
        <v>-3.7623762376237657E-2</v>
      </c>
      <c r="BF238" s="188">
        <f t="shared" si="458"/>
        <v>0.71535580524344566</v>
      </c>
      <c r="BG238" s="188">
        <f t="shared" si="458"/>
        <v>0.70760642009769703</v>
      </c>
      <c r="BH238" s="188">
        <f t="shared" si="458"/>
        <v>0.58633093525179847</v>
      </c>
      <c r="BI238" s="188">
        <f t="shared" si="458"/>
        <v>0.84430727023319618</v>
      </c>
      <c r="BJ238" s="188">
        <f t="shared" si="458"/>
        <v>-0.44192139737991265</v>
      </c>
      <c r="BK238" s="188">
        <f t="shared" si="458"/>
        <v>7.8463424601552978E-2</v>
      </c>
      <c r="BL238" s="188">
        <f t="shared" si="459"/>
        <v>-0.41088435374149657</v>
      </c>
      <c r="BM238" s="188">
        <f t="shared" si="459"/>
        <v>-0.48233544068426926</v>
      </c>
      <c r="BN238" s="509" t="s">
        <v>92</v>
      </c>
      <c r="BO238" s="509" t="s">
        <v>92</v>
      </c>
      <c r="BP238" s="509" t="s">
        <v>92</v>
      </c>
      <c r="BQ238" s="509" t="s">
        <v>92</v>
      </c>
      <c r="BR238" s="509"/>
      <c r="BS238" s="509"/>
      <c r="BT238" s="509"/>
      <c r="BU238" s="509"/>
      <c r="BV238" s="509"/>
      <c r="BW238" s="509"/>
      <c r="BX238" s="509"/>
      <c r="BY238" s="509"/>
      <c r="BZ238" s="509"/>
      <c r="CA238" s="509"/>
      <c r="CB238" s="509"/>
      <c r="CC238" s="509"/>
      <c r="CD238" s="509"/>
      <c r="CE238" s="509"/>
      <c r="CF238" s="509"/>
      <c r="CG238" s="509"/>
      <c r="CH238" s="509"/>
      <c r="CI238" s="509"/>
      <c r="CJ238" s="509"/>
      <c r="CK238" s="509"/>
      <c r="CL238" s="509"/>
      <c r="CM238" s="509"/>
      <c r="CN238" s="509"/>
      <c r="CO238" s="509"/>
      <c r="CP238" s="509"/>
      <c r="CQ238" s="509"/>
      <c r="CR238" s="509"/>
      <c r="CS238" s="509"/>
      <c r="CT238" s="509"/>
      <c r="CU238" s="509"/>
      <c r="CV238" s="509"/>
      <c r="CW238" s="509"/>
      <c r="CX238" s="509"/>
      <c r="CY238" s="509"/>
      <c r="CZ238" s="509"/>
      <c r="DA238" s="509"/>
      <c r="DB238" s="509"/>
      <c r="DC238" s="509"/>
      <c r="DD238" s="509"/>
      <c r="DE238" s="509"/>
      <c r="DF238" s="509"/>
      <c r="DG238" s="509"/>
      <c r="DH238" s="509"/>
      <c r="DI238" s="509"/>
    </row>
    <row r="239" spans="1:126" collapsed="1">
      <c r="A239" s="204" t="s">
        <v>543</v>
      </c>
      <c r="C239" s="213">
        <f t="shared" ref="C239:W239" si="460">C187/B187-1</f>
        <v>5.2877242115089595E-2</v>
      </c>
      <c r="D239" s="213">
        <f t="shared" si="460"/>
        <v>0.12780240658644715</v>
      </c>
      <c r="E239" s="213">
        <f t="shared" si="460"/>
        <v>-1.6116352201257844E-2</v>
      </c>
      <c r="F239" s="213">
        <f t="shared" si="460"/>
        <v>-5.116717082358313E-2</v>
      </c>
      <c r="G239" s="213">
        <f t="shared" si="460"/>
        <v>1.7353905380612877E-2</v>
      </c>
      <c r="H239" s="213">
        <f t="shared" si="460"/>
        <v>6.0072133861526655E-2</v>
      </c>
      <c r="I239" s="213">
        <f t="shared" si="460"/>
        <v>9.2475877070667734E-2</v>
      </c>
      <c r="J239" s="213">
        <f t="shared" si="460"/>
        <v>-0.74380966967886863</v>
      </c>
      <c r="K239" s="213">
        <f t="shared" si="460"/>
        <v>5.3607014746911208E-2</v>
      </c>
      <c r="L239" s="213">
        <f t="shared" si="460"/>
        <v>0.22716096084736148</v>
      </c>
      <c r="M239" s="213">
        <f t="shared" si="460"/>
        <v>4.5930949445129432E-2</v>
      </c>
      <c r="N239" s="213">
        <f t="shared" si="460"/>
        <v>5.3639846743295028E-2</v>
      </c>
      <c r="O239" s="213">
        <f t="shared" si="460"/>
        <v>5.132867132867136E-2</v>
      </c>
      <c r="P239" s="213">
        <f t="shared" si="460"/>
        <v>2.7936676865770949E-2</v>
      </c>
      <c r="Q239" s="213">
        <f t="shared" si="460"/>
        <v>2.083602950692387E-2</v>
      </c>
      <c r="R239" s="213">
        <f t="shared" si="460"/>
        <v>0.10395537525354959</v>
      </c>
      <c r="S239" s="213">
        <f t="shared" si="460"/>
        <v>7.7055581074873647E-2</v>
      </c>
      <c r="T239" s="213">
        <f t="shared" si="460"/>
        <v>6.9303763727476486E-2</v>
      </c>
      <c r="U239" s="213">
        <f t="shared" si="460"/>
        <v>-1.7136591469589235E-2</v>
      </c>
      <c r="V239" s="213">
        <f t="shared" si="460"/>
        <v>6.1735852938435309E-2</v>
      </c>
      <c r="W239" s="213">
        <f t="shared" si="460"/>
        <v>6.6618282195522571E-2</v>
      </c>
      <c r="X239" s="213">
        <f>X187/W187-1</f>
        <v>5.3627921502531484E-2</v>
      </c>
      <c r="Y239" s="213">
        <f>Y187/X187-1</f>
        <v>5.037093285441574E-2</v>
      </c>
      <c r="Z239" s="213">
        <f>Z187/Y187-1</f>
        <v>4.7619746906790494E-2</v>
      </c>
      <c r="AA239" s="213">
        <f>AA187/Z187-1</f>
        <v>4.5288638006507398E-2</v>
      </c>
      <c r="AB239" s="213">
        <f>AB187/AA187-1</f>
        <v>4.3310243170909368E-2</v>
      </c>
      <c r="AD239" s="153"/>
      <c r="AE239" s="153"/>
      <c r="AF239" s="153"/>
      <c r="AG239" s="153"/>
      <c r="AH239" s="153">
        <f t="shared" si="456"/>
        <v>-3.5002692514808365E-3</v>
      </c>
      <c r="AI239" s="153">
        <f t="shared" si="456"/>
        <v>9.4488188976378229E-3</v>
      </c>
      <c r="AJ239" s="153">
        <f t="shared" si="456"/>
        <v>1.2641898864809153E-2</v>
      </c>
      <c r="AK239" s="153">
        <f t="shared" si="456"/>
        <v>2.1147161066048747E-2</v>
      </c>
      <c r="AL239" s="153">
        <f t="shared" si="456"/>
        <v>5.3499054309646077E-2</v>
      </c>
      <c r="AM239" s="153">
        <f t="shared" si="456"/>
        <v>5.3302132085283338E-2</v>
      </c>
      <c r="AN239" s="153">
        <f t="shared" si="456"/>
        <v>5.375796178343939E-2</v>
      </c>
      <c r="AO239" s="153">
        <f t="shared" si="456"/>
        <v>5.0780141843971727E-2</v>
      </c>
      <c r="AP239" s="153">
        <f t="shared" si="456"/>
        <v>0.10156450371890235</v>
      </c>
      <c r="AQ239" s="153">
        <f t="shared" si="456"/>
        <v>0.12317946186126871</v>
      </c>
      <c r="AR239" s="153">
        <f t="shared" si="457"/>
        <v>0.1230657640232109</v>
      </c>
      <c r="AS239" s="153">
        <f t="shared" si="457"/>
        <v>0.16576673866090719</v>
      </c>
      <c r="AT239" s="153">
        <f t="shared" si="457"/>
        <v>3.911525029103613E-2</v>
      </c>
      <c r="AU239" s="153">
        <f t="shared" si="457"/>
        <v>5.736263736263747E-2</v>
      </c>
      <c r="AV239" s="153">
        <f t="shared" si="457"/>
        <v>6.6738428417654205E-3</v>
      </c>
      <c r="AW239" s="153">
        <f t="shared" si="457"/>
        <v>-0.17253358036127842</v>
      </c>
      <c r="AX239" s="153">
        <f t="shared" si="457"/>
        <v>-0.11136007170064977</v>
      </c>
      <c r="AY239" s="153">
        <f t="shared" si="457"/>
        <v>-6.7449594678860914E-2</v>
      </c>
      <c r="AZ239" s="153">
        <f t="shared" si="457"/>
        <v>-7.4101796407185616E-2</v>
      </c>
      <c r="BA239" s="153">
        <f t="shared" si="457"/>
        <v>7.5426812202630922E-2</v>
      </c>
      <c r="BB239" s="153">
        <f t="shared" si="458"/>
        <v>4.6646495209278882E-2</v>
      </c>
      <c r="BC239" s="153">
        <f t="shared" si="458"/>
        <v>-2.0171625989078401E-2</v>
      </c>
      <c r="BD239" s="153">
        <f t="shared" si="458"/>
        <v>1.235708511375444E-2</v>
      </c>
      <c r="BE239" s="153">
        <f t="shared" si="458"/>
        <v>3.6564736499674622E-2</v>
      </c>
      <c r="BF239" s="153">
        <f t="shared" si="458"/>
        <v>0.30257769212238017</v>
      </c>
      <c r="BG239" s="153">
        <f t="shared" si="458"/>
        <v>0.30914467697907178</v>
      </c>
      <c r="BH239" s="153">
        <f t="shared" si="458"/>
        <v>0.29249372575861288</v>
      </c>
      <c r="BI239" s="153">
        <f t="shared" si="458"/>
        <v>0.3374340949033392</v>
      </c>
      <c r="BJ239" s="153">
        <f t="shared" si="458"/>
        <v>-0.18180136859626406</v>
      </c>
      <c r="BK239" s="153">
        <f t="shared" si="458"/>
        <v>5.994787141615987E-2</v>
      </c>
      <c r="BL239" s="153">
        <f t="shared" si="459"/>
        <v>-0.1609885260370697</v>
      </c>
      <c r="BM239" s="153">
        <f t="shared" si="459"/>
        <v>-0.19091421062511738</v>
      </c>
      <c r="BN239" s="188">
        <f t="shared" ref="BN239:DE239" si="461">BN187/BJ187-1</f>
        <v>-0.74457504520795659</v>
      </c>
      <c r="BO239" s="188">
        <f t="shared" si="461"/>
        <v>-0.78327868852459015</v>
      </c>
      <c r="BP239" s="188">
        <f t="shared" si="461"/>
        <v>-0.72291184515043128</v>
      </c>
      <c r="BQ239" s="188">
        <f t="shared" si="461"/>
        <v>-0.74013921113689096</v>
      </c>
      <c r="BR239" s="188">
        <f t="shared" si="461"/>
        <v>4.6902654867256643E-2</v>
      </c>
      <c r="BS239" s="188">
        <f t="shared" si="461"/>
        <v>9.9092284417549248E-2</v>
      </c>
      <c r="BT239" s="188">
        <f t="shared" si="461"/>
        <v>9.2634776006074393E-2</v>
      </c>
      <c r="BU239" s="188">
        <f t="shared" si="461"/>
        <v>8.2142857142857073E-2</v>
      </c>
      <c r="BV239" s="188">
        <f t="shared" si="461"/>
        <v>0.26120033812341514</v>
      </c>
      <c r="BW239" s="188">
        <f t="shared" si="461"/>
        <v>0.25533379215416385</v>
      </c>
      <c r="BX239" s="188">
        <f t="shared" si="461"/>
        <v>0.19041000694927024</v>
      </c>
      <c r="BY239" s="188">
        <f t="shared" si="461"/>
        <v>0.2037953795379539</v>
      </c>
      <c r="BZ239" s="188">
        <f t="shared" si="461"/>
        <v>2.4128686327077764E-2</v>
      </c>
      <c r="CA239" s="188">
        <f t="shared" si="461"/>
        <v>-8.2236842105263275E-3</v>
      </c>
      <c r="CB239" s="188">
        <f t="shared" si="461"/>
        <v>8.4063047285463988E-2</v>
      </c>
      <c r="CC239" s="188">
        <f t="shared" si="461"/>
        <v>9.1158327621658763E-2</v>
      </c>
      <c r="CD239" s="188">
        <f t="shared" si="461"/>
        <v>4.7774869109947549E-2</v>
      </c>
      <c r="CE239" s="188">
        <f t="shared" si="461"/>
        <v>4.4776119402984982E-2</v>
      </c>
      <c r="CF239" s="188">
        <f t="shared" si="461"/>
        <v>3.8233710285406675E-2</v>
      </c>
      <c r="CG239" s="188">
        <f t="shared" si="461"/>
        <v>8.7311557788944727E-2</v>
      </c>
      <c r="CH239" s="188">
        <f t="shared" si="461"/>
        <v>6.3710181136789501E-2</v>
      </c>
      <c r="CI239" s="188">
        <f t="shared" si="461"/>
        <v>4.2328042328042326E-2</v>
      </c>
      <c r="CJ239" s="188">
        <f t="shared" si="461"/>
        <v>3.7863070539419175E-2</v>
      </c>
      <c r="CK239" s="188">
        <f t="shared" si="461"/>
        <v>6.4702484113229319E-2</v>
      </c>
      <c r="CL239" s="188">
        <f t="shared" si="461"/>
        <v>1.8790369935408169E-2</v>
      </c>
      <c r="CM239" s="188">
        <f t="shared" si="461"/>
        <v>2.9949238578680148E-2</v>
      </c>
      <c r="CN239" s="188">
        <f t="shared" si="461"/>
        <v>4.447776111944024E-2</v>
      </c>
      <c r="CO239" s="188">
        <f t="shared" si="461"/>
        <v>1.6277807921866616E-2</v>
      </c>
      <c r="CP239" s="188">
        <f t="shared" si="461"/>
        <v>3.5158501440922141E-2</v>
      </c>
      <c r="CQ239" s="188">
        <f t="shared" si="461"/>
        <v>-3.9428289797930338E-3</v>
      </c>
      <c r="CR239" s="188">
        <f t="shared" si="461"/>
        <v>-4.784688995215336E-3</v>
      </c>
      <c r="CS239" s="188">
        <f t="shared" si="461"/>
        <v>6.300053390282967E-2</v>
      </c>
      <c r="CT239" s="188">
        <f t="shared" si="461"/>
        <v>9.4654788418708335E-2</v>
      </c>
      <c r="CU239" s="188">
        <f t="shared" si="461"/>
        <v>0.13854527461652655</v>
      </c>
      <c r="CV239" s="188">
        <f t="shared" si="461"/>
        <v>0.12307692307692308</v>
      </c>
      <c r="CW239" s="188">
        <f t="shared" si="461"/>
        <v>5.7257659467604194E-2</v>
      </c>
      <c r="CX239" s="188">
        <f t="shared" si="461"/>
        <v>0.12563580874872837</v>
      </c>
      <c r="CY239" s="188">
        <f t="shared" si="461"/>
        <v>8.2138200782268633E-2</v>
      </c>
      <c r="CZ239" s="188">
        <f t="shared" si="461"/>
        <v>6.8065068493150749E-2</v>
      </c>
      <c r="DA239" s="188">
        <f t="shared" si="461"/>
        <v>3.6104513064133092E-2</v>
      </c>
      <c r="DB239" s="188">
        <f t="shared" si="461"/>
        <v>4.7446904654315336E-2</v>
      </c>
      <c r="DC239" s="188">
        <f t="shared" si="461"/>
        <v>6.2248995983935851E-2</v>
      </c>
      <c r="DD239" s="188">
        <f t="shared" si="461"/>
        <v>7.7354709418837597E-2</v>
      </c>
      <c r="DE239" s="188">
        <f t="shared" si="461"/>
        <v>9.0325538743695644E-2</v>
      </c>
      <c r="DF239" s="188">
        <f t="shared" ref="DF239" si="462">DF187/DB187-1</f>
        <v>-2.5130607440806196E-2</v>
      </c>
      <c r="DG239" s="188">
        <f t="shared" ref="DG239" si="463">DG187/DC187-1</f>
        <v>-2.7311237728889992E-2</v>
      </c>
      <c r="DH239" s="188">
        <f t="shared" ref="DH239" si="464">DH187/DD187-1</f>
        <v>-1.3221949749157025E-2</v>
      </c>
      <c r="DI239" s="188">
        <f t="shared" ref="DI239" si="465">DI187/DE187-1</f>
        <v>-2.4521880075991653E-3</v>
      </c>
    </row>
    <row r="240" spans="1:126">
      <c r="A240" s="34"/>
      <c r="AD240" s="394"/>
      <c r="AE240" s="394"/>
      <c r="AF240" s="394"/>
      <c r="AG240" s="394"/>
      <c r="AH240" s="394"/>
      <c r="AI240" s="394"/>
      <c r="AJ240" s="394"/>
      <c r="AK240" s="394"/>
      <c r="AL240" s="394"/>
      <c r="AM240" s="394"/>
      <c r="AN240" s="394"/>
      <c r="AO240" s="394"/>
      <c r="AP240" s="394"/>
      <c r="AQ240" s="394"/>
      <c r="AR240" s="394"/>
      <c r="AS240" s="394"/>
      <c r="AT240" s="394"/>
      <c r="AU240" s="394"/>
      <c r="AV240" s="394"/>
      <c r="AW240" s="394"/>
      <c r="AX240" s="394"/>
      <c r="AY240" s="394"/>
      <c r="AZ240" s="394"/>
      <c r="BA240" s="394"/>
      <c r="BB240" s="394"/>
      <c r="BC240" s="394"/>
      <c r="BD240" s="394"/>
      <c r="BE240" s="394"/>
      <c r="BF240" s="404"/>
      <c r="BG240" s="404"/>
      <c r="BH240" s="404"/>
      <c r="BI240" s="404"/>
      <c r="BJ240" s="404"/>
      <c r="BK240" s="404"/>
      <c r="BL240" s="404"/>
      <c r="BM240" s="404"/>
      <c r="BN240" s="404"/>
      <c r="BO240" s="404"/>
      <c r="BP240" s="404"/>
      <c r="BQ240" s="404"/>
      <c r="BR240" s="404"/>
      <c r="BS240" s="404"/>
      <c r="BT240" s="404"/>
      <c r="BU240" s="404"/>
      <c r="BV240" s="404"/>
      <c r="BW240" s="404"/>
      <c r="BX240" s="404"/>
      <c r="BY240" s="404"/>
      <c r="BZ240" s="404"/>
      <c r="CA240" s="404"/>
      <c r="CB240" s="404"/>
      <c r="CC240" s="404"/>
      <c r="CD240" s="404"/>
      <c r="CE240" s="404"/>
      <c r="CF240" s="404"/>
      <c r="CG240" s="404"/>
      <c r="CH240" s="404"/>
      <c r="CI240" s="404"/>
      <c r="CJ240" s="404"/>
      <c r="CK240" s="404"/>
      <c r="CL240" s="404"/>
      <c r="CM240" s="404"/>
      <c r="CN240" s="404"/>
      <c r="CO240" s="404"/>
      <c r="CP240" s="404"/>
      <c r="CQ240" s="404"/>
      <c r="CR240" s="404"/>
      <c r="CS240" s="404"/>
      <c r="CT240" s="404"/>
      <c r="CU240" s="404"/>
      <c r="CV240" s="404"/>
      <c r="CW240" s="404"/>
      <c r="CX240" s="404"/>
      <c r="CY240" s="404"/>
      <c r="CZ240" s="404"/>
      <c r="DA240" s="404"/>
      <c r="DB240" s="404"/>
      <c r="DC240" s="404"/>
      <c r="DD240" s="404"/>
      <c r="DE240" s="404"/>
      <c r="DF240" s="404"/>
      <c r="DG240" s="404"/>
      <c r="DH240" s="404"/>
      <c r="DI240" s="404"/>
    </row>
    <row r="241" spans="1:113">
      <c r="A241" s="34" t="s">
        <v>235</v>
      </c>
      <c r="S241" s="884"/>
      <c r="AD241" s="394"/>
      <c r="AE241" s="394"/>
      <c r="AF241" s="394"/>
      <c r="AG241" s="394"/>
      <c r="AH241" s="394"/>
      <c r="AI241" s="394"/>
      <c r="AJ241" s="394"/>
      <c r="AK241" s="394"/>
      <c r="AL241" s="394"/>
      <c r="AM241" s="394"/>
      <c r="AN241" s="394"/>
      <c r="AO241" s="394"/>
      <c r="AP241" s="394"/>
      <c r="AQ241" s="394"/>
      <c r="AR241" s="394"/>
      <c r="AS241" s="394"/>
      <c r="AT241" s="394"/>
      <c r="AU241" s="394"/>
      <c r="AV241" s="394"/>
      <c r="AW241" s="394"/>
      <c r="AX241" s="394"/>
      <c r="AY241" s="394"/>
      <c r="AZ241" s="394"/>
      <c r="BA241" s="394"/>
      <c r="BB241" s="394"/>
      <c r="BC241" s="394"/>
      <c r="BD241" s="394"/>
      <c r="BE241" s="394"/>
      <c r="BF241" s="404"/>
      <c r="BG241" s="404"/>
      <c r="BH241" s="404"/>
      <c r="BI241" s="404"/>
      <c r="BJ241" s="404"/>
      <c r="BK241" s="404"/>
      <c r="BL241" s="404"/>
      <c r="BM241" s="404"/>
      <c r="BN241" s="404"/>
      <c r="BO241" s="404"/>
      <c r="BP241" s="404"/>
      <c r="BQ241" s="404"/>
      <c r="BR241" s="404"/>
      <c r="BS241" s="404"/>
      <c r="BT241" s="404"/>
      <c r="BU241" s="404"/>
      <c r="BV241" s="404"/>
      <c r="BW241" s="404"/>
      <c r="BX241" s="404"/>
      <c r="BY241" s="404"/>
      <c r="BZ241" s="404"/>
      <c r="CA241" s="404"/>
      <c r="CB241" s="404"/>
      <c r="CC241" s="404"/>
      <c r="CD241" s="404"/>
      <c r="CE241" s="404"/>
      <c r="CF241" s="404"/>
      <c r="CG241" s="404"/>
      <c r="CH241" s="404"/>
      <c r="CI241" s="404"/>
      <c r="CJ241" s="404"/>
      <c r="CK241" s="404"/>
      <c r="CL241" s="404"/>
      <c r="CM241" s="404"/>
      <c r="CN241" s="404"/>
      <c r="CO241" s="404"/>
      <c r="CP241" s="404"/>
      <c r="CQ241" s="404"/>
      <c r="CR241" s="404"/>
      <c r="CS241" s="404"/>
      <c r="CT241" s="404"/>
      <c r="CU241" s="404"/>
      <c r="CV241" s="404"/>
      <c r="CW241" s="404"/>
      <c r="CX241" s="404"/>
      <c r="CY241" s="404"/>
      <c r="CZ241" s="404"/>
      <c r="DA241" s="404"/>
      <c r="DB241" s="404"/>
      <c r="DC241" s="404"/>
      <c r="DD241" s="404"/>
      <c r="DE241" s="404"/>
      <c r="DF241" s="404"/>
      <c r="DG241" s="404"/>
      <c r="DH241" s="404"/>
      <c r="DI241" s="404"/>
    </row>
    <row r="242" spans="1:113">
      <c r="A242" s="301" t="s">
        <v>50</v>
      </c>
      <c r="B242" s="531">
        <f t="shared" ref="B242:J242" si="466">B172/B160</f>
        <v>0.29555202977440798</v>
      </c>
      <c r="C242" s="531">
        <f t="shared" si="466"/>
        <v>0.34817673672427318</v>
      </c>
      <c r="D242" s="531">
        <f t="shared" si="466"/>
        <v>0.35137771275298707</v>
      </c>
      <c r="E242" s="531">
        <f t="shared" si="466"/>
        <v>0.33399589213542702</v>
      </c>
      <c r="F242" s="531">
        <f t="shared" si="466"/>
        <v>0.310950490599955</v>
      </c>
      <c r="G242" s="531">
        <f t="shared" si="466"/>
        <v>0.32112614894694941</v>
      </c>
      <c r="H242" s="531">
        <f t="shared" si="466"/>
        <v>0.31834196891191707</v>
      </c>
      <c r="I242" s="531">
        <f t="shared" si="466"/>
        <v>0.32456081308474122</v>
      </c>
      <c r="J242" s="531">
        <f t="shared" si="466"/>
        <v>0.32521785405441361</v>
      </c>
      <c r="K242" s="531">
        <f t="shared" ref="K242:R242" si="467">K172/K160</f>
        <v>0.33762869908696497</v>
      </c>
      <c r="L242" s="531">
        <f t="shared" si="467"/>
        <v>0.37091547394004859</v>
      </c>
      <c r="M242" s="531">
        <f t="shared" si="467"/>
        <v>0.38529946776258167</v>
      </c>
      <c r="N242" s="531">
        <f t="shared" si="467"/>
        <v>0.40440830589342114</v>
      </c>
      <c r="O242" s="531">
        <f>O172/O160</f>
        <v>0.41169905462184875</v>
      </c>
      <c r="P242" s="531">
        <f t="shared" si="467"/>
        <v>0.42196227903003219</v>
      </c>
      <c r="Q242" s="531">
        <f t="shared" si="467"/>
        <v>0.44134510081814082</v>
      </c>
      <c r="R242" s="531">
        <f t="shared" si="467"/>
        <v>0.4642311686724907</v>
      </c>
      <c r="S242" s="531">
        <f>S172/S160</f>
        <v>0.48193206456275595</v>
      </c>
      <c r="T242" s="531">
        <f>T172/T160</f>
        <v>0.51235860913280284</v>
      </c>
      <c r="U242" s="531">
        <f>U172/U160</f>
        <v>0.50631802505720713</v>
      </c>
      <c r="V242" s="531">
        <f t="shared" ref="V242:V247" si="468">V172/V160</f>
        <v>0.52628397364109547</v>
      </c>
      <c r="W242" s="531">
        <f t="shared" ref="W242:AA247" si="469">W172/W160</f>
        <v>0.54719441991770446</v>
      </c>
      <c r="X242" s="531">
        <f t="shared" si="469"/>
        <v>0.56824415838803355</v>
      </c>
      <c r="Y242" s="531">
        <f t="shared" si="469"/>
        <v>0.58787052808640028</v>
      </c>
      <c r="Z242" s="531">
        <f t="shared" si="469"/>
        <v>0.60618807397092</v>
      </c>
      <c r="AA242" s="531">
        <f t="shared" si="469"/>
        <v>0.6233014971218177</v>
      </c>
      <c r="AB242" s="531">
        <f t="shared" ref="AB242:AB247" si="470">AB172/AB160</f>
        <v>0.63930651863189181</v>
      </c>
      <c r="AD242" s="394"/>
      <c r="AE242" s="394"/>
      <c r="AF242" s="394"/>
      <c r="AG242" s="394"/>
      <c r="AH242" s="394"/>
      <c r="AI242" s="394"/>
      <c r="AJ242" s="394"/>
      <c r="AK242" s="394"/>
      <c r="AL242" s="394"/>
      <c r="AM242" s="394"/>
      <c r="AN242" s="394"/>
      <c r="AO242" s="394"/>
      <c r="AP242" s="394"/>
      <c r="AQ242" s="394"/>
      <c r="AR242" s="394"/>
      <c r="AS242" s="394"/>
      <c r="AT242" s="394"/>
      <c r="AU242" s="394"/>
      <c r="AV242" s="394"/>
      <c r="AW242" s="394"/>
      <c r="AX242" s="394"/>
      <c r="AY242" s="394"/>
      <c r="AZ242" s="394"/>
      <c r="BA242" s="394"/>
      <c r="BB242" s="394"/>
      <c r="BC242" s="394"/>
      <c r="BD242" s="394"/>
      <c r="BE242" s="394"/>
      <c r="BF242" s="404"/>
      <c r="BG242" s="404"/>
      <c r="BH242" s="404"/>
      <c r="BI242" s="404"/>
      <c r="BJ242" s="404"/>
      <c r="BK242" s="404"/>
      <c r="BL242" s="404"/>
      <c r="BM242" s="404"/>
      <c r="BN242" s="404"/>
      <c r="BO242" s="404"/>
      <c r="BP242" s="404"/>
      <c r="BQ242" s="404"/>
      <c r="BR242" s="404"/>
      <c r="BS242" s="404"/>
      <c r="BT242" s="404"/>
      <c r="BU242" s="404"/>
      <c r="BV242" s="404"/>
      <c r="BW242" s="404"/>
      <c r="BX242" s="404"/>
      <c r="BY242" s="404"/>
      <c r="BZ242" s="531">
        <f t="shared" ref="BZ242:CW247" si="471">BZ172/BZ160</f>
        <v>0.37568266743317047</v>
      </c>
      <c r="CA242" s="531">
        <f t="shared" si="471"/>
        <v>0.40369599167100467</v>
      </c>
      <c r="CB242" s="531">
        <f t="shared" si="471"/>
        <v>0.40342914775592537</v>
      </c>
      <c r="CC242" s="531">
        <f t="shared" si="471"/>
        <v>0.35461192350956128</v>
      </c>
      <c r="CD242" s="531">
        <f t="shared" si="471"/>
        <v>0.3947595738554564</v>
      </c>
      <c r="CE242" s="531">
        <f t="shared" si="471"/>
        <v>0.40795769327625281</v>
      </c>
      <c r="CF242" s="531">
        <f t="shared" si="471"/>
        <v>0.41966426858513189</v>
      </c>
      <c r="CG242" s="531">
        <f t="shared" si="471"/>
        <v>0.39413680781758959</v>
      </c>
      <c r="CH242" s="531">
        <f t="shared" si="471"/>
        <v>0.40971822886716502</v>
      </c>
      <c r="CI242" s="531">
        <f t="shared" si="471"/>
        <v>0.41360476663356505</v>
      </c>
      <c r="CJ242" s="531">
        <f t="shared" si="471"/>
        <v>0.42417979850167914</v>
      </c>
      <c r="CK242" s="531">
        <f t="shared" si="471"/>
        <v>0.39896238651102467</v>
      </c>
      <c r="CL242" s="531">
        <f t="shared" si="471"/>
        <v>0.41898954703832753</v>
      </c>
      <c r="CM242" s="531">
        <f t="shared" si="471"/>
        <v>0.42951485902971803</v>
      </c>
      <c r="CN242" s="531">
        <f t="shared" si="471"/>
        <v>0.41792150086398422</v>
      </c>
      <c r="CO242" s="531">
        <f t="shared" si="471"/>
        <v>0.42113606340819021</v>
      </c>
      <c r="CP242" s="531">
        <f t="shared" si="471"/>
        <v>0.44087256027554533</v>
      </c>
      <c r="CQ242" s="531">
        <f t="shared" si="471"/>
        <v>0.44164355936475924</v>
      </c>
      <c r="CR242" s="531">
        <f t="shared" si="471"/>
        <v>0.44329649207111965</v>
      </c>
      <c r="CS242" s="531">
        <f t="shared" si="471"/>
        <v>0.43938618925831202</v>
      </c>
      <c r="CT242" s="531">
        <f t="shared" si="471"/>
        <v>0.46403650026838433</v>
      </c>
      <c r="CU242" s="531">
        <f t="shared" ref="CU242:CU247" si="472">CU172/CU160</f>
        <v>0.47461988304093566</v>
      </c>
      <c r="CV242" s="531">
        <f t="shared" si="471"/>
        <v>0.47016980266177144</v>
      </c>
      <c r="CW242" s="531">
        <f t="shared" si="471"/>
        <v>0.44688279301745637</v>
      </c>
      <c r="CX242" s="531">
        <f t="shared" ref="CX242:CY247" si="473">CX172/CX160</f>
        <v>0.48126433851644151</v>
      </c>
      <c r="CY242" s="531">
        <f t="shared" si="473"/>
        <v>0.50141843971631206</v>
      </c>
      <c r="CZ242" s="531">
        <f t="shared" ref="CZ242:DC247" si="474">CZ172/CZ160</f>
        <v>0.47698838248436104</v>
      </c>
      <c r="DA242" s="531">
        <f t="shared" si="474"/>
        <v>0.46742138364779873</v>
      </c>
      <c r="DB242" s="531">
        <f t="shared" si="474"/>
        <v>0.51025512756378189</v>
      </c>
      <c r="DC242" s="531">
        <f t="shared" si="474"/>
        <v>0.51694915254237284</v>
      </c>
      <c r="DD242" s="531">
        <f t="shared" ref="DD242:DE242" si="475">DD172/DD160</f>
        <v>0.52154195011337867</v>
      </c>
      <c r="DE242" s="531">
        <f t="shared" si="475"/>
        <v>0.4991105463786531</v>
      </c>
      <c r="DF242" s="531">
        <f t="shared" ref="DF242:DI242" si="476">DF172/DF160</f>
        <v>0.50229416128210869</v>
      </c>
      <c r="DG242" s="531">
        <f t="shared" si="476"/>
        <v>0.50935782773535221</v>
      </c>
      <c r="DH242" s="531">
        <f t="shared" si="476"/>
        <v>0.51620903712379984</v>
      </c>
      <c r="DI242" s="531">
        <f t="shared" si="476"/>
        <v>0.49605071805340789</v>
      </c>
    </row>
    <row r="243" spans="1:113">
      <c r="A243" s="936" t="s">
        <v>228</v>
      </c>
      <c r="B243" s="746">
        <f>B173/B161</f>
        <v>0.29555202977440798</v>
      </c>
      <c r="C243" s="746">
        <f>C173/C161</f>
        <v>0.34817673672427318</v>
      </c>
      <c r="D243" s="746">
        <f>D173/D161</f>
        <v>0.35137771275298707</v>
      </c>
      <c r="E243" s="746">
        <f>E173/E161</f>
        <v>0.33399589213542702</v>
      </c>
      <c r="F243" s="746">
        <f t="shared" ref="F243:R243" si="477">F173/F161</f>
        <v>0.310950490599955</v>
      </c>
      <c r="G243" s="746">
        <f t="shared" si="477"/>
        <v>0.32112614894694941</v>
      </c>
      <c r="H243" s="746">
        <f t="shared" si="477"/>
        <v>0.31834196891191707</v>
      </c>
      <c r="I243" s="746">
        <f t="shared" si="477"/>
        <v>0.32456081308474122</v>
      </c>
      <c r="J243" s="746">
        <f t="shared" si="477"/>
        <v>0.32521785405441361</v>
      </c>
      <c r="K243" s="746">
        <f t="shared" si="477"/>
        <v>0.33287027849441025</v>
      </c>
      <c r="L243" s="746">
        <f t="shared" si="477"/>
        <v>0.3673031686730317</v>
      </c>
      <c r="M243" s="746">
        <f t="shared" si="477"/>
        <v>0.38289065194894789</v>
      </c>
      <c r="N243" s="746">
        <f t="shared" si="477"/>
        <v>0.40396299364816352</v>
      </c>
      <c r="O243" s="746">
        <f t="shared" si="477"/>
        <v>0.41125208861191126</v>
      </c>
      <c r="P243" s="746">
        <f t="shared" si="477"/>
        <v>0.42149891308635418</v>
      </c>
      <c r="Q243" s="746">
        <f t="shared" si="477"/>
        <v>0.44082730064003151</v>
      </c>
      <c r="R243" s="746">
        <f t="shared" si="477"/>
        <v>0.46378001765286814</v>
      </c>
      <c r="S243" s="746">
        <f t="shared" ref="S243:U247" si="478">S173/S161</f>
        <v>0.48147316398785361</v>
      </c>
      <c r="T243" s="746">
        <f t="shared" ref="T243" si="479">T173/T161</f>
        <v>0.51549818927370505</v>
      </c>
      <c r="U243" s="746">
        <f t="shared" si="478"/>
        <v>0.50964155394543387</v>
      </c>
      <c r="V243" s="746">
        <f t="shared" si="468"/>
        <v>0.53073444323461816</v>
      </c>
      <c r="W243" s="746">
        <f t="shared" si="469"/>
        <v>0.55288291725368177</v>
      </c>
      <c r="X243" s="746">
        <f t="shared" si="469"/>
        <v>0.574510179605216</v>
      </c>
      <c r="Y243" s="746">
        <f t="shared" si="469"/>
        <v>0.5946904438581545</v>
      </c>
      <c r="Z243" s="746">
        <f t="shared" si="469"/>
        <v>0.61353948356047716</v>
      </c>
      <c r="AA243" s="746">
        <f t="shared" si="469"/>
        <v>0.63116316094874914</v>
      </c>
      <c r="AB243" s="746">
        <f t="shared" si="470"/>
        <v>0.64765829398856745</v>
      </c>
      <c r="AD243" s="531">
        <f t="shared" ref="AD243:BC243" si="480">AD173/AD161</f>
        <v>0.42170022371364652</v>
      </c>
      <c r="AE243" s="531">
        <f t="shared" si="480"/>
        <v>0.40988467874794071</v>
      </c>
      <c r="AF243" s="531">
        <f t="shared" si="480"/>
        <v>0.4104368220463207</v>
      </c>
      <c r="AG243" s="531">
        <f t="shared" si="480"/>
        <v>0.41033081834010449</v>
      </c>
      <c r="AH243" s="531">
        <f t="shared" si="480"/>
        <v>0.27073107724102297</v>
      </c>
      <c r="AI243" s="531">
        <f t="shared" si="480"/>
        <v>0.29113924050632911</v>
      </c>
      <c r="AJ243" s="531">
        <f t="shared" si="480"/>
        <v>0.30609973285841496</v>
      </c>
      <c r="AK243" s="531">
        <f t="shared" si="480"/>
        <v>0.30997830802603038</v>
      </c>
      <c r="AL243" s="531">
        <f t="shared" si="480"/>
        <v>0.24489795918367346</v>
      </c>
      <c r="AM243" s="531">
        <f t="shared" si="480"/>
        <v>0.26602631029442475</v>
      </c>
      <c r="AN243" s="531">
        <f t="shared" si="480"/>
        <v>0.29684638860630724</v>
      </c>
      <c r="AO243" s="531">
        <f t="shared" si="480"/>
        <v>0.31296914095079231</v>
      </c>
      <c r="AP243" s="531">
        <f t="shared" si="480"/>
        <v>0.32485977246843156</v>
      </c>
      <c r="AQ243" s="531">
        <f t="shared" si="480"/>
        <v>0.329128986197049</v>
      </c>
      <c r="AR243" s="531">
        <f t="shared" si="480"/>
        <v>0.36984052532833023</v>
      </c>
      <c r="AS243" s="531">
        <f t="shared" si="480"/>
        <v>0.37729627885068301</v>
      </c>
      <c r="AT243" s="531">
        <f t="shared" si="480"/>
        <v>0.31264459812663359</v>
      </c>
      <c r="AU243" s="531">
        <f t="shared" si="480"/>
        <v>0.36624685138539043</v>
      </c>
      <c r="AV243" s="531">
        <f t="shared" si="480"/>
        <v>0.37574257425742574</v>
      </c>
      <c r="AW243" s="531">
        <f t="shared" si="480"/>
        <v>0.26543808600064661</v>
      </c>
      <c r="AX243" s="531">
        <f t="shared" si="480"/>
        <v>0.25144018976618093</v>
      </c>
      <c r="AY243" s="531">
        <f t="shared" si="480"/>
        <v>0.33959232005413181</v>
      </c>
      <c r="AZ243" s="531">
        <f t="shared" si="480"/>
        <v>0.3312715765247411</v>
      </c>
      <c r="BA243" s="531">
        <f t="shared" si="480"/>
        <v>0.32073432481390712</v>
      </c>
      <c r="BB243" s="531">
        <f t="shared" si="480"/>
        <v>0.3112309644670051</v>
      </c>
      <c r="BC243" s="531">
        <f t="shared" si="480"/>
        <v>0.33719646799116998</v>
      </c>
      <c r="BD243" s="531">
        <f t="shared" ref="BD243:BY243" si="481">BD173/BD161</f>
        <v>0.32441565756125035</v>
      </c>
      <c r="BE243" s="531">
        <f t="shared" si="481"/>
        <v>0.31002865329512896</v>
      </c>
      <c r="BF243" s="531">
        <f t="shared" si="481"/>
        <v>0.3147531051196607</v>
      </c>
      <c r="BG243" s="531">
        <f t="shared" si="481"/>
        <v>0.33071484681853891</v>
      </c>
      <c r="BH243" s="531">
        <f t="shared" si="481"/>
        <v>0.32356048600105652</v>
      </c>
      <c r="BI243" s="531">
        <f t="shared" si="481"/>
        <v>0.30288596245446903</v>
      </c>
      <c r="BJ243" s="531">
        <f t="shared" si="481"/>
        <v>0.3217993079584775</v>
      </c>
      <c r="BK243" s="531">
        <f t="shared" si="481"/>
        <v>0.33757135443694863</v>
      </c>
      <c r="BL243" s="531">
        <f t="shared" si="481"/>
        <v>0.32631038026721482</v>
      </c>
      <c r="BM243" s="531">
        <f t="shared" si="481"/>
        <v>0.31155640955256658</v>
      </c>
      <c r="BN243" s="531">
        <f t="shared" si="481"/>
        <v>0.32801161103047893</v>
      </c>
      <c r="BO243" s="531">
        <f t="shared" si="481"/>
        <v>0.3381074168797954</v>
      </c>
      <c r="BP243" s="531">
        <f t="shared" si="481"/>
        <v>0.32785660941000749</v>
      </c>
      <c r="BQ243" s="531">
        <f t="shared" si="481"/>
        <v>0.30592734225621415</v>
      </c>
      <c r="BR243" s="531">
        <f t="shared" si="481"/>
        <v>0.30997382960162839</v>
      </c>
      <c r="BS243" s="531">
        <f t="shared" si="481"/>
        <v>0.34734177215189871</v>
      </c>
      <c r="BT243" s="531">
        <f t="shared" si="481"/>
        <v>0.34113060428849901</v>
      </c>
      <c r="BU243" s="531">
        <f t="shared" si="481"/>
        <v>0.32947019867549671</v>
      </c>
      <c r="BV243" s="531">
        <f t="shared" si="481"/>
        <v>0.36691542288557216</v>
      </c>
      <c r="BW243" s="531">
        <f t="shared" si="481"/>
        <v>0.37084592145015105</v>
      </c>
      <c r="BX243" s="531">
        <f t="shared" si="481"/>
        <v>0.38341829889991952</v>
      </c>
      <c r="BY243" s="531">
        <f t="shared" si="481"/>
        <v>0.34670810963549026</v>
      </c>
      <c r="BZ243" s="531">
        <f t="shared" si="471"/>
        <v>0.3711674528301887</v>
      </c>
      <c r="CA243" s="531">
        <f t="shared" si="471"/>
        <v>0.39951897381079637</v>
      </c>
      <c r="CB243" s="531">
        <f t="shared" si="471"/>
        <v>0.40170278637770895</v>
      </c>
      <c r="CC243" s="531">
        <f t="shared" si="471"/>
        <v>0.35552367288378767</v>
      </c>
      <c r="CD243" s="531">
        <f t="shared" si="471"/>
        <v>0.39770047169811323</v>
      </c>
      <c r="CE243" s="531">
        <f t="shared" si="471"/>
        <v>0.40814737934613388</v>
      </c>
      <c r="CF243" s="531">
        <f t="shared" si="471"/>
        <v>0.41712403951701427</v>
      </c>
      <c r="CG243" s="531">
        <f t="shared" si="471"/>
        <v>0.39204229271007235</v>
      </c>
      <c r="CH243" s="531">
        <f t="shared" si="471"/>
        <v>0.41277056637884202</v>
      </c>
      <c r="CI243" s="531">
        <f t="shared" si="471"/>
        <v>0.41379707839520075</v>
      </c>
      <c r="CJ243" s="531">
        <f t="shared" si="471"/>
        <v>0.42161223691752281</v>
      </c>
      <c r="CK243" s="531">
        <f t="shared" si="471"/>
        <v>0.39684222739544867</v>
      </c>
      <c r="CL243" s="531">
        <f t="shared" si="471"/>
        <v>0.422110954438144</v>
      </c>
      <c r="CM243" s="531">
        <f t="shared" si="471"/>
        <v>0.42971456842828476</v>
      </c>
      <c r="CN243" s="531">
        <f t="shared" si="471"/>
        <v>0.41539182077407522</v>
      </c>
      <c r="CO243" s="531">
        <f t="shared" si="471"/>
        <v>0.41889806931671469</v>
      </c>
      <c r="CP243" s="531">
        <f t="shared" si="471"/>
        <v>0.44415699274348519</v>
      </c>
      <c r="CQ243" s="531">
        <f t="shared" si="471"/>
        <v>0.44184890818510231</v>
      </c>
      <c r="CR243" s="531">
        <f t="shared" si="471"/>
        <v>0.44061321708383017</v>
      </c>
      <c r="CS243" s="531">
        <f t="shared" si="471"/>
        <v>0.43705121065904889</v>
      </c>
      <c r="CT243" s="531">
        <f t="shared" si="471"/>
        <v>0.46749350051089905</v>
      </c>
      <c r="CU243" s="531">
        <f t="shared" si="472"/>
        <v>0.47484056469931657</v>
      </c>
      <c r="CV243" s="531">
        <f t="shared" si="471"/>
        <v>0.46732386344540888</v>
      </c>
      <c r="CW243" s="531">
        <f t="shared" si="471"/>
        <v>0.44462331288098744</v>
      </c>
      <c r="CX243" s="531">
        <f t="shared" si="473"/>
        <v>0.48484968349254315</v>
      </c>
      <c r="CY243" s="531">
        <f t="shared" si="473"/>
        <v>0.50165158176697877</v>
      </c>
      <c r="CZ243" s="531">
        <f t="shared" si="474"/>
        <v>0.47410117038401672</v>
      </c>
      <c r="DA243" s="531">
        <f t="shared" si="474"/>
        <v>0.46493742089626594</v>
      </c>
      <c r="DB243" s="531">
        <f t="shared" si="474"/>
        <v>0.51405644943978124</v>
      </c>
      <c r="DC243" s="531">
        <f t="shared" si="474"/>
        <v>0.52080150913378853</v>
      </c>
      <c r="DD243" s="531">
        <f t="shared" ref="DD243:DE243" si="482">DD173/DD161</f>
        <v>0.52409209589366246</v>
      </c>
      <c r="DE243" s="531">
        <f t="shared" si="482"/>
        <v>0.50139272901781717</v>
      </c>
      <c r="DF243" s="531">
        <f t="shared" ref="DF243:DI243" si="483">DF173/DF161</f>
        <v>0.50563224447016109</v>
      </c>
      <c r="DG243" s="531">
        <f t="shared" si="483"/>
        <v>0.51271289289067445</v>
      </c>
      <c r="DH243" s="531">
        <f t="shared" si="483"/>
        <v>0.5182589890275211</v>
      </c>
      <c r="DI243" s="531">
        <f t="shared" si="483"/>
        <v>0.50070198421714074</v>
      </c>
    </row>
    <row r="244" spans="1:113">
      <c r="A244" s="933" t="s">
        <v>230</v>
      </c>
      <c r="B244" s="746"/>
      <c r="C244" s="746"/>
      <c r="D244" s="746"/>
      <c r="E244" s="746"/>
      <c r="F244" s="746"/>
      <c r="G244" s="746"/>
      <c r="H244" s="746"/>
      <c r="I244" s="746"/>
      <c r="J244" s="746"/>
      <c r="K244" s="746">
        <f t="shared" ref="K244:R244" si="484">K174/K162</f>
        <v>0.55828220858895705</v>
      </c>
      <c r="L244" s="746">
        <f t="shared" si="484"/>
        <v>0.51675977653631289</v>
      </c>
      <c r="M244" s="746">
        <f t="shared" si="484"/>
        <v>0.48563218390804597</v>
      </c>
      <c r="N244" s="746">
        <f t="shared" si="484"/>
        <v>0.42065491183879095</v>
      </c>
      <c r="O244" s="746">
        <f t="shared" si="484"/>
        <v>0.42404943121222721</v>
      </c>
      <c r="P244" s="746">
        <f t="shared" si="484"/>
        <v>0.43458061914377288</v>
      </c>
      <c r="Q244" s="746">
        <f t="shared" si="484"/>
        <v>0.45461428548530014</v>
      </c>
      <c r="R244" s="746">
        <f t="shared" si="484"/>
        <v>0.47598644912427629</v>
      </c>
      <c r="S244" s="746">
        <f t="shared" si="478"/>
        <v>0.49328647429123162</v>
      </c>
      <c r="T244" s="746">
        <f t="shared" ref="T244" si="485">T174/T162</f>
        <v>0.4453363386943297</v>
      </c>
      <c r="U244" s="746">
        <f t="shared" si="478"/>
        <v>0.4398446192754617</v>
      </c>
      <c r="V244" s="746">
        <f t="shared" si="468"/>
        <v>0.44029016901217072</v>
      </c>
      <c r="W244" s="746">
        <f t="shared" si="469"/>
        <v>0.44073060962265692</v>
      </c>
      <c r="X244" s="746">
        <f t="shared" si="469"/>
        <v>0.45527867511744169</v>
      </c>
      <c r="Y244" s="746">
        <f t="shared" si="469"/>
        <v>0.46943104551797066</v>
      </c>
      <c r="Z244" s="746">
        <f t="shared" si="469"/>
        <v>0.48319928967210019</v>
      </c>
      <c r="AA244" s="746">
        <f t="shared" si="469"/>
        <v>0.49659460018386864</v>
      </c>
      <c r="AB244" s="746">
        <f t="shared" si="470"/>
        <v>0.50962780744914071</v>
      </c>
      <c r="AD244" s="531"/>
      <c r="AE244" s="531"/>
      <c r="AF244" s="531"/>
      <c r="AG244" s="531"/>
      <c r="AH244" s="531"/>
      <c r="AI244" s="531"/>
      <c r="AJ244" s="531"/>
      <c r="AK244" s="531"/>
      <c r="AL244" s="531"/>
      <c r="AM244" s="531"/>
      <c r="AN244" s="531"/>
      <c r="AO244" s="531"/>
      <c r="AP244" s="531"/>
      <c r="AQ244" s="531"/>
      <c r="AR244" s="531"/>
      <c r="AS244" s="531"/>
      <c r="AT244" s="531"/>
      <c r="AU244" s="531"/>
      <c r="AV244" s="531"/>
      <c r="AW244" s="531"/>
      <c r="AX244" s="531"/>
      <c r="AY244" s="531"/>
      <c r="AZ244" s="531"/>
      <c r="BA244" s="531"/>
      <c r="BB244" s="531"/>
      <c r="BC244" s="531"/>
      <c r="BD244" s="531"/>
      <c r="BE244" s="531"/>
      <c r="BF244" s="531"/>
      <c r="BG244" s="531"/>
      <c r="BH244" s="531"/>
      <c r="BI244" s="531"/>
      <c r="BJ244" s="154"/>
      <c r="BK244" s="154"/>
      <c r="BL244" s="154"/>
      <c r="BM244" s="531"/>
      <c r="BN244" s="154"/>
      <c r="BO244" s="154"/>
      <c r="BP244" s="531"/>
      <c r="BQ244" s="531"/>
      <c r="BR244" s="531">
        <f t="shared" ref="BR244:BY244" si="486">BR174/BR162</f>
        <v>0.56578947368421051</v>
      </c>
      <c r="BS244" s="531">
        <f t="shared" si="486"/>
        <v>0.6</v>
      </c>
      <c r="BT244" s="531">
        <f t="shared" si="486"/>
        <v>0.54761904761904767</v>
      </c>
      <c r="BU244" s="531">
        <f t="shared" si="486"/>
        <v>0.51851851851851849</v>
      </c>
      <c r="BV244" s="531">
        <f t="shared" si="486"/>
        <v>0.5757575757575758</v>
      </c>
      <c r="BW244" s="531">
        <f t="shared" si="486"/>
        <v>0.54054054054054057</v>
      </c>
      <c r="BX244" s="531">
        <f t="shared" si="486"/>
        <v>0.49494949494949497</v>
      </c>
      <c r="BY244" s="531">
        <f t="shared" si="486"/>
        <v>0.45348837209302323</v>
      </c>
      <c r="BZ244" s="531">
        <f t="shared" si="471"/>
        <v>0.55172413793103448</v>
      </c>
      <c r="CA244" s="531">
        <f t="shared" si="471"/>
        <v>0.56000000000000005</v>
      </c>
      <c r="CB244" s="531">
        <f t="shared" si="471"/>
        <v>0.4777777777777778</v>
      </c>
      <c r="CC244" s="531">
        <f t="shared" si="471"/>
        <v>0.30985915492957744</v>
      </c>
      <c r="CD244" s="531">
        <f t="shared" si="471"/>
        <v>0.27160493827160492</v>
      </c>
      <c r="CE244" s="531">
        <f t="shared" si="471"/>
        <v>0.40170940170940173</v>
      </c>
      <c r="CF244" s="531">
        <f t="shared" si="471"/>
        <v>0.50458715596330272</v>
      </c>
      <c r="CG244" s="531">
        <f t="shared" si="471"/>
        <v>0.4777777777777778</v>
      </c>
      <c r="CH244" s="531">
        <f t="shared" si="471"/>
        <v>0.33295079295318375</v>
      </c>
      <c r="CI244" s="531">
        <f t="shared" si="471"/>
        <v>0.4081838046570217</v>
      </c>
      <c r="CJ244" s="531">
        <f t="shared" si="471"/>
        <v>0.49634179249849358</v>
      </c>
      <c r="CK244" s="531">
        <f t="shared" si="471"/>
        <v>0.46069545700908421</v>
      </c>
      <c r="CL244" s="531">
        <f t="shared" si="471"/>
        <v>0.33022952636149533</v>
      </c>
      <c r="CM244" s="531">
        <f t="shared" si="471"/>
        <v>0.42375808432103323</v>
      </c>
      <c r="CN244" s="531">
        <f t="shared" si="471"/>
        <v>0.48281112369658341</v>
      </c>
      <c r="CO244" s="531">
        <f t="shared" si="471"/>
        <v>0.48028073334740257</v>
      </c>
      <c r="CP244" s="531">
        <f t="shared" si="471"/>
        <v>0.35333982831251354</v>
      </c>
      <c r="CQ244" s="531">
        <f t="shared" si="471"/>
        <v>0.43652460249686081</v>
      </c>
      <c r="CR244" s="531">
        <f t="shared" si="471"/>
        <v>0.51041190769069833</v>
      </c>
      <c r="CS244" s="531">
        <f t="shared" si="471"/>
        <v>0.50045236568070728</v>
      </c>
      <c r="CT244" s="531">
        <f t="shared" si="471"/>
        <v>0.37347318734586338</v>
      </c>
      <c r="CU244" s="531">
        <f t="shared" si="472"/>
        <v>0.46850892651422782</v>
      </c>
      <c r="CV244" s="531">
        <f t="shared" si="471"/>
        <v>0.54341345304607136</v>
      </c>
      <c r="CW244" s="531">
        <f t="shared" si="471"/>
        <v>0.50270353946586088</v>
      </c>
      <c r="CX244" s="531">
        <f t="shared" si="473"/>
        <v>0.38784755700118601</v>
      </c>
      <c r="CY244" s="531">
        <f t="shared" si="473"/>
        <v>0.49574624719021093</v>
      </c>
      <c r="CZ244" s="531">
        <f t="shared" si="474"/>
        <v>0.55195154002944535</v>
      </c>
      <c r="DA244" s="531">
        <f t="shared" si="474"/>
        <v>0.52406168399412734</v>
      </c>
      <c r="DB244" s="531">
        <f t="shared" si="474"/>
        <v>0.42620856007420116</v>
      </c>
      <c r="DC244" s="531">
        <f t="shared" si="474"/>
        <v>0.43181003358817632</v>
      </c>
      <c r="DD244" s="531">
        <f t="shared" ref="DD244:DE244" si="487">DD174/DD162</f>
        <v>0.46700507614213199</v>
      </c>
      <c r="DE244" s="531">
        <f t="shared" si="487"/>
        <v>0.45379913200782857</v>
      </c>
      <c r="DF244" s="531">
        <f t="shared" ref="DF244:DI244" si="488">DF174/DF162</f>
        <v>0.43473021512260412</v>
      </c>
      <c r="DG244" s="531">
        <f t="shared" si="488"/>
        <v>0.44024849843587666</v>
      </c>
      <c r="DH244" s="531">
        <f t="shared" si="488"/>
        <v>0.47492084233804083</v>
      </c>
      <c r="DI244" s="531">
        <f t="shared" si="488"/>
        <v>0.40750803964222337</v>
      </c>
    </row>
    <row r="245" spans="1:113">
      <c r="A245" s="933" t="s">
        <v>698</v>
      </c>
      <c r="B245" s="746"/>
      <c r="C245" s="746"/>
      <c r="D245" s="746"/>
      <c r="E245" s="746"/>
      <c r="F245" s="746"/>
      <c r="G245" s="746"/>
      <c r="H245" s="746"/>
      <c r="I245" s="746"/>
      <c r="J245" s="746"/>
      <c r="K245" s="746"/>
      <c r="L245" s="746">
        <f t="shared" ref="L245:R245" si="489">L175/L163</f>
        <v>0.49452269170579027</v>
      </c>
      <c r="M245" s="746">
        <f t="shared" si="489"/>
        <v>0.57152729785763645</v>
      </c>
      <c r="N245" s="746">
        <f t="shared" si="489"/>
        <v>0.58986175115207373</v>
      </c>
      <c r="O245" s="746">
        <f t="shared" si="489"/>
        <v>0.60773130544993659</v>
      </c>
      <c r="P245" s="746">
        <f t="shared" si="489"/>
        <v>0.62257281553398058</v>
      </c>
      <c r="Q245" s="746">
        <f t="shared" si="489"/>
        <v>0.63435068821065232</v>
      </c>
      <c r="R245" s="746">
        <f t="shared" si="489"/>
        <v>0.63688430698739973</v>
      </c>
      <c r="S245" s="746">
        <f t="shared" si="478"/>
        <v>0.64405010438413357</v>
      </c>
      <c r="T245" s="746">
        <f t="shared" ref="T245" si="490">T175/T163</f>
        <v>0.67820069204152245</v>
      </c>
      <c r="U245" s="746">
        <f t="shared" si="478"/>
        <v>0.68514779480896015</v>
      </c>
      <c r="V245" s="746">
        <f t="shared" si="468"/>
        <v>0.6960984680698894</v>
      </c>
      <c r="W245" s="746">
        <f t="shared" si="469"/>
        <v>0.72119546494496556</v>
      </c>
      <c r="X245" s="746">
        <f t="shared" si="469"/>
        <v>0.72648300717169512</v>
      </c>
      <c r="Y245" s="746">
        <f t="shared" si="469"/>
        <v>0.73163160807384819</v>
      </c>
      <c r="Z245" s="746">
        <f t="shared" si="469"/>
        <v>0.7366458961657617</v>
      </c>
      <c r="AA245" s="746">
        <f t="shared" si="469"/>
        <v>0.74153031432020111</v>
      </c>
      <c r="AB245" s="746">
        <f t="shared" si="470"/>
        <v>0.74628912865802421</v>
      </c>
      <c r="AD245" s="532"/>
      <c r="AE245" s="532"/>
      <c r="AF245" s="532"/>
      <c r="AG245" s="532"/>
      <c r="AH245" s="532"/>
      <c r="AI245" s="532"/>
      <c r="AJ245" s="532"/>
      <c r="AK245" s="532"/>
      <c r="AL245" s="532"/>
      <c r="AM245" s="532"/>
      <c r="AN245" s="532"/>
      <c r="AO245" s="532"/>
      <c r="AP245" s="532"/>
      <c r="AQ245" s="532"/>
      <c r="AR245" s="532"/>
      <c r="AS245" s="532"/>
      <c r="AT245" s="532"/>
      <c r="AU245" s="532"/>
      <c r="AV245" s="532"/>
      <c r="AW245" s="532"/>
      <c r="AX245" s="532"/>
      <c r="AY245" s="532"/>
      <c r="AZ245" s="532"/>
      <c r="BA245" s="532"/>
      <c r="BB245" s="532"/>
      <c r="BC245" s="532"/>
      <c r="BD245" s="533"/>
      <c r="BE245" s="533"/>
      <c r="BF245" s="534"/>
      <c r="BG245" s="534"/>
      <c r="BH245" s="534"/>
      <c r="BI245" s="534"/>
      <c r="BJ245" s="534"/>
      <c r="BK245" s="534"/>
      <c r="BL245" s="534"/>
      <c r="BM245" s="534"/>
      <c r="BN245" s="531"/>
      <c r="BO245" s="531"/>
      <c r="BP245" s="531"/>
      <c r="BQ245" s="531"/>
      <c r="BR245" s="531" t="s">
        <v>618</v>
      </c>
      <c r="BS245" s="531" t="s">
        <v>618</v>
      </c>
      <c r="BT245" s="531" t="s">
        <v>618</v>
      </c>
      <c r="BU245" s="531" t="s">
        <v>618</v>
      </c>
      <c r="BV245" s="531">
        <f t="shared" ref="BV245:BY247" si="491">BV175/BV163</f>
        <v>0.44055944055944057</v>
      </c>
      <c r="BW245" s="531">
        <f t="shared" si="491"/>
        <v>0.61031518624641834</v>
      </c>
      <c r="BX245" s="531">
        <f t="shared" si="491"/>
        <v>0.4785276073619632</v>
      </c>
      <c r="BY245" s="531">
        <f t="shared" si="491"/>
        <v>0.43217665615141954</v>
      </c>
      <c r="BZ245" s="531">
        <f t="shared" si="471"/>
        <v>0.52957746478873235</v>
      </c>
      <c r="CA245" s="531">
        <f t="shared" si="471"/>
        <v>0.55647382920110189</v>
      </c>
      <c r="CB245" s="531">
        <f t="shared" si="471"/>
        <v>0.58677685950413228</v>
      </c>
      <c r="CC245" s="531">
        <f t="shared" si="471"/>
        <v>0.61202185792349728</v>
      </c>
      <c r="CD245" s="531">
        <f t="shared" si="471"/>
        <v>0.54957507082152979</v>
      </c>
      <c r="CE245" s="531">
        <f t="shared" si="471"/>
        <v>0.59416445623342173</v>
      </c>
      <c r="CF245" s="531">
        <f t="shared" si="471"/>
        <v>0.61809045226130654</v>
      </c>
      <c r="CG245" s="531">
        <f t="shared" si="471"/>
        <v>0.59335038363171355</v>
      </c>
      <c r="CH245" s="531">
        <f t="shared" si="471"/>
        <v>0.59773371104815864</v>
      </c>
      <c r="CI245" s="531">
        <f t="shared" si="471"/>
        <v>0.60150375939849621</v>
      </c>
      <c r="CJ245" s="531">
        <f t="shared" si="471"/>
        <v>0.62254901960784315</v>
      </c>
      <c r="CK245" s="531">
        <f t="shared" si="471"/>
        <v>0.60765550239234445</v>
      </c>
      <c r="CL245" s="531">
        <f t="shared" si="471"/>
        <v>0.60989010989010994</v>
      </c>
      <c r="CM245" s="531">
        <f t="shared" si="471"/>
        <v>0.63529411764705879</v>
      </c>
      <c r="CN245" s="531">
        <f t="shared" si="471"/>
        <v>0.6183035714285714</v>
      </c>
      <c r="CO245" s="531">
        <f t="shared" si="471"/>
        <v>0.62530413625304138</v>
      </c>
      <c r="CP245" s="531">
        <f t="shared" si="471"/>
        <v>0.62077922077922076</v>
      </c>
      <c r="CQ245" s="531">
        <f t="shared" si="471"/>
        <v>0.66588785046728971</v>
      </c>
      <c r="CR245" s="531">
        <f t="shared" si="471"/>
        <v>0.64883720930232558</v>
      </c>
      <c r="CS245" s="531">
        <f t="shared" si="471"/>
        <v>0.60046728971962615</v>
      </c>
      <c r="CT245" s="531">
        <f t="shared" si="471"/>
        <v>0.6306532663316583</v>
      </c>
      <c r="CU245" s="531">
        <f t="shared" si="472"/>
        <v>0.66442953020134232</v>
      </c>
      <c r="CV245" s="531">
        <f t="shared" si="471"/>
        <v>0.6383928571428571</v>
      </c>
      <c r="CW245" s="531">
        <f t="shared" si="471"/>
        <v>0.61368653421633557</v>
      </c>
      <c r="CX245" s="531">
        <f t="shared" si="473"/>
        <v>0.65548098434004476</v>
      </c>
      <c r="CY245" s="531">
        <f t="shared" si="473"/>
        <v>0.69262295081967218</v>
      </c>
      <c r="CZ245" s="531">
        <f t="shared" si="474"/>
        <v>0.63488843813387419</v>
      </c>
      <c r="DA245" s="531">
        <f t="shared" si="474"/>
        <v>0.59426229508196726</v>
      </c>
      <c r="DB245" s="531">
        <f t="shared" si="474"/>
        <v>0.61926605504587151</v>
      </c>
      <c r="DC245" s="531">
        <f t="shared" si="474"/>
        <v>0.7</v>
      </c>
      <c r="DD245" s="531">
        <f t="shared" ref="DD245:DE245" si="492">DD175/DD163</f>
        <v>0.70291262135922328</v>
      </c>
      <c r="DE245" s="531">
        <f t="shared" si="492"/>
        <v>0.68081180811808117</v>
      </c>
      <c r="DF245" s="531">
        <f t="shared" ref="DF245:DI245" si="493">DF175/DF163</f>
        <v>0.65939541058574846</v>
      </c>
      <c r="DG245" s="531">
        <f t="shared" si="493"/>
        <v>0.69762646461003264</v>
      </c>
      <c r="DH245" s="531">
        <f t="shared" si="493"/>
        <v>0.70187799333633383</v>
      </c>
      <c r="DI245" s="531">
        <f t="shared" si="493"/>
        <v>0.6790050071523327</v>
      </c>
    </row>
    <row r="246" spans="1:113">
      <c r="A246" s="933" t="s">
        <v>229</v>
      </c>
      <c r="B246" s="746"/>
      <c r="C246" s="746"/>
      <c r="D246" s="746"/>
      <c r="E246" s="746"/>
      <c r="F246" s="746"/>
      <c r="G246" s="746"/>
      <c r="H246" s="746"/>
      <c r="I246" s="746"/>
      <c r="J246" s="746"/>
      <c r="K246" s="746"/>
      <c r="L246" s="746">
        <f t="shared" ref="L246:R246" si="494">L176/L164</f>
        <v>0.18911917098445596</v>
      </c>
      <c r="M246" s="746">
        <f t="shared" si="494"/>
        <v>0.18820861678004536</v>
      </c>
      <c r="N246" s="746">
        <f t="shared" si="494"/>
        <v>0.19153225806451613</v>
      </c>
      <c r="O246" s="746">
        <f t="shared" si="494"/>
        <v>0.19259259259259259</v>
      </c>
      <c r="P246" s="746">
        <f t="shared" si="494"/>
        <v>0.20102214650766609</v>
      </c>
      <c r="Q246" s="746">
        <f t="shared" si="494"/>
        <v>0.21601150445861494</v>
      </c>
      <c r="R246" s="746">
        <f t="shared" si="494"/>
        <v>0.22753932861177101</v>
      </c>
      <c r="S246" s="746">
        <f t="shared" si="478"/>
        <v>0.23162274618585299</v>
      </c>
      <c r="T246" s="746">
        <f t="shared" ref="T246" si="495">T176/T164</f>
        <v>0.21777777777777776</v>
      </c>
      <c r="U246" s="746">
        <f t="shared" si="478"/>
        <v>0.2243111111111111</v>
      </c>
      <c r="V246" s="746">
        <f t="shared" si="468"/>
        <v>0.22431111111111113</v>
      </c>
      <c r="W246" s="746">
        <f t="shared" si="469"/>
        <v>0.2243111111111111</v>
      </c>
      <c r="X246" s="746">
        <f t="shared" si="469"/>
        <v>0.22962654028436022</v>
      </c>
      <c r="Y246" s="746">
        <f t="shared" si="469"/>
        <v>0.23506792749489011</v>
      </c>
      <c r="Z246" s="746">
        <f t="shared" si="469"/>
        <v>0.24063825753031409</v>
      </c>
      <c r="AA246" s="746">
        <f t="shared" si="469"/>
        <v>0.24634058590780972</v>
      </c>
      <c r="AB246" s="746">
        <f t="shared" si="470"/>
        <v>0.2521780405501749</v>
      </c>
      <c r="AD246" s="532"/>
      <c r="AE246" s="532"/>
      <c r="AF246" s="532"/>
      <c r="AG246" s="532"/>
      <c r="AH246" s="532"/>
      <c r="AI246" s="532"/>
      <c r="AJ246" s="532"/>
      <c r="AK246" s="532"/>
      <c r="AL246" s="532"/>
      <c r="AM246" s="532"/>
      <c r="AN246" s="532"/>
      <c r="AO246" s="532"/>
      <c r="AP246" s="532"/>
      <c r="AQ246" s="532"/>
      <c r="AR246" s="532"/>
      <c r="AS246" s="532"/>
      <c r="AT246" s="532"/>
      <c r="AU246" s="532"/>
      <c r="AV246" s="532"/>
      <c r="AW246" s="532"/>
      <c r="AX246" s="532"/>
      <c r="AY246" s="532"/>
      <c r="AZ246" s="532"/>
      <c r="BA246" s="532"/>
      <c r="BB246" s="532"/>
      <c r="BC246" s="532"/>
      <c r="BD246" s="533"/>
      <c r="BE246" s="533"/>
      <c r="BF246" s="534"/>
      <c r="BG246" s="534"/>
      <c r="BH246" s="534"/>
      <c r="BI246" s="534"/>
      <c r="BJ246" s="534"/>
      <c r="BK246" s="534"/>
      <c r="BL246" s="534"/>
      <c r="BM246" s="534"/>
      <c r="BN246" s="531"/>
      <c r="BO246" s="531"/>
      <c r="BP246" s="531"/>
      <c r="BQ246" s="531"/>
      <c r="BR246" s="531" t="s">
        <v>618</v>
      </c>
      <c r="BS246" s="531" t="s">
        <v>618</v>
      </c>
      <c r="BT246" s="531" t="s">
        <v>618</v>
      </c>
      <c r="BU246" s="531" t="s">
        <v>618</v>
      </c>
      <c r="BV246" s="531">
        <f t="shared" si="491"/>
        <v>0.125</v>
      </c>
      <c r="BW246" s="531">
        <f t="shared" si="491"/>
        <v>0.16853932584269662</v>
      </c>
      <c r="BX246" s="531">
        <f t="shared" si="491"/>
        <v>0.19191919191919191</v>
      </c>
      <c r="BY246" s="531">
        <f t="shared" si="491"/>
        <v>0.23809523809523808</v>
      </c>
      <c r="BZ246" s="531">
        <f>BZ176/BZ164</f>
        <v>0.13186813186813187</v>
      </c>
      <c r="CA246" s="531">
        <f t="shared" si="471"/>
        <v>0.16666666666666666</v>
      </c>
      <c r="CB246" s="531">
        <f t="shared" si="471"/>
        <v>0.16666666666666666</v>
      </c>
      <c r="CC246" s="531">
        <f t="shared" si="471"/>
        <v>0.25342465753424659</v>
      </c>
      <c r="CD246" s="531">
        <f t="shared" si="471"/>
        <v>0.15463917525773196</v>
      </c>
      <c r="CE246" s="531">
        <f t="shared" si="471"/>
        <v>0.16964285714285715</v>
      </c>
      <c r="CF246" s="531">
        <f t="shared" si="471"/>
        <v>0.1889763779527559</v>
      </c>
      <c r="CG246" s="531">
        <f t="shared" si="471"/>
        <v>0.23125000000000001</v>
      </c>
      <c r="CH246" s="531">
        <f t="shared" si="471"/>
        <v>0.13761467889908258</v>
      </c>
      <c r="CI246" s="531">
        <f t="shared" si="471"/>
        <v>0.17886178861788618</v>
      </c>
      <c r="CJ246" s="531">
        <f t="shared" si="471"/>
        <v>0.19259259259259259</v>
      </c>
      <c r="CK246" s="531">
        <f t="shared" si="471"/>
        <v>0.23699421965317918</v>
      </c>
      <c r="CL246" s="531">
        <f t="shared" si="471"/>
        <v>0.16528925619834711</v>
      </c>
      <c r="CM246" s="531">
        <f t="shared" si="471"/>
        <v>0.18939393939393939</v>
      </c>
      <c r="CN246" s="531">
        <f t="shared" si="471"/>
        <v>0.19580419580419581</v>
      </c>
      <c r="CO246" s="531">
        <f t="shared" si="471"/>
        <v>0.2356020942408377</v>
      </c>
      <c r="CP246" s="531">
        <f t="shared" si="471"/>
        <v>0.17693801160666217</v>
      </c>
      <c r="CQ246" s="531">
        <f t="shared" si="471"/>
        <v>0.19858156028368795</v>
      </c>
      <c r="CR246" s="531">
        <f t="shared" si="471"/>
        <v>0.20945945945945946</v>
      </c>
      <c r="CS246" s="531">
        <f t="shared" si="471"/>
        <v>0.2560386473429952</v>
      </c>
      <c r="CT246" s="531">
        <f t="shared" si="471"/>
        <v>0.20930232558139536</v>
      </c>
      <c r="CU246" s="531">
        <f t="shared" si="472"/>
        <v>0.22433541033628665</v>
      </c>
      <c r="CV246" s="531">
        <f t="shared" si="471"/>
        <v>0.21739130434782608</v>
      </c>
      <c r="CW246" s="531">
        <f t="shared" si="471"/>
        <v>0.24774774774774774</v>
      </c>
      <c r="CX246" s="531">
        <f t="shared" si="473"/>
        <v>0.2</v>
      </c>
      <c r="CY246" s="531">
        <f t="shared" si="473"/>
        <v>0.22424242424242424</v>
      </c>
      <c r="CZ246" s="531">
        <f t="shared" si="474"/>
        <v>0.21590909090909091</v>
      </c>
      <c r="DA246" s="531">
        <f t="shared" si="474"/>
        <v>0.26666666666666666</v>
      </c>
      <c r="DB246" s="531">
        <f t="shared" si="474"/>
        <v>0.15441176470588236</v>
      </c>
      <c r="DC246" s="531">
        <f t="shared" si="474"/>
        <v>0.17241379310344829</v>
      </c>
      <c r="DD246" s="531">
        <f t="shared" ref="DD246:DE246" si="496">DD176/DD164</f>
        <v>0.20571428571428571</v>
      </c>
      <c r="DE246" s="531">
        <f t="shared" si="496"/>
        <v>0.29680365296803651</v>
      </c>
      <c r="DF246" s="531">
        <f t="shared" ref="DF246:DI246" si="497">DF176/DF164</f>
        <v>0.18783064431943947</v>
      </c>
      <c r="DG246" s="531">
        <f t="shared" si="497"/>
        <v>0.19769318318359871</v>
      </c>
      <c r="DH246" s="531">
        <f t="shared" si="497"/>
        <v>0.21043799045250566</v>
      </c>
      <c r="DI246" s="531">
        <f t="shared" si="497"/>
        <v>0.2747584041117076</v>
      </c>
    </row>
    <row r="247" spans="1:113">
      <c r="A247" s="933" t="s">
        <v>212</v>
      </c>
      <c r="B247" s="746">
        <f>B177/B165</f>
        <v>0.6422535211267606</v>
      </c>
      <c r="C247" s="746">
        <f>C177/C165</f>
        <v>0.62829736211031173</v>
      </c>
      <c r="D247" s="746">
        <f>D177/D165</f>
        <v>0.68045977011494252</v>
      </c>
      <c r="E247" s="746">
        <f>E177/E165</f>
        <v>0.69696969696969702</v>
      </c>
      <c r="F247" s="746">
        <f t="shared" ref="F247:R247" si="498">F177/F165</f>
        <v>0.71280182232346245</v>
      </c>
      <c r="G247" s="746">
        <f t="shared" si="498"/>
        <v>0.71898734177215184</v>
      </c>
      <c r="H247" s="746">
        <f t="shared" si="498"/>
        <v>0.71076923076923082</v>
      </c>
      <c r="I247" s="746">
        <f t="shared" si="498"/>
        <v>0.88012618296529965</v>
      </c>
      <c r="J247" s="746">
        <f t="shared" si="498"/>
        <v>0.72067039106145248</v>
      </c>
      <c r="K247" s="746">
        <f t="shared" si="498"/>
        <v>0.33796296296296297</v>
      </c>
      <c r="L247" s="746">
        <f t="shared" si="498"/>
        <v>0.83045977011494254</v>
      </c>
      <c r="M247" s="746">
        <f t="shared" si="498"/>
        <v>0.97515527950310554</v>
      </c>
      <c r="N247" s="746">
        <f t="shared" si="498"/>
        <v>0.79661016949152541</v>
      </c>
      <c r="O247" s="746">
        <f t="shared" si="498"/>
        <v>1.22</v>
      </c>
      <c r="P247" s="746">
        <f t="shared" si="498"/>
        <v>0.76777251184834128</v>
      </c>
      <c r="Q247" s="746">
        <f t="shared" si="498"/>
        <v>-1.1984732824427482</v>
      </c>
      <c r="R247" s="746">
        <f t="shared" si="498"/>
        <v>-3.8802443928121595</v>
      </c>
      <c r="S247" s="746">
        <f t="shared" si="478"/>
        <v>-0.25</v>
      </c>
      <c r="T247" s="746">
        <f t="shared" ref="T247" si="499">T177/T165</f>
        <v>-0.58620689655172409</v>
      </c>
      <c r="U247" s="746">
        <f t="shared" si="478"/>
        <v>-1.7969451931716081</v>
      </c>
      <c r="V247" s="746">
        <f t="shared" si="468"/>
        <v>-0.84761565715641884</v>
      </c>
      <c r="W247" s="746">
        <f t="shared" si="469"/>
        <v>0</v>
      </c>
      <c r="X247" s="746">
        <f t="shared" si="469"/>
        <v>3.7718745868477163E-2</v>
      </c>
      <c r="Y247" s="746">
        <f t="shared" si="469"/>
        <v>7.1167445034862567E-2</v>
      </c>
      <c r="Z247" s="746">
        <f t="shared" si="469"/>
        <v>0.10070864863423948</v>
      </c>
      <c r="AA247" s="746">
        <f t="shared" si="469"/>
        <v>0.12667754545187354</v>
      </c>
      <c r="AB247" s="746">
        <f t="shared" si="470"/>
        <v>0.14938389793853013</v>
      </c>
      <c r="AD247" s="531"/>
      <c r="AE247" s="531"/>
      <c r="AF247" s="531"/>
      <c r="AG247" s="531"/>
      <c r="AH247" s="531"/>
      <c r="AI247" s="531"/>
      <c r="AJ247" s="531"/>
      <c r="AK247" s="531"/>
      <c r="AL247" s="531"/>
      <c r="AM247" s="531"/>
      <c r="AN247" s="531"/>
      <c r="AO247" s="531"/>
      <c r="AP247" s="531"/>
      <c r="AQ247" s="531"/>
      <c r="AR247" s="531"/>
      <c r="AS247" s="531"/>
      <c r="AT247" s="531"/>
      <c r="AU247" s="531"/>
      <c r="AV247" s="531"/>
      <c r="AW247" s="531"/>
      <c r="AX247" s="531"/>
      <c r="AY247" s="531"/>
      <c r="AZ247" s="531"/>
      <c r="BA247" s="531"/>
      <c r="BB247" s="531"/>
      <c r="BC247" s="531"/>
      <c r="BD247" s="531"/>
      <c r="BE247" s="531"/>
      <c r="BF247" s="531"/>
      <c r="BG247" s="531"/>
      <c r="BH247" s="531"/>
      <c r="BI247" s="531"/>
      <c r="BJ247" s="531"/>
      <c r="BK247" s="531"/>
      <c r="BL247" s="531"/>
      <c r="BM247" s="531"/>
      <c r="BN247" s="531"/>
      <c r="BO247" s="531"/>
      <c r="BP247" s="531"/>
      <c r="BQ247" s="531"/>
      <c r="BR247" s="531">
        <f>BR177/BR165</f>
        <v>0.86046511627906974</v>
      </c>
      <c r="BS247" s="531">
        <f>BS177/BS165</f>
        <v>0.81081081081081086</v>
      </c>
      <c r="BT247" s="531">
        <f>BT177/BT165</f>
        <v>-0.125</v>
      </c>
      <c r="BU247" s="531">
        <f>BU177/BU165</f>
        <v>-0.64864864864864868</v>
      </c>
      <c r="BV247" s="531">
        <f t="shared" si="491"/>
        <v>0.86330935251798557</v>
      </c>
      <c r="BW247" s="531">
        <f t="shared" si="491"/>
        <v>0.75454545454545452</v>
      </c>
      <c r="BX247" s="531">
        <f t="shared" si="491"/>
        <v>0.89552238805970152</v>
      </c>
      <c r="BY247" s="531">
        <f t="shared" si="491"/>
        <v>0.8125</v>
      </c>
      <c r="BZ247" s="531">
        <f t="shared" si="471"/>
        <v>0.80769230769230771</v>
      </c>
      <c r="CA247" s="531">
        <f t="shared" si="471"/>
        <v>1.1470588235294117</v>
      </c>
      <c r="CB247" s="531">
        <f t="shared" si="471"/>
        <v>0.9</v>
      </c>
      <c r="CC247" s="531">
        <f t="shared" si="471"/>
        <v>0.9859154929577465</v>
      </c>
      <c r="CD247" s="531">
        <f t="shared" si="471"/>
        <v>1.05</v>
      </c>
      <c r="CE247" s="531">
        <f t="shared" si="471"/>
        <v>0.84375</v>
      </c>
      <c r="CF247" s="531">
        <f t="shared" si="471"/>
        <v>1.6274509803921569</v>
      </c>
      <c r="CG247" s="531">
        <f t="shared" si="471"/>
        <v>0.13513513513513514</v>
      </c>
      <c r="CH247" s="531">
        <f t="shared" si="471"/>
        <v>0.96296296296296291</v>
      </c>
      <c r="CI247" s="531">
        <f t="shared" si="471"/>
        <v>1.4</v>
      </c>
      <c r="CJ247" s="531">
        <f t="shared" si="471"/>
        <v>1.5192307692307692</v>
      </c>
      <c r="CK247" s="531">
        <f t="shared" si="471"/>
        <v>0.7142857142857143</v>
      </c>
      <c r="CL247" s="531">
        <f t="shared" si="471"/>
        <v>1.1363636363636365</v>
      </c>
      <c r="CM247" s="531">
        <f t="shared" si="471"/>
        <v>1.34375</v>
      </c>
      <c r="CN247" s="531">
        <f t="shared" si="471"/>
        <v>0.77966101694915257</v>
      </c>
      <c r="CO247" s="531">
        <f t="shared" si="471"/>
        <v>-1.3529411764705883</v>
      </c>
      <c r="CP247" s="531">
        <f t="shared" si="471"/>
        <v>-6.6666666666666666E-2</v>
      </c>
      <c r="CQ247" s="531">
        <f t="shared" si="471"/>
        <v>-1.2571428571428571</v>
      </c>
      <c r="CR247" s="531">
        <f t="shared" si="471"/>
        <v>-5.7692307692307692</v>
      </c>
      <c r="CS247" s="531">
        <f t="shared" si="471"/>
        <v>-0.54411764705882348</v>
      </c>
      <c r="CT247" s="531">
        <f t="shared" si="471"/>
        <v>-2.1578947368421053</v>
      </c>
      <c r="CU247" s="531">
        <f t="shared" si="472"/>
        <v>20</v>
      </c>
      <c r="CV247" s="531">
        <f t="shared" si="471"/>
        <v>-3.0909090909090908</v>
      </c>
      <c r="CW247" s="531">
        <f t="shared" si="471"/>
        <v>-1.5448861853380638</v>
      </c>
      <c r="CX247" s="531">
        <f t="shared" si="473"/>
        <v>0.2</v>
      </c>
      <c r="CY247" s="531">
        <f t="shared" si="473"/>
        <v>3</v>
      </c>
      <c r="CZ247" s="531">
        <f t="shared" si="474"/>
        <v>0.1875</v>
      </c>
      <c r="DA247" s="531">
        <f t="shared" si="474"/>
        <v>-1.0333333333333334</v>
      </c>
      <c r="DB247" s="531">
        <f t="shared" si="474"/>
        <v>-0.68421052631578949</v>
      </c>
      <c r="DC247" s="531">
        <f t="shared" si="474"/>
        <v>-0.29629629629629628</v>
      </c>
      <c r="DD247" s="531">
        <f t="shared" ref="DD247:DE247" si="500">DD177/DD165</f>
        <v>-0.43478260869565216</v>
      </c>
      <c r="DE247" s="531">
        <f t="shared" si="500"/>
        <v>-1.1111111111111112</v>
      </c>
      <c r="DF247" s="531">
        <f t="shared" ref="DF247:DI247" si="501">DF177/DF165</f>
        <v>-1.7857142857142858</v>
      </c>
      <c r="DG247" s="531">
        <f t="shared" si="501"/>
        <v>-1.7857142857142858</v>
      </c>
      <c r="DH247" s="531">
        <f t="shared" si="501"/>
        <v>-1.7857142857142858</v>
      </c>
      <c r="DI247" s="531">
        <f t="shared" si="501"/>
        <v>-1.8315018315018308</v>
      </c>
    </row>
    <row r="248" spans="1:113">
      <c r="A248" s="204" t="s">
        <v>543</v>
      </c>
      <c r="B248" s="214">
        <f>B187/B166</f>
        <v>0.24357641708624331</v>
      </c>
      <c r="C248" s="214">
        <f>C187/C166</f>
        <v>0.2762662934126498</v>
      </c>
      <c r="D248" s="214">
        <f>D187/D166</f>
        <v>0.276242922516094</v>
      </c>
      <c r="E248" s="214">
        <f>E187/E166</f>
        <v>0.27857097430679217</v>
      </c>
      <c r="F248" s="214">
        <f t="shared" ref="F248:W248" si="502">F187/F166</f>
        <v>0.27386168950975226</v>
      </c>
      <c r="G248" s="214">
        <f t="shared" si="502"/>
        <v>0.26299993779934067</v>
      </c>
      <c r="H248" s="214">
        <f t="shared" si="502"/>
        <v>0.26011954850129126</v>
      </c>
      <c r="I248" s="214">
        <f t="shared" si="502"/>
        <v>0.27852511233718219</v>
      </c>
      <c r="J248" s="214">
        <f t="shared" si="502"/>
        <v>0.32987115435182751</v>
      </c>
      <c r="K248" s="214">
        <f t="shared" ref="K248:R248" si="503">K187/K166</f>
        <v>0.33763330991761925</v>
      </c>
      <c r="L248" s="214">
        <f t="shared" si="503"/>
        <v>0.38563956252971943</v>
      </c>
      <c r="M248" s="214">
        <f t="shared" si="503"/>
        <v>0.4017286289367748</v>
      </c>
      <c r="N248" s="214">
        <f t="shared" si="503"/>
        <v>0.41878990218473611</v>
      </c>
      <c r="O248" s="214">
        <f t="shared" si="503"/>
        <v>0.42954285714285712</v>
      </c>
      <c r="P248" s="214">
        <f t="shared" si="503"/>
        <v>0.4374681537677631</v>
      </c>
      <c r="Q248" s="214">
        <f t="shared" si="503"/>
        <v>0.43955707573470665</v>
      </c>
      <c r="R248" s="214">
        <f t="shared" si="503"/>
        <v>0.46262643734198816</v>
      </c>
      <c r="S248" s="214">
        <f t="shared" si="502"/>
        <v>0.48502870145317267</v>
      </c>
      <c r="T248" s="214">
        <f t="shared" ref="T248" si="504">T187/T166</f>
        <v>0.5144659895352417</v>
      </c>
      <c r="U248" s="214">
        <f t="shared" si="502"/>
        <v>0.50316057096458311</v>
      </c>
      <c r="V248" s="214">
        <f t="shared" si="502"/>
        <v>0.52672035630016312</v>
      </c>
      <c r="W248" s="214">
        <f t="shared" si="502"/>
        <v>0.55223024721313752</v>
      </c>
      <c r="X248" s="214">
        <f>X187/X166</f>
        <v>0.57115274274290839</v>
      </c>
      <c r="Y248" s="214">
        <f>Y187/Y166</f>
        <v>0.58867388060526604</v>
      </c>
      <c r="Z248" s="214">
        <f>Z187/Z166</f>
        <v>0.60490706507938496</v>
      </c>
      <c r="AA248" s="214">
        <f>AA187/AA166</f>
        <v>0.61995608052609197</v>
      </c>
      <c r="AB248" s="214">
        <f>AB187/AB166</f>
        <v>0.63391595736027151</v>
      </c>
      <c r="AD248" s="153">
        <f t="shared" ref="AD248:CC248" si="505">AD187/AD166</f>
        <v>0.20275139207337045</v>
      </c>
      <c r="AE248" s="153">
        <f t="shared" si="505"/>
        <v>0.20154464663563268</v>
      </c>
      <c r="AF248" s="153">
        <f t="shared" si="505"/>
        <v>0.20930986067609894</v>
      </c>
      <c r="AG248" s="153">
        <f t="shared" si="505"/>
        <v>0.18788439558047135</v>
      </c>
      <c r="AH248" s="153">
        <f t="shared" si="505"/>
        <v>0.19053747940691929</v>
      </c>
      <c r="AI248" s="153">
        <f t="shared" si="505"/>
        <v>0.19509968041394005</v>
      </c>
      <c r="AJ248" s="153">
        <f t="shared" si="505"/>
        <v>0.19834251351761079</v>
      </c>
      <c r="AK248" s="153">
        <f t="shared" si="505"/>
        <v>0.18547750591949486</v>
      </c>
      <c r="AL248" s="153">
        <f t="shared" si="505"/>
        <v>0.19374875770224606</v>
      </c>
      <c r="AM248" s="153">
        <f t="shared" si="505"/>
        <v>0.19578560726886085</v>
      </c>
      <c r="AN248" s="153">
        <f t="shared" si="505"/>
        <v>0.20776611242276585</v>
      </c>
      <c r="AO248" s="153">
        <f t="shared" si="505"/>
        <v>0.19314804192522292</v>
      </c>
      <c r="AP248" s="153">
        <f t="shared" si="505"/>
        <v>0.27878748539530052</v>
      </c>
      <c r="AQ248" s="153">
        <f t="shared" si="505"/>
        <v>0.27703360935216759</v>
      </c>
      <c r="AR248" s="153">
        <f t="shared" si="505"/>
        <v>0.2932264377248911</v>
      </c>
      <c r="AS248" s="153">
        <f t="shared" si="505"/>
        <v>0.27374160010143272</v>
      </c>
      <c r="AT248" s="153">
        <f t="shared" si="505"/>
        <v>0.28170169791074923</v>
      </c>
      <c r="AU248" s="153">
        <f t="shared" si="505"/>
        <v>0.29385536281456143</v>
      </c>
      <c r="AV248" s="153">
        <f t="shared" si="505"/>
        <v>0.30316390041493774</v>
      </c>
      <c r="AW248" s="153">
        <f t="shared" si="505"/>
        <v>0.24926747593135204</v>
      </c>
      <c r="AX248" s="153">
        <f t="shared" si="505"/>
        <v>0.27603006681514475</v>
      </c>
      <c r="AY248" s="153">
        <f t="shared" si="505"/>
        <v>0.29165501953467809</v>
      </c>
      <c r="AZ248" s="153">
        <f t="shared" si="505"/>
        <v>0.28492925304376437</v>
      </c>
      <c r="BA248" s="153">
        <f t="shared" si="505"/>
        <v>0.25071773456870677</v>
      </c>
      <c r="BB248" s="153">
        <f t="shared" si="505"/>
        <v>0.26914348699993518</v>
      </c>
      <c r="BC248" s="153">
        <f t="shared" si="505"/>
        <v>0.26989194499017682</v>
      </c>
      <c r="BD248" s="153">
        <f t="shared" si="505"/>
        <v>0.27564304131815609</v>
      </c>
      <c r="BE248" s="153">
        <f t="shared" si="505"/>
        <v>0.24434083798539966</v>
      </c>
      <c r="BF248" s="153">
        <f t="shared" si="505"/>
        <v>0.32981578626326707</v>
      </c>
      <c r="BG248" s="153">
        <f t="shared" si="505"/>
        <v>0.33401044689495069</v>
      </c>
      <c r="BH248" s="153">
        <f t="shared" si="505"/>
        <v>0.32922647759632706</v>
      </c>
      <c r="BI248" s="153">
        <f t="shared" si="505"/>
        <v>0.29977490151941477</v>
      </c>
      <c r="BJ248" s="153">
        <f t="shared" si="505"/>
        <v>1.2600398746795785</v>
      </c>
      <c r="BK248" s="153">
        <f t="shared" si="505"/>
        <v>1.5653066461380549</v>
      </c>
      <c r="BL248" s="153">
        <f t="shared" si="505"/>
        <v>1.2078780177890724</v>
      </c>
      <c r="BM248" s="153">
        <f t="shared" si="505"/>
        <v>1.1692892023874117</v>
      </c>
      <c r="BN248" s="153">
        <f t="shared" si="505"/>
        <v>0.32396788990825687</v>
      </c>
      <c r="BO248" s="153">
        <f t="shared" si="505"/>
        <v>0.33366986370519941</v>
      </c>
      <c r="BP248" s="153">
        <f t="shared" si="505"/>
        <v>0.32438423645320197</v>
      </c>
      <c r="BQ248" s="153">
        <f t="shared" si="505"/>
        <v>0.30253916801728797</v>
      </c>
      <c r="BR248" s="153">
        <f t="shared" si="505"/>
        <v>0.32851985559566788</v>
      </c>
      <c r="BS248" s="153">
        <f t="shared" si="505"/>
        <v>0.35682711198428291</v>
      </c>
      <c r="BT248" s="153">
        <f t="shared" si="505"/>
        <v>0.33906691800188499</v>
      </c>
      <c r="BU248" s="153">
        <f t="shared" si="505"/>
        <v>0.32389096739711382</v>
      </c>
      <c r="BV248" s="153">
        <f t="shared" si="505"/>
        <v>0.39139559286463799</v>
      </c>
      <c r="BW248" s="153">
        <f t="shared" si="505"/>
        <v>0.39703961689159772</v>
      </c>
      <c r="BX248" s="153">
        <f t="shared" si="505"/>
        <v>0.39671144048170448</v>
      </c>
      <c r="BY248" s="153">
        <f t="shared" si="505"/>
        <v>0.35585365853658535</v>
      </c>
      <c r="BZ248" s="153">
        <f t="shared" si="505"/>
        <v>0.38673753480131612</v>
      </c>
      <c r="CA248" s="153">
        <f t="shared" si="505"/>
        <v>0.41672425708362126</v>
      </c>
      <c r="CB248" s="153">
        <f t="shared" si="505"/>
        <v>0.41627437794216543</v>
      </c>
      <c r="CC248" s="153">
        <f t="shared" si="505"/>
        <v>0.38463396955786422</v>
      </c>
      <c r="CD248" s="153">
        <f t="shared" ref="CD248:CW248" si="506">CD187/CD166</f>
        <v>0.40603601318792798</v>
      </c>
      <c r="CE248" s="153">
        <f t="shared" si="506"/>
        <v>0.42074799643811223</v>
      </c>
      <c r="CF248" s="153">
        <f t="shared" si="506"/>
        <v>0.44536844536844539</v>
      </c>
      <c r="CG248" s="153">
        <f t="shared" si="506"/>
        <v>0.40171733580877234</v>
      </c>
      <c r="CH248" s="153">
        <f t="shared" si="506"/>
        <v>0.42638958437656482</v>
      </c>
      <c r="CI248" s="153">
        <f t="shared" si="506"/>
        <v>0.43013100436681223</v>
      </c>
      <c r="CJ248" s="153">
        <f t="shared" si="506"/>
        <v>0.44805194805194803</v>
      </c>
      <c r="CK248" s="153">
        <f t="shared" si="506"/>
        <v>0.41322869955156949</v>
      </c>
      <c r="CL248" s="153">
        <f t="shared" si="506"/>
        <v>0.43669770953939091</v>
      </c>
      <c r="CM248" s="153">
        <f t="shared" si="506"/>
        <v>0.44829871851524528</v>
      </c>
      <c r="CN248" s="153">
        <f t="shared" si="506"/>
        <v>0.43907563025210083</v>
      </c>
      <c r="CO248" s="153">
        <f t="shared" si="506"/>
        <v>0.42529518619436874</v>
      </c>
      <c r="CP248" s="153">
        <f t="shared" si="506"/>
        <v>0.44806608126585018</v>
      </c>
      <c r="CQ248" s="153">
        <f>CQ187/CQ166</f>
        <v>0.4421352001750164</v>
      </c>
      <c r="CR248" s="153">
        <f>CR187/CR166</f>
        <v>0.43761834630759522</v>
      </c>
      <c r="CS248" s="153">
        <f>CS187/CS166</f>
        <v>0.43160632993713416</v>
      </c>
      <c r="CT248" s="153">
        <f t="shared" si="506"/>
        <v>0.46020599250936328</v>
      </c>
      <c r="CU248" s="153">
        <f>CU187/CU166</f>
        <v>0.47199841349253852</v>
      </c>
      <c r="CV248" s="153">
        <f t="shared" si="506"/>
        <v>0.46926476496584973</v>
      </c>
      <c r="CW248" s="153">
        <f t="shared" si="506"/>
        <v>0.44806816170391489</v>
      </c>
      <c r="CX248" s="153">
        <f t="shared" ref="CX248:DC248" si="507">CX187/CX166</f>
        <v>0.48852097130242828</v>
      </c>
      <c r="CY248" s="153">
        <f t="shared" si="507"/>
        <v>0.51014136447449299</v>
      </c>
      <c r="CZ248" s="153">
        <f t="shared" si="507"/>
        <v>0.48045445792412861</v>
      </c>
      <c r="DA248" s="153">
        <f t="shared" si="507"/>
        <v>0.46080709909148532</v>
      </c>
      <c r="DB248" s="153">
        <f t="shared" si="507"/>
        <v>0.5051209413815646</v>
      </c>
      <c r="DC248" s="153">
        <f t="shared" si="507"/>
        <v>0.52190213101815308</v>
      </c>
      <c r="DD248" s="153">
        <f t="shared" ref="DD248:DE248" si="508">DD187/DD166</f>
        <v>0.52469256295139566</v>
      </c>
      <c r="DE248" s="153">
        <f t="shared" si="508"/>
        <v>0.50445481544336024</v>
      </c>
      <c r="DF248" s="153">
        <f t="shared" ref="DF248:DI248" si="509">DF187/DF166</f>
        <v>0.49612952265235727</v>
      </c>
      <c r="DG248" s="153">
        <f t="shared" si="509"/>
        <v>0.50844008417572073</v>
      </c>
      <c r="DH248" s="153">
        <f t="shared" si="509"/>
        <v>0.51315065350907008</v>
      </c>
      <c r="DI248" s="153">
        <f t="shared" si="509"/>
        <v>0.4935220467529795</v>
      </c>
    </row>
    <row r="249" spans="1:113">
      <c r="A249" s="938"/>
      <c r="AD249" s="532"/>
      <c r="AE249" s="532"/>
      <c r="AF249" s="532"/>
      <c r="AG249" s="532"/>
      <c r="AH249" s="532"/>
      <c r="AI249" s="532"/>
      <c r="AJ249" s="532"/>
      <c r="AK249" s="532"/>
      <c r="AL249" s="532"/>
      <c r="AM249" s="532"/>
      <c r="AN249" s="532"/>
      <c r="AO249" s="532"/>
      <c r="AP249" s="532"/>
      <c r="AQ249" s="532"/>
      <c r="AR249" s="532"/>
      <c r="AS249" s="532"/>
      <c r="AT249" s="532"/>
      <c r="AU249" s="532"/>
      <c r="AV249" s="532"/>
      <c r="AW249" s="532"/>
      <c r="AX249" s="532"/>
      <c r="AY249" s="532"/>
      <c r="AZ249" s="532"/>
      <c r="BA249" s="532"/>
      <c r="BB249" s="532"/>
      <c r="BC249" s="532"/>
      <c r="BD249" s="533"/>
      <c r="BE249" s="533"/>
      <c r="BF249" s="534"/>
      <c r="BG249" s="534"/>
      <c r="BH249" s="534"/>
      <c r="BI249" s="534"/>
      <c r="BJ249" s="534"/>
      <c r="BK249" s="534"/>
      <c r="BL249" s="534"/>
      <c r="BM249" s="534"/>
      <c r="BN249" s="531"/>
      <c r="BO249" s="531"/>
      <c r="BP249" s="531"/>
      <c r="BQ249" s="531"/>
      <c r="BR249" s="531"/>
      <c r="BS249" s="531"/>
      <c r="BT249" s="531"/>
      <c r="BU249" s="531"/>
      <c r="BV249" s="531"/>
      <c r="BW249" s="531"/>
      <c r="BX249" s="531"/>
      <c r="BY249" s="531"/>
      <c r="BZ249" s="531"/>
      <c r="CA249" s="531"/>
      <c r="CB249" s="531"/>
      <c r="CC249" s="531"/>
      <c r="CD249" s="531"/>
      <c r="CE249" s="531"/>
      <c r="CF249" s="531"/>
      <c r="CG249" s="531"/>
      <c r="CH249" s="509"/>
      <c r="CI249" s="509"/>
      <c r="CJ249" s="509"/>
      <c r="CK249" s="509"/>
      <c r="CL249" s="509"/>
      <c r="CM249" s="509"/>
      <c r="CN249" s="509"/>
      <c r="CO249" s="509"/>
      <c r="CP249" s="509"/>
      <c r="CQ249" s="509"/>
      <c r="CR249" s="509"/>
      <c r="CS249" s="509"/>
      <c r="CT249" s="509"/>
      <c r="CU249" s="509"/>
      <c r="CV249" s="509"/>
      <c r="CW249" s="509"/>
      <c r="CX249" s="509"/>
      <c r="CY249" s="509"/>
      <c r="CZ249" s="509"/>
      <c r="DA249" s="509"/>
      <c r="DB249" s="509"/>
      <c r="DC249" s="509"/>
      <c r="DD249" s="509"/>
      <c r="DE249" s="509"/>
      <c r="DF249" s="509"/>
      <c r="DG249" s="509"/>
      <c r="DH249" s="509"/>
      <c r="DI249" s="509"/>
    </row>
    <row r="250" spans="1:113">
      <c r="A250" s="195" t="s">
        <v>479</v>
      </c>
      <c r="B250" s="195"/>
      <c r="C250" s="195"/>
      <c r="D250" s="195"/>
      <c r="E250" s="195"/>
      <c r="F250" s="195"/>
      <c r="G250" s="195"/>
      <c r="H250" s="195"/>
      <c r="I250" s="195"/>
      <c r="J250" s="195"/>
      <c r="K250" s="195"/>
      <c r="L250" s="195"/>
      <c r="M250" s="195"/>
      <c r="N250" s="195"/>
      <c r="O250" s="195"/>
      <c r="P250" s="195"/>
      <c r="Q250" s="195"/>
      <c r="R250" s="195"/>
      <c r="S250" s="195"/>
      <c r="T250" s="195"/>
      <c r="U250" s="195"/>
      <c r="V250" s="195"/>
      <c r="W250" s="195"/>
      <c r="X250" s="195"/>
      <c r="Y250" s="195"/>
      <c r="Z250" s="195"/>
      <c r="AA250" s="195"/>
      <c r="AB250" s="195"/>
      <c r="AD250" s="195"/>
      <c r="AE250" s="195"/>
      <c r="AF250" s="195"/>
      <c r="AG250" s="195"/>
      <c r="AH250" s="195"/>
      <c r="AI250" s="195"/>
      <c r="AJ250" s="195"/>
      <c r="AK250" s="195"/>
      <c r="AL250" s="195"/>
      <c r="AM250" s="195"/>
      <c r="AN250" s="195"/>
      <c r="AO250" s="195"/>
      <c r="AP250" s="195"/>
      <c r="AQ250" s="195"/>
      <c r="AR250" s="195"/>
      <c r="AS250" s="195"/>
      <c r="AT250" s="195"/>
      <c r="AU250" s="195"/>
      <c r="AV250" s="195"/>
      <c r="AW250" s="195"/>
      <c r="AX250" s="195"/>
      <c r="AY250" s="195"/>
      <c r="AZ250" s="195"/>
      <c r="BA250" s="195"/>
      <c r="BB250" s="195"/>
      <c r="BC250" s="195"/>
      <c r="BD250" s="195"/>
      <c r="BE250" s="195"/>
      <c r="BF250" s="195"/>
      <c r="BG250" s="195"/>
      <c r="BH250" s="195"/>
      <c r="BI250" s="195"/>
      <c r="BJ250" s="195"/>
      <c r="BK250" s="195"/>
      <c r="BL250" s="195"/>
      <c r="BM250" s="195"/>
      <c r="BN250" s="195"/>
      <c r="BO250" s="195"/>
      <c r="BP250" s="195"/>
      <c r="BQ250" s="195"/>
      <c r="BR250" s="195"/>
      <c r="BS250" s="195"/>
      <c r="BT250" s="195"/>
      <c r="BU250" s="195"/>
      <c r="BV250" s="195"/>
      <c r="BW250" s="195"/>
      <c r="BX250" s="195"/>
      <c r="BY250" s="195"/>
      <c r="BZ250" s="195"/>
      <c r="CA250" s="195"/>
      <c r="CB250" s="195"/>
      <c r="CC250" s="195"/>
      <c r="CD250" s="195"/>
      <c r="CE250" s="195"/>
      <c r="CF250" s="195"/>
      <c r="CG250" s="195"/>
      <c r="CH250" s="195"/>
      <c r="CI250" s="195"/>
      <c r="CJ250" s="195"/>
      <c r="CK250" s="195"/>
      <c r="CL250" s="195"/>
      <c r="CM250" s="195"/>
      <c r="CN250" s="195"/>
      <c r="CO250" s="195"/>
      <c r="CP250" s="195"/>
      <c r="CQ250" s="195"/>
      <c r="CR250" s="195"/>
      <c r="CS250" s="195"/>
      <c r="CT250" s="195"/>
      <c r="CU250" s="195"/>
      <c r="CV250" s="195"/>
      <c r="CW250" s="195"/>
      <c r="CX250" s="195"/>
      <c r="CY250" s="195"/>
      <c r="CZ250" s="195"/>
      <c r="DA250" s="195"/>
      <c r="DB250" s="195"/>
      <c r="DC250" s="195"/>
      <c r="DD250" s="195"/>
      <c r="DE250" s="195"/>
      <c r="DF250" s="195"/>
      <c r="DG250" s="195"/>
      <c r="DH250" s="195"/>
      <c r="DI250" s="195"/>
    </row>
    <row r="251" spans="1:113">
      <c r="A251" s="34"/>
      <c r="AD251" s="70"/>
      <c r="AE251" s="70"/>
      <c r="AF251" s="70"/>
      <c r="AG251" s="70"/>
      <c r="AH251" s="70"/>
      <c r="AI251" s="70"/>
      <c r="AJ251" s="70"/>
      <c r="AK251" s="70"/>
      <c r="AL251" s="70"/>
      <c r="AM251" s="70"/>
      <c r="AN251" s="70"/>
      <c r="AO251" s="70"/>
      <c r="AP251" s="70"/>
      <c r="AQ251" s="70"/>
      <c r="AR251" s="70"/>
      <c r="AS251" s="70"/>
      <c r="AT251" s="70"/>
      <c r="AU251" s="70"/>
      <c r="AV251" s="70"/>
      <c r="AW251" s="70"/>
      <c r="AX251" s="394"/>
      <c r="AY251" s="394"/>
      <c r="AZ251" s="394"/>
      <c r="BA251" s="394"/>
      <c r="BB251" s="394"/>
      <c r="BC251" s="394"/>
      <c r="BD251" s="394"/>
      <c r="BE251" s="394"/>
      <c r="BF251" s="404"/>
      <c r="BG251" s="404"/>
      <c r="BH251" s="404"/>
      <c r="BI251" s="404"/>
      <c r="BJ251" s="404"/>
      <c r="BK251" s="404"/>
      <c r="BL251" s="404"/>
      <c r="BM251" s="404"/>
      <c r="BN251" s="404"/>
      <c r="BO251" s="404"/>
      <c r="BP251" s="404"/>
      <c r="BQ251" s="404"/>
      <c r="BR251" s="404"/>
      <c r="BS251" s="404"/>
      <c r="BT251" s="404"/>
      <c r="BU251" s="404"/>
      <c r="BV251" s="404"/>
      <c r="BW251" s="404"/>
      <c r="BX251" s="404"/>
      <c r="BY251" s="404"/>
      <c r="BZ251" s="404"/>
      <c r="CA251" s="404"/>
      <c r="CB251" s="404"/>
      <c r="CC251" s="404"/>
      <c r="CD251" s="404"/>
      <c r="CE251" s="404"/>
      <c r="CF251" s="404"/>
      <c r="CG251" s="404"/>
      <c r="CH251" s="404"/>
      <c r="CI251" s="404"/>
      <c r="CJ251" s="404"/>
      <c r="CK251" s="404"/>
      <c r="CL251" s="404"/>
      <c r="CM251" s="404"/>
      <c r="CN251" s="404"/>
      <c r="CO251" s="404"/>
      <c r="CP251" s="404"/>
      <c r="CQ251" s="404"/>
      <c r="CR251" s="404"/>
      <c r="CS251" s="404"/>
      <c r="CT251" s="404"/>
      <c r="CU251" s="404"/>
      <c r="CV251" s="404"/>
      <c r="CW251" s="404"/>
      <c r="CX251" s="404"/>
      <c r="CY251" s="404"/>
      <c r="CZ251" s="404"/>
      <c r="DA251" s="404"/>
      <c r="DB251" s="404"/>
      <c r="DC251" s="404"/>
      <c r="DD251" s="404"/>
      <c r="DE251" s="404"/>
      <c r="DF251" s="404"/>
      <c r="DG251" s="404"/>
      <c r="DH251" s="404"/>
      <c r="DI251" s="404"/>
    </row>
    <row r="252" spans="1:113">
      <c r="A252" s="939" t="s">
        <v>476</v>
      </c>
      <c r="AD252" s="388"/>
      <c r="AE252" s="388"/>
      <c r="AF252" s="388"/>
      <c r="AG252" s="388"/>
      <c r="AH252" s="388"/>
      <c r="AI252" s="388"/>
      <c r="AJ252" s="388"/>
      <c r="AK252" s="388"/>
      <c r="AL252" s="388"/>
      <c r="AM252" s="388"/>
      <c r="AN252" s="388"/>
      <c r="AO252" s="388"/>
      <c r="AP252" s="388"/>
      <c r="AQ252" s="388"/>
      <c r="AR252" s="388"/>
      <c r="AS252" s="388"/>
      <c r="AT252" s="388"/>
      <c r="AU252" s="388"/>
      <c r="AV252" s="388"/>
      <c r="AW252" s="388"/>
      <c r="AX252" s="536"/>
      <c r="AY252" s="536"/>
      <c r="AZ252" s="536"/>
      <c r="BA252" s="536"/>
      <c r="BB252" s="536"/>
      <c r="BC252" s="536"/>
      <c r="BD252" s="536"/>
      <c r="BE252" s="536"/>
      <c r="BF252" s="537"/>
      <c r="BG252" s="537"/>
      <c r="BH252" s="537"/>
      <c r="BI252" s="537"/>
      <c r="BJ252" s="537"/>
      <c r="BK252" s="537"/>
      <c r="BL252" s="537"/>
      <c r="BM252" s="537"/>
      <c r="BN252" s="537"/>
      <c r="BO252" s="537"/>
      <c r="BP252" s="537"/>
      <c r="BQ252" s="537"/>
      <c r="BR252" s="537">
        <f t="shared" ref="BR252:CW252" si="510">+BR296+BR343/1000</f>
        <v>40.411999999999999</v>
      </c>
      <c r="BS252" s="537">
        <f t="shared" si="510"/>
        <v>43.954999999999998</v>
      </c>
      <c r="BT252" s="537">
        <f t="shared" si="510"/>
        <v>45.228999999999999</v>
      </c>
      <c r="BU252" s="537">
        <f t="shared" si="510"/>
        <v>41.111000000000004</v>
      </c>
      <c r="BV252" s="537">
        <f t="shared" si="510"/>
        <v>34.744999999999997</v>
      </c>
      <c r="BW252" s="537">
        <f t="shared" si="510"/>
        <v>40.870000000000005</v>
      </c>
      <c r="BX252" s="537">
        <f t="shared" si="510"/>
        <v>37.841000000000001</v>
      </c>
      <c r="BY252" s="537">
        <f t="shared" si="510"/>
        <v>36.502999999999993</v>
      </c>
      <c r="BZ252" s="537">
        <f t="shared" si="510"/>
        <v>34.381999999999998</v>
      </c>
      <c r="CA252" s="537">
        <f t="shared" si="510"/>
        <v>36.823</v>
      </c>
      <c r="CB252" s="537">
        <f t="shared" si="510"/>
        <v>36.938000000000002</v>
      </c>
      <c r="CC252" s="537">
        <f t="shared" si="510"/>
        <v>33.902999999999999</v>
      </c>
      <c r="CD252" s="537">
        <f t="shared" si="510"/>
        <v>32.234000000000002</v>
      </c>
      <c r="CE252" s="537">
        <f t="shared" si="510"/>
        <v>36.521000000000001</v>
      </c>
      <c r="CF252" s="537">
        <f t="shared" si="510"/>
        <v>33.650999999999996</v>
      </c>
      <c r="CG252" s="537">
        <f t="shared" si="510"/>
        <v>33.986000000000004</v>
      </c>
      <c r="CH252" s="537">
        <f t="shared" si="510"/>
        <v>31.436</v>
      </c>
      <c r="CI252" s="537">
        <f t="shared" si="510"/>
        <v>36.555</v>
      </c>
      <c r="CJ252" s="537">
        <f t="shared" si="510"/>
        <v>34.003999999999998</v>
      </c>
      <c r="CK252" s="537">
        <f t="shared" si="510"/>
        <v>34.116</v>
      </c>
      <c r="CL252" s="537">
        <f t="shared" si="510"/>
        <v>29.774000000000001</v>
      </c>
      <c r="CM252" s="537">
        <f t="shared" si="510"/>
        <v>34.117000000000004</v>
      </c>
      <c r="CN252" s="537">
        <f t="shared" si="510"/>
        <v>34.436999999999998</v>
      </c>
      <c r="CO252" s="537">
        <f t="shared" si="510"/>
        <v>32.182000000000002</v>
      </c>
      <c r="CP252" s="537">
        <f t="shared" si="510"/>
        <v>29.023</v>
      </c>
      <c r="CQ252" s="537">
        <f t="shared" si="510"/>
        <v>32.465000000000003</v>
      </c>
      <c r="CR252" s="537">
        <f t="shared" si="510"/>
        <v>33.512</v>
      </c>
      <c r="CS252" s="537">
        <f>+CS296+CS343/1000</f>
        <v>31.660999999999998</v>
      </c>
      <c r="CT252" s="537">
        <f t="shared" si="510"/>
        <v>29.5</v>
      </c>
      <c r="CU252" s="537">
        <f t="shared" si="510"/>
        <v>33.458000000000006</v>
      </c>
      <c r="CV252" s="537">
        <f t="shared" si="510"/>
        <v>33.533000000000001</v>
      </c>
      <c r="CW252" s="537">
        <f t="shared" si="510"/>
        <v>30.852</v>
      </c>
      <c r="CX252" s="537">
        <f t="shared" ref="CX252:DE252" si="511">+CX296+CX343/1000</f>
        <v>29.866000000000003</v>
      </c>
      <c r="CY252" s="537">
        <f t="shared" si="511"/>
        <v>31.829000000000001</v>
      </c>
      <c r="CZ252" s="537">
        <f>+CZ296+CZ343/1000</f>
        <v>33.224999999999994</v>
      </c>
      <c r="DA252" s="537">
        <f t="shared" si="511"/>
        <v>29.413</v>
      </c>
      <c r="DB252" s="537">
        <f t="shared" si="511"/>
        <v>29.094000000000001</v>
      </c>
      <c r="DC252" s="537">
        <f t="shared" si="511"/>
        <v>30.974999999999998</v>
      </c>
      <c r="DD252" s="537">
        <f t="shared" si="511"/>
        <v>31.213000000000001</v>
      </c>
      <c r="DE252" s="537">
        <f t="shared" si="511"/>
        <v>26.866</v>
      </c>
      <c r="DF252" s="537">
        <f t="shared" ref="DF252:DI252" si="512">+DF296+DF343/1000</f>
        <v>27.331275999999999</v>
      </c>
      <c r="DG252" s="537">
        <f t="shared" si="512"/>
        <v>29.619695</v>
      </c>
      <c r="DH252" s="537">
        <f t="shared" si="512"/>
        <v>30.153269999999999</v>
      </c>
      <c r="DI252" s="537">
        <f t="shared" si="512"/>
        <v>26.456618999999993</v>
      </c>
    </row>
    <row r="253" spans="1:113">
      <c r="A253" s="940" t="s">
        <v>477</v>
      </c>
      <c r="AD253" s="389"/>
      <c r="AE253" s="389"/>
      <c r="AF253" s="389"/>
      <c r="AG253" s="389"/>
      <c r="AH253" s="389"/>
      <c r="AI253" s="389"/>
      <c r="AJ253" s="389"/>
      <c r="AK253" s="389"/>
      <c r="AL253" s="389"/>
      <c r="AM253" s="389"/>
      <c r="AN253" s="389"/>
      <c r="AO253" s="389"/>
      <c r="AP253" s="389"/>
      <c r="AQ253" s="389"/>
      <c r="AR253" s="389"/>
      <c r="AS253" s="389"/>
      <c r="AT253" s="389"/>
      <c r="AU253" s="389"/>
      <c r="AV253" s="389"/>
      <c r="AW253" s="389"/>
      <c r="AX253" s="538"/>
      <c r="AY253" s="538"/>
      <c r="AZ253" s="538"/>
      <c r="BA253" s="538"/>
      <c r="BB253" s="538"/>
      <c r="BC253" s="538"/>
      <c r="BD253" s="538"/>
      <c r="BE253" s="538"/>
      <c r="BF253" s="539"/>
      <c r="BG253" s="539"/>
      <c r="BH253" s="539"/>
      <c r="BI253" s="539"/>
      <c r="BJ253" s="539"/>
      <c r="BK253" s="539"/>
      <c r="BL253" s="539"/>
      <c r="BM253" s="539"/>
      <c r="BN253" s="539"/>
      <c r="BO253" s="539"/>
      <c r="BP253" s="539"/>
      <c r="BQ253" s="539"/>
      <c r="BR253" s="539"/>
      <c r="BS253" s="539"/>
      <c r="BT253" s="539"/>
      <c r="BU253" s="539"/>
      <c r="BV253" s="539">
        <f t="shared" ref="BV253:DE253" si="513">+BV252/BR252-1</f>
        <v>-0.14023062456696034</v>
      </c>
      <c r="BW253" s="539">
        <f t="shared" si="513"/>
        <v>-7.0185416903651321E-2</v>
      </c>
      <c r="BX253" s="539">
        <f t="shared" si="513"/>
        <v>-0.16334652545932915</v>
      </c>
      <c r="BY253" s="539">
        <f t="shared" si="513"/>
        <v>-0.1120867894237555</v>
      </c>
      <c r="BZ253" s="539">
        <f t="shared" si="513"/>
        <v>-1.0447546409555364E-2</v>
      </c>
      <c r="CA253" s="539">
        <f t="shared" si="513"/>
        <v>-9.9021287007585168E-2</v>
      </c>
      <c r="CB253" s="539">
        <f t="shared" si="513"/>
        <v>-2.3863005734520715E-2</v>
      </c>
      <c r="CC253" s="539">
        <f t="shared" si="513"/>
        <v>-7.1227022436511911E-2</v>
      </c>
      <c r="CD253" s="539">
        <f t="shared" si="513"/>
        <v>-6.2474550636961057E-2</v>
      </c>
      <c r="CE253" s="539">
        <f t="shared" si="513"/>
        <v>-8.2013958667137565E-3</v>
      </c>
      <c r="CF253" s="539">
        <f t="shared" si="513"/>
        <v>-8.8986951107260959E-2</v>
      </c>
      <c r="CG253" s="539">
        <f t="shared" si="513"/>
        <v>2.4481609297113405E-3</v>
      </c>
      <c r="CH253" s="539">
        <f t="shared" si="513"/>
        <v>-2.4756468325370817E-2</v>
      </c>
      <c r="CI253" s="539">
        <f t="shared" si="513"/>
        <v>9.3097122203666949E-4</v>
      </c>
      <c r="CJ253" s="539">
        <f t="shared" si="513"/>
        <v>1.0490030013966978E-2</v>
      </c>
      <c r="CK253" s="539">
        <f t="shared" si="513"/>
        <v>3.8251044547754631E-3</v>
      </c>
      <c r="CL253" s="539">
        <f t="shared" si="513"/>
        <v>-5.2869321796666258E-2</v>
      </c>
      <c r="CM253" s="539">
        <f t="shared" si="513"/>
        <v>-6.6694022705512168E-2</v>
      </c>
      <c r="CN253" s="539">
        <f t="shared" si="513"/>
        <v>1.2733796023997268E-2</v>
      </c>
      <c r="CO253" s="539">
        <f t="shared" si="513"/>
        <v>-5.6688943604173869E-2</v>
      </c>
      <c r="CP253" s="539">
        <f t="shared" si="513"/>
        <v>-2.522334923087266E-2</v>
      </c>
      <c r="CQ253" s="539">
        <f t="shared" si="513"/>
        <v>-4.8421607996013694E-2</v>
      </c>
      <c r="CR253" s="539">
        <f t="shared" si="513"/>
        <v>-2.6860644074687023E-2</v>
      </c>
      <c r="CS253" s="539">
        <f t="shared" si="513"/>
        <v>-1.6189174072463008E-2</v>
      </c>
      <c r="CT253" s="539">
        <f t="shared" si="513"/>
        <v>1.6435241015746227E-2</v>
      </c>
      <c r="CU253" s="539">
        <f t="shared" si="513"/>
        <v>3.0586785769290081E-2</v>
      </c>
      <c r="CV253" s="539">
        <f t="shared" si="513"/>
        <v>6.2664120315103489E-4</v>
      </c>
      <c r="CW253" s="539">
        <f t="shared" si="513"/>
        <v>-2.5551940873629886E-2</v>
      </c>
      <c r="CX253" s="539">
        <f t="shared" si="513"/>
        <v>1.2406779661016998E-2</v>
      </c>
      <c r="CY253" s="539">
        <f t="shared" si="513"/>
        <v>-4.868790722697125E-2</v>
      </c>
      <c r="CZ253" s="539">
        <f t="shared" si="513"/>
        <v>-9.184981958071381E-3</v>
      </c>
      <c r="DA253" s="539">
        <f t="shared" si="513"/>
        <v>-4.6642032931414446E-2</v>
      </c>
      <c r="DB253" s="539">
        <f t="shared" si="513"/>
        <v>-2.5848791267662263E-2</v>
      </c>
      <c r="DC253" s="539">
        <f t="shared" si="513"/>
        <v>-2.6830877501649475E-2</v>
      </c>
      <c r="DD253" s="539">
        <f t="shared" si="513"/>
        <v>-6.05568096313015E-2</v>
      </c>
      <c r="DE253" s="539">
        <f t="shared" si="513"/>
        <v>-8.6594363036752497E-2</v>
      </c>
      <c r="DF253" s="539">
        <f t="shared" ref="DF253" si="514">+DF252/DB252-1</f>
        <v>-6.0587200109988415E-2</v>
      </c>
      <c r="DG253" s="539">
        <f t="shared" ref="DG253" si="515">+DG252/DC252-1</f>
        <v>-4.3754802259886927E-2</v>
      </c>
      <c r="DH253" s="539">
        <f t="shared" ref="DH253" si="516">+DH252/DD252-1</f>
        <v>-3.3951558645436308E-2</v>
      </c>
      <c r="DI253" s="539">
        <f t="shared" ref="DI253" si="517">+DI252/DE252-1</f>
        <v>-1.5237884314747485E-2</v>
      </c>
    </row>
    <row r="254" spans="1:113">
      <c r="A254" s="938"/>
      <c r="AD254" s="532"/>
      <c r="AE254" s="532"/>
      <c r="AF254" s="532"/>
      <c r="AG254" s="532"/>
      <c r="AH254" s="532"/>
      <c r="AI254" s="532"/>
      <c r="AJ254" s="532"/>
      <c r="AK254" s="532"/>
      <c r="AL254" s="532"/>
      <c r="AM254" s="532"/>
      <c r="AN254" s="532"/>
      <c r="AO254" s="532"/>
      <c r="AP254" s="532"/>
      <c r="AQ254" s="532"/>
      <c r="AR254" s="532"/>
      <c r="AS254" s="532"/>
      <c r="AT254" s="532"/>
      <c r="AU254" s="532"/>
      <c r="AV254" s="532"/>
      <c r="AW254" s="532"/>
      <c r="AX254" s="532"/>
      <c r="AY254" s="532"/>
      <c r="AZ254" s="532"/>
      <c r="BA254" s="532"/>
      <c r="BB254" s="532"/>
      <c r="BC254" s="532"/>
      <c r="BD254" s="533"/>
      <c r="BE254" s="533"/>
      <c r="BF254" s="534"/>
      <c r="BG254" s="534"/>
      <c r="BH254" s="534"/>
      <c r="BI254" s="534"/>
      <c r="BJ254" s="534"/>
      <c r="BK254" s="534"/>
      <c r="BL254" s="534"/>
      <c r="BM254" s="534"/>
      <c r="BN254" s="531"/>
      <c r="BO254" s="531"/>
      <c r="BP254" s="531"/>
      <c r="BQ254" s="531"/>
      <c r="BR254" s="531"/>
      <c r="BS254" s="531"/>
      <c r="BT254" s="531"/>
      <c r="BU254" s="531"/>
      <c r="BV254" s="531"/>
      <c r="BW254" s="531"/>
      <c r="BX254" s="531"/>
      <c r="BY254" s="531"/>
      <c r="BZ254" s="531"/>
      <c r="CA254" s="531"/>
      <c r="CB254" s="531"/>
      <c r="CC254" s="531"/>
      <c r="CD254" s="531"/>
      <c r="CE254" s="531"/>
      <c r="CF254" s="531"/>
      <c r="CG254" s="531"/>
      <c r="CH254" s="509"/>
      <c r="CI254" s="509"/>
      <c r="CJ254" s="509"/>
      <c r="CK254" s="509"/>
      <c r="CL254" s="509"/>
      <c r="CM254" s="509"/>
      <c r="CN254" s="509"/>
      <c r="CO254" s="509"/>
      <c r="CP254" s="509"/>
      <c r="CQ254" s="509"/>
      <c r="CR254" s="509"/>
      <c r="CS254" s="509"/>
      <c r="CT254" s="509"/>
      <c r="CU254" s="509"/>
      <c r="CV254" s="509"/>
      <c r="CW254" s="509"/>
      <c r="CX254" s="509"/>
      <c r="CY254" s="509"/>
      <c r="CZ254" s="509"/>
      <c r="DA254" s="509"/>
      <c r="DB254" s="509"/>
      <c r="DC254" s="509"/>
      <c r="DD254" s="509"/>
      <c r="DE254" s="509"/>
      <c r="DF254" s="509"/>
      <c r="DG254" s="509"/>
      <c r="DH254" s="509"/>
      <c r="DI254" s="509"/>
    </row>
    <row r="255" spans="1:113">
      <c r="A255" s="34" t="s">
        <v>51</v>
      </c>
      <c r="AD255" s="70"/>
      <c r="AE255" s="70"/>
      <c r="AF255" s="70"/>
      <c r="AG255" s="70"/>
      <c r="AH255" s="70"/>
      <c r="AI255" s="70"/>
      <c r="AJ255" s="70"/>
      <c r="AK255" s="70"/>
      <c r="AL255" s="70"/>
      <c r="AM255" s="70"/>
      <c r="AN255" s="70"/>
      <c r="AO255" s="70"/>
      <c r="AP255" s="70"/>
      <c r="AQ255" s="70"/>
      <c r="AR255" s="70"/>
      <c r="AS255" s="70"/>
      <c r="AT255" s="70"/>
      <c r="AU255" s="70"/>
      <c r="AV255" s="70"/>
      <c r="AW255" s="70"/>
      <c r="AX255" s="394"/>
      <c r="AY255" s="394"/>
      <c r="AZ255" s="394"/>
      <c r="BA255" s="394"/>
      <c r="BB255" s="394"/>
      <c r="BC255" s="394"/>
      <c r="BD255" s="394"/>
      <c r="BE255" s="394"/>
      <c r="BF255" s="404"/>
      <c r="BG255" s="404"/>
      <c r="BH255" s="404"/>
      <c r="BI255" s="404"/>
      <c r="BJ255" s="404"/>
      <c r="BK255" s="404"/>
      <c r="BL255" s="404"/>
      <c r="BM255" s="404"/>
      <c r="BN255" s="404"/>
      <c r="BO255" s="404"/>
      <c r="BP255" s="404"/>
      <c r="BQ255" s="404"/>
      <c r="BR255" s="404"/>
      <c r="BS255" s="404"/>
      <c r="BT255" s="404"/>
      <c r="BU255" s="404"/>
      <c r="BV255" s="404"/>
      <c r="BW255" s="404"/>
      <c r="BX255" s="404"/>
      <c r="BY255" s="404"/>
      <c r="BZ255" s="404"/>
      <c r="CA255" s="404"/>
      <c r="CB255" s="404"/>
      <c r="CC255" s="404"/>
      <c r="CD255" s="404"/>
      <c r="CE255" s="404"/>
      <c r="CF255" s="404"/>
      <c r="CG255" s="404"/>
      <c r="CH255" s="404"/>
      <c r="CI255" s="404"/>
      <c r="CJ255" s="404"/>
      <c r="CK255" s="404"/>
      <c r="CL255" s="404"/>
      <c r="CM255" s="458"/>
      <c r="CN255" s="404"/>
      <c r="CO255" s="404"/>
      <c r="CP255" s="540"/>
      <c r="CQ255" s="458"/>
      <c r="CR255" s="404"/>
      <c r="CS255" s="404"/>
      <c r="CT255" s="404"/>
      <c r="CU255" s="404"/>
      <c r="CV255" s="404"/>
      <c r="CW255" s="404"/>
      <c r="CX255" s="404"/>
      <c r="CY255" s="404"/>
      <c r="CZ255" s="404"/>
      <c r="DA255" s="994"/>
      <c r="DB255" s="404"/>
      <c r="DC255" s="404"/>
      <c r="DD255" s="404"/>
      <c r="DE255" s="404"/>
      <c r="DF255" s="404"/>
      <c r="DG255" s="404"/>
      <c r="DH255" s="404"/>
      <c r="DI255" s="404"/>
    </row>
    <row r="256" spans="1:113">
      <c r="A256" s="301" t="s">
        <v>163</v>
      </c>
      <c r="AD256" s="70"/>
      <c r="AE256" s="70"/>
      <c r="AF256" s="70"/>
      <c r="AG256" s="70"/>
      <c r="AH256" s="70"/>
      <c r="AI256" s="70"/>
      <c r="AJ256" s="70"/>
      <c r="AK256" s="70"/>
      <c r="AL256" s="70"/>
      <c r="AM256" s="70"/>
      <c r="AN256" s="70"/>
      <c r="AO256" s="70"/>
      <c r="AP256" s="70"/>
      <c r="AQ256" s="70"/>
      <c r="AR256" s="70"/>
      <c r="AS256" s="70"/>
      <c r="AT256" s="70"/>
      <c r="AU256" s="70"/>
      <c r="AV256" s="70"/>
      <c r="AW256" s="70"/>
      <c r="AX256" s="394"/>
      <c r="AY256" s="394"/>
      <c r="AZ256" s="394"/>
      <c r="BA256" s="394"/>
      <c r="BB256" s="394"/>
      <c r="BC256" s="394"/>
      <c r="BD256" s="394"/>
      <c r="BE256" s="394"/>
      <c r="BF256" s="404"/>
      <c r="BG256" s="404"/>
      <c r="BH256" s="404"/>
      <c r="BI256" s="404"/>
      <c r="BJ256" s="404"/>
      <c r="BK256" s="404"/>
      <c r="BL256" s="404"/>
      <c r="BM256" s="404"/>
      <c r="BN256" s="404"/>
      <c r="BO256" s="404"/>
      <c r="BP256" s="404"/>
      <c r="BQ256" s="404"/>
      <c r="BR256" s="458">
        <f t="shared" ref="BR256:CP256" si="518">+BR127/BR126</f>
        <v>0.97894006017125668</v>
      </c>
      <c r="BS256" s="458">
        <f t="shared" si="518"/>
        <v>0.97942973523421584</v>
      </c>
      <c r="BT256" s="458">
        <f t="shared" si="518"/>
        <v>0.98072763028515242</v>
      </c>
      <c r="BU256" s="458">
        <f t="shared" si="518"/>
        <v>0.97856827220503761</v>
      </c>
      <c r="BV256" s="458">
        <f t="shared" si="518"/>
        <v>0.97132884567439537</v>
      </c>
      <c r="BW256" s="458">
        <f t="shared" si="518"/>
        <v>0.98078801693259521</v>
      </c>
      <c r="BX256" s="458">
        <f t="shared" si="518"/>
        <v>0.97352483128568956</v>
      </c>
      <c r="BY256" s="458">
        <f t="shared" si="518"/>
        <v>0.97566733248592696</v>
      </c>
      <c r="BZ256" s="458">
        <f t="shared" si="518"/>
        <v>0.97432483834157479</v>
      </c>
      <c r="CA256" s="458">
        <f t="shared" si="518"/>
        <v>0.97301532033426186</v>
      </c>
      <c r="CB256" s="458">
        <f t="shared" si="518"/>
        <v>0.97498298162014974</v>
      </c>
      <c r="CC256" s="458">
        <f t="shared" si="518"/>
        <v>0.97684923771880294</v>
      </c>
      <c r="CD256" s="458">
        <f t="shared" si="518"/>
        <v>0.97433404627649234</v>
      </c>
      <c r="CE256" s="458">
        <f t="shared" si="518"/>
        <v>0.97080914988050526</v>
      </c>
      <c r="CF256" s="458">
        <f t="shared" si="518"/>
        <v>0.96927272727272729</v>
      </c>
      <c r="CG256" s="458">
        <f t="shared" si="518"/>
        <v>0.97570403092214242</v>
      </c>
      <c r="CH256" s="458">
        <f t="shared" si="518"/>
        <v>0.96509803921568627</v>
      </c>
      <c r="CI256" s="458">
        <f t="shared" si="518"/>
        <v>0.96967643571065565</v>
      </c>
      <c r="CJ256" s="458">
        <f t="shared" si="518"/>
        <v>0.96989132371280951</v>
      </c>
      <c r="CK256" s="458">
        <f t="shared" si="518"/>
        <v>0.97160714285714289</v>
      </c>
      <c r="CL256" s="458">
        <f t="shared" si="518"/>
        <v>0.97061191626409016</v>
      </c>
      <c r="CM256" s="494">
        <f t="shared" si="518"/>
        <v>0.97182106375484323</v>
      </c>
      <c r="CN256" s="494">
        <f t="shared" si="518"/>
        <v>0.96983798690106859</v>
      </c>
      <c r="CO256" s="458">
        <f t="shared" si="518"/>
        <v>0.97121771217712172</v>
      </c>
      <c r="CP256" s="494">
        <f t="shared" si="518"/>
        <v>0.97176280758370315</v>
      </c>
      <c r="CQ256" s="494">
        <f>+CQ127/CQ126</f>
        <v>0.97005881304580288</v>
      </c>
      <c r="CR256" s="494">
        <f>+CR127/CR126</f>
        <v>0.97013142174432498</v>
      </c>
      <c r="CS256" s="494">
        <v>0.97133006713845038</v>
      </c>
      <c r="CT256" s="494">
        <f>+CT127/CT126</f>
        <v>0.97088680329438803</v>
      </c>
      <c r="CU256" s="494">
        <f>+CU127/CU126</f>
        <v>0.97254770672915969</v>
      </c>
      <c r="CV256" s="494">
        <f>+CV127/CV126</f>
        <v>0.97102649006622521</v>
      </c>
      <c r="CW256" s="494">
        <v>0.96976786035630735</v>
      </c>
      <c r="CX256" s="494">
        <f t="shared" ref="CX256" si="519">+CX127/CX126</f>
        <v>0.97104389524160828</v>
      </c>
      <c r="CY256" s="494">
        <f>+CY127/CY126</f>
        <v>0.96843369360096077</v>
      </c>
      <c r="CZ256" s="494">
        <f>+CZ127/CZ126</f>
        <v>0.97022938018545635</v>
      </c>
      <c r="DA256" s="494">
        <f>+DA127/DA126</f>
        <v>0.96680726205758294</v>
      </c>
      <c r="DB256" s="494">
        <f>+DB127/DB126</f>
        <v>0.96573836570172222</v>
      </c>
      <c r="DC256" s="494">
        <f>+DC127/DC126</f>
        <v>0.96470786896318816</v>
      </c>
      <c r="DD256" s="494">
        <v>0.96537244562165425</v>
      </c>
      <c r="DE256" s="1086">
        <v>0.96197632841471303</v>
      </c>
      <c r="DF256" s="494">
        <f t="shared" ref="DF256:DI256" si="520">+DF127/DF126</f>
        <v>0.96229615793154821</v>
      </c>
      <c r="DG256" s="494">
        <f t="shared" si="520"/>
        <v>0.96263047284251735</v>
      </c>
      <c r="DH256" s="494">
        <f t="shared" si="520"/>
        <v>0.96208116402056632</v>
      </c>
      <c r="DI256" s="494">
        <f t="shared" si="520"/>
        <v>0.95952190014644312</v>
      </c>
    </row>
    <row r="257" spans="1:114">
      <c r="A257" s="301" t="s">
        <v>607</v>
      </c>
      <c r="AD257" s="70"/>
      <c r="AE257" s="70"/>
      <c r="AF257" s="70"/>
      <c r="AG257" s="70"/>
      <c r="AH257" s="70"/>
      <c r="AI257" s="70"/>
      <c r="AJ257" s="70"/>
      <c r="AK257" s="70"/>
      <c r="AL257" s="70"/>
      <c r="AM257" s="70"/>
      <c r="AN257" s="70"/>
      <c r="AO257" s="70"/>
      <c r="AP257" s="70"/>
      <c r="AQ257" s="70"/>
      <c r="AR257" s="70"/>
      <c r="AS257" s="70"/>
      <c r="AT257" s="70"/>
      <c r="AU257" s="70"/>
      <c r="AV257" s="70"/>
      <c r="AW257" s="70"/>
      <c r="AX257" s="394"/>
      <c r="AY257" s="394"/>
      <c r="AZ257" s="394"/>
      <c r="BA257" s="394"/>
      <c r="BB257" s="394"/>
      <c r="BC257" s="394"/>
      <c r="BD257" s="394"/>
      <c r="BE257" s="394"/>
      <c r="BF257" s="404"/>
      <c r="BG257" s="404"/>
      <c r="BH257" s="404"/>
      <c r="BI257" s="404"/>
      <c r="BJ257" s="404"/>
      <c r="BK257" s="404"/>
      <c r="BL257" s="404"/>
      <c r="BM257" s="404"/>
      <c r="BN257" s="404"/>
      <c r="BO257" s="404"/>
      <c r="BP257" s="404"/>
      <c r="BQ257" s="404"/>
      <c r="BR257" s="458">
        <f t="shared" ref="BR257:CQ257" si="521">+BR149/BR148</f>
        <v>0.9813895781637717</v>
      </c>
      <c r="BS257" s="458">
        <f t="shared" si="521"/>
        <v>0.98171428571428576</v>
      </c>
      <c r="BT257" s="458">
        <f t="shared" si="521"/>
        <v>0.98439241917502784</v>
      </c>
      <c r="BU257" s="458">
        <f t="shared" si="521"/>
        <v>0.98051157125456756</v>
      </c>
      <c r="BV257" s="458">
        <f t="shared" si="521"/>
        <v>0.97701149425287359</v>
      </c>
      <c r="BW257" s="458">
        <f t="shared" si="521"/>
        <v>0.97900763358778631</v>
      </c>
      <c r="BX257" s="458">
        <f t="shared" si="521"/>
        <v>0.97235023041474655</v>
      </c>
      <c r="BY257" s="458">
        <f t="shared" si="521"/>
        <v>0.97449521785334747</v>
      </c>
      <c r="BZ257" s="458">
        <f t="shared" si="521"/>
        <v>0.97301854974704893</v>
      </c>
      <c r="CA257" s="458">
        <f t="shared" si="521"/>
        <v>0.97108307045215558</v>
      </c>
      <c r="CB257" s="458">
        <f t="shared" si="521"/>
        <v>0.9701570680628272</v>
      </c>
      <c r="CC257" s="458">
        <f t="shared" si="521"/>
        <v>0.97040409789413773</v>
      </c>
      <c r="CD257" s="458">
        <f t="shared" si="521"/>
        <v>0.96946107784431135</v>
      </c>
      <c r="CE257" s="458">
        <f t="shared" si="521"/>
        <v>0.97138314785373614</v>
      </c>
      <c r="CF257" s="458">
        <f t="shared" si="521"/>
        <v>0.9656554092730395</v>
      </c>
      <c r="CG257" s="458">
        <f t="shared" si="521"/>
        <v>0.97598627787307035</v>
      </c>
      <c r="CH257" s="458">
        <f t="shared" si="521"/>
        <v>0.97225647348951916</v>
      </c>
      <c r="CI257" s="458">
        <f t="shared" si="521"/>
        <v>0.9781333333333333</v>
      </c>
      <c r="CJ257" s="458">
        <f t="shared" si="521"/>
        <v>0.97933409873708377</v>
      </c>
      <c r="CK257" s="458">
        <f t="shared" si="521"/>
        <v>0.98223495702005725</v>
      </c>
      <c r="CL257" s="458">
        <f t="shared" si="521"/>
        <v>0.98097112860892388</v>
      </c>
      <c r="CM257" s="494">
        <f t="shared" si="521"/>
        <v>0.98391728891441699</v>
      </c>
      <c r="CN257" s="494">
        <f t="shared" si="521"/>
        <v>0.9868646487721302</v>
      </c>
      <c r="CO257" s="458">
        <f t="shared" si="521"/>
        <v>0.98899082568807339</v>
      </c>
      <c r="CP257" s="494">
        <f t="shared" si="521"/>
        <v>0.99050203527815472</v>
      </c>
      <c r="CQ257" s="494">
        <f t="shared" si="521"/>
        <v>0.99087591240875916</v>
      </c>
      <c r="CR257" s="494">
        <f>+CR149/CR148</f>
        <v>0.99116087212728343</v>
      </c>
      <c r="CS257" s="494">
        <v>0.9912554653341662</v>
      </c>
      <c r="CT257" s="494">
        <f>+CT149/CT148</f>
        <v>0.98996655518394649</v>
      </c>
      <c r="CU257" s="494">
        <f>+CU149/CU148</f>
        <v>0.99117127722189524</v>
      </c>
      <c r="CV257" s="494">
        <f>+CV149/CV148</f>
        <v>0.9928656361474435</v>
      </c>
      <c r="CW257" s="494">
        <v>0.99159663865546221</v>
      </c>
      <c r="CX257" s="494">
        <f t="shared" ref="CX257:CY257" si="522">+CX149/CX148</f>
        <v>0.99199466310873918</v>
      </c>
      <c r="CY257" s="494">
        <f t="shared" si="522"/>
        <v>0.98936835522201372</v>
      </c>
      <c r="CZ257" s="1026">
        <f>+CZ149/CZ148</f>
        <v>0.98982645122681034</v>
      </c>
      <c r="DA257" s="1026">
        <f>+DA149/DA148</f>
        <v>0.99052774018944523</v>
      </c>
      <c r="DB257" s="1026">
        <f>+DB149/DB148</f>
        <v>0.99041095890410957</v>
      </c>
      <c r="DC257" s="1026">
        <f>+DC149/DC148</f>
        <v>0.98714652956298199</v>
      </c>
      <c r="DD257" s="1026">
        <v>0.98880469295378826</v>
      </c>
      <c r="DE257" s="1086">
        <v>0.99099999999999999</v>
      </c>
      <c r="DF257" s="494">
        <f t="shared" ref="DF257:DI257" si="523">+DF149/DF148</f>
        <v>0.98893718710967737</v>
      </c>
      <c r="DG257" s="494">
        <f t="shared" si="523"/>
        <v>0.98868662889647663</v>
      </c>
      <c r="DH257" s="494">
        <f t="shared" si="523"/>
        <v>0.98947724747472454</v>
      </c>
      <c r="DI257" s="494">
        <f t="shared" si="523"/>
        <v>0.98803085710423677</v>
      </c>
    </row>
    <row r="258" spans="1:114">
      <c r="A258" s="301" t="s">
        <v>108</v>
      </c>
      <c r="AD258" s="70"/>
      <c r="AE258" s="70"/>
      <c r="AF258" s="70"/>
      <c r="AG258" s="70"/>
      <c r="AH258" s="70"/>
      <c r="AI258" s="70"/>
      <c r="AJ258" s="70"/>
      <c r="AK258" s="70"/>
      <c r="AL258" s="70"/>
      <c r="AM258" s="70"/>
      <c r="AN258" s="70"/>
      <c r="AO258" s="70"/>
      <c r="AP258" s="70"/>
      <c r="AQ258" s="70"/>
      <c r="AR258" s="70"/>
      <c r="AS258" s="70"/>
      <c r="AT258" s="70"/>
      <c r="AU258" s="70"/>
      <c r="AV258" s="70"/>
      <c r="AW258" s="70"/>
      <c r="AX258" s="394"/>
      <c r="AY258" s="394"/>
      <c r="AZ258" s="394"/>
      <c r="BA258" s="394"/>
      <c r="BB258" s="394"/>
      <c r="BC258" s="394"/>
      <c r="BD258" s="394"/>
      <c r="BE258" s="394"/>
      <c r="BF258" s="404"/>
      <c r="BG258" s="404"/>
      <c r="BH258" s="404"/>
      <c r="BI258" s="404"/>
      <c r="BJ258" s="404"/>
      <c r="BK258" s="404"/>
      <c r="BL258" s="404"/>
      <c r="BM258" s="404"/>
      <c r="BN258" s="404"/>
      <c r="BO258" s="404"/>
      <c r="BP258" s="404"/>
      <c r="BQ258" s="404"/>
      <c r="BR258" s="458">
        <f t="shared" ref="BR258:CG258" si="524">+BR161/BR160</f>
        <v>0.97837837837837838</v>
      </c>
      <c r="BS258" s="458">
        <f t="shared" si="524"/>
        <v>0.97893432465923169</v>
      </c>
      <c r="BT258" s="458">
        <f t="shared" si="524"/>
        <v>0.97994269340974216</v>
      </c>
      <c r="BU258" s="458">
        <f t="shared" si="524"/>
        <v>0.9781376518218623</v>
      </c>
      <c r="BV258" s="458">
        <f t="shared" si="524"/>
        <v>0.97013574660633484</v>
      </c>
      <c r="BW258" s="458">
        <f t="shared" si="524"/>
        <v>0.98171033119130002</v>
      </c>
      <c r="BX258" s="458">
        <f t="shared" si="524"/>
        <v>0.97412441191845267</v>
      </c>
      <c r="BY258" s="458">
        <f t="shared" si="524"/>
        <v>0.97627586206896555</v>
      </c>
      <c r="BZ258" s="458">
        <f t="shared" si="524"/>
        <v>0.97499281402701921</v>
      </c>
      <c r="CA258" s="458">
        <f t="shared" si="524"/>
        <v>0.97397188964081205</v>
      </c>
      <c r="CB258" s="458">
        <f t="shared" si="524"/>
        <v>0.9773071104387292</v>
      </c>
      <c r="CC258" s="458">
        <f t="shared" si="524"/>
        <v>0.98003374578177727</v>
      </c>
      <c r="CD258" s="458">
        <f t="shared" si="524"/>
        <v>0.97667722430175641</v>
      </c>
      <c r="CE258" s="458">
        <f t="shared" si="524"/>
        <v>0.97053638881893733</v>
      </c>
      <c r="CF258" s="458">
        <f t="shared" si="524"/>
        <v>0.97095656807887021</v>
      </c>
      <c r="CG258" s="458">
        <f t="shared" si="524"/>
        <v>0.97557003257328989</v>
      </c>
      <c r="CH258" s="458">
        <f t="shared" ref="CH258:CR258" si="525">+CH161/CH$160</f>
        <v>0.96175963197239789</v>
      </c>
      <c r="CI258" s="458">
        <f t="shared" si="525"/>
        <v>0.96573982125124136</v>
      </c>
      <c r="CJ258" s="458">
        <f t="shared" si="525"/>
        <v>0.96564195298372513</v>
      </c>
      <c r="CK258" s="458">
        <f t="shared" si="525"/>
        <v>0.96679636835278859</v>
      </c>
      <c r="CL258" s="458">
        <f t="shared" si="525"/>
        <v>0.96602787456445993</v>
      </c>
      <c r="CM258" s="458">
        <f t="shared" si="525"/>
        <v>0.96647193294386591</v>
      </c>
      <c r="CN258" s="458">
        <f t="shared" si="525"/>
        <v>0.96247840039496424</v>
      </c>
      <c r="CO258" s="458">
        <f t="shared" si="525"/>
        <v>0.96354029062087188</v>
      </c>
      <c r="CP258" s="458">
        <f t="shared" si="525"/>
        <v>0.96383467278989665</v>
      </c>
      <c r="CQ258" s="458">
        <f t="shared" si="525"/>
        <v>0.96143181245273501</v>
      </c>
      <c r="CR258" s="458">
        <f t="shared" si="525"/>
        <v>0.96155694377703027</v>
      </c>
      <c r="CS258" s="458">
        <v>0.96317135549872124</v>
      </c>
      <c r="CT258" s="458">
        <f>+CT161/CT$160</f>
        <v>0.96323134728931825</v>
      </c>
      <c r="CU258" s="458">
        <f>+CU161/CU$160</f>
        <v>0.96514619883040931</v>
      </c>
      <c r="CV258" s="458">
        <f>+CV161/CV$160</f>
        <v>0.96259752179899039</v>
      </c>
      <c r="CW258" s="458">
        <v>0.96134663341645887</v>
      </c>
      <c r="CX258" s="458">
        <f t="shared" ref="CX258:CY258" si="526">+CX161/CX$160</f>
        <v>0.96303849095080296</v>
      </c>
      <c r="CY258" s="458">
        <f t="shared" si="526"/>
        <v>0.96052009456264775</v>
      </c>
      <c r="CZ258" s="458">
        <f>+CZ161/CZ$160</f>
        <v>0.9629133154602324</v>
      </c>
      <c r="DA258" s="458">
        <f>+DA161/DA$160</f>
        <v>0.95798742138364779</v>
      </c>
      <c r="DB258" s="458">
        <f>+DB161/DB$160</f>
        <v>0.95672836418209106</v>
      </c>
      <c r="DC258" s="458">
        <f>+DC161/DC$160</f>
        <v>0.95671094823637193</v>
      </c>
      <c r="DD258" s="458">
        <f>+DD161/DD$160</f>
        <v>0.95532879818594107</v>
      </c>
      <c r="DE258" s="1086">
        <v>0.95275329076251403</v>
      </c>
      <c r="DF258" s="458">
        <f t="shared" ref="DF258:DI258" si="527">+DF161/DF$160</f>
        <v>0.95291977932409588</v>
      </c>
      <c r="DG258" s="458">
        <f t="shared" si="527"/>
        <v>0.95370050104517157</v>
      </c>
      <c r="DH258" s="458">
        <f t="shared" si="527"/>
        <v>0.95269867171734013</v>
      </c>
      <c r="DI258" s="458">
        <f t="shared" si="527"/>
        <v>0.9500904679488722</v>
      </c>
    </row>
    <row r="259" spans="1:114">
      <c r="A259" s="301" t="s">
        <v>52</v>
      </c>
      <c r="AD259" s="70"/>
      <c r="AE259" s="70"/>
      <c r="AF259" s="70"/>
      <c r="AG259" s="70"/>
      <c r="AH259" s="70"/>
      <c r="AI259" s="70"/>
      <c r="AJ259" s="70"/>
      <c r="AK259" s="70"/>
      <c r="AL259" s="70"/>
      <c r="AM259" s="70"/>
      <c r="AN259" s="70"/>
      <c r="AO259" s="70"/>
      <c r="AP259" s="70"/>
      <c r="AQ259" s="70"/>
      <c r="AR259" s="70"/>
      <c r="AS259" s="70"/>
      <c r="AT259" s="70"/>
      <c r="AU259" s="70"/>
      <c r="AV259" s="70"/>
      <c r="AW259" s="70"/>
      <c r="AX259" s="394"/>
      <c r="AY259" s="394"/>
      <c r="AZ259" s="394"/>
      <c r="BA259" s="394"/>
      <c r="BB259" s="394"/>
      <c r="BC259" s="394"/>
      <c r="BD259" s="394"/>
      <c r="BE259" s="394"/>
      <c r="BF259" s="404"/>
      <c r="BG259" s="404"/>
      <c r="BH259" s="404"/>
      <c r="BI259" s="404"/>
      <c r="BJ259" s="404"/>
      <c r="BK259" s="404"/>
      <c r="BL259" s="404"/>
      <c r="BM259" s="404"/>
      <c r="BN259" s="404"/>
      <c r="BO259" s="404"/>
      <c r="BP259" s="404"/>
      <c r="BQ259" s="404"/>
      <c r="BR259" s="458">
        <f t="shared" ref="BR259:CG259" si="528">+BR173/BR172</f>
        <v>0.96122633002705138</v>
      </c>
      <c r="BS259" s="458">
        <f t="shared" si="528"/>
        <v>0.96416022487702036</v>
      </c>
      <c r="BT259" s="458">
        <f t="shared" si="528"/>
        <v>0.9681881051175657</v>
      </c>
      <c r="BU259" s="458">
        <f t="shared" si="528"/>
        <v>0.96601941747572817</v>
      </c>
      <c r="BV259" s="458">
        <f t="shared" si="528"/>
        <v>0.9539207760711399</v>
      </c>
      <c r="BW259" s="458">
        <f t="shared" si="528"/>
        <v>0.97356245869134173</v>
      </c>
      <c r="BX259" s="458">
        <f t="shared" si="528"/>
        <v>0.96684709066305818</v>
      </c>
      <c r="BY259" s="458">
        <f t="shared" si="528"/>
        <v>0.96919431279620849</v>
      </c>
      <c r="BZ259" s="458">
        <f t="shared" si="528"/>
        <v>0.96327467482785001</v>
      </c>
      <c r="CA259" s="458">
        <f t="shared" si="528"/>
        <v>0.9638942617666022</v>
      </c>
      <c r="CB259" s="458">
        <f t="shared" si="528"/>
        <v>0.97312500000000002</v>
      </c>
      <c r="CC259" s="458">
        <f t="shared" si="528"/>
        <v>0.98255352894528147</v>
      </c>
      <c r="CD259" s="458">
        <f t="shared" si="528"/>
        <v>0.98395331874544123</v>
      </c>
      <c r="CE259" s="458">
        <f t="shared" si="528"/>
        <v>0.97098765432098766</v>
      </c>
      <c r="CF259" s="458">
        <f t="shared" si="528"/>
        <v>0.96507936507936509</v>
      </c>
      <c r="CG259" s="458">
        <f t="shared" si="528"/>
        <v>0.97038567493112948</v>
      </c>
      <c r="CH259" s="458">
        <f t="shared" ref="CH259:CR259" si="529">CH258/CD258*CD259</f>
        <v>0.96892459265770281</v>
      </c>
      <c r="CI259" s="458">
        <f t="shared" si="529"/>
        <v>0.96618885651700537</v>
      </c>
      <c r="CJ259" s="458">
        <f t="shared" si="529"/>
        <v>0.9597969193652256</v>
      </c>
      <c r="CK259" s="458">
        <f t="shared" si="529"/>
        <v>0.96165863556751452</v>
      </c>
      <c r="CL259" s="458">
        <f t="shared" si="529"/>
        <v>0.97322463299771655</v>
      </c>
      <c r="CM259" s="458">
        <f t="shared" si="529"/>
        <v>0.9669213086159808</v>
      </c>
      <c r="CN259" s="458">
        <f t="shared" si="529"/>
        <v>0.95665251576971011</v>
      </c>
      <c r="CO259" s="458">
        <f t="shared" si="529"/>
        <v>0.95841986122839307</v>
      </c>
      <c r="CP259" s="458">
        <f t="shared" si="529"/>
        <v>0.97101509220873916</v>
      </c>
      <c r="CQ259" s="458">
        <f t="shared" si="529"/>
        <v>0.96187884464496598</v>
      </c>
      <c r="CR259" s="458">
        <f t="shared" si="529"/>
        <v>0.95573663673142994</v>
      </c>
      <c r="CS259" s="458">
        <v>0.95805288669498145</v>
      </c>
      <c r="CT259" s="458">
        <f t="shared" ref="CT259:DB259" si="530">CT258/CP258*CP259</f>
        <v>0.97040727202638333</v>
      </c>
      <c r="CU259" s="458">
        <f t="shared" si="530"/>
        <v>0.96559495808249385</v>
      </c>
      <c r="CV259" s="458">
        <f t="shared" si="530"/>
        <v>0.95677091613152287</v>
      </c>
      <c r="CW259" s="458">
        <f t="shared" si="530"/>
        <v>0.95623786151971302</v>
      </c>
      <c r="CX259" s="458">
        <f t="shared" si="530"/>
        <v>0.97021297893793856</v>
      </c>
      <c r="CY259" s="458">
        <f t="shared" si="530"/>
        <v>0.96096670283792307</v>
      </c>
      <c r="CZ259" s="458">
        <f t="shared" si="530"/>
        <v>0.95708479829279258</v>
      </c>
      <c r="DA259" s="458">
        <f t="shared" si="530"/>
        <v>0.9528965009542415</v>
      </c>
      <c r="DB259" s="458">
        <f t="shared" si="530"/>
        <v>0.96385584269958979</v>
      </c>
      <c r="DC259" s="458">
        <v>0.96384045354534098</v>
      </c>
      <c r="DD259" s="458">
        <v>0.96</v>
      </c>
      <c r="DE259" s="1086">
        <v>0.95640177759933231</v>
      </c>
      <c r="DF259" s="458">
        <f>+AVERAGE(DB259,CU259,CT259,CP259)</f>
        <v>0.96771829125430153</v>
      </c>
      <c r="DG259" s="458">
        <f t="shared" ref="DG259:DI259" si="531">+AVERAGE(DC259,CY259,CU259,CQ259)</f>
        <v>0.96307023977768091</v>
      </c>
      <c r="DH259" s="458">
        <f t="shared" si="531"/>
        <v>0.95739808778893631</v>
      </c>
      <c r="DI259" s="458">
        <f t="shared" si="531"/>
        <v>0.95589725669206704</v>
      </c>
    </row>
    <row r="260" spans="1:114">
      <c r="A260" s="34"/>
      <c r="AD260" s="70"/>
      <c r="AE260" s="70"/>
      <c r="AF260" s="70"/>
      <c r="AG260" s="70"/>
      <c r="AH260" s="70"/>
      <c r="AI260" s="70"/>
      <c r="AJ260" s="70"/>
      <c r="AK260" s="70"/>
      <c r="AL260" s="70"/>
      <c r="AM260" s="70"/>
      <c r="AN260" s="70"/>
      <c r="AO260" s="70"/>
      <c r="AP260" s="70"/>
      <c r="AQ260" s="70"/>
      <c r="AR260" s="70"/>
      <c r="AS260" s="70"/>
      <c r="AT260" s="70"/>
      <c r="AU260" s="70"/>
      <c r="AV260" s="70"/>
      <c r="AW260" s="70"/>
      <c r="AX260" s="394"/>
      <c r="AY260" s="394"/>
      <c r="AZ260" s="394"/>
      <c r="BA260" s="394"/>
      <c r="BB260" s="394"/>
      <c r="BC260" s="394"/>
      <c r="BD260" s="394"/>
      <c r="BE260" s="394"/>
      <c r="BF260" s="404"/>
      <c r="BG260" s="404"/>
      <c r="BH260" s="404"/>
      <c r="BI260" s="404"/>
      <c r="BJ260" s="404"/>
      <c r="BK260" s="404"/>
      <c r="BL260" s="404"/>
      <c r="BM260" s="404"/>
      <c r="BN260" s="404"/>
      <c r="BO260" s="404"/>
      <c r="BP260" s="404"/>
      <c r="BQ260" s="404"/>
      <c r="BR260" s="404"/>
      <c r="BS260" s="404"/>
      <c r="BT260" s="404"/>
      <c r="BU260" s="404"/>
      <c r="BV260" s="404"/>
      <c r="BW260" s="404"/>
      <c r="BX260" s="404"/>
      <c r="BY260" s="404"/>
      <c r="BZ260" s="404"/>
      <c r="CA260" s="404"/>
      <c r="CB260" s="404"/>
      <c r="CC260" s="404"/>
      <c r="CD260" s="404"/>
      <c r="CE260" s="404"/>
      <c r="CF260" s="404"/>
      <c r="CG260" s="404"/>
      <c r="CH260" s="404"/>
      <c r="CI260" s="404"/>
      <c r="CJ260" s="404"/>
      <c r="CK260" s="404"/>
      <c r="CL260" s="404"/>
      <c r="CM260" s="404"/>
      <c r="CN260" s="404"/>
      <c r="CO260" s="404"/>
      <c r="CP260" s="404"/>
      <c r="CQ260" s="404"/>
      <c r="CR260" s="404"/>
      <c r="CS260" s="404"/>
      <c r="CT260" s="404"/>
      <c r="CU260" s="404"/>
      <c r="CV260" s="404"/>
      <c r="CW260" s="404"/>
      <c r="CX260" s="404"/>
      <c r="CY260" s="404"/>
      <c r="CZ260" s="404"/>
      <c r="DA260" s="994"/>
      <c r="DB260" s="404"/>
      <c r="DC260" s="404"/>
      <c r="DD260" s="404"/>
      <c r="DE260" s="404"/>
      <c r="DF260" s="404"/>
      <c r="DG260" s="404"/>
      <c r="DH260" s="404"/>
      <c r="DI260" s="404"/>
    </row>
    <row r="261" spans="1:114">
      <c r="A261" s="195" t="s">
        <v>48</v>
      </c>
      <c r="B261" s="195"/>
      <c r="C261" s="195"/>
      <c r="D261" s="195"/>
      <c r="E261" s="195"/>
      <c r="F261" s="195"/>
      <c r="G261" s="195"/>
      <c r="H261" s="195"/>
      <c r="I261" s="195"/>
      <c r="J261" s="195"/>
      <c r="K261" s="195"/>
      <c r="L261" s="195"/>
      <c r="M261" s="195"/>
      <c r="N261" s="195"/>
      <c r="O261" s="195"/>
      <c r="P261" s="195"/>
      <c r="Q261" s="195"/>
      <c r="R261" s="195"/>
      <c r="S261" s="195"/>
      <c r="T261" s="195"/>
      <c r="U261" s="195"/>
      <c r="V261" s="195"/>
      <c r="W261" s="195"/>
      <c r="X261" s="195"/>
      <c r="Y261" s="195"/>
      <c r="Z261" s="195"/>
      <c r="AA261" s="195"/>
      <c r="AB261" s="195"/>
      <c r="AD261" s="195"/>
      <c r="AE261" s="195"/>
      <c r="AF261" s="195"/>
      <c r="AG261" s="195"/>
      <c r="AH261" s="195"/>
      <c r="AI261" s="195"/>
      <c r="AJ261" s="195"/>
      <c r="AK261" s="195"/>
      <c r="AL261" s="195"/>
      <c r="AM261" s="195"/>
      <c r="AN261" s="195"/>
      <c r="AO261" s="195"/>
      <c r="AP261" s="195"/>
      <c r="AQ261" s="195"/>
      <c r="AR261" s="195"/>
      <c r="AS261" s="195"/>
      <c r="AT261" s="195"/>
      <c r="AU261" s="195"/>
      <c r="AV261" s="195"/>
      <c r="AW261" s="195"/>
      <c r="AX261" s="195"/>
      <c r="AY261" s="195"/>
      <c r="AZ261" s="195"/>
      <c r="BA261" s="195"/>
      <c r="BB261" s="195"/>
      <c r="BC261" s="195"/>
      <c r="BD261" s="195"/>
      <c r="BE261" s="195"/>
      <c r="BF261" s="195"/>
      <c r="BG261" s="195"/>
      <c r="BH261" s="195"/>
      <c r="BI261" s="195"/>
      <c r="BJ261" s="195"/>
      <c r="BK261" s="195"/>
      <c r="BL261" s="195"/>
      <c r="BM261" s="195"/>
      <c r="BN261" s="195"/>
      <c r="BO261" s="195"/>
      <c r="BP261" s="195"/>
      <c r="BQ261" s="195"/>
      <c r="BR261" s="195"/>
      <c r="BS261" s="195"/>
      <c r="BT261" s="195"/>
      <c r="BU261" s="195"/>
      <c r="BV261" s="195"/>
      <c r="BW261" s="195"/>
      <c r="BX261" s="195"/>
      <c r="BY261" s="195"/>
      <c r="BZ261" s="195"/>
      <c r="CA261" s="195"/>
      <c r="CB261" s="195"/>
      <c r="CC261" s="195"/>
      <c r="CD261" s="195"/>
      <c r="CE261" s="195"/>
      <c r="CF261" s="195"/>
      <c r="CG261" s="195"/>
      <c r="CH261" s="195"/>
      <c r="CI261" s="195"/>
      <c r="CJ261" s="195"/>
      <c r="CK261" s="195"/>
      <c r="CL261" s="195"/>
      <c r="CM261" s="195"/>
      <c r="CN261" s="195"/>
      <c r="CO261" s="195"/>
      <c r="CP261" s="195"/>
      <c r="CQ261" s="195"/>
      <c r="CR261" s="195"/>
      <c r="CS261" s="195"/>
      <c r="CT261" s="195"/>
      <c r="CU261" s="195"/>
      <c r="CV261" s="195"/>
      <c r="CW261" s="195"/>
      <c r="CX261" s="195"/>
      <c r="CY261" s="195"/>
      <c r="CZ261" s="195"/>
      <c r="DA261" s="195"/>
      <c r="DB261" s="195"/>
      <c r="DC261" s="195"/>
      <c r="DD261" s="195"/>
      <c r="DE261" s="195"/>
      <c r="DF261" s="195"/>
      <c r="DG261" s="195"/>
      <c r="DH261" s="195"/>
      <c r="DI261" s="195"/>
    </row>
    <row r="262" spans="1:114">
      <c r="A262" s="34"/>
      <c r="AD262" s="70"/>
      <c r="AE262" s="70"/>
      <c r="AF262" s="70"/>
      <c r="AG262" s="70"/>
      <c r="AH262" s="70"/>
      <c r="AI262" s="70"/>
      <c r="AJ262" s="70"/>
      <c r="AK262" s="70"/>
      <c r="AL262" s="70"/>
      <c r="AM262" s="70"/>
      <c r="AN262" s="70"/>
      <c r="AO262" s="70"/>
      <c r="AP262" s="70"/>
      <c r="AQ262" s="70"/>
      <c r="AR262" s="70"/>
      <c r="AS262" s="70"/>
      <c r="AT262" s="70"/>
      <c r="AU262" s="70"/>
      <c r="AV262" s="70"/>
      <c r="AW262" s="70"/>
      <c r="AX262" s="394"/>
      <c r="AY262" s="394"/>
      <c r="AZ262" s="394"/>
      <c r="BA262" s="394"/>
      <c r="BB262" s="394"/>
      <c r="BC262" s="394"/>
      <c r="BD262" s="394"/>
      <c r="BE262" s="394"/>
      <c r="BF262" s="404"/>
      <c r="BG262" s="404"/>
      <c r="BH262" s="404"/>
      <c r="BI262" s="404"/>
      <c r="BJ262" s="404"/>
      <c r="BK262" s="404"/>
      <c r="BL262" s="404"/>
      <c r="BM262" s="404"/>
      <c r="BN262" s="404"/>
      <c r="BO262" s="404"/>
      <c r="BP262" s="404"/>
      <c r="BQ262" s="404"/>
      <c r="BR262" s="404"/>
      <c r="BS262" s="404"/>
      <c r="BT262" s="404"/>
      <c r="BU262" s="404"/>
      <c r="BV262" s="404"/>
      <c r="BW262" s="404"/>
      <c r="BX262" s="404"/>
      <c r="BY262" s="404"/>
      <c r="BZ262" s="404"/>
      <c r="CA262" s="404"/>
      <c r="CB262" s="404"/>
      <c r="CC262" s="404"/>
      <c r="CD262" s="404"/>
      <c r="CE262" s="404"/>
      <c r="CF262" s="404"/>
      <c r="CG262" s="404"/>
      <c r="CH262" s="404"/>
      <c r="CI262" s="404"/>
      <c r="CJ262" s="404"/>
      <c r="CK262" s="404"/>
      <c r="CL262" s="404"/>
      <c r="CM262" s="404"/>
      <c r="CN262" s="404"/>
      <c r="CO262" s="404"/>
      <c r="CP262" s="404"/>
      <c r="CQ262" s="404"/>
      <c r="CR262" s="404"/>
      <c r="CS262" s="404"/>
      <c r="CT262" s="404"/>
      <c r="CU262" s="404"/>
      <c r="CV262" s="404"/>
      <c r="CW262" s="404"/>
      <c r="CX262" s="404"/>
      <c r="CY262" s="404"/>
      <c r="CZ262" s="404"/>
      <c r="DA262" s="404"/>
      <c r="DB262" s="404"/>
      <c r="DC262" s="404"/>
      <c r="DD262" s="404"/>
      <c r="DE262" s="404"/>
      <c r="DF262" s="404"/>
      <c r="DG262" s="404"/>
      <c r="DH262" s="404"/>
      <c r="DI262" s="404"/>
    </row>
    <row r="263" spans="1:114">
      <c r="A263" s="301" t="s">
        <v>246</v>
      </c>
      <c r="B263" s="806">
        <f>+B296</f>
        <v>208.2</v>
      </c>
      <c r="C263" s="806">
        <f t="shared" ref="C263:W263" si="532">+C296</f>
        <v>211.9</v>
      </c>
      <c r="D263" s="806">
        <f t="shared" si="532"/>
        <v>207.1</v>
      </c>
      <c r="E263" s="806">
        <f t="shared" si="532"/>
        <v>191.6</v>
      </c>
      <c r="F263" s="806">
        <f t="shared" si="532"/>
        <v>187.2</v>
      </c>
      <c r="G263" s="806">
        <f t="shared" si="532"/>
        <v>187.1</v>
      </c>
      <c r="H263" s="806">
        <f t="shared" si="532"/>
        <v>185.5</v>
      </c>
      <c r="I263" s="806">
        <f t="shared" si="532"/>
        <v>183.4</v>
      </c>
      <c r="J263" s="806">
        <f t="shared" si="532"/>
        <v>175.1</v>
      </c>
      <c r="K263" s="806">
        <f t="shared" si="532"/>
        <v>169.4</v>
      </c>
      <c r="L263" s="806">
        <f t="shared" si="532"/>
        <v>148.69999999999999</v>
      </c>
      <c r="M263" s="806">
        <f t="shared" si="532"/>
        <v>140.80000000000001</v>
      </c>
      <c r="N263" s="806">
        <f t="shared" si="532"/>
        <v>135.14600000000002</v>
      </c>
      <c r="O263" s="806">
        <f t="shared" si="532"/>
        <v>134.874</v>
      </c>
      <c r="P263" s="806">
        <f t="shared" si="532"/>
        <v>129.31200000000001</v>
      </c>
      <c r="Q263" s="806">
        <f t="shared" si="532"/>
        <v>125.39</v>
      </c>
      <c r="R263" s="806">
        <f t="shared" si="532"/>
        <v>126.018</v>
      </c>
      <c r="S263" s="806">
        <f>+S296</f>
        <v>122.92999999999999</v>
      </c>
      <c r="T263" s="806">
        <f>+T296</f>
        <v>116.60599999999999</v>
      </c>
      <c r="U263" s="806">
        <f t="shared" si="532"/>
        <v>111.94175999999999</v>
      </c>
      <c r="V263" s="806">
        <f t="shared" si="532"/>
        <v>107.74394399999998</v>
      </c>
      <c r="W263" s="806">
        <f t="shared" si="532"/>
        <v>103.97290595999998</v>
      </c>
      <c r="X263" s="806">
        <f>+X296</f>
        <v>100.64577296927997</v>
      </c>
      <c r="Y263" s="806">
        <f>+Y296</f>
        <v>97.425108234263007</v>
      </c>
      <c r="Z263" s="806">
        <f>+Z296</f>
        <v>94.307504770766585</v>
      </c>
      <c r="AA263" s="806">
        <f>+AA296</f>
        <v>91.289664618102051</v>
      </c>
      <c r="AB263" s="806">
        <f>+AB296</f>
        <v>88.368395350322785</v>
      </c>
      <c r="AD263" s="541">
        <v>54.5</v>
      </c>
      <c r="AE263" s="541">
        <v>57.3</v>
      </c>
      <c r="AF263" s="541">
        <v>61.3</v>
      </c>
      <c r="AG263" s="541">
        <v>54.6</v>
      </c>
      <c r="AH263" s="541">
        <v>49.3</v>
      </c>
      <c r="AI263" s="541">
        <v>51.8</v>
      </c>
      <c r="AJ263" s="541">
        <v>54.8</v>
      </c>
      <c r="AK263" s="541">
        <v>52.3</v>
      </c>
      <c r="AL263" s="541">
        <v>52.8</v>
      </c>
      <c r="AM263" s="541">
        <v>53.7</v>
      </c>
      <c r="AN263" s="541">
        <v>54.1</v>
      </c>
      <c r="AO263" s="541">
        <v>51.4</v>
      </c>
      <c r="AP263" s="541">
        <v>51.6</v>
      </c>
      <c r="AQ263" s="541">
        <v>53.7</v>
      </c>
      <c r="AR263" s="541">
        <v>52.5</v>
      </c>
      <c r="AS263" s="541">
        <v>49.3</v>
      </c>
      <c r="AT263" s="541">
        <v>52.3</v>
      </c>
      <c r="AU263" s="541">
        <v>46.3</v>
      </c>
      <c r="AV263" s="541">
        <v>49.4</v>
      </c>
      <c r="AW263" s="541">
        <v>43.7</v>
      </c>
      <c r="AX263" s="541">
        <v>51.6</v>
      </c>
      <c r="AY263" s="541">
        <v>53.7</v>
      </c>
      <c r="AZ263" s="541">
        <v>52.5</v>
      </c>
      <c r="BA263" s="541">
        <v>49.3</v>
      </c>
      <c r="BB263" s="541">
        <v>43.1</v>
      </c>
      <c r="BC263" s="541">
        <v>48.6</v>
      </c>
      <c r="BD263" s="541">
        <v>48.3</v>
      </c>
      <c r="BE263" s="541">
        <v>47.1</v>
      </c>
      <c r="BF263" s="542">
        <v>42.8</v>
      </c>
      <c r="BG263" s="542">
        <v>49.3</v>
      </c>
      <c r="BH263" s="542">
        <v>47.9</v>
      </c>
      <c r="BI263" s="542">
        <v>45.5</v>
      </c>
      <c r="BJ263" s="542">
        <v>43.3</v>
      </c>
      <c r="BK263" s="542">
        <v>47.2</v>
      </c>
      <c r="BL263" s="542">
        <v>47.6</v>
      </c>
      <c r="BM263" s="542">
        <v>45.3</v>
      </c>
      <c r="BN263" s="542">
        <v>40.6</v>
      </c>
      <c r="BO263" s="542">
        <v>45.6</v>
      </c>
      <c r="BP263" s="542">
        <v>47.1</v>
      </c>
      <c r="BQ263" s="542">
        <v>41.800000000000004</v>
      </c>
      <c r="BR263" s="542">
        <v>40.1</v>
      </c>
      <c r="BS263" s="542">
        <v>43.6</v>
      </c>
      <c r="BT263" s="542">
        <v>44.9</v>
      </c>
      <c r="BU263" s="542">
        <v>40.800000000000004</v>
      </c>
      <c r="BV263" s="542">
        <v>34.4</v>
      </c>
      <c r="BW263" s="542">
        <v>40.6</v>
      </c>
      <c r="BX263" s="542">
        <v>37.5</v>
      </c>
      <c r="BY263" s="542">
        <v>36.199999999999996</v>
      </c>
      <c r="BZ263" s="542">
        <v>34.1</v>
      </c>
      <c r="CA263" s="542">
        <v>36.5</v>
      </c>
      <c r="CB263" s="542">
        <v>36.6</v>
      </c>
      <c r="CC263" s="542">
        <v>33.636000000000003</v>
      </c>
      <c r="CD263" s="542">
        <v>31.946999999999999</v>
      </c>
      <c r="CE263" s="542">
        <v>36.198999999999998</v>
      </c>
      <c r="CF263" s="542">
        <v>33.299999999999997</v>
      </c>
      <c r="CG263" s="542">
        <v>33.700000000000003</v>
      </c>
      <c r="CH263" s="543">
        <v>31.108000000000001</v>
      </c>
      <c r="CI263" s="543">
        <v>36.231000000000002</v>
      </c>
      <c r="CJ263" s="543">
        <v>33.701999999999998</v>
      </c>
      <c r="CK263" s="543">
        <v>33.832999999999998</v>
      </c>
      <c r="CL263" s="543">
        <f t="shared" ref="CL263:DE263" si="533">+CL296</f>
        <v>29.501000000000001</v>
      </c>
      <c r="CM263" s="543">
        <f t="shared" si="533"/>
        <v>33.819000000000003</v>
      </c>
      <c r="CN263" s="543">
        <f t="shared" si="533"/>
        <v>34.116999999999997</v>
      </c>
      <c r="CO263" s="543">
        <f t="shared" si="533"/>
        <v>31.875</v>
      </c>
      <c r="CP263" s="543">
        <f t="shared" si="533"/>
        <v>28.748999999999999</v>
      </c>
      <c r="CQ263" s="543">
        <f t="shared" si="533"/>
        <v>32.134</v>
      </c>
      <c r="CR263" s="543">
        <f t="shared" si="533"/>
        <v>33.164999999999999</v>
      </c>
      <c r="CS263" s="543">
        <f t="shared" si="533"/>
        <v>31.341999999999999</v>
      </c>
      <c r="CT263" s="543">
        <f t="shared" si="533"/>
        <v>29.198</v>
      </c>
      <c r="CU263" s="543">
        <f t="shared" si="533"/>
        <v>33.124000000000002</v>
      </c>
      <c r="CV263" s="543">
        <f t="shared" si="533"/>
        <v>33.182000000000002</v>
      </c>
      <c r="CW263" s="543">
        <f t="shared" si="533"/>
        <v>30.513999999999999</v>
      </c>
      <c r="CX263" s="543">
        <f t="shared" si="533"/>
        <v>29.539000000000001</v>
      </c>
      <c r="CY263" s="543">
        <f t="shared" si="533"/>
        <v>31.47</v>
      </c>
      <c r="CZ263" s="543">
        <f t="shared" si="533"/>
        <v>32.863999999999997</v>
      </c>
      <c r="DA263" s="543">
        <f t="shared" si="533"/>
        <v>29.056999999999999</v>
      </c>
      <c r="DB263" s="543">
        <f t="shared" si="533"/>
        <v>28.727</v>
      </c>
      <c r="DC263" s="1072">
        <f t="shared" si="533"/>
        <v>30.568999999999999</v>
      </c>
      <c r="DD263" s="1072">
        <f t="shared" si="533"/>
        <v>30.827999999999999</v>
      </c>
      <c r="DE263" s="543">
        <f t="shared" si="533"/>
        <v>26.481999999999999</v>
      </c>
      <c r="DF263" s="543">
        <f t="shared" ref="DF263:DI263" si="534">+DF296</f>
        <v>26.945926</v>
      </c>
      <c r="DG263" s="543">
        <f t="shared" si="534"/>
        <v>29.193394999999999</v>
      </c>
      <c r="DH263" s="543">
        <f t="shared" si="534"/>
        <v>29.749019999999998</v>
      </c>
      <c r="DI263" s="543">
        <f t="shared" si="534"/>
        <v>26.053418999999991</v>
      </c>
    </row>
    <row r="264" spans="1:114">
      <c r="A264" s="515" t="s">
        <v>459</v>
      </c>
      <c r="B264" s="890">
        <v>4788.5999999999995</v>
      </c>
      <c r="C264" s="890">
        <v>5255.12</v>
      </c>
      <c r="D264" s="890">
        <v>5900</v>
      </c>
      <c r="E264" s="890">
        <v>5339</v>
      </c>
      <c r="F264" s="890">
        <v>4400</v>
      </c>
      <c r="G264" s="890">
        <v>4612</v>
      </c>
      <c r="H264" s="890">
        <v>4952</v>
      </c>
      <c r="I264" s="890">
        <v>4978</v>
      </c>
      <c r="J264" s="890">
        <v>5453</v>
      </c>
      <c r="K264" s="890">
        <v>5477</v>
      </c>
      <c r="L264" s="515">
        <f>SUM(BV264:BY264)</f>
        <v>5008</v>
      </c>
      <c r="M264" s="515">
        <f>SUM(BZ264:CC264)</f>
        <v>4965</v>
      </c>
      <c r="N264" s="515">
        <f>SUM(CD264:CG264)</f>
        <v>4988.5264441616591</v>
      </c>
      <c r="O264" s="515">
        <f>SUM(CH264:CK264)</f>
        <v>5120</v>
      </c>
      <c r="P264" s="515">
        <f>SUM(CL264:CO264)</f>
        <v>5052</v>
      </c>
      <c r="Q264" s="515">
        <f>SUM(CP264:CS264)</f>
        <v>4927</v>
      </c>
      <c r="R264" s="515">
        <f>+SUM(CT264:CW264)</f>
        <v>4837</v>
      </c>
      <c r="S264" s="546">
        <f>+SUM(CX264:DA264)</f>
        <v>4891</v>
      </c>
      <c r="T264" s="546">
        <f>+SUM(DB264:DE264)</f>
        <v>4724</v>
      </c>
      <c r="U264" s="546">
        <f t="shared" ref="U264:AB264" si="535">+U271*U263</f>
        <v>4671.0911999999998</v>
      </c>
      <c r="V264" s="546">
        <f t="shared" si="535"/>
        <v>4630.8030383999994</v>
      </c>
      <c r="W264" s="546">
        <f t="shared" si="535"/>
        <v>4602.7866800176798</v>
      </c>
      <c r="X264" s="546">
        <f t="shared" si="535"/>
        <v>4522.3299688509705</v>
      </c>
      <c r="Y264" s="546">
        <f t="shared" si="535"/>
        <v>4443.2796409954544</v>
      </c>
      <c r="Z264" s="546">
        <f t="shared" si="535"/>
        <v>4365.6111128708535</v>
      </c>
      <c r="AA264" s="546">
        <f t="shared" si="535"/>
        <v>4289.3002306178705</v>
      </c>
      <c r="AB264" s="546">
        <f t="shared" si="535"/>
        <v>4214.3232625866694</v>
      </c>
      <c r="AD264" s="520"/>
      <c r="AE264" s="520"/>
      <c r="AF264" s="520"/>
      <c r="AG264" s="520"/>
      <c r="AH264" s="520"/>
      <c r="AI264" s="520"/>
      <c r="AJ264" s="520"/>
      <c r="AK264" s="520"/>
      <c r="AL264" s="520"/>
      <c r="AM264" s="520"/>
      <c r="AN264" s="520"/>
      <c r="AO264" s="520"/>
      <c r="AP264" s="520"/>
      <c r="AQ264" s="520"/>
      <c r="AR264" s="520"/>
      <c r="AS264" s="520"/>
      <c r="AT264" s="520"/>
      <c r="AU264" s="520"/>
      <c r="AV264" s="520"/>
      <c r="AW264" s="520"/>
      <c r="AX264" s="520"/>
      <c r="AY264" s="520"/>
      <c r="AZ264" s="520"/>
      <c r="BA264" s="520"/>
      <c r="BB264" s="520"/>
      <c r="BC264" s="520"/>
      <c r="BD264" s="520"/>
      <c r="BE264" s="520"/>
      <c r="BF264" s="385">
        <v>1141</v>
      </c>
      <c r="BG264" s="385">
        <v>1312</v>
      </c>
      <c r="BH264" s="385">
        <v>1285</v>
      </c>
      <c r="BI264" s="385">
        <v>1262</v>
      </c>
      <c r="BJ264" s="385">
        <v>1179</v>
      </c>
      <c r="BK264" s="385">
        <v>1289</v>
      </c>
      <c r="BL264" s="385">
        <v>1306</v>
      </c>
      <c r="BM264" s="385">
        <v>1226</v>
      </c>
      <c r="BN264" s="385">
        <v>1256</v>
      </c>
      <c r="BO264" s="385">
        <v>1419</v>
      </c>
      <c r="BP264" s="385">
        <v>1462</v>
      </c>
      <c r="BQ264" s="385">
        <v>1316</v>
      </c>
      <c r="BR264" s="385">
        <v>1299</v>
      </c>
      <c r="BS264" s="385">
        <v>1419</v>
      </c>
      <c r="BT264" s="385">
        <v>1481.7</v>
      </c>
      <c r="BU264" s="385">
        <v>1277.3</v>
      </c>
      <c r="BV264" s="385">
        <v>1148</v>
      </c>
      <c r="BW264" s="385">
        <v>1354</v>
      </c>
      <c r="BX264" s="385">
        <f>1248+12</f>
        <v>1260</v>
      </c>
      <c r="BY264" s="385">
        <f>1219+27</f>
        <v>1246</v>
      </c>
      <c r="BZ264" s="385">
        <f>1183+26</f>
        <v>1209</v>
      </c>
      <c r="CA264" s="385">
        <f>1234+30</f>
        <v>1264</v>
      </c>
      <c r="CB264" s="385">
        <f>1259+28</f>
        <v>1287</v>
      </c>
      <c r="CC264" s="385">
        <f>1154+51</f>
        <v>1205</v>
      </c>
      <c r="CD264" s="516">
        <f>1133+52</f>
        <v>1185</v>
      </c>
      <c r="CE264" s="516">
        <f>1279+50</f>
        <v>1329</v>
      </c>
      <c r="CF264" s="516">
        <v>1225.5264441616589</v>
      </c>
      <c r="CG264" s="516">
        <f>1196+53</f>
        <v>1249</v>
      </c>
      <c r="CH264" s="516">
        <f>1125+56</f>
        <v>1181</v>
      </c>
      <c r="CI264" s="516">
        <f>1312+54</f>
        <v>1366</v>
      </c>
      <c r="CJ264" s="516">
        <f>1226+57</f>
        <v>1283</v>
      </c>
      <c r="CK264" s="516">
        <f>1231+59</f>
        <v>1290</v>
      </c>
      <c r="CL264" s="516">
        <f>620+483+58</f>
        <v>1161</v>
      </c>
      <c r="CM264" s="516">
        <f>1216+36+59</f>
        <v>1311</v>
      </c>
      <c r="CN264" s="516">
        <f>1133+59+145</f>
        <v>1337</v>
      </c>
      <c r="CO264" s="517">
        <f>1181+62</f>
        <v>1243</v>
      </c>
      <c r="CP264" s="544">
        <f>1075+62</f>
        <v>1137</v>
      </c>
      <c r="CQ264" s="545">
        <f>1180+61+43</f>
        <v>1284</v>
      </c>
      <c r="CR264" s="545">
        <f>1273+65</f>
        <v>1338</v>
      </c>
      <c r="CS264" s="433">
        <f>1103+65</f>
        <v>1168</v>
      </c>
      <c r="CT264" s="693">
        <f>1049+67</f>
        <v>1116</v>
      </c>
      <c r="CU264" s="693">
        <f>1205+67</f>
        <v>1272</v>
      </c>
      <c r="CV264" s="693">
        <f>1079+67+126</f>
        <v>1272</v>
      </c>
      <c r="CW264" s="433">
        <f>1136+70-29</f>
        <v>1177</v>
      </c>
      <c r="CX264" s="719">
        <f>1155+68-12</f>
        <v>1211</v>
      </c>
      <c r="CY264" s="719">
        <f>1173+71</f>
        <v>1244</v>
      </c>
      <c r="CZ264" s="693">
        <f>1237+72</f>
        <v>1309</v>
      </c>
      <c r="DA264" s="989">
        <f>1057+70</f>
        <v>1127</v>
      </c>
      <c r="DB264" s="1064">
        <f>1080+68</f>
        <v>1148</v>
      </c>
      <c r="DC264" s="1064">
        <f>1184+68</f>
        <v>1252</v>
      </c>
      <c r="DD264" s="1064">
        <f>1152+70-5</f>
        <v>1217</v>
      </c>
      <c r="DE264" s="989">
        <f>1035+72</f>
        <v>1107</v>
      </c>
      <c r="DF264" s="546">
        <f>+DF271*DF263</f>
        <v>1109.1287199999999</v>
      </c>
      <c r="DG264" s="546">
        <f>+DG271*DG263</f>
        <v>1231.5298</v>
      </c>
      <c r="DH264" s="546">
        <f>+DH271*DH263</f>
        <v>1209.63715</v>
      </c>
      <c r="DI264" s="385">
        <f>+U264-SUM(DF264:DH264)</f>
        <v>1120.7955299999999</v>
      </c>
      <c r="DJ264" s="16"/>
    </row>
    <row r="265" spans="1:114">
      <c r="A265" s="34"/>
      <c r="AD265" s="70"/>
      <c r="AE265" s="70"/>
      <c r="AF265" s="70"/>
      <c r="AG265" s="70"/>
      <c r="AH265" s="70"/>
      <c r="AI265" s="70"/>
      <c r="AJ265" s="70"/>
      <c r="AK265" s="70"/>
      <c r="AL265" s="70"/>
      <c r="AM265" s="70"/>
      <c r="AN265" s="70"/>
      <c r="AO265" s="70"/>
      <c r="AP265" s="70"/>
      <c r="AQ265" s="70"/>
      <c r="AR265" s="70"/>
      <c r="AS265" s="70"/>
      <c r="AT265" s="70"/>
      <c r="AU265" s="70"/>
      <c r="AV265" s="70"/>
      <c r="AW265" s="70"/>
      <c r="AX265" s="394"/>
      <c r="AY265" s="394"/>
      <c r="AZ265" s="394"/>
      <c r="BA265" s="394"/>
      <c r="BB265" s="394"/>
      <c r="BC265" s="394"/>
      <c r="BD265" s="394"/>
      <c r="BE265" s="394"/>
      <c r="BF265" s="404"/>
      <c r="BG265" s="404"/>
      <c r="BH265" s="404"/>
      <c r="BI265" s="404"/>
      <c r="BJ265" s="404"/>
      <c r="BK265" s="404"/>
      <c r="BL265" s="404"/>
      <c r="BM265" s="404"/>
      <c r="BN265" s="404"/>
      <c r="BO265" s="404"/>
      <c r="BP265" s="404"/>
      <c r="BQ265" s="404"/>
      <c r="BR265" s="404"/>
      <c r="BS265" s="404"/>
      <c r="BT265" s="404"/>
      <c r="BU265" s="404"/>
      <c r="BV265" s="404"/>
      <c r="BW265" s="404"/>
      <c r="BX265" s="404"/>
      <c r="BY265" s="404"/>
      <c r="BZ265" s="404"/>
      <c r="CA265" s="404"/>
      <c r="CB265" s="404"/>
      <c r="CC265" s="404"/>
      <c r="CD265" s="404"/>
      <c r="CE265" s="404"/>
      <c r="CF265" s="404"/>
      <c r="CG265" s="404"/>
      <c r="CH265" s="404"/>
      <c r="CI265" s="404"/>
      <c r="CJ265" s="404"/>
      <c r="CK265" s="404"/>
      <c r="CL265" s="404"/>
      <c r="CM265" s="404"/>
      <c r="CN265" s="404"/>
      <c r="CO265" s="404"/>
      <c r="CP265" s="404"/>
      <c r="CQ265" s="404"/>
      <c r="CR265" s="404"/>
      <c r="CS265" s="404"/>
      <c r="CT265" s="404"/>
      <c r="CU265" s="404"/>
      <c r="CV265" s="404"/>
      <c r="CX265" s="404"/>
      <c r="CY265" s="404"/>
      <c r="CZ265" s="404"/>
      <c r="DA265" s="404"/>
      <c r="DB265" s="404"/>
      <c r="DC265" s="994"/>
      <c r="DD265" s="994"/>
      <c r="DE265" s="404"/>
      <c r="DF265" s="404"/>
      <c r="DG265" s="404"/>
      <c r="DH265" s="404"/>
      <c r="DI265" s="404"/>
    </row>
    <row r="266" spans="1:114">
      <c r="A266" s="34" t="s">
        <v>258</v>
      </c>
      <c r="AD266" s="70"/>
      <c r="AE266" s="70"/>
      <c r="AF266" s="70"/>
      <c r="AG266" s="70"/>
      <c r="AH266" s="70"/>
      <c r="AI266" s="70"/>
      <c r="AJ266" s="70"/>
      <c r="AK266" s="70"/>
      <c r="AL266" s="70"/>
      <c r="AM266" s="70"/>
      <c r="AN266" s="70"/>
      <c r="AO266" s="70"/>
      <c r="AP266" s="70"/>
      <c r="AQ266" s="70"/>
      <c r="AR266" s="70"/>
      <c r="AS266" s="70"/>
      <c r="AT266" s="70"/>
      <c r="AU266" s="70"/>
      <c r="AV266" s="70"/>
      <c r="AW266" s="70"/>
      <c r="AX266" s="394"/>
      <c r="AY266" s="394"/>
      <c r="AZ266" s="394"/>
      <c r="BA266" s="394"/>
      <c r="BB266" s="394"/>
      <c r="BC266" s="394"/>
      <c r="BD266" s="394"/>
      <c r="BE266" s="394"/>
      <c r="BF266" s="404"/>
      <c r="BG266" s="404"/>
      <c r="BH266" s="404"/>
      <c r="BI266" s="404"/>
      <c r="BJ266" s="404"/>
      <c r="BK266" s="404"/>
      <c r="BL266" s="404"/>
      <c r="BM266" s="404"/>
      <c r="BN266" s="404"/>
      <c r="BO266" s="404"/>
      <c r="BP266" s="404"/>
      <c r="BQ266" s="404"/>
      <c r="BR266" s="404"/>
      <c r="BS266" s="404"/>
      <c r="BT266" s="404"/>
      <c r="BU266" s="404"/>
      <c r="BV266" s="404"/>
      <c r="BW266" s="404"/>
      <c r="BX266" s="404"/>
      <c r="BY266" s="404"/>
      <c r="BZ266" s="412"/>
      <c r="CA266" s="412"/>
      <c r="CB266" s="412"/>
      <c r="CC266" s="412"/>
      <c r="CD266" s="412"/>
      <c r="CE266" s="412"/>
      <c r="CF266" s="412"/>
      <c r="CG266" s="412"/>
      <c r="CH266" s="547"/>
      <c r="CI266" s="404"/>
      <c r="CJ266" s="404"/>
      <c r="CK266" s="404"/>
      <c r="CL266" s="404"/>
      <c r="CM266" s="404"/>
      <c r="CN266" s="404"/>
      <c r="CO266" s="404"/>
      <c r="CP266" s="404"/>
      <c r="CQ266" s="404"/>
      <c r="CR266" s="404"/>
      <c r="CS266" s="404"/>
      <c r="CT266" s="404"/>
      <c r="CU266" s="404"/>
      <c r="CV266" s="404"/>
      <c r="CW266" s="404"/>
      <c r="CX266" s="404"/>
      <c r="CY266" s="404"/>
      <c r="CZ266" s="404"/>
      <c r="DA266" s="404"/>
      <c r="DB266" s="404"/>
      <c r="DC266" s="994"/>
      <c r="DD266" s="994"/>
      <c r="DE266" s="404"/>
      <c r="DF266" s="404"/>
      <c r="DG266" s="404"/>
      <c r="DH266" s="404"/>
      <c r="DI266" s="404"/>
    </row>
    <row r="267" spans="1:114">
      <c r="A267" s="310" t="s">
        <v>659</v>
      </c>
      <c r="B267" s="459">
        <f>+B127/B263</f>
        <v>94.121037463976947</v>
      </c>
      <c r="C267" s="459">
        <f t="shared" ref="C267:R267" si="536">+C127/C263</f>
        <v>89.509202453987726</v>
      </c>
      <c r="D267" s="459">
        <f t="shared" si="536"/>
        <v>96.098503138580398</v>
      </c>
      <c r="E267" s="459">
        <f t="shared" si="536"/>
        <v>98.522964509394569</v>
      </c>
      <c r="F267" s="459">
        <f t="shared" si="536"/>
        <v>90.819444444444457</v>
      </c>
      <c r="G267" s="459">
        <f t="shared" si="536"/>
        <v>93.591662212720479</v>
      </c>
      <c r="H267" s="459">
        <f t="shared" si="536"/>
        <v>97.757412398921829</v>
      </c>
      <c r="I267" s="459">
        <f t="shared" si="536"/>
        <v>100.73064340239912</v>
      </c>
      <c r="J267" s="459">
        <f t="shared" si="536"/>
        <v>105.56824671616219</v>
      </c>
      <c r="K267" s="459">
        <f t="shared" si="536"/>
        <v>108.94332939787485</v>
      </c>
      <c r="L267" s="459">
        <f t="shared" si="536"/>
        <v>140.67921990585072</v>
      </c>
      <c r="M267" s="459">
        <f t="shared" si="536"/>
        <v>153.62926136363635</v>
      </c>
      <c r="N267" s="459">
        <f t="shared" si="536"/>
        <v>157.82931052343389</v>
      </c>
      <c r="O267" s="459">
        <f t="shared" si="536"/>
        <v>159.63788424751991</v>
      </c>
      <c r="P267" s="508">
        <f t="shared" si="536"/>
        <v>164.18429844097994</v>
      </c>
      <c r="Q267" s="508">
        <f t="shared" si="536"/>
        <v>169.85405534731638</v>
      </c>
      <c r="R267" s="508">
        <f t="shared" si="536"/>
        <v>175.63363963878177</v>
      </c>
      <c r="S267" s="508">
        <f t="shared" ref="S267" si="537">+S127/S263</f>
        <v>180.15130562108519</v>
      </c>
      <c r="T267" s="508">
        <f t="shared" ref="T267" si="538">+T127/T263</f>
        <v>187.19617335607171</v>
      </c>
      <c r="U267" s="508">
        <f t="shared" ref="U267:W272" si="539">+U275*50</f>
        <v>191.97136446138413</v>
      </c>
      <c r="V267" s="508">
        <f t="shared" si="539"/>
        <v>198.33097442590179</v>
      </c>
      <c r="W267" s="508">
        <f t="shared" si="539"/>
        <v>204.97747771732344</v>
      </c>
      <c r="X267" s="508">
        <f t="shared" ref="X267:AB272" si="540">+X275*50</f>
        <v>211.45965195577963</v>
      </c>
      <c r="Y267" s="508">
        <f t="shared" si="540"/>
        <v>218.21474091104389</v>
      </c>
      <c r="Z267" s="508">
        <f t="shared" si="540"/>
        <v>225.25420679430033</v>
      </c>
      <c r="AA267" s="508">
        <f t="shared" si="540"/>
        <v>232.58999322966724</v>
      </c>
      <c r="AB267" s="508">
        <f t="shared" si="540"/>
        <v>240.23454547354052</v>
      </c>
      <c r="AC267" s="811"/>
      <c r="AD267" s="508">
        <f t="shared" ref="AD267:CO267" si="541">+AD127/AD263</f>
        <v>61.211009174311926</v>
      </c>
      <c r="AE267" s="508">
        <f t="shared" si="541"/>
        <v>65.026178010471213</v>
      </c>
      <c r="AF267" s="508">
        <f t="shared" si="541"/>
        <v>67.569331158238171</v>
      </c>
      <c r="AG267" s="508">
        <f t="shared" si="541"/>
        <v>75.201465201465197</v>
      </c>
      <c r="AH267" s="508">
        <f t="shared" si="541"/>
        <v>90.466531440162271</v>
      </c>
      <c r="AI267" s="508">
        <f t="shared" si="541"/>
        <v>91.409266409266408</v>
      </c>
      <c r="AJ267" s="508">
        <f t="shared" si="541"/>
        <v>94.105839416058402</v>
      </c>
      <c r="AK267" s="508">
        <f t="shared" si="541"/>
        <v>100.26768642447419</v>
      </c>
      <c r="AL267" s="508">
        <f t="shared" si="541"/>
        <v>103.14393939393941</v>
      </c>
      <c r="AM267" s="508">
        <f t="shared" si="541"/>
        <v>106.25698324022346</v>
      </c>
      <c r="AN267" s="508">
        <f t="shared" si="541"/>
        <v>107.85582255083179</v>
      </c>
      <c r="AO267" s="508">
        <f t="shared" si="541"/>
        <v>110.3307392996109</v>
      </c>
      <c r="AP267" s="508">
        <f t="shared" si="541"/>
        <v>88.701550387596896</v>
      </c>
      <c r="AQ267" s="508">
        <f t="shared" si="541"/>
        <v>95.065176908752321</v>
      </c>
      <c r="AR267" s="508">
        <f t="shared" si="541"/>
        <v>97.980952380952374</v>
      </c>
      <c r="AS267" s="508">
        <f t="shared" si="541"/>
        <v>102.96146044624747</v>
      </c>
      <c r="AT267" s="508">
        <f t="shared" si="541"/>
        <v>95.94646271510517</v>
      </c>
      <c r="AU267" s="508">
        <f t="shared" si="541"/>
        <v>105.42116630669547</v>
      </c>
      <c r="AV267" s="508">
        <f t="shared" si="541"/>
        <v>101.65991902834008</v>
      </c>
      <c r="AW267" s="508">
        <f t="shared" si="541"/>
        <v>90.526315789473685</v>
      </c>
      <c r="AX267" s="508">
        <f t="shared" si="541"/>
        <v>73.972868217054256</v>
      </c>
      <c r="AY267" s="508">
        <f t="shared" si="541"/>
        <v>83.759776536312842</v>
      </c>
      <c r="AZ267" s="508">
        <f t="shared" si="541"/>
        <v>84.571428571428569</v>
      </c>
      <c r="BA267" s="508">
        <f t="shared" si="541"/>
        <v>86.125760649087226</v>
      </c>
      <c r="BB267" s="508">
        <f t="shared" si="541"/>
        <v>92.900232018561482</v>
      </c>
      <c r="BC267" s="508">
        <f t="shared" si="541"/>
        <v>94.279835390946502</v>
      </c>
      <c r="BD267" s="508">
        <f t="shared" si="541"/>
        <v>93.271221532091104</v>
      </c>
      <c r="BE267" s="508">
        <f t="shared" si="541"/>
        <v>93.842887473460721</v>
      </c>
      <c r="BF267" s="508">
        <f t="shared" si="541"/>
        <v>96.869158878504678</v>
      </c>
      <c r="BG267" s="508">
        <f t="shared" si="541"/>
        <v>97.16024340770791</v>
      </c>
      <c r="BH267" s="508">
        <f t="shared" si="541"/>
        <v>98.768267223382054</v>
      </c>
      <c r="BI267" s="508">
        <f t="shared" si="541"/>
        <v>98.175824175824175</v>
      </c>
      <c r="BJ267" s="508">
        <f t="shared" si="541"/>
        <v>99.838337182448043</v>
      </c>
      <c r="BK267" s="508">
        <f t="shared" si="541"/>
        <v>101.37711864406779</v>
      </c>
      <c r="BL267" s="508">
        <f t="shared" si="541"/>
        <v>101.47058823529412</v>
      </c>
      <c r="BM267" s="508">
        <f t="shared" si="541"/>
        <v>100.13245033112584</v>
      </c>
      <c r="BN267" s="508">
        <f t="shared" si="541"/>
        <v>104.55665024630541</v>
      </c>
      <c r="BO267" s="508">
        <f t="shared" si="541"/>
        <v>105.46052631578947</v>
      </c>
      <c r="BP267" s="508">
        <f t="shared" si="541"/>
        <v>104.96815286624204</v>
      </c>
      <c r="BQ267" s="508">
        <f t="shared" si="541"/>
        <v>107.3444976076555</v>
      </c>
      <c r="BR267" s="508">
        <f t="shared" si="541"/>
        <v>105.48628428927681</v>
      </c>
      <c r="BS267" s="508">
        <f t="shared" si="541"/>
        <v>110.29816513761467</v>
      </c>
      <c r="BT267" s="508">
        <f t="shared" si="541"/>
        <v>111.06904231625836</v>
      </c>
      <c r="BU267" s="508">
        <f t="shared" si="541"/>
        <v>108.55392156862744</v>
      </c>
      <c r="BV267" s="508">
        <f t="shared" si="541"/>
        <v>113.25581395348837</v>
      </c>
      <c r="BW267" s="508">
        <f t="shared" si="541"/>
        <v>148.37438423645321</v>
      </c>
      <c r="BX267" s="508">
        <f t="shared" si="541"/>
        <v>150.02666666666667</v>
      </c>
      <c r="BY267" s="508">
        <f t="shared" si="541"/>
        <v>148.42541436464091</v>
      </c>
      <c r="BZ267" s="508">
        <f t="shared" si="541"/>
        <v>150.23460410557183</v>
      </c>
      <c r="CA267" s="508">
        <f t="shared" si="541"/>
        <v>153.12328767123287</v>
      </c>
      <c r="CB267" s="508">
        <f t="shared" si="541"/>
        <v>156.53005464480873</v>
      </c>
      <c r="CC267" s="508">
        <f t="shared" si="541"/>
        <v>154.29896539422046</v>
      </c>
      <c r="CD267" s="508">
        <f t="shared" si="541"/>
        <v>156.85353867342786</v>
      </c>
      <c r="CE267" s="508">
        <f t="shared" si="541"/>
        <v>157.10378739744192</v>
      </c>
      <c r="CF267" s="508">
        <f t="shared" si="541"/>
        <v>160.09009009009011</v>
      </c>
      <c r="CG267" s="508">
        <f t="shared" si="541"/>
        <v>157.29970326409494</v>
      </c>
      <c r="CH267" s="508">
        <f t="shared" si="541"/>
        <v>158.22296515365821</v>
      </c>
      <c r="CI267" s="508">
        <f t="shared" si="541"/>
        <v>157.9862548646187</v>
      </c>
      <c r="CJ267" s="508">
        <f t="shared" si="541"/>
        <v>161.53344015191976</v>
      </c>
      <c r="CK267" s="508">
        <f t="shared" si="541"/>
        <v>160.81931841693023</v>
      </c>
      <c r="CL267" s="508">
        <f t="shared" si="541"/>
        <v>163.45208636995355</v>
      </c>
      <c r="CM267" s="508">
        <f t="shared" si="541"/>
        <v>163.16271918152518</v>
      </c>
      <c r="CN267" s="508">
        <f t="shared" si="541"/>
        <v>164.93243837383125</v>
      </c>
      <c r="CO267" s="508">
        <f t="shared" si="541"/>
        <v>165.1450980392157</v>
      </c>
      <c r="CP267" s="508">
        <f t="shared" ref="CP267:CY267" si="542">+CP127/CP263</f>
        <v>167.58843785870815</v>
      </c>
      <c r="CQ267" s="508">
        <f t="shared" si="542"/>
        <v>169.38445260471775</v>
      </c>
      <c r="CR267" s="508">
        <f t="shared" si="542"/>
        <v>171.38549675863109</v>
      </c>
      <c r="CS267" s="508">
        <f t="shared" si="542"/>
        <v>170.7931848637611</v>
      </c>
      <c r="CT267" s="508">
        <f t="shared" si="542"/>
        <v>173.60778135488732</v>
      </c>
      <c r="CU267" s="508">
        <f t="shared" si="542"/>
        <v>175.40152155536771</v>
      </c>
      <c r="CV267" s="508">
        <f t="shared" si="542"/>
        <v>176.75245615092518</v>
      </c>
      <c r="CW267" s="508">
        <f t="shared" si="542"/>
        <v>176.60745887133774</v>
      </c>
      <c r="CX267" s="508">
        <f t="shared" si="542"/>
        <v>178.23893835268626</v>
      </c>
      <c r="CY267" s="508">
        <f t="shared" si="542"/>
        <v>179.37718462027328</v>
      </c>
      <c r="CZ267" s="508">
        <f t="shared" ref="CZ267:DE267" si="543">+CZ127/CZ263</f>
        <v>181.47517039922104</v>
      </c>
      <c r="DA267" s="508">
        <f t="shared" si="543"/>
        <v>181.4364869050487</v>
      </c>
      <c r="DB267" s="508">
        <f t="shared" si="543"/>
        <v>183.48591917011871</v>
      </c>
      <c r="DC267" s="1073">
        <f t="shared" si="543"/>
        <v>186.88867807255718</v>
      </c>
      <c r="DD267" s="1073">
        <f t="shared" si="543"/>
        <v>186.97288179577009</v>
      </c>
      <c r="DE267" s="1073">
        <f t="shared" si="543"/>
        <v>191.83585040246581</v>
      </c>
      <c r="DF267" s="508">
        <f t="shared" ref="DF267:DH267" si="544">+DF275*50</f>
        <v>188.1461691092004</v>
      </c>
      <c r="DG267" s="508">
        <f t="shared" si="544"/>
        <v>191.67113742680493</v>
      </c>
      <c r="DH267" s="508">
        <f t="shared" si="544"/>
        <v>191.75603347606071</v>
      </c>
      <c r="DI267" s="508">
        <f t="shared" ref="DI267" si="545">+DI127/DI263</f>
        <v>196.50988445734481</v>
      </c>
    </row>
    <row r="268" spans="1:114">
      <c r="A268" s="941" t="s">
        <v>552</v>
      </c>
      <c r="B268" s="459">
        <f t="shared" ref="B268:R268" si="546">B149/B263</f>
        <v>12.084999999999999</v>
      </c>
      <c r="C268" s="459">
        <f t="shared" si="546"/>
        <v>16.995000000000001</v>
      </c>
      <c r="D268" s="459">
        <f t="shared" si="546"/>
        <v>16.890391115403187</v>
      </c>
      <c r="E268" s="459">
        <f t="shared" si="546"/>
        <v>19.749478079331944</v>
      </c>
      <c r="F268" s="459">
        <f t="shared" si="546"/>
        <v>19.5</v>
      </c>
      <c r="G268" s="459">
        <f t="shared" si="546"/>
        <v>19.743452699091396</v>
      </c>
      <c r="H268" s="459">
        <f t="shared" si="546"/>
        <v>19.725067385444746</v>
      </c>
      <c r="I268" s="459">
        <f t="shared" si="546"/>
        <v>19.721919302071974</v>
      </c>
      <c r="J268" s="459">
        <f t="shared" si="546"/>
        <v>19.714448886350656</v>
      </c>
      <c r="K268" s="459">
        <f t="shared" si="546"/>
        <v>19.704840613931523</v>
      </c>
      <c r="L268" s="459">
        <f t="shared" si="546"/>
        <v>43.476798924008072</v>
      </c>
      <c r="M268" s="459">
        <f t="shared" si="546"/>
        <v>50.68181818181818</v>
      </c>
      <c r="N268" s="459">
        <f t="shared" si="546"/>
        <v>50.656327231290597</v>
      </c>
      <c r="O268" s="459">
        <f t="shared" si="546"/>
        <v>50.647270786066997</v>
      </c>
      <c r="P268" s="508">
        <f t="shared" si="546"/>
        <v>50.675884682009396</v>
      </c>
      <c r="Q268" s="508">
        <f t="shared" si="546"/>
        <v>50.705797910519181</v>
      </c>
      <c r="R268" s="508">
        <f t="shared" si="546"/>
        <v>50.540398990620389</v>
      </c>
      <c r="S268" s="508">
        <f t="shared" ref="S268" si="547">S149/S263</f>
        <v>50.329455787846747</v>
      </c>
      <c r="T268" s="508">
        <f t="shared" ref="T268" si="548">T149/T263</f>
        <v>50.313757439582872</v>
      </c>
      <c r="U268" s="508">
        <f t="shared" si="539"/>
        <v>50.298063987818168</v>
      </c>
      <c r="V268" s="508">
        <f t="shared" si="539"/>
        <v>50.282375431025351</v>
      </c>
      <c r="W268" s="508">
        <f t="shared" si="539"/>
        <v>50.266691767677621</v>
      </c>
      <c r="X268" s="508">
        <f t="shared" si="540"/>
        <v>50.251012996248654</v>
      </c>
      <c r="Y268" s="508">
        <f t="shared" si="540"/>
        <v>50.235339115212618</v>
      </c>
      <c r="Z268" s="508">
        <f t="shared" si="540"/>
        <v>50.219670123044125</v>
      </c>
      <c r="AA268" s="508">
        <f t="shared" si="540"/>
        <v>50.20400601821828</v>
      </c>
      <c r="AB268" s="508">
        <f t="shared" si="540"/>
        <v>50.188346799210684</v>
      </c>
      <c r="AC268" s="811"/>
      <c r="AD268" s="508">
        <f t="shared" ref="AD268:CC268" si="549">AD149/AD263</f>
        <v>12</v>
      </c>
      <c r="AE268" s="508">
        <f t="shared" si="549"/>
        <v>12.05933682373473</v>
      </c>
      <c r="AF268" s="508">
        <f t="shared" si="549"/>
        <v>11.924959216965743</v>
      </c>
      <c r="AG268" s="508">
        <f t="shared" si="549"/>
        <v>12.087912087912088</v>
      </c>
      <c r="AH268" s="508">
        <f t="shared" si="549"/>
        <v>11.947261663286005</v>
      </c>
      <c r="AI268" s="508">
        <f t="shared" si="549"/>
        <v>12.104247104247104</v>
      </c>
      <c r="AJ268" s="508">
        <f t="shared" si="549"/>
        <v>12.135036496350365</v>
      </c>
      <c r="AK268" s="508">
        <f t="shared" si="549"/>
        <v>12.122370936902486</v>
      </c>
      <c r="AL268" s="508">
        <f t="shared" si="549"/>
        <v>16.837121212121215</v>
      </c>
      <c r="AM268" s="508">
        <f t="shared" si="549"/>
        <v>17.07635009310987</v>
      </c>
      <c r="AN268" s="508">
        <f t="shared" si="549"/>
        <v>17.005545286506468</v>
      </c>
      <c r="AO268" s="508">
        <f t="shared" si="549"/>
        <v>17.023346303501945</v>
      </c>
      <c r="AP268" s="508">
        <f t="shared" si="549"/>
        <v>16.995000000000001</v>
      </c>
      <c r="AQ268" s="508">
        <f t="shared" si="549"/>
        <v>16.815642458100559</v>
      </c>
      <c r="AR268" s="508">
        <f t="shared" si="549"/>
        <v>16.761904761904763</v>
      </c>
      <c r="AS268" s="508">
        <f t="shared" si="549"/>
        <v>16.835699797160245</v>
      </c>
      <c r="AT268" s="508">
        <f t="shared" si="549"/>
        <v>19.5</v>
      </c>
      <c r="AU268" s="508">
        <f t="shared" si="549"/>
        <v>19.676025917926566</v>
      </c>
      <c r="AV268" s="508">
        <f t="shared" si="549"/>
        <v>19.878542510121459</v>
      </c>
      <c r="AW268" s="508">
        <f t="shared" si="549"/>
        <v>19.748283752860409</v>
      </c>
      <c r="AX268" s="508">
        <f t="shared" si="549"/>
        <v>16.782945736434108</v>
      </c>
      <c r="AY268" s="508">
        <f t="shared" si="549"/>
        <v>17.709497206703908</v>
      </c>
      <c r="AZ268" s="508">
        <f t="shared" si="549"/>
        <v>18.361904761904761</v>
      </c>
      <c r="BA268" s="508">
        <f t="shared" si="549"/>
        <v>19.5</v>
      </c>
      <c r="BB268" s="508">
        <f t="shared" si="549"/>
        <v>19.767981438515079</v>
      </c>
      <c r="BC268" s="508">
        <f t="shared" si="549"/>
        <v>19.7119341563786</v>
      </c>
      <c r="BD268" s="508">
        <f t="shared" si="549"/>
        <v>19.751552795031056</v>
      </c>
      <c r="BE268" s="508">
        <f t="shared" si="549"/>
        <v>19.745222929936304</v>
      </c>
      <c r="BF268" s="508">
        <f t="shared" si="549"/>
        <v>19.74299065420561</v>
      </c>
      <c r="BG268" s="508">
        <f t="shared" si="549"/>
        <v>19.695740365111561</v>
      </c>
      <c r="BH268" s="508">
        <f t="shared" si="549"/>
        <v>19.728601252609604</v>
      </c>
      <c r="BI268" s="508">
        <f t="shared" si="549"/>
        <v>19.736263736263737</v>
      </c>
      <c r="BJ268" s="508">
        <f t="shared" si="549"/>
        <v>19.745958429561203</v>
      </c>
      <c r="BK268" s="508">
        <f t="shared" si="549"/>
        <v>19.724576271186439</v>
      </c>
      <c r="BL268" s="508">
        <f t="shared" si="549"/>
        <v>19.705882352941178</v>
      </c>
      <c r="BM268" s="508">
        <f t="shared" si="549"/>
        <v>19.713024282560706</v>
      </c>
      <c r="BN268" s="508">
        <f t="shared" si="549"/>
        <v>19.704433497536947</v>
      </c>
      <c r="BO268" s="508">
        <f t="shared" si="549"/>
        <v>19.714912280701753</v>
      </c>
      <c r="BP268" s="508">
        <f t="shared" si="549"/>
        <v>19.68152866242038</v>
      </c>
      <c r="BQ268" s="508">
        <f t="shared" si="549"/>
        <v>19.760765550239231</v>
      </c>
      <c r="BR268" s="508">
        <f t="shared" si="549"/>
        <v>19.725685785536157</v>
      </c>
      <c r="BS268" s="508">
        <f t="shared" si="549"/>
        <v>19.701834862385322</v>
      </c>
      <c r="BT268" s="508">
        <f t="shared" si="549"/>
        <v>19.665924276169267</v>
      </c>
      <c r="BU268" s="508">
        <f t="shared" si="549"/>
        <v>19.730392156862742</v>
      </c>
      <c r="BV268" s="508">
        <f t="shared" si="549"/>
        <v>19.767441860465116</v>
      </c>
      <c r="BW268" s="508">
        <f t="shared" si="549"/>
        <v>50.541871921182263</v>
      </c>
      <c r="BX268" s="508">
        <f t="shared" si="549"/>
        <v>50.64</v>
      </c>
      <c r="BY268" s="508">
        <f t="shared" si="549"/>
        <v>50.662983425414367</v>
      </c>
      <c r="BZ268" s="508">
        <f t="shared" si="549"/>
        <v>50.7624633431085</v>
      </c>
      <c r="CA268" s="508">
        <f t="shared" si="549"/>
        <v>50.602739726027394</v>
      </c>
      <c r="CB268" s="508">
        <f t="shared" si="549"/>
        <v>50.628415300546443</v>
      </c>
      <c r="CC268" s="508">
        <f t="shared" si="549"/>
        <v>50.689737186347955</v>
      </c>
      <c r="CD268" s="508">
        <f t="shared" ref="CD268:CN268" si="550">CD149/CD263</f>
        <v>50.677684915641535</v>
      </c>
      <c r="CE268" s="753">
        <f t="shared" si="550"/>
        <v>50.636757921489547</v>
      </c>
      <c r="CF268" s="753">
        <f t="shared" si="550"/>
        <v>50.660660660660668</v>
      </c>
      <c r="CG268" s="753">
        <f t="shared" si="550"/>
        <v>50.652818991097917</v>
      </c>
      <c r="CH268" s="508">
        <f t="shared" si="550"/>
        <v>50.694355149800693</v>
      </c>
      <c r="CI268" s="508">
        <f t="shared" si="550"/>
        <v>50.619635119096905</v>
      </c>
      <c r="CJ268" s="508">
        <f t="shared" si="550"/>
        <v>50.620141237908733</v>
      </c>
      <c r="CK268" s="508">
        <f t="shared" si="550"/>
        <v>50.660597641356077</v>
      </c>
      <c r="CL268" s="508">
        <f t="shared" si="550"/>
        <v>50.676248262770748</v>
      </c>
      <c r="CM268" s="508">
        <f t="shared" si="550"/>
        <v>50.652000354830122</v>
      </c>
      <c r="CN268" s="508">
        <f t="shared" si="550"/>
        <v>50.649236451036145</v>
      </c>
      <c r="CO268" s="508">
        <f>+CO149/CO263</f>
        <v>50.72941176470588</v>
      </c>
      <c r="CP268" s="508">
        <f t="shared" ref="CP268:CV268" si="551">CP149/CP263</f>
        <v>50.784375108699436</v>
      </c>
      <c r="CQ268" s="508">
        <f t="shared" si="551"/>
        <v>50.693969004792429</v>
      </c>
      <c r="CR268" s="508">
        <f t="shared" si="551"/>
        <v>50.716116387758177</v>
      </c>
      <c r="CS268" s="508">
        <f t="shared" si="551"/>
        <v>50.634930763831285</v>
      </c>
      <c r="CT268" s="508">
        <f t="shared" si="551"/>
        <v>50.688403315295567</v>
      </c>
      <c r="CU268" s="508">
        <f t="shared" si="551"/>
        <v>50.839270619490399</v>
      </c>
      <c r="CV268" s="508">
        <f t="shared" si="551"/>
        <v>50.328491350732321</v>
      </c>
      <c r="CW268" s="508">
        <f>+CW149/CW263</f>
        <v>50.30477813462673</v>
      </c>
      <c r="CX268" s="508">
        <f t="shared" ref="CX268:DC268" si="552">CX149/CX263</f>
        <v>50.340228172923929</v>
      </c>
      <c r="CY268" s="508">
        <f t="shared" si="552"/>
        <v>50.270098506514145</v>
      </c>
      <c r="CZ268" s="508">
        <f t="shared" si="552"/>
        <v>50.328627069133404</v>
      </c>
      <c r="DA268" s="508">
        <f t="shared" si="552"/>
        <v>50.383728533571947</v>
      </c>
      <c r="DB268" s="508">
        <f t="shared" si="552"/>
        <v>50.335920910641555</v>
      </c>
      <c r="DC268" s="508">
        <f t="shared" si="552"/>
        <v>50.246982236906675</v>
      </c>
      <c r="DD268" s="508">
        <f t="shared" ref="DD268:DE268" si="553">DD149/DD263</f>
        <v>50.311405216037372</v>
      </c>
      <c r="DE268" s="508">
        <f t="shared" si="553"/>
        <v>50.369534023110035</v>
      </c>
      <c r="DF268" s="508">
        <f t="shared" ref="DF268:DH268" si="554">+DF276*50</f>
        <v>50.335920910641555</v>
      </c>
      <c r="DG268" s="508">
        <f t="shared" si="554"/>
        <v>50.246982236906682</v>
      </c>
      <c r="DH268" s="508">
        <f t="shared" si="554"/>
        <v>50.311405216037372</v>
      </c>
      <c r="DI268" s="508">
        <f>+DI149/DI263</f>
        <v>50.300914724051523</v>
      </c>
    </row>
    <row r="269" spans="1:114">
      <c r="A269" s="942" t="s">
        <v>247</v>
      </c>
      <c r="B269" s="807">
        <f>B161/B263</f>
        <v>82.036037463976939</v>
      </c>
      <c r="C269" s="807">
        <f t="shared" ref="C269:R269" si="555">C161/C263</f>
        <v>72.514202453987735</v>
      </c>
      <c r="D269" s="807">
        <f t="shared" si="555"/>
        <v>79.208112023177208</v>
      </c>
      <c r="E269" s="807">
        <f t="shared" si="555"/>
        <v>78.773486430062633</v>
      </c>
      <c r="F269" s="807">
        <f t="shared" si="555"/>
        <v>71.319444444444457</v>
      </c>
      <c r="G269" s="807">
        <f t="shared" si="555"/>
        <v>73.848209513629072</v>
      </c>
      <c r="H269" s="807">
        <f t="shared" si="555"/>
        <v>78.032345013477084</v>
      </c>
      <c r="I269" s="807">
        <f t="shared" si="555"/>
        <v>81.008724100327157</v>
      </c>
      <c r="J269" s="807">
        <f t="shared" si="555"/>
        <v>85.853797829811541</v>
      </c>
      <c r="K269" s="807">
        <f t="shared" si="555"/>
        <v>89.238488783943325</v>
      </c>
      <c r="L269" s="807">
        <f t="shared" si="555"/>
        <v>97.20242098184265</v>
      </c>
      <c r="M269" s="807">
        <f t="shared" si="555"/>
        <v>102.94744318181817</v>
      </c>
      <c r="N269" s="807">
        <f t="shared" si="555"/>
        <v>107.1729832921433</v>
      </c>
      <c r="O269" s="807">
        <f t="shared" si="555"/>
        <v>108.99061346145291</v>
      </c>
      <c r="P269" s="894">
        <f t="shared" si="555"/>
        <v>113.50841375897055</v>
      </c>
      <c r="Q269" s="894">
        <f t="shared" si="555"/>
        <v>119.14825743679719</v>
      </c>
      <c r="R269" s="894">
        <f t="shared" si="555"/>
        <v>125.09324064816137</v>
      </c>
      <c r="S269" s="894">
        <f t="shared" ref="S269" si="556">S161/S263</f>
        <v>129.82184983323845</v>
      </c>
      <c r="T269" s="894">
        <f t="shared" ref="T269" si="557">T161/T263</f>
        <v>136.88241591648884</v>
      </c>
      <c r="U269" s="508">
        <f t="shared" si="539"/>
        <v>141.67330047356594</v>
      </c>
      <c r="V269" s="508">
        <f t="shared" si="539"/>
        <v>148.04859899487641</v>
      </c>
      <c r="W269" s="508">
        <f t="shared" si="539"/>
        <v>154.71078594964584</v>
      </c>
      <c r="X269" s="508">
        <f t="shared" si="540"/>
        <v>161.20863895953096</v>
      </c>
      <c r="Y269" s="508">
        <f t="shared" si="540"/>
        <v>167.97940179583128</v>
      </c>
      <c r="Z269" s="508">
        <f t="shared" si="540"/>
        <v>175.03453667125621</v>
      </c>
      <c r="AA269" s="508">
        <f t="shared" si="540"/>
        <v>182.38598721144899</v>
      </c>
      <c r="AB269" s="508">
        <f t="shared" si="540"/>
        <v>190.04619867432984</v>
      </c>
      <c r="AC269" s="811"/>
      <c r="AD269" s="895">
        <f t="shared" ref="AD269:CC269" si="558">AD161/AD263</f>
        <v>49.211009174311926</v>
      </c>
      <c r="AE269" s="895">
        <f t="shared" si="558"/>
        <v>52.966841186736474</v>
      </c>
      <c r="AF269" s="895">
        <f t="shared" si="558"/>
        <v>55.644371941272432</v>
      </c>
      <c r="AG269" s="895">
        <f t="shared" si="558"/>
        <v>63.11355311355311</v>
      </c>
      <c r="AH269" s="895">
        <f t="shared" si="558"/>
        <v>78.519269776876271</v>
      </c>
      <c r="AI269" s="895">
        <f t="shared" si="558"/>
        <v>79.305019305019314</v>
      </c>
      <c r="AJ269" s="895">
        <f t="shared" si="558"/>
        <v>81.970802919708035</v>
      </c>
      <c r="AK269" s="895">
        <f t="shared" si="558"/>
        <v>88.145315487571708</v>
      </c>
      <c r="AL269" s="895">
        <f t="shared" si="558"/>
        <v>86.306818181818187</v>
      </c>
      <c r="AM269" s="895">
        <f t="shared" si="558"/>
        <v>89.180633147113596</v>
      </c>
      <c r="AN269" s="895">
        <f t="shared" si="558"/>
        <v>90.850277264325328</v>
      </c>
      <c r="AO269" s="895">
        <f t="shared" si="558"/>
        <v>93.307392996108959</v>
      </c>
      <c r="AP269" s="895">
        <f t="shared" si="558"/>
        <v>71.706550387596891</v>
      </c>
      <c r="AQ269" s="895">
        <f t="shared" si="558"/>
        <v>78.249534450651765</v>
      </c>
      <c r="AR269" s="895">
        <f t="shared" si="558"/>
        <v>81.219047619047615</v>
      </c>
      <c r="AS269" s="895">
        <f t="shared" si="558"/>
        <v>86.125760649087226</v>
      </c>
      <c r="AT269" s="895">
        <f t="shared" si="558"/>
        <v>76.44646271510517</v>
      </c>
      <c r="AU269" s="895">
        <f t="shared" si="558"/>
        <v>85.745140388768903</v>
      </c>
      <c r="AV269" s="895">
        <f t="shared" si="558"/>
        <v>81.781376518218622</v>
      </c>
      <c r="AW269" s="895">
        <f t="shared" si="558"/>
        <v>70.778032036613268</v>
      </c>
      <c r="AX269" s="895">
        <f t="shared" si="558"/>
        <v>57.189922480620154</v>
      </c>
      <c r="AY269" s="895">
        <f t="shared" si="558"/>
        <v>66.050279329608927</v>
      </c>
      <c r="AZ269" s="895">
        <f t="shared" si="558"/>
        <v>66.209523809523816</v>
      </c>
      <c r="BA269" s="895">
        <f t="shared" si="558"/>
        <v>66.625760649087226</v>
      </c>
      <c r="BB269" s="895">
        <f t="shared" si="558"/>
        <v>73.132250580046403</v>
      </c>
      <c r="BC269" s="895">
        <f t="shared" si="558"/>
        <v>74.567901234567898</v>
      </c>
      <c r="BD269" s="895">
        <f t="shared" si="558"/>
        <v>73.519668737060044</v>
      </c>
      <c r="BE269" s="895">
        <f t="shared" si="558"/>
        <v>74.097664543524417</v>
      </c>
      <c r="BF269" s="508">
        <f t="shared" si="558"/>
        <v>77.126168224299064</v>
      </c>
      <c r="BG269" s="508">
        <f t="shared" si="558"/>
        <v>77.464503042596348</v>
      </c>
      <c r="BH269" s="508">
        <f t="shared" si="558"/>
        <v>79.039665970772447</v>
      </c>
      <c r="BI269" s="508">
        <f t="shared" si="558"/>
        <v>78.439560439560438</v>
      </c>
      <c r="BJ269" s="508">
        <f t="shared" si="558"/>
        <v>80.092378752886844</v>
      </c>
      <c r="BK269" s="508">
        <f t="shared" si="558"/>
        <v>81.652542372881356</v>
      </c>
      <c r="BL269" s="508">
        <f t="shared" si="558"/>
        <v>81.764705882352942</v>
      </c>
      <c r="BM269" s="508">
        <f t="shared" si="558"/>
        <v>80.419426048565128</v>
      </c>
      <c r="BN269" s="508">
        <f t="shared" si="558"/>
        <v>84.85221674876847</v>
      </c>
      <c r="BO269" s="508">
        <f t="shared" si="558"/>
        <v>85.745614035087712</v>
      </c>
      <c r="BP269" s="508">
        <f t="shared" si="558"/>
        <v>85.28662420382166</v>
      </c>
      <c r="BQ269" s="508">
        <f t="shared" si="558"/>
        <v>87.583732057416256</v>
      </c>
      <c r="BR269" s="508">
        <f t="shared" si="558"/>
        <v>85.760598503740638</v>
      </c>
      <c r="BS269" s="508">
        <f t="shared" si="558"/>
        <v>90.596330275229349</v>
      </c>
      <c r="BT269" s="508">
        <f t="shared" si="558"/>
        <v>91.403118040089083</v>
      </c>
      <c r="BU269" s="508">
        <f t="shared" si="558"/>
        <v>88.823529411764696</v>
      </c>
      <c r="BV269" s="508">
        <f t="shared" si="558"/>
        <v>93.488372093023258</v>
      </c>
      <c r="BW269" s="508">
        <f t="shared" si="558"/>
        <v>97.832512315270932</v>
      </c>
      <c r="BX269" s="508">
        <f t="shared" si="558"/>
        <v>99.38666666666667</v>
      </c>
      <c r="BY269" s="508">
        <f t="shared" si="558"/>
        <v>97.762430939226533</v>
      </c>
      <c r="BZ269" s="508">
        <f t="shared" si="558"/>
        <v>99.47214076246334</v>
      </c>
      <c r="CA269" s="508">
        <f t="shared" si="558"/>
        <v>102.52054794520548</v>
      </c>
      <c r="CB269" s="508">
        <f t="shared" si="558"/>
        <v>105.90163934426229</v>
      </c>
      <c r="CC269" s="508">
        <f t="shared" si="558"/>
        <v>103.6092282078725</v>
      </c>
      <c r="CD269" s="508">
        <f t="shared" ref="CD269:CK269" si="559">CD161/CD263</f>
        <v>106.17585375778634</v>
      </c>
      <c r="CE269" s="508">
        <f t="shared" si="559"/>
        <v>106.46702947595239</v>
      </c>
      <c r="CF269" s="508">
        <f t="shared" si="559"/>
        <v>109.42942942942943</v>
      </c>
      <c r="CG269" s="508">
        <f t="shared" si="559"/>
        <v>106.64688427299703</v>
      </c>
      <c r="CH269" s="508">
        <f t="shared" si="559"/>
        <v>107.52861000385752</v>
      </c>
      <c r="CI269" s="508">
        <f t="shared" si="559"/>
        <v>107.36661974552179</v>
      </c>
      <c r="CJ269" s="508">
        <f t="shared" si="559"/>
        <v>110.91329891401105</v>
      </c>
      <c r="CK269" s="508">
        <f t="shared" si="559"/>
        <v>110.15872077557415</v>
      </c>
      <c r="CL269" s="508">
        <f>CL161/CL263</f>
        <v>112.77583810718281</v>
      </c>
      <c r="CM269" s="508">
        <f>CM161/CM263</f>
        <v>112.51071882669504</v>
      </c>
      <c r="CN269" s="508">
        <f>CN161/CN263</f>
        <v>114.2832019227951</v>
      </c>
      <c r="CO269" s="508">
        <f>+CO161/CO263</f>
        <v>114.41568627450981</v>
      </c>
      <c r="CP269" s="508">
        <f t="shared" ref="CP269:CV269" si="560">CP161/CP263</f>
        <v>116.8040627500087</v>
      </c>
      <c r="CQ269" s="508">
        <f t="shared" si="560"/>
        <v>118.69048359992532</v>
      </c>
      <c r="CR269" s="508">
        <f t="shared" si="560"/>
        <v>120.66938037087291</v>
      </c>
      <c r="CS269" s="508">
        <f t="shared" si="560"/>
        <v>120.15825409992981</v>
      </c>
      <c r="CT269" s="508">
        <f t="shared" si="560"/>
        <v>122.91937803959175</v>
      </c>
      <c r="CU269" s="508">
        <f t="shared" si="560"/>
        <v>124.5622509358773</v>
      </c>
      <c r="CV269" s="508">
        <f t="shared" si="560"/>
        <v>126.42396480019286</v>
      </c>
      <c r="CW269" s="508">
        <f>+CW161/CW263</f>
        <v>126.30268073671103</v>
      </c>
      <c r="CX269" s="508">
        <f t="shared" ref="CX269:DC269" si="561">CX161/CX263</f>
        <v>127.89871017976235</v>
      </c>
      <c r="CY269" s="508">
        <f t="shared" si="561"/>
        <v>129.10708611375915</v>
      </c>
      <c r="CZ269" s="508">
        <f t="shared" si="561"/>
        <v>131.14654333008764</v>
      </c>
      <c r="DA269" s="508">
        <f t="shared" si="561"/>
        <v>131.05275837147676</v>
      </c>
      <c r="DB269" s="508">
        <f t="shared" si="561"/>
        <v>133.14999825947714</v>
      </c>
      <c r="DC269" s="508">
        <f t="shared" si="561"/>
        <v>136.64169583565049</v>
      </c>
      <c r="DD269" s="508">
        <f t="shared" ref="DD269" si="562">DD161/DD263</f>
        <v>136.66147657973272</v>
      </c>
      <c r="DE269" s="508">
        <f>DE161/DE263</f>
        <v>141.46631637935576</v>
      </c>
      <c r="DF269" s="508">
        <f>+DF277*50</f>
        <v>137.81024819855884</v>
      </c>
      <c r="DG269" s="508">
        <f>+DG277*50</f>
        <v>141.42415518989824</v>
      </c>
      <c r="DH269" s="508">
        <f>+DH277*50</f>
        <v>141.44462826002336</v>
      </c>
      <c r="DI269" s="508">
        <f>+DI161/DI263</f>
        <v>146.20896973329326</v>
      </c>
    </row>
    <row r="270" spans="1:114">
      <c r="A270" s="941" t="s">
        <v>248</v>
      </c>
      <c r="B270" s="807">
        <f t="shared" ref="B270:R270" si="563">B269-B271-B272</f>
        <v>34.790120076849178</v>
      </c>
      <c r="C270" s="807">
        <f t="shared" si="563"/>
        <v>22.466444077395007</v>
      </c>
      <c r="D270" s="807">
        <f t="shared" si="563"/>
        <v>22.887493964268465</v>
      </c>
      <c r="E270" s="807">
        <f t="shared" si="563"/>
        <v>24.598121085594986</v>
      </c>
      <c r="F270" s="807">
        <f t="shared" si="563"/>
        <v>25.638354700854709</v>
      </c>
      <c r="G270" s="807">
        <f t="shared" si="563"/>
        <v>25.483698556921432</v>
      </c>
      <c r="H270" s="807">
        <f t="shared" si="563"/>
        <v>26.495956873315357</v>
      </c>
      <c r="I270" s="807">
        <f t="shared" si="563"/>
        <v>27.573609596510369</v>
      </c>
      <c r="J270" s="807">
        <f t="shared" si="563"/>
        <v>26.790405482581381</v>
      </c>
      <c r="K270" s="807">
        <f t="shared" si="563"/>
        <v>27.201889020070837</v>
      </c>
      <c r="L270" s="807">
        <f t="shared" si="563"/>
        <v>27.821116341627445</v>
      </c>
      <c r="M270" s="807">
        <f t="shared" si="563"/>
        <v>28.26704545454546</v>
      </c>
      <c r="N270" s="807">
        <f t="shared" si="563"/>
        <v>26.966936171535529</v>
      </c>
      <c r="O270" s="807">
        <f t="shared" si="563"/>
        <v>26.206639510987323</v>
      </c>
      <c r="P270" s="894">
        <f t="shared" si="563"/>
        <v>26.596440807647355</v>
      </c>
      <c r="Q270" s="894">
        <f t="shared" si="563"/>
        <v>27.331048157252809</v>
      </c>
      <c r="R270" s="894">
        <f t="shared" si="563"/>
        <v>28.694089746863035</v>
      </c>
      <c r="S270" s="894">
        <f t="shared" ref="S270" si="564">S269-S271-S272</f>
        <v>27.529242462522127</v>
      </c>
      <c r="T270" s="894">
        <f t="shared" ref="T270" si="565">T269-T271-T272</f>
        <v>25.80728329926427</v>
      </c>
      <c r="U270" s="508">
        <f t="shared" si="539"/>
        <v>27.742829546709093</v>
      </c>
      <c r="V270" s="508">
        <f t="shared" si="539"/>
        <v>26.494402217107183</v>
      </c>
      <c r="W270" s="508">
        <f t="shared" si="539"/>
        <v>24.904738084080748</v>
      </c>
      <c r="X270" s="508">
        <f t="shared" si="540"/>
        <v>23.65950117987671</v>
      </c>
      <c r="Y270" s="508">
        <f t="shared" si="540"/>
        <v>22.476526120882873</v>
      </c>
      <c r="Z270" s="508">
        <f t="shared" si="540"/>
        <v>21.352699814838726</v>
      </c>
      <c r="AA270" s="508">
        <f t="shared" si="540"/>
        <v>20.285064824096789</v>
      </c>
      <c r="AB270" s="508">
        <f t="shared" si="540"/>
        <v>19.270811582891952</v>
      </c>
      <c r="AC270" s="811"/>
      <c r="AD270" s="895"/>
      <c r="AE270" s="895"/>
      <c r="AF270" s="895"/>
      <c r="AG270" s="895"/>
      <c r="AH270" s="895"/>
      <c r="AI270" s="895"/>
      <c r="AJ270" s="895"/>
      <c r="AK270" s="895"/>
      <c r="AL270" s="895"/>
      <c r="AM270" s="895"/>
      <c r="AN270" s="895"/>
      <c r="AO270" s="895"/>
      <c r="AP270" s="895"/>
      <c r="AQ270" s="895"/>
      <c r="AR270" s="895"/>
      <c r="AS270" s="895"/>
      <c r="AT270" s="895"/>
      <c r="AU270" s="895"/>
      <c r="AV270" s="895"/>
      <c r="AW270" s="895"/>
      <c r="AX270" s="895"/>
      <c r="AY270" s="895"/>
      <c r="AZ270" s="895"/>
      <c r="BA270" s="895"/>
      <c r="BB270" s="895"/>
      <c r="BC270" s="895"/>
      <c r="BD270" s="895"/>
      <c r="BE270" s="895"/>
      <c r="BF270" s="508">
        <f t="shared" ref="BF270:CI270" si="566">BF269-BF271-BF272</f>
        <v>26.191588785046726</v>
      </c>
      <c r="BG270" s="508">
        <f t="shared" si="566"/>
        <v>25.233265720081132</v>
      </c>
      <c r="BH270" s="508">
        <f t="shared" si="566"/>
        <v>26.638830897703556</v>
      </c>
      <c r="BI270" s="508">
        <f t="shared" si="566"/>
        <v>26.945054945054942</v>
      </c>
      <c r="BJ270" s="508">
        <f t="shared" si="566"/>
        <v>27.090069284064668</v>
      </c>
      <c r="BK270" s="508">
        <f t="shared" si="566"/>
        <v>26.779661016949156</v>
      </c>
      <c r="BL270" s="508">
        <f t="shared" si="566"/>
        <v>27.647058823529417</v>
      </c>
      <c r="BM270" s="508">
        <f t="shared" si="566"/>
        <v>28.30022075055188</v>
      </c>
      <c r="BN270" s="508">
        <f t="shared" si="566"/>
        <v>26.08374384236453</v>
      </c>
      <c r="BO270" s="508">
        <f t="shared" si="566"/>
        <v>25.635964912280699</v>
      </c>
      <c r="BP270" s="508">
        <f t="shared" si="566"/>
        <v>26.284501061571135</v>
      </c>
      <c r="BQ270" s="508">
        <f t="shared" si="566"/>
        <v>29.306220095693771</v>
      </c>
      <c r="BR270" s="508">
        <f t="shared" si="566"/>
        <v>26.783042394014952</v>
      </c>
      <c r="BS270" s="508">
        <f t="shared" si="566"/>
        <v>26.582568807339442</v>
      </c>
      <c r="BT270" s="508">
        <f t="shared" si="566"/>
        <v>27.222717149220486</v>
      </c>
      <c r="BU270" s="508">
        <f t="shared" si="566"/>
        <v>28.252450980392158</v>
      </c>
      <c r="BV270" s="508">
        <f t="shared" si="566"/>
        <v>25.813953488372093</v>
      </c>
      <c r="BW270" s="508">
        <f t="shared" si="566"/>
        <v>28.201970443349751</v>
      </c>
      <c r="BX270" s="508">
        <f t="shared" si="566"/>
        <v>27.679999999999993</v>
      </c>
      <c r="BY270" s="508">
        <f t="shared" si="566"/>
        <v>29.447513812154696</v>
      </c>
      <c r="BZ270" s="508">
        <f t="shared" si="566"/>
        <v>27.096774193548384</v>
      </c>
      <c r="CA270" s="508">
        <f t="shared" si="566"/>
        <v>26.93150684931507</v>
      </c>
      <c r="CB270" s="508">
        <f t="shared" si="566"/>
        <v>28.196721311475414</v>
      </c>
      <c r="CC270" s="508">
        <f t="shared" si="566"/>
        <v>30.948983232251152</v>
      </c>
      <c r="CD270" s="508">
        <f t="shared" si="566"/>
        <v>26.856981876232517</v>
      </c>
      <c r="CE270" s="508">
        <f t="shared" si="566"/>
        <v>26.29906903505622</v>
      </c>
      <c r="CF270" s="508">
        <f t="shared" si="566"/>
        <v>26.98118786301324</v>
      </c>
      <c r="CG270" s="508">
        <f t="shared" si="566"/>
        <v>27.774480712166174</v>
      </c>
      <c r="CH270" s="508">
        <f t="shared" si="566"/>
        <v>25.179454013847675</v>
      </c>
      <c r="CI270" s="508">
        <f t="shared" si="566"/>
        <v>25.236106236169825</v>
      </c>
      <c r="CJ270" s="508">
        <f t="shared" ref="CJ270:CY270" si="567">CJ269-CJ271-CJ272</f>
        <v>26.081937523063907</v>
      </c>
      <c r="CK270" s="508">
        <f t="shared" si="567"/>
        <v>28.314634188430325</v>
      </c>
      <c r="CL270" s="508">
        <f t="shared" si="567"/>
        <v>25.817323296982984</v>
      </c>
      <c r="CM270" s="508">
        <f t="shared" si="567"/>
        <v>25.398032677795797</v>
      </c>
      <c r="CN270" s="508">
        <f t="shared" si="567"/>
        <v>27.622220324233702</v>
      </c>
      <c r="CO270" s="508">
        <f t="shared" si="567"/>
        <v>27.491097763198184</v>
      </c>
      <c r="CP270" s="508">
        <f t="shared" si="567"/>
        <v>25.375519787379616</v>
      </c>
      <c r="CQ270" s="508">
        <f t="shared" si="567"/>
        <v>26.289545782722968</v>
      </c>
      <c r="CR270" s="508">
        <f t="shared" si="567"/>
        <v>27.157120616026297</v>
      </c>
      <c r="CS270" s="508">
        <f t="shared" si="567"/>
        <v>30.376655626891136</v>
      </c>
      <c r="CT270" s="508">
        <f t="shared" si="567"/>
        <v>27.233571705814896</v>
      </c>
      <c r="CU270" s="508">
        <f t="shared" si="567"/>
        <v>27.013882080987202</v>
      </c>
      <c r="CV270" s="508">
        <f t="shared" si="567"/>
        <v>29.008992611853088</v>
      </c>
      <c r="CW270" s="508">
        <f t="shared" si="567"/>
        <v>31.573105858185556</v>
      </c>
      <c r="CX270" s="508">
        <f t="shared" si="567"/>
        <v>24.890412531404991</v>
      </c>
      <c r="CY270" s="508">
        <f t="shared" si="567"/>
        <v>24.810601311749778</v>
      </c>
      <c r="CZ270" s="508">
        <f t="shared" ref="CZ270:DD270" si="568">CZ269-CZ271-CZ272</f>
        <v>29.138995729213967</v>
      </c>
      <c r="DA270" s="508">
        <f t="shared" si="568"/>
        <v>31.335592154283617</v>
      </c>
      <c r="DB270" s="508">
        <f t="shared" si="568"/>
        <v>24.740978204923465</v>
      </c>
      <c r="DC270" s="508">
        <f t="shared" si="568"/>
        <v>24.521969850114985</v>
      </c>
      <c r="DD270" s="508">
        <f t="shared" si="568"/>
        <v>25.561178149734019</v>
      </c>
      <c r="DE270" s="508">
        <f t="shared" ref="DE270" si="569">DE269-DE271-DE272</f>
        <v>28.734155243297735</v>
      </c>
      <c r="DF270" s="508">
        <f t="shared" ref="DF270:DH270" si="570">+DF278*50</f>
        <v>26.96766624336658</v>
      </c>
      <c r="DG270" s="508">
        <f t="shared" si="570"/>
        <v>26.728947136625337</v>
      </c>
      <c r="DH270" s="508">
        <f t="shared" si="570"/>
        <v>27.478266510964072</v>
      </c>
      <c r="DI270" s="508">
        <f>DI269-DI271-DI272</f>
        <v>29.982714213383829</v>
      </c>
    </row>
    <row r="271" spans="1:114">
      <c r="A271" s="943" t="s">
        <v>478</v>
      </c>
      <c r="B271" s="807">
        <f t="shared" ref="B271:R271" si="571">B264/B263</f>
        <v>23</v>
      </c>
      <c r="C271" s="807">
        <f t="shared" si="571"/>
        <v>24.799999999999997</v>
      </c>
      <c r="D271" s="807">
        <f t="shared" si="571"/>
        <v>28.488652824722358</v>
      </c>
      <c r="E271" s="807">
        <f t="shared" si="571"/>
        <v>27.86534446764092</v>
      </c>
      <c r="F271" s="807">
        <f t="shared" si="571"/>
        <v>23.504273504273506</v>
      </c>
      <c r="G271" s="807">
        <f t="shared" si="571"/>
        <v>24.649919828968468</v>
      </c>
      <c r="H271" s="807">
        <f t="shared" si="571"/>
        <v>26.695417789757414</v>
      </c>
      <c r="I271" s="807">
        <f t="shared" si="571"/>
        <v>27.142857142857142</v>
      </c>
      <c r="J271" s="807">
        <f t="shared" si="571"/>
        <v>31.142204454597373</v>
      </c>
      <c r="K271" s="807">
        <f t="shared" si="571"/>
        <v>32.331759149940964</v>
      </c>
      <c r="L271" s="807">
        <f t="shared" si="571"/>
        <v>33.678547410894424</v>
      </c>
      <c r="M271" s="807">
        <f t="shared" si="571"/>
        <v>35.262784090909086</v>
      </c>
      <c r="N271" s="807">
        <f t="shared" si="571"/>
        <v>36.912127951708953</v>
      </c>
      <c r="O271" s="807">
        <f t="shared" si="571"/>
        <v>37.961356525349586</v>
      </c>
      <c r="P271" s="894">
        <f t="shared" si="571"/>
        <v>39.068299925760947</v>
      </c>
      <c r="Q271" s="894">
        <f t="shared" si="571"/>
        <v>39.293404577717524</v>
      </c>
      <c r="R271" s="894">
        <f t="shared" si="571"/>
        <v>38.383405545239569</v>
      </c>
      <c r="S271" s="894">
        <f t="shared" ref="S271" si="572">S264/S263</f>
        <v>39.786870576750999</v>
      </c>
      <c r="T271" s="894">
        <f t="shared" ref="T271" si="573">T264/T263</f>
        <v>40.512495068864382</v>
      </c>
      <c r="U271" s="508">
        <f t="shared" si="539"/>
        <v>41.727869920930317</v>
      </c>
      <c r="V271" s="508">
        <f t="shared" si="539"/>
        <v>42.979706018558225</v>
      </c>
      <c r="W271" s="508">
        <f t="shared" si="539"/>
        <v>44.269097199114974</v>
      </c>
      <c r="X271" s="508">
        <f t="shared" si="540"/>
        <v>44.933133657101699</v>
      </c>
      <c r="Y271" s="508">
        <f t="shared" si="540"/>
        <v>45.607130661958216</v>
      </c>
      <c r="Z271" s="508">
        <f t="shared" si="540"/>
        <v>46.291237621887589</v>
      </c>
      <c r="AA271" s="508">
        <f t="shared" si="540"/>
        <v>46.985606186215897</v>
      </c>
      <c r="AB271" s="508">
        <f t="shared" si="540"/>
        <v>47.690390279009129</v>
      </c>
      <c r="AC271" s="811"/>
      <c r="AD271" s="895"/>
      <c r="AE271" s="895"/>
      <c r="AF271" s="895"/>
      <c r="AG271" s="895"/>
      <c r="AH271" s="895"/>
      <c r="AI271" s="895"/>
      <c r="AJ271" s="895"/>
      <c r="AK271" s="895"/>
      <c r="AL271" s="895"/>
      <c r="AM271" s="895"/>
      <c r="AN271" s="895"/>
      <c r="AO271" s="895"/>
      <c r="AP271" s="895"/>
      <c r="AQ271" s="895"/>
      <c r="AR271" s="895"/>
      <c r="AS271" s="895"/>
      <c r="AT271" s="895"/>
      <c r="AU271" s="895"/>
      <c r="AV271" s="895"/>
      <c r="AW271" s="895"/>
      <c r="AX271" s="895"/>
      <c r="AY271" s="895"/>
      <c r="AZ271" s="895"/>
      <c r="BA271" s="895"/>
      <c r="BB271" s="895"/>
      <c r="BC271" s="895"/>
      <c r="BD271" s="895"/>
      <c r="BE271" s="895"/>
      <c r="BF271" s="508">
        <f t="shared" ref="BF271:CI271" si="574">BF264/BF263</f>
        <v>26.658878504672899</v>
      </c>
      <c r="BG271" s="508">
        <f t="shared" si="574"/>
        <v>26.612576064908723</v>
      </c>
      <c r="BH271" s="508">
        <f t="shared" si="574"/>
        <v>26.826722338204593</v>
      </c>
      <c r="BI271" s="508">
        <f t="shared" si="574"/>
        <v>27.736263736263737</v>
      </c>
      <c r="BJ271" s="508">
        <f t="shared" si="574"/>
        <v>27.228637413394921</v>
      </c>
      <c r="BK271" s="508">
        <f t="shared" si="574"/>
        <v>27.309322033898304</v>
      </c>
      <c r="BL271" s="508">
        <f t="shared" si="574"/>
        <v>27.436974789915965</v>
      </c>
      <c r="BM271" s="508">
        <f t="shared" si="574"/>
        <v>27.064017660044151</v>
      </c>
      <c r="BN271" s="508">
        <f t="shared" si="574"/>
        <v>30.935960591133004</v>
      </c>
      <c r="BO271" s="508">
        <f t="shared" si="574"/>
        <v>31.118421052631579</v>
      </c>
      <c r="BP271" s="508">
        <f t="shared" si="574"/>
        <v>31.040339702760082</v>
      </c>
      <c r="BQ271" s="508">
        <f t="shared" si="574"/>
        <v>31.483253588516742</v>
      </c>
      <c r="BR271" s="508">
        <f t="shared" si="574"/>
        <v>32.394014962593516</v>
      </c>
      <c r="BS271" s="508">
        <f t="shared" si="574"/>
        <v>32.545871559633028</v>
      </c>
      <c r="BT271" s="508">
        <f t="shared" si="574"/>
        <v>33</v>
      </c>
      <c r="BU271" s="508">
        <f t="shared" si="574"/>
        <v>31.306372549019603</v>
      </c>
      <c r="BV271" s="508">
        <f t="shared" si="574"/>
        <v>33.372093023255815</v>
      </c>
      <c r="BW271" s="508">
        <f t="shared" si="574"/>
        <v>33.349753694581281</v>
      </c>
      <c r="BX271" s="508">
        <f t="shared" si="574"/>
        <v>33.6</v>
      </c>
      <c r="BY271" s="508">
        <f t="shared" si="574"/>
        <v>34.419889502762437</v>
      </c>
      <c r="BZ271" s="508">
        <f t="shared" si="574"/>
        <v>35.454545454545453</v>
      </c>
      <c r="CA271" s="508">
        <f t="shared" si="574"/>
        <v>34.630136986301373</v>
      </c>
      <c r="CB271" s="508">
        <f t="shared" si="574"/>
        <v>35.16393442622951</v>
      </c>
      <c r="CC271" s="508">
        <f t="shared" si="574"/>
        <v>35.824711618503983</v>
      </c>
      <c r="CD271" s="508">
        <f t="shared" si="574"/>
        <v>37.092684759132311</v>
      </c>
      <c r="CE271" s="508">
        <f t="shared" si="574"/>
        <v>36.713721373518609</v>
      </c>
      <c r="CF271" s="508">
        <f t="shared" si="574"/>
        <v>36.802595920770543</v>
      </c>
      <c r="CG271" s="508">
        <f t="shared" si="574"/>
        <v>37.062314540059347</v>
      </c>
      <c r="CH271" s="508">
        <f t="shared" si="574"/>
        <v>37.964510736787965</v>
      </c>
      <c r="CI271" s="508">
        <f t="shared" si="574"/>
        <v>37.702519941486571</v>
      </c>
      <c r="CJ271" s="508">
        <f>CJ264/CJ263</f>
        <v>38.06895733190909</v>
      </c>
      <c r="CK271" s="508">
        <f>CK264/CK263</f>
        <v>38.128454467531704</v>
      </c>
      <c r="CL271" s="508">
        <f>CL264/CL263</f>
        <v>39.354598149215278</v>
      </c>
      <c r="CM271" s="508">
        <f>CM264/CM263</f>
        <v>38.765191164729885</v>
      </c>
      <c r="CN271" s="508">
        <f>CN264/CN263</f>
        <v>39.188674267960259</v>
      </c>
      <c r="CO271" s="508">
        <f>+CO264/CO263</f>
        <v>38.996078431372545</v>
      </c>
      <c r="CP271" s="508">
        <f t="shared" ref="CP271:CV271" si="575">CP264/CP263</f>
        <v>39.549201711363878</v>
      </c>
      <c r="CQ271" s="508">
        <f t="shared" si="575"/>
        <v>39.957677226613555</v>
      </c>
      <c r="CR271" s="508">
        <f t="shared" si="575"/>
        <v>40.343735866123929</v>
      </c>
      <c r="CS271" s="508">
        <f t="shared" si="575"/>
        <v>37.266288047986727</v>
      </c>
      <c r="CT271" s="508">
        <f t="shared" si="575"/>
        <v>38.221796013425575</v>
      </c>
      <c r="CU271" s="508">
        <f t="shared" si="575"/>
        <v>38.401159280280154</v>
      </c>
      <c r="CV271" s="508">
        <f t="shared" si="575"/>
        <v>38.334036525827251</v>
      </c>
      <c r="CW271" s="508">
        <f>+CW264/CW263</f>
        <v>38.572458543619327</v>
      </c>
      <c r="CX271" s="508">
        <f t="shared" ref="CX271:DC271" si="576">CX264/CX263</f>
        <v>40.996648498595079</v>
      </c>
      <c r="CY271" s="508">
        <f t="shared" si="576"/>
        <v>39.529710835716557</v>
      </c>
      <c r="CZ271" s="508">
        <f t="shared" si="576"/>
        <v>39.830817916260955</v>
      </c>
      <c r="DA271" s="508">
        <f t="shared" si="576"/>
        <v>38.785834738617204</v>
      </c>
      <c r="DB271" s="508">
        <f t="shared" si="576"/>
        <v>39.962404706373796</v>
      </c>
      <c r="DC271" s="508">
        <f t="shared" si="576"/>
        <v>40.956524583728616</v>
      </c>
      <c r="DD271" s="508">
        <f t="shared" ref="DD271:DE271" si="577">DD264/DD263</f>
        <v>39.477098741403921</v>
      </c>
      <c r="DE271" s="508">
        <f t="shared" si="577"/>
        <v>41.801978702514916</v>
      </c>
      <c r="DF271" s="508">
        <f t="shared" ref="DF271:DH271" si="578">+DF279*50</f>
        <v>41.161276847565006</v>
      </c>
      <c r="DG271" s="508">
        <f t="shared" si="578"/>
        <v>42.185220321240472</v>
      </c>
      <c r="DH271" s="508">
        <f t="shared" si="578"/>
        <v>40.661411703646039</v>
      </c>
      <c r="DI271" s="508">
        <f>+DI264/DI263</f>
        <v>43.019134264105617</v>
      </c>
    </row>
    <row r="272" spans="1:114">
      <c r="A272" s="944" t="s">
        <v>249</v>
      </c>
      <c r="B272" s="807">
        <f>B173/B263</f>
        <v>24.245917387127761</v>
      </c>
      <c r="C272" s="807">
        <f>C173/C263</f>
        <v>25.247758376592731</v>
      </c>
      <c r="D272" s="807">
        <f>D173/D263</f>
        <v>27.831965234186384</v>
      </c>
      <c r="E272" s="807">
        <f>E173/E263</f>
        <v>26.310020876826723</v>
      </c>
      <c r="F272" s="807">
        <f t="shared" ref="F272:Q272" si="579">F173/F263</f>
        <v>22.176816239316242</v>
      </c>
      <c r="G272" s="807">
        <f t="shared" si="579"/>
        <v>23.714591127739176</v>
      </c>
      <c r="H272" s="807">
        <f t="shared" si="579"/>
        <v>24.840970350404312</v>
      </c>
      <c r="I272" s="807">
        <f t="shared" si="579"/>
        <v>26.292257360959649</v>
      </c>
      <c r="J272" s="807">
        <f t="shared" si="579"/>
        <v>27.921187892632783</v>
      </c>
      <c r="K272" s="807">
        <f t="shared" si="579"/>
        <v>29.704840613931523</v>
      </c>
      <c r="L272" s="807">
        <f>L173/L263</f>
        <v>35.702757229320781</v>
      </c>
      <c r="M272" s="807">
        <f>M173/M263</f>
        <v>39.417613636363633</v>
      </c>
      <c r="N272" s="807">
        <f>N173/N263</f>
        <v>43.293919168898817</v>
      </c>
      <c r="O272" s="807">
        <f>O173/O263</f>
        <v>44.822617425116</v>
      </c>
      <c r="P272" s="894">
        <f>P173/P263</f>
        <v>47.843673025562254</v>
      </c>
      <c r="Q272" s="894">
        <f t="shared" si="579"/>
        <v>52.523804701826862</v>
      </c>
      <c r="R272" s="894">
        <f>R173/R263</f>
        <v>58.015745356058765</v>
      </c>
      <c r="S272" s="894">
        <f>S173/S263</f>
        <v>62.505736793965319</v>
      </c>
      <c r="T272" s="894">
        <f>T173/T263</f>
        <v>70.562637548360186</v>
      </c>
      <c r="U272" s="508">
        <f t="shared" si="539"/>
        <v>72.202601005926525</v>
      </c>
      <c r="V272" s="508">
        <f t="shared" si="539"/>
        <v>78.574490759210988</v>
      </c>
      <c r="W272" s="508">
        <f t="shared" si="539"/>
        <v>85.53695066645011</v>
      </c>
      <c r="X272" s="508">
        <f t="shared" si="540"/>
        <v>92.616004122552553</v>
      </c>
      <c r="Y272" s="508">
        <f t="shared" si="540"/>
        <v>99.895745012990204</v>
      </c>
      <c r="Z272" s="508">
        <f t="shared" si="540"/>
        <v>107.39059923452992</v>
      </c>
      <c r="AA272" s="508">
        <f t="shared" si="540"/>
        <v>115.11531620113628</v>
      </c>
      <c r="AB272" s="508">
        <f t="shared" si="540"/>
        <v>123.0849968124288</v>
      </c>
      <c r="AC272" s="811"/>
      <c r="AD272" s="895">
        <f t="shared" ref="AD272:CC272" si="580">AD173/AD263</f>
        <v>20.75229357798165</v>
      </c>
      <c r="AE272" s="895">
        <f t="shared" si="580"/>
        <v>21.710296684118674</v>
      </c>
      <c r="AF272" s="895">
        <f t="shared" si="580"/>
        <v>22.838499184339316</v>
      </c>
      <c r="AG272" s="895">
        <f t="shared" si="580"/>
        <v>25.897435897435898</v>
      </c>
      <c r="AH272" s="895">
        <f t="shared" si="580"/>
        <v>21.257606490872213</v>
      </c>
      <c r="AI272" s="895">
        <f t="shared" si="580"/>
        <v>23.08880308880309</v>
      </c>
      <c r="AJ272" s="895">
        <f t="shared" si="580"/>
        <v>25.091240875912408</v>
      </c>
      <c r="AK272" s="895">
        <f t="shared" si="580"/>
        <v>27.323135755258129</v>
      </c>
      <c r="AL272" s="895">
        <f t="shared" si="580"/>
        <v>21.136363636363637</v>
      </c>
      <c r="AM272" s="895">
        <f t="shared" si="580"/>
        <v>23.724394785847299</v>
      </c>
      <c r="AN272" s="895">
        <f t="shared" si="580"/>
        <v>26.968576709796672</v>
      </c>
      <c r="AO272" s="895">
        <f t="shared" si="580"/>
        <v>29.202334630350194</v>
      </c>
      <c r="AP272" s="895">
        <f t="shared" si="580"/>
        <v>23.294573643410853</v>
      </c>
      <c r="AQ272" s="895">
        <f t="shared" si="580"/>
        <v>25.754189944134076</v>
      </c>
      <c r="AR272" s="895">
        <f t="shared" si="580"/>
        <v>30.038095238095238</v>
      </c>
      <c r="AS272" s="895">
        <f t="shared" si="580"/>
        <v>32.494929006085194</v>
      </c>
      <c r="AT272" s="895">
        <f t="shared" si="580"/>
        <v>23.900573613766731</v>
      </c>
      <c r="AU272" s="895">
        <f t="shared" si="580"/>
        <v>31.403887688984884</v>
      </c>
      <c r="AV272" s="895">
        <f t="shared" si="580"/>
        <v>30.728744939271255</v>
      </c>
      <c r="AW272" s="895">
        <f t="shared" si="580"/>
        <v>18.787185354691076</v>
      </c>
      <c r="AX272" s="895">
        <f t="shared" si="580"/>
        <v>14.379844961240309</v>
      </c>
      <c r="AY272" s="895">
        <f t="shared" si="580"/>
        <v>22.430167597765362</v>
      </c>
      <c r="AZ272" s="895">
        <f t="shared" si="580"/>
        <v>21.933333333333334</v>
      </c>
      <c r="BA272" s="895">
        <f t="shared" si="580"/>
        <v>21.369168356997974</v>
      </c>
      <c r="BB272" s="895">
        <f t="shared" si="580"/>
        <v>22.761020881670532</v>
      </c>
      <c r="BC272" s="895">
        <f t="shared" si="580"/>
        <v>25.144032921810698</v>
      </c>
      <c r="BD272" s="895">
        <f t="shared" si="580"/>
        <v>23.850931677018636</v>
      </c>
      <c r="BE272" s="895">
        <f t="shared" si="580"/>
        <v>22.972399150743097</v>
      </c>
      <c r="BF272" s="508">
        <f t="shared" si="580"/>
        <v>24.27570093457944</v>
      </c>
      <c r="BG272" s="508">
        <f t="shared" si="580"/>
        <v>25.618661257606494</v>
      </c>
      <c r="BH272" s="508">
        <f t="shared" si="580"/>
        <v>25.5741127348643</v>
      </c>
      <c r="BI272" s="508">
        <f t="shared" si="580"/>
        <v>23.758241758241759</v>
      </c>
      <c r="BJ272" s="508">
        <f t="shared" si="580"/>
        <v>25.773672055427255</v>
      </c>
      <c r="BK272" s="508">
        <f t="shared" si="580"/>
        <v>27.563559322033896</v>
      </c>
      <c r="BL272" s="508">
        <f t="shared" si="580"/>
        <v>26.680672268907561</v>
      </c>
      <c r="BM272" s="508">
        <f t="shared" si="580"/>
        <v>25.055187637969098</v>
      </c>
      <c r="BN272" s="508">
        <f t="shared" si="580"/>
        <v>27.832512315270936</v>
      </c>
      <c r="BO272" s="508">
        <f t="shared" si="580"/>
        <v>28.991228070175438</v>
      </c>
      <c r="BP272" s="508">
        <f t="shared" si="580"/>
        <v>27.961783439490446</v>
      </c>
      <c r="BQ272" s="508">
        <f t="shared" si="580"/>
        <v>26.794258373205739</v>
      </c>
      <c r="BR272" s="508">
        <f t="shared" si="580"/>
        <v>26.58354114713217</v>
      </c>
      <c r="BS272" s="508">
        <f t="shared" si="580"/>
        <v>31.467889908256879</v>
      </c>
      <c r="BT272" s="508">
        <f t="shared" si="580"/>
        <v>31.180400890868597</v>
      </c>
      <c r="BU272" s="508">
        <f t="shared" si="580"/>
        <v>29.264705882352938</v>
      </c>
      <c r="BV272" s="508">
        <f t="shared" si="580"/>
        <v>34.302325581395351</v>
      </c>
      <c r="BW272" s="508">
        <f t="shared" si="580"/>
        <v>36.2807881773399</v>
      </c>
      <c r="BX272" s="508">
        <f t="shared" si="580"/>
        <v>38.106666666666669</v>
      </c>
      <c r="BY272" s="508">
        <f t="shared" si="580"/>
        <v>33.8950276243094</v>
      </c>
      <c r="BZ272" s="508">
        <f t="shared" si="580"/>
        <v>36.920821114369502</v>
      </c>
      <c r="CA272" s="508">
        <f t="shared" si="580"/>
        <v>40.958904109589042</v>
      </c>
      <c r="CB272" s="508">
        <f t="shared" si="580"/>
        <v>42.540983606557376</v>
      </c>
      <c r="CC272" s="508">
        <f t="shared" si="580"/>
        <v>36.83553335711737</v>
      </c>
      <c r="CD272" s="508">
        <f t="shared" ref="CD272:CK272" si="581">CD173/CD263</f>
        <v>42.226187122421514</v>
      </c>
      <c r="CE272" s="508">
        <f t="shared" si="581"/>
        <v>43.454239067377557</v>
      </c>
      <c r="CF272" s="508">
        <f t="shared" si="581"/>
        <v>45.645645645645651</v>
      </c>
      <c r="CG272" s="508">
        <f t="shared" si="581"/>
        <v>41.810089020771507</v>
      </c>
      <c r="CH272" s="508">
        <f t="shared" si="581"/>
        <v>44.38464525322189</v>
      </c>
      <c r="CI272" s="508">
        <f t="shared" si="581"/>
        <v>44.427993567865393</v>
      </c>
      <c r="CJ272" s="508">
        <f t="shared" si="581"/>
        <v>46.762404059038055</v>
      </c>
      <c r="CK272" s="508">
        <f t="shared" si="581"/>
        <v>43.715632119612131</v>
      </c>
      <c r="CL272" s="508">
        <f>CL173/CL263</f>
        <v>47.603916660984545</v>
      </c>
      <c r="CM272" s="508">
        <f>CM173/CM263</f>
        <v>48.347494984169359</v>
      </c>
      <c r="CN272" s="508">
        <f>CN173/CN263</f>
        <v>47.472307330601147</v>
      </c>
      <c r="CO272" s="508">
        <f>+CO173/CO263</f>
        <v>47.928510079939088</v>
      </c>
      <c r="CP272" s="508">
        <f t="shared" ref="CP272:CV272" si="582">CP173/CP263</f>
        <v>51.879341251265203</v>
      </c>
      <c r="CQ272" s="508">
        <f t="shared" si="582"/>
        <v>52.443260590588793</v>
      </c>
      <c r="CR272" s="508">
        <f t="shared" si="582"/>
        <v>53.168523888722696</v>
      </c>
      <c r="CS272" s="508">
        <f t="shared" si="582"/>
        <v>52.51531042505195</v>
      </c>
      <c r="CT272" s="508">
        <f t="shared" si="582"/>
        <v>57.464010320351278</v>
      </c>
      <c r="CU272" s="508">
        <f t="shared" si="582"/>
        <v>59.147209574609946</v>
      </c>
      <c r="CV272" s="508">
        <f t="shared" si="582"/>
        <v>59.080935662512516</v>
      </c>
      <c r="CW272" s="508">
        <f>+CW173/CW263</f>
        <v>56.157116334906135</v>
      </c>
      <c r="CX272" s="508">
        <f t="shared" ref="CX272:DC272" si="583">CX173/CX263</f>
        <v>62.011649149762277</v>
      </c>
      <c r="CY272" s="508">
        <f t="shared" si="583"/>
        <v>64.766773966292817</v>
      </c>
      <c r="CZ272" s="508">
        <f t="shared" si="583"/>
        <v>62.176729684612717</v>
      </c>
      <c r="DA272" s="508">
        <f t="shared" si="583"/>
        <v>60.931331478575927</v>
      </c>
      <c r="DB272" s="508">
        <f t="shared" si="583"/>
        <v>68.446615348179876</v>
      </c>
      <c r="DC272" s="508">
        <f t="shared" si="583"/>
        <v>71.163201401806887</v>
      </c>
      <c r="DD272" s="508">
        <f t="shared" ref="DD272:DE272" si="584">DD173/DD263</f>
        <v>71.623199688594781</v>
      </c>
      <c r="DE272" s="508">
        <f t="shared" si="584"/>
        <v>70.930182433543109</v>
      </c>
      <c r="DF272" s="508">
        <f t="shared" ref="DF272:DH272" si="585">+DF280*50</f>
        <v>69.681305107627267</v>
      </c>
      <c r="DG272" s="508">
        <f t="shared" si="585"/>
        <v>72.509987732032428</v>
      </c>
      <c r="DH272" s="508">
        <f t="shared" si="585"/>
        <v>73.304950045413236</v>
      </c>
      <c r="DI272" s="508">
        <f>+DI173/DI263</f>
        <v>73.207121255803813</v>
      </c>
    </row>
    <row r="273" spans="1:113">
      <c r="A273" s="301"/>
      <c r="AD273" s="549"/>
      <c r="AE273" s="549"/>
      <c r="AF273" s="549"/>
      <c r="AG273" s="549"/>
      <c r="AH273" s="549"/>
      <c r="AI273" s="549"/>
      <c r="AJ273" s="549"/>
      <c r="AK273" s="549"/>
      <c r="AL273" s="549"/>
      <c r="AM273" s="549"/>
      <c r="AN273" s="549"/>
      <c r="AO273" s="549"/>
      <c r="AP273" s="549"/>
      <c r="AQ273" s="549"/>
      <c r="AR273" s="549"/>
      <c r="AS273" s="549"/>
      <c r="AT273" s="549"/>
      <c r="AU273" s="549"/>
      <c r="AV273" s="549"/>
      <c r="AW273" s="549"/>
      <c r="AX273" s="549"/>
      <c r="AY273" s="549"/>
      <c r="AZ273" s="549"/>
      <c r="BA273" s="549"/>
      <c r="BB273" s="549"/>
      <c r="BC273" s="549"/>
      <c r="BD273" s="549"/>
      <c r="BE273" s="549"/>
      <c r="BF273" s="459"/>
      <c r="BG273" s="459"/>
      <c r="BH273" s="459"/>
      <c r="BI273" s="459"/>
      <c r="BJ273" s="459"/>
      <c r="BK273" s="459"/>
      <c r="BL273" s="459"/>
      <c r="BM273" s="459"/>
      <c r="BN273" s="459"/>
      <c r="BO273" s="459"/>
      <c r="BP273" s="459"/>
      <c r="BQ273" s="459"/>
      <c r="BR273" s="459"/>
      <c r="BS273" s="459"/>
      <c r="BT273" s="459"/>
      <c r="BU273" s="459"/>
      <c r="BV273" s="459"/>
      <c r="BW273" s="459"/>
      <c r="BX273" s="459"/>
      <c r="BY273" s="459"/>
      <c r="BZ273" s="459"/>
      <c r="CA273" s="459"/>
      <c r="CB273" s="459"/>
      <c r="CC273" s="459"/>
      <c r="CD273" s="459"/>
      <c r="CE273" s="459"/>
      <c r="CF273" s="459"/>
      <c r="CG273" s="459"/>
      <c r="CH273" s="459"/>
      <c r="CI273" s="404"/>
      <c r="CJ273" s="404"/>
      <c r="CK273" s="404"/>
      <c r="CL273" s="404"/>
      <c r="CM273" s="404"/>
      <c r="CN273" s="404"/>
      <c r="CO273" s="404"/>
      <c r="CP273" s="404"/>
      <c r="CQ273" s="404"/>
      <c r="CR273" s="404"/>
      <c r="CS273" s="404"/>
      <c r="CT273" s="373"/>
      <c r="CU273" s="373"/>
      <c r="CV273" s="373"/>
      <c r="CW273" s="373"/>
      <c r="CX273" s="373"/>
      <c r="CY273" s="373"/>
      <c r="CZ273" s="373"/>
      <c r="DA273" s="373"/>
      <c r="DB273" s="373"/>
      <c r="DC273" s="373"/>
      <c r="DD273" s="373"/>
      <c r="DE273" s="373"/>
      <c r="DF273" s="373"/>
      <c r="DG273" s="373"/>
      <c r="DH273" s="373"/>
      <c r="DI273" s="373"/>
    </row>
    <row r="274" spans="1:113">
      <c r="A274" s="34" t="s">
        <v>250</v>
      </c>
      <c r="AD274" s="234"/>
      <c r="AE274" s="234"/>
      <c r="AF274" s="234"/>
      <c r="AG274" s="234"/>
      <c r="AH274" s="234"/>
      <c r="AI274" s="234"/>
      <c r="AJ274" s="234"/>
      <c r="AK274" s="234"/>
      <c r="AL274" s="234"/>
      <c r="AM274" s="234"/>
      <c r="AN274" s="234"/>
      <c r="AO274" s="234"/>
      <c r="AP274" s="234"/>
      <c r="AQ274" s="234"/>
      <c r="AR274" s="234"/>
      <c r="AS274" s="234"/>
      <c r="AT274" s="234"/>
      <c r="AU274" s="234"/>
      <c r="AV274" s="234"/>
      <c r="AW274" s="234"/>
      <c r="AX274" s="549"/>
      <c r="AY274" s="549"/>
      <c r="AZ274" s="549"/>
      <c r="BA274" s="549"/>
      <c r="BB274" s="549"/>
      <c r="BC274" s="549"/>
      <c r="BD274" s="549"/>
      <c r="BE274" s="549"/>
      <c r="BF274" s="459"/>
      <c r="BG274" s="459"/>
      <c r="BH274" s="459"/>
      <c r="BI274" s="459"/>
      <c r="BJ274" s="459"/>
      <c r="BK274" s="459"/>
      <c r="BL274" s="459"/>
      <c r="BM274" s="459"/>
      <c r="BN274" s="459"/>
      <c r="BO274" s="459"/>
      <c r="BP274" s="459"/>
      <c r="BQ274" s="459"/>
      <c r="BR274" s="459"/>
      <c r="BS274" s="459"/>
      <c r="BT274" s="459"/>
      <c r="BU274" s="459"/>
      <c r="BV274" s="459"/>
      <c r="BW274" s="459"/>
      <c r="BX274" s="459"/>
      <c r="BY274" s="459"/>
      <c r="BZ274" s="459"/>
      <c r="CA274" s="459"/>
      <c r="CB274" s="412"/>
      <c r="CC274" s="459"/>
      <c r="CD274" s="459"/>
      <c r="CE274" s="459"/>
      <c r="CF274" s="459"/>
      <c r="CG274" s="459"/>
      <c r="CH274" s="459"/>
      <c r="CI274" s="404"/>
      <c r="CJ274" s="404"/>
      <c r="CK274" s="404"/>
      <c r="CL274" s="510"/>
      <c r="CM274" s="510"/>
      <c r="CN274" s="510"/>
      <c r="CO274" s="510"/>
      <c r="CP274" s="510"/>
      <c r="CQ274" s="510"/>
      <c r="CR274" s="510"/>
      <c r="CS274" s="510"/>
      <c r="CT274" s="373"/>
      <c r="CU274" s="373"/>
      <c r="CV274" s="373"/>
      <c r="CW274" s="373"/>
      <c r="CX274" s="373"/>
      <c r="CY274" s="373"/>
      <c r="CZ274" s="373"/>
      <c r="DA274" s="373"/>
      <c r="DB274" s="373"/>
      <c r="DC274" s="373"/>
      <c r="DD274" s="373"/>
      <c r="DE274" s="373"/>
      <c r="DF274" s="373"/>
      <c r="DG274" s="373"/>
      <c r="DH274" s="373"/>
      <c r="DI274" s="373"/>
    </row>
    <row r="275" spans="1:113">
      <c r="A275" s="310" t="s">
        <v>659</v>
      </c>
      <c r="B275" s="807">
        <f>+B267/50</f>
        <v>1.8824207492795388</v>
      </c>
      <c r="C275" s="807">
        <f t="shared" ref="C275:R276" si="586">+C267/50</f>
        <v>1.7901840490797545</v>
      </c>
      <c r="D275" s="807">
        <f t="shared" si="586"/>
        <v>1.9219700627716079</v>
      </c>
      <c r="E275" s="807">
        <f t="shared" si="586"/>
        <v>1.9704592901878915</v>
      </c>
      <c r="F275" s="807">
        <f t="shared" si="586"/>
        <v>1.8163888888888891</v>
      </c>
      <c r="G275" s="807">
        <f t="shared" si="586"/>
        <v>1.8718332442544097</v>
      </c>
      <c r="H275" s="807">
        <f t="shared" si="586"/>
        <v>1.9551482479784366</v>
      </c>
      <c r="I275" s="807">
        <f t="shared" si="586"/>
        <v>2.0146128680479825</v>
      </c>
      <c r="J275" s="807">
        <f t="shared" si="586"/>
        <v>2.1113649343232437</v>
      </c>
      <c r="K275" s="807">
        <f t="shared" si="586"/>
        <v>2.1788665879574971</v>
      </c>
      <c r="L275" s="807">
        <f t="shared" si="586"/>
        <v>2.8135843981170141</v>
      </c>
      <c r="M275" s="807">
        <f t="shared" si="586"/>
        <v>3.072585227272727</v>
      </c>
      <c r="N275" s="807">
        <f t="shared" si="586"/>
        <v>3.1565862104686779</v>
      </c>
      <c r="O275" s="807">
        <f t="shared" si="586"/>
        <v>3.192757684950398</v>
      </c>
      <c r="P275" s="807">
        <f t="shared" si="586"/>
        <v>3.283685968819599</v>
      </c>
      <c r="Q275" s="807">
        <f t="shared" si="586"/>
        <v>3.3970811069463274</v>
      </c>
      <c r="R275" s="807">
        <f t="shared" si="586"/>
        <v>3.5126727927756356</v>
      </c>
      <c r="S275" s="807">
        <f t="shared" ref="S275" si="587">+S267/50</f>
        <v>3.6030261124217038</v>
      </c>
      <c r="T275" s="807">
        <f t="shared" ref="T275" si="588">+T267/50</f>
        <v>3.7439234671214341</v>
      </c>
      <c r="U275" s="807">
        <f t="shared" ref="U275:AB275" si="589">+U276+U277</f>
        <v>3.8394272892276824</v>
      </c>
      <c r="V275" s="807">
        <f t="shared" si="589"/>
        <v>3.9666194885180355</v>
      </c>
      <c r="W275" s="807">
        <f t="shared" si="589"/>
        <v>4.0995495543464688</v>
      </c>
      <c r="X275" s="807">
        <f t="shared" si="589"/>
        <v>4.229193039115593</v>
      </c>
      <c r="Y275" s="807">
        <f t="shared" si="589"/>
        <v>4.3642948182208778</v>
      </c>
      <c r="Z275" s="807">
        <f t="shared" si="589"/>
        <v>4.5050841358860065</v>
      </c>
      <c r="AA275" s="807">
        <f t="shared" si="589"/>
        <v>4.6517998645933449</v>
      </c>
      <c r="AB275" s="807">
        <f t="shared" si="589"/>
        <v>4.8046909094708106</v>
      </c>
      <c r="AD275" s="807">
        <f t="shared" ref="AD275:CO275" si="590">+AD267/50</f>
        <v>1.2242201834862385</v>
      </c>
      <c r="AE275" s="807">
        <f t="shared" si="590"/>
        <v>1.3005235602094243</v>
      </c>
      <c r="AF275" s="807">
        <f t="shared" si="590"/>
        <v>1.3513866231647633</v>
      </c>
      <c r="AG275" s="807">
        <f t="shared" si="590"/>
        <v>1.504029304029304</v>
      </c>
      <c r="AH275" s="807">
        <f t="shared" si="590"/>
        <v>1.8093306288032454</v>
      </c>
      <c r="AI275" s="807">
        <f t="shared" si="590"/>
        <v>1.8281853281853282</v>
      </c>
      <c r="AJ275" s="807">
        <f t="shared" si="590"/>
        <v>1.882116788321168</v>
      </c>
      <c r="AK275" s="807">
        <f t="shared" si="590"/>
        <v>2.0053537284894838</v>
      </c>
      <c r="AL275" s="807">
        <f t="shared" si="590"/>
        <v>2.062878787878788</v>
      </c>
      <c r="AM275" s="807">
        <f t="shared" si="590"/>
        <v>2.1251396648044691</v>
      </c>
      <c r="AN275" s="807">
        <f t="shared" si="590"/>
        <v>2.1571164510166358</v>
      </c>
      <c r="AO275" s="807">
        <f t="shared" si="590"/>
        <v>2.2066147859922181</v>
      </c>
      <c r="AP275" s="807">
        <f t="shared" si="590"/>
        <v>1.7740310077519379</v>
      </c>
      <c r="AQ275" s="807">
        <f t="shared" si="590"/>
        <v>1.9013035381750465</v>
      </c>
      <c r="AR275" s="807">
        <f t="shared" si="590"/>
        <v>1.9596190476190474</v>
      </c>
      <c r="AS275" s="807">
        <f t="shared" si="590"/>
        <v>2.0592292089249495</v>
      </c>
      <c r="AT275" s="807">
        <f t="shared" si="590"/>
        <v>1.9189292543021035</v>
      </c>
      <c r="AU275" s="807">
        <f t="shared" si="590"/>
        <v>2.1084233261339094</v>
      </c>
      <c r="AV275" s="807">
        <f t="shared" si="590"/>
        <v>2.0331983805668017</v>
      </c>
      <c r="AW275" s="807">
        <f t="shared" si="590"/>
        <v>1.8105263157894738</v>
      </c>
      <c r="AX275" s="807">
        <f t="shared" si="590"/>
        <v>1.4794573643410851</v>
      </c>
      <c r="AY275" s="807">
        <f t="shared" si="590"/>
        <v>1.6751955307262569</v>
      </c>
      <c r="AZ275" s="807">
        <f t="shared" si="590"/>
        <v>1.6914285714285713</v>
      </c>
      <c r="BA275" s="807">
        <f t="shared" si="590"/>
        <v>1.7225152129817445</v>
      </c>
      <c r="BB275" s="807">
        <f t="shared" si="590"/>
        <v>1.8580046403712296</v>
      </c>
      <c r="BC275" s="807">
        <f t="shared" si="590"/>
        <v>1.88559670781893</v>
      </c>
      <c r="BD275" s="807">
        <f t="shared" si="590"/>
        <v>1.8654244306418222</v>
      </c>
      <c r="BE275" s="807">
        <f t="shared" si="590"/>
        <v>1.8768577494692145</v>
      </c>
      <c r="BF275" s="807">
        <f t="shared" si="590"/>
        <v>1.9373831775700936</v>
      </c>
      <c r="BG275" s="807">
        <f t="shared" si="590"/>
        <v>1.9432048681541583</v>
      </c>
      <c r="BH275" s="807">
        <f t="shared" si="590"/>
        <v>1.9753653444676411</v>
      </c>
      <c r="BI275" s="807">
        <f t="shared" si="590"/>
        <v>1.9635164835164836</v>
      </c>
      <c r="BJ275" s="807">
        <f t="shared" si="590"/>
        <v>1.9967667436489609</v>
      </c>
      <c r="BK275" s="807">
        <f t="shared" si="590"/>
        <v>2.027542372881356</v>
      </c>
      <c r="BL275" s="807">
        <f t="shared" si="590"/>
        <v>2.0294117647058822</v>
      </c>
      <c r="BM275" s="807">
        <f t="shared" si="590"/>
        <v>2.0026490066225167</v>
      </c>
      <c r="BN275" s="807">
        <f t="shared" si="590"/>
        <v>2.0911330049261081</v>
      </c>
      <c r="BO275" s="807">
        <f t="shared" si="590"/>
        <v>2.1092105263157892</v>
      </c>
      <c r="BP275" s="807">
        <f t="shared" si="590"/>
        <v>2.0993630573248407</v>
      </c>
      <c r="BQ275" s="807">
        <f t="shared" si="590"/>
        <v>2.14688995215311</v>
      </c>
      <c r="BR275" s="807">
        <f t="shared" si="590"/>
        <v>2.109725685785536</v>
      </c>
      <c r="BS275" s="807">
        <f t="shared" si="590"/>
        <v>2.2059633027522936</v>
      </c>
      <c r="BT275" s="807">
        <f t="shared" si="590"/>
        <v>2.2213808463251672</v>
      </c>
      <c r="BU275" s="807">
        <f t="shared" si="590"/>
        <v>2.1710784313725489</v>
      </c>
      <c r="BV275" s="807">
        <f t="shared" si="590"/>
        <v>2.2651162790697672</v>
      </c>
      <c r="BW275" s="807">
        <f t="shared" si="590"/>
        <v>2.9674876847290643</v>
      </c>
      <c r="BX275" s="807">
        <f t="shared" si="590"/>
        <v>3.0005333333333333</v>
      </c>
      <c r="BY275" s="807">
        <f t="shared" si="590"/>
        <v>2.9685082872928183</v>
      </c>
      <c r="BZ275" s="807">
        <f t="shared" si="590"/>
        <v>3.0046920821114367</v>
      </c>
      <c r="CA275" s="807">
        <f t="shared" si="590"/>
        <v>3.0624657534246573</v>
      </c>
      <c r="CB275" s="807">
        <f t="shared" si="590"/>
        <v>3.1306010928961747</v>
      </c>
      <c r="CC275" s="807">
        <f t="shared" si="590"/>
        <v>3.0859793078844091</v>
      </c>
      <c r="CD275" s="807">
        <f t="shared" si="590"/>
        <v>3.1370707734685572</v>
      </c>
      <c r="CE275" s="807">
        <f t="shared" si="590"/>
        <v>3.1420757479488386</v>
      </c>
      <c r="CF275" s="807">
        <f t="shared" si="590"/>
        <v>3.2018018018018024</v>
      </c>
      <c r="CG275" s="807">
        <f t="shared" si="590"/>
        <v>3.145994065281899</v>
      </c>
      <c r="CH275" s="807">
        <f t="shared" si="590"/>
        <v>3.1644593030731643</v>
      </c>
      <c r="CI275" s="807">
        <f t="shared" si="590"/>
        <v>3.1597250972923741</v>
      </c>
      <c r="CJ275" s="807">
        <f t="shared" si="590"/>
        <v>3.2306688030383954</v>
      </c>
      <c r="CK275" s="807">
        <f t="shared" si="590"/>
        <v>3.2163863683386045</v>
      </c>
      <c r="CL275" s="807">
        <f t="shared" si="590"/>
        <v>3.2690417273990708</v>
      </c>
      <c r="CM275" s="807">
        <f t="shared" si="590"/>
        <v>3.2632543836305037</v>
      </c>
      <c r="CN275" s="807">
        <f t="shared" si="590"/>
        <v>3.2986487674766249</v>
      </c>
      <c r="CO275" s="807">
        <f t="shared" si="590"/>
        <v>3.3029019607843138</v>
      </c>
      <c r="CP275" s="807">
        <f t="shared" ref="CP275:CY275" si="591">+CP267/50</f>
        <v>3.3517687571741628</v>
      </c>
      <c r="CQ275" s="807">
        <f t="shared" si="591"/>
        <v>3.387689052094355</v>
      </c>
      <c r="CR275" s="807">
        <f t="shared" si="591"/>
        <v>3.4277099351726217</v>
      </c>
      <c r="CS275" s="807">
        <f t="shared" si="591"/>
        <v>3.4158636972752219</v>
      </c>
      <c r="CT275" s="889">
        <f t="shared" si="591"/>
        <v>3.4721556270977465</v>
      </c>
      <c r="CU275" s="889">
        <f t="shared" si="591"/>
        <v>3.508030431107354</v>
      </c>
      <c r="CV275" s="889">
        <f t="shared" si="591"/>
        <v>3.5350491230185037</v>
      </c>
      <c r="CW275" s="889">
        <f t="shared" si="591"/>
        <v>3.5321491774267546</v>
      </c>
      <c r="CX275" s="889">
        <f t="shared" si="591"/>
        <v>3.5647787670537254</v>
      </c>
      <c r="CY275" s="889">
        <f t="shared" si="591"/>
        <v>3.5875436924054656</v>
      </c>
      <c r="CZ275" s="889">
        <f t="shared" ref="CZ275:DB276" si="592">+CZ267/50</f>
        <v>3.6295034079844211</v>
      </c>
      <c r="DA275" s="889">
        <f t="shared" si="592"/>
        <v>3.628729738100974</v>
      </c>
      <c r="DB275" s="889">
        <f t="shared" si="592"/>
        <v>3.6697183834023743</v>
      </c>
      <c r="DC275" s="889">
        <f t="shared" ref="DC275:DD275" si="593">+DC267/50</f>
        <v>3.7377735614511436</v>
      </c>
      <c r="DD275" s="889">
        <f t="shared" si="593"/>
        <v>3.7394576359154019</v>
      </c>
      <c r="DE275" s="889">
        <f t="shared" ref="DE275" si="594">+DE267/50</f>
        <v>3.836717008049316</v>
      </c>
      <c r="DF275" s="889">
        <f>+DF276+DF277</f>
        <v>3.7629233821840078</v>
      </c>
      <c r="DG275" s="889">
        <f>+DG276+DG277</f>
        <v>3.8334227485360985</v>
      </c>
      <c r="DH275" s="889">
        <f>+DH276+DH277</f>
        <v>3.8351206695212143</v>
      </c>
      <c r="DI275" s="889">
        <f t="shared" ref="DI275" si="595">+DI267/50</f>
        <v>3.9301976891468962</v>
      </c>
    </row>
    <row r="276" spans="1:113">
      <c r="A276" s="941" t="s">
        <v>552</v>
      </c>
      <c r="B276" s="807">
        <f>+B268/50</f>
        <v>0.24169999999999997</v>
      </c>
      <c r="C276" s="807">
        <f t="shared" si="586"/>
        <v>0.33990000000000004</v>
      </c>
      <c r="D276" s="807">
        <f t="shared" si="586"/>
        <v>0.33780782230806372</v>
      </c>
      <c r="E276" s="807">
        <f t="shared" si="586"/>
        <v>0.39498956158663889</v>
      </c>
      <c r="F276" s="807">
        <f t="shared" si="586"/>
        <v>0.39</v>
      </c>
      <c r="G276" s="807">
        <f t="shared" si="586"/>
        <v>0.39486905398182792</v>
      </c>
      <c r="H276" s="807">
        <f t="shared" si="586"/>
        <v>0.39450134770889489</v>
      </c>
      <c r="I276" s="807">
        <f t="shared" si="586"/>
        <v>0.39443838604143949</v>
      </c>
      <c r="J276" s="807">
        <f t="shared" si="586"/>
        <v>0.3942889777270131</v>
      </c>
      <c r="K276" s="807">
        <f t="shared" si="586"/>
        <v>0.39409681227863047</v>
      </c>
      <c r="L276" s="807">
        <f t="shared" si="586"/>
        <v>0.8695359784801614</v>
      </c>
      <c r="M276" s="807">
        <f t="shared" si="586"/>
        <v>1.0136363636363637</v>
      </c>
      <c r="N276" s="807">
        <f t="shared" si="586"/>
        <v>1.013126544625812</v>
      </c>
      <c r="O276" s="807">
        <f t="shared" si="586"/>
        <v>1.01294541572134</v>
      </c>
      <c r="P276" s="807">
        <f t="shared" si="586"/>
        <v>1.013517693640188</v>
      </c>
      <c r="Q276" s="807">
        <f t="shared" si="586"/>
        <v>1.0141159582103836</v>
      </c>
      <c r="R276" s="807">
        <f t="shared" si="586"/>
        <v>1.0108079798124079</v>
      </c>
      <c r="S276" s="807">
        <f t="shared" ref="S276" si="596">+S268/50</f>
        <v>1.0065891157569349</v>
      </c>
      <c r="T276" s="807">
        <f t="shared" ref="T276" si="597">+T268/50</f>
        <v>1.0062751487916575</v>
      </c>
      <c r="U276" s="807">
        <f>+T276*(1+U284)</f>
        <v>1.0059612797563633</v>
      </c>
      <c r="V276" s="807">
        <f>+U276*(1+V284)</f>
        <v>1.005647508620507</v>
      </c>
      <c r="W276" s="807">
        <f>+V276*(1+W284)</f>
        <v>1.0053338353535524</v>
      </c>
      <c r="X276" s="807">
        <f t="shared" ref="X276:AA279" si="598">+W276*(1+X284)</f>
        <v>1.0050202599249731</v>
      </c>
      <c r="Y276" s="807">
        <f t="shared" si="598"/>
        <v>1.0047067823042524</v>
      </c>
      <c r="Z276" s="807">
        <f t="shared" si="598"/>
        <v>1.0043934024608825</v>
      </c>
      <c r="AA276" s="807">
        <f t="shared" si="598"/>
        <v>1.0040801203643657</v>
      </c>
      <c r="AB276" s="807">
        <f>+AA276*(1+AB284)</f>
        <v>1.0037669359842136</v>
      </c>
      <c r="AD276" s="807">
        <f t="shared" ref="AD276:CO276" si="599">+AD268/50</f>
        <v>0.24</v>
      </c>
      <c r="AE276" s="807">
        <f t="shared" si="599"/>
        <v>0.2411867364746946</v>
      </c>
      <c r="AF276" s="807">
        <f t="shared" si="599"/>
        <v>0.23849918433931486</v>
      </c>
      <c r="AG276" s="807">
        <f t="shared" si="599"/>
        <v>0.24175824175824176</v>
      </c>
      <c r="AH276" s="807">
        <f t="shared" si="599"/>
        <v>0.23894523326572009</v>
      </c>
      <c r="AI276" s="807">
        <f t="shared" si="599"/>
        <v>0.24208494208494208</v>
      </c>
      <c r="AJ276" s="807">
        <f t="shared" si="599"/>
        <v>0.24270072992700731</v>
      </c>
      <c r="AK276" s="807">
        <f t="shared" si="599"/>
        <v>0.24244741873804973</v>
      </c>
      <c r="AL276" s="807">
        <f t="shared" si="599"/>
        <v>0.33674242424242429</v>
      </c>
      <c r="AM276" s="807">
        <f t="shared" si="599"/>
        <v>0.34152700186219742</v>
      </c>
      <c r="AN276" s="807">
        <f t="shared" si="599"/>
        <v>0.34011090573012936</v>
      </c>
      <c r="AO276" s="807">
        <f t="shared" si="599"/>
        <v>0.34046692607003892</v>
      </c>
      <c r="AP276" s="807">
        <f t="shared" si="599"/>
        <v>0.33990000000000004</v>
      </c>
      <c r="AQ276" s="807">
        <f t="shared" si="599"/>
        <v>0.33631284916201115</v>
      </c>
      <c r="AR276" s="807">
        <f t="shared" si="599"/>
        <v>0.33523809523809528</v>
      </c>
      <c r="AS276" s="807">
        <f t="shared" si="599"/>
        <v>0.33671399594320489</v>
      </c>
      <c r="AT276" s="807">
        <f t="shared" si="599"/>
        <v>0.39</v>
      </c>
      <c r="AU276" s="807">
        <f t="shared" si="599"/>
        <v>0.3935205183585313</v>
      </c>
      <c r="AV276" s="807">
        <f t="shared" si="599"/>
        <v>0.39757085020242916</v>
      </c>
      <c r="AW276" s="807">
        <f t="shared" si="599"/>
        <v>0.3949656750572082</v>
      </c>
      <c r="AX276" s="807">
        <f t="shared" si="599"/>
        <v>0.33565891472868215</v>
      </c>
      <c r="AY276" s="807">
        <f t="shared" si="599"/>
        <v>0.35418994413407817</v>
      </c>
      <c r="AZ276" s="807">
        <f t="shared" si="599"/>
        <v>0.3672380952380952</v>
      </c>
      <c r="BA276" s="807">
        <f t="shared" si="599"/>
        <v>0.39</v>
      </c>
      <c r="BB276" s="807">
        <f t="shared" si="599"/>
        <v>0.39535962877030156</v>
      </c>
      <c r="BC276" s="807">
        <f t="shared" si="599"/>
        <v>0.39423868312757199</v>
      </c>
      <c r="BD276" s="807">
        <f t="shared" si="599"/>
        <v>0.39503105590062115</v>
      </c>
      <c r="BE276" s="807">
        <f t="shared" si="599"/>
        <v>0.39490445859872608</v>
      </c>
      <c r="BF276" s="807">
        <f t="shared" si="599"/>
        <v>0.39485981308411217</v>
      </c>
      <c r="BG276" s="807">
        <f t="shared" si="599"/>
        <v>0.39391480730223122</v>
      </c>
      <c r="BH276" s="807">
        <f t="shared" si="599"/>
        <v>0.39457202505219208</v>
      </c>
      <c r="BI276" s="807">
        <f t="shared" si="599"/>
        <v>0.39472527472527474</v>
      </c>
      <c r="BJ276" s="807">
        <f t="shared" si="599"/>
        <v>0.39491916859122406</v>
      </c>
      <c r="BK276" s="807">
        <f t="shared" si="599"/>
        <v>0.39449152542372878</v>
      </c>
      <c r="BL276" s="807">
        <f t="shared" si="599"/>
        <v>0.39411764705882357</v>
      </c>
      <c r="BM276" s="807">
        <f t="shared" si="599"/>
        <v>0.39426048565121413</v>
      </c>
      <c r="BN276" s="807">
        <f t="shared" si="599"/>
        <v>0.39408866995073893</v>
      </c>
      <c r="BO276" s="807">
        <f t="shared" si="599"/>
        <v>0.39429824561403509</v>
      </c>
      <c r="BP276" s="807">
        <f t="shared" si="599"/>
        <v>0.39363057324840761</v>
      </c>
      <c r="BQ276" s="807">
        <f t="shared" si="599"/>
        <v>0.39521531100478463</v>
      </c>
      <c r="BR276" s="807">
        <f t="shared" si="599"/>
        <v>0.39451371571072313</v>
      </c>
      <c r="BS276" s="807">
        <f t="shared" si="599"/>
        <v>0.39403669724770646</v>
      </c>
      <c r="BT276" s="807">
        <f t="shared" si="599"/>
        <v>0.39331848552338533</v>
      </c>
      <c r="BU276" s="807">
        <f t="shared" si="599"/>
        <v>0.39460784313725483</v>
      </c>
      <c r="BV276" s="807">
        <f t="shared" si="599"/>
        <v>0.39534883720930231</v>
      </c>
      <c r="BW276" s="807">
        <f t="shared" si="599"/>
        <v>1.0108374384236454</v>
      </c>
      <c r="BX276" s="807">
        <f t="shared" si="599"/>
        <v>1.0127999999999999</v>
      </c>
      <c r="BY276" s="807">
        <f t="shared" si="599"/>
        <v>1.0132596685082873</v>
      </c>
      <c r="BZ276" s="807">
        <f t="shared" si="599"/>
        <v>1.01524926686217</v>
      </c>
      <c r="CA276" s="807">
        <f t="shared" si="599"/>
        <v>1.0120547945205478</v>
      </c>
      <c r="CB276" s="807">
        <f t="shared" si="599"/>
        <v>1.012568306010929</v>
      </c>
      <c r="CC276" s="807">
        <f t="shared" si="599"/>
        <v>1.013794743726959</v>
      </c>
      <c r="CD276" s="807">
        <f t="shared" si="599"/>
        <v>1.0135536983128306</v>
      </c>
      <c r="CE276" s="807">
        <f t="shared" si="599"/>
        <v>1.012735158429791</v>
      </c>
      <c r="CF276" s="807">
        <f t="shared" si="599"/>
        <v>1.0132132132132134</v>
      </c>
      <c r="CG276" s="807">
        <f t="shared" si="599"/>
        <v>1.0130563798219583</v>
      </c>
      <c r="CH276" s="807">
        <f t="shared" si="599"/>
        <v>1.0138871029960139</v>
      </c>
      <c r="CI276" s="807">
        <f t="shared" si="599"/>
        <v>1.0123927023819381</v>
      </c>
      <c r="CJ276" s="807">
        <f t="shared" si="599"/>
        <v>1.0124028247581747</v>
      </c>
      <c r="CK276" s="807">
        <f t="shared" si="599"/>
        <v>1.0132119528271215</v>
      </c>
      <c r="CL276" s="807">
        <f t="shared" si="599"/>
        <v>1.013524965255415</v>
      </c>
      <c r="CM276" s="807">
        <f t="shared" si="599"/>
        <v>1.0130400070966024</v>
      </c>
      <c r="CN276" s="807">
        <f t="shared" si="599"/>
        <v>1.012984729020723</v>
      </c>
      <c r="CO276" s="807">
        <f t="shared" si="599"/>
        <v>1.0145882352941176</v>
      </c>
      <c r="CP276" s="807">
        <f t="shared" ref="CP276:CY276" si="600">+CP268/50</f>
        <v>1.0156875021739886</v>
      </c>
      <c r="CQ276" s="807">
        <f t="shared" si="600"/>
        <v>1.0138793800958485</v>
      </c>
      <c r="CR276" s="807">
        <f t="shared" si="600"/>
        <v>1.0143223277551636</v>
      </c>
      <c r="CS276" s="807">
        <f t="shared" si="600"/>
        <v>1.0126986152766257</v>
      </c>
      <c r="CT276" s="889">
        <f t="shared" si="600"/>
        <v>1.0137680663059114</v>
      </c>
      <c r="CU276" s="889">
        <f t="shared" si="600"/>
        <v>1.0167854123898079</v>
      </c>
      <c r="CV276" s="889">
        <f t="shared" si="600"/>
        <v>1.0065698270146464</v>
      </c>
      <c r="CW276" s="889">
        <f t="shared" si="600"/>
        <v>1.0060955626925345</v>
      </c>
      <c r="CX276" s="889">
        <f t="shared" si="600"/>
        <v>1.0068045634584786</v>
      </c>
      <c r="CY276" s="889">
        <f t="shared" si="600"/>
        <v>1.005401970130283</v>
      </c>
      <c r="CZ276" s="889">
        <f t="shared" si="592"/>
        <v>1.0065725413826681</v>
      </c>
      <c r="DA276" s="889">
        <f t="shared" si="592"/>
        <v>1.007674570671439</v>
      </c>
      <c r="DB276" s="889">
        <f t="shared" si="592"/>
        <v>1.006718418212831</v>
      </c>
      <c r="DC276" s="889">
        <f t="shared" ref="DC276:DD276" si="601">+DC268/50</f>
        <v>1.0049396447381336</v>
      </c>
      <c r="DD276" s="889">
        <f t="shared" si="601"/>
        <v>1.0062281043207475</v>
      </c>
      <c r="DE276" s="889">
        <f t="shared" ref="DE276" si="602">+DE268/50</f>
        <v>1.0073906804622006</v>
      </c>
      <c r="DF276" s="889">
        <f t="shared" ref="DF276:DF279" si="603">+DB276*(1+DF284)</f>
        <v>1.006718418212831</v>
      </c>
      <c r="DG276" s="889">
        <f t="shared" ref="DG276:DG279" si="604">+DC276*(1+DG284)</f>
        <v>1.0049396447381336</v>
      </c>
      <c r="DH276" s="889">
        <f t="shared" ref="DH276:DH279" si="605">+DD276*(1+DH284)</f>
        <v>1.0062281043207475</v>
      </c>
      <c r="DI276" s="889">
        <f t="shared" ref="DI276" si="606">+DI268/50</f>
        <v>1.0060182944810305</v>
      </c>
    </row>
    <row r="277" spans="1:113">
      <c r="A277" s="942" t="s">
        <v>247</v>
      </c>
      <c r="B277" s="807">
        <f t="shared" ref="B277:R277" si="607">B269/50</f>
        <v>1.6407207492795388</v>
      </c>
      <c r="C277" s="807">
        <f>C269/50</f>
        <v>1.4502840490797546</v>
      </c>
      <c r="D277" s="807">
        <f t="shared" si="607"/>
        <v>1.5841622404635443</v>
      </c>
      <c r="E277" s="807">
        <f t="shared" si="607"/>
        <v>1.5754697286012527</v>
      </c>
      <c r="F277" s="807">
        <f t="shared" si="607"/>
        <v>1.4263888888888892</v>
      </c>
      <c r="G277" s="807">
        <f t="shared" si="607"/>
        <v>1.4769641902725814</v>
      </c>
      <c r="H277" s="807">
        <f t="shared" si="607"/>
        <v>1.5606469002695418</v>
      </c>
      <c r="I277" s="807">
        <f t="shared" si="607"/>
        <v>1.6201744820065431</v>
      </c>
      <c r="J277" s="807">
        <f t="shared" si="607"/>
        <v>1.7170759565962308</v>
      </c>
      <c r="K277" s="807">
        <f t="shared" si="607"/>
        <v>1.7847697756788665</v>
      </c>
      <c r="L277" s="807">
        <f t="shared" si="607"/>
        <v>1.944048419636853</v>
      </c>
      <c r="M277" s="807">
        <f t="shared" si="607"/>
        <v>2.0589488636363633</v>
      </c>
      <c r="N277" s="807">
        <f t="shared" si="607"/>
        <v>2.1434596658428662</v>
      </c>
      <c r="O277" s="807">
        <f t="shared" si="607"/>
        <v>2.1798122692290582</v>
      </c>
      <c r="P277" s="807">
        <f t="shared" si="607"/>
        <v>2.2701682751794108</v>
      </c>
      <c r="Q277" s="807">
        <f t="shared" si="607"/>
        <v>2.382965148735944</v>
      </c>
      <c r="R277" s="807">
        <f t="shared" si="607"/>
        <v>2.5018648129632273</v>
      </c>
      <c r="S277" s="807">
        <f t="shared" ref="S277" si="608">S269/50</f>
        <v>2.5964369966647691</v>
      </c>
      <c r="T277" s="807">
        <f t="shared" ref="T277" si="609">T269/50</f>
        <v>2.7376483183297768</v>
      </c>
      <c r="U277" s="807">
        <f t="shared" ref="U277:W278" si="610">+T277*(1+U285)</f>
        <v>2.8334660094713189</v>
      </c>
      <c r="V277" s="807">
        <f t="shared" si="610"/>
        <v>2.9609719798975283</v>
      </c>
      <c r="W277" s="807">
        <f t="shared" si="610"/>
        <v>3.0942157189929169</v>
      </c>
      <c r="X277" s="807">
        <f t="shared" si="598"/>
        <v>3.2241727791906194</v>
      </c>
      <c r="Y277" s="807">
        <f t="shared" si="598"/>
        <v>3.3595880359166257</v>
      </c>
      <c r="Z277" s="807">
        <f t="shared" si="598"/>
        <v>3.5006907334251243</v>
      </c>
      <c r="AA277" s="807">
        <f t="shared" si="598"/>
        <v>3.6477197442289797</v>
      </c>
      <c r="AB277" s="807">
        <f>+AA277*(1+AB285)</f>
        <v>3.8009239734865972</v>
      </c>
      <c r="AD277" s="807">
        <f t="shared" ref="AD277:BI277" si="611">AD269/50</f>
        <v>0.98422018348623852</v>
      </c>
      <c r="AE277" s="548">
        <f t="shared" si="611"/>
        <v>1.0593368237347294</v>
      </c>
      <c r="AF277" s="548">
        <f t="shared" si="611"/>
        <v>1.1128874388254486</v>
      </c>
      <c r="AG277" s="548">
        <f t="shared" si="611"/>
        <v>1.2622710622710622</v>
      </c>
      <c r="AH277" s="548">
        <f t="shared" si="611"/>
        <v>1.5703853955375253</v>
      </c>
      <c r="AI277" s="548">
        <f t="shared" si="611"/>
        <v>1.5861003861003864</v>
      </c>
      <c r="AJ277" s="548">
        <f t="shared" si="611"/>
        <v>1.6394160583941606</v>
      </c>
      <c r="AK277" s="548">
        <f t="shared" si="611"/>
        <v>1.7629063097514341</v>
      </c>
      <c r="AL277" s="548">
        <f t="shared" si="611"/>
        <v>1.7261363636363638</v>
      </c>
      <c r="AM277" s="548">
        <f t="shared" si="611"/>
        <v>1.7836126629422719</v>
      </c>
      <c r="AN277" s="548">
        <f t="shared" si="611"/>
        <v>1.8170055452865066</v>
      </c>
      <c r="AO277" s="548">
        <f t="shared" si="611"/>
        <v>1.8661478599221792</v>
      </c>
      <c r="AP277" s="548">
        <f t="shared" si="611"/>
        <v>1.4341310077519378</v>
      </c>
      <c r="AQ277" s="548">
        <f t="shared" si="611"/>
        <v>1.5649906890130354</v>
      </c>
      <c r="AR277" s="548">
        <f t="shared" si="611"/>
        <v>1.6243809523809523</v>
      </c>
      <c r="AS277" s="548">
        <f t="shared" si="611"/>
        <v>1.7225152129817445</v>
      </c>
      <c r="AT277" s="548">
        <f t="shared" si="611"/>
        <v>1.5289292543021034</v>
      </c>
      <c r="AU277" s="548">
        <f t="shared" si="611"/>
        <v>1.7149028077753781</v>
      </c>
      <c r="AV277" s="548">
        <f t="shared" si="611"/>
        <v>1.6356275303643724</v>
      </c>
      <c r="AW277" s="548">
        <f t="shared" si="611"/>
        <v>1.4155606407322654</v>
      </c>
      <c r="AX277" s="548">
        <f t="shared" si="611"/>
        <v>1.1437984496124032</v>
      </c>
      <c r="AY277" s="548">
        <f t="shared" si="611"/>
        <v>1.3210055865921786</v>
      </c>
      <c r="AZ277" s="548">
        <f t="shared" si="611"/>
        <v>1.3241904761904764</v>
      </c>
      <c r="BA277" s="548">
        <f t="shared" si="611"/>
        <v>1.3325152129817446</v>
      </c>
      <c r="BB277" s="548">
        <f t="shared" si="611"/>
        <v>1.462645011600928</v>
      </c>
      <c r="BC277" s="548">
        <f t="shared" si="611"/>
        <v>1.491358024691358</v>
      </c>
      <c r="BD277" s="548">
        <f t="shared" si="611"/>
        <v>1.4703933747412008</v>
      </c>
      <c r="BE277" s="548">
        <f t="shared" si="611"/>
        <v>1.4819532908704884</v>
      </c>
      <c r="BF277" s="510">
        <f t="shared" si="611"/>
        <v>1.5425233644859813</v>
      </c>
      <c r="BG277" s="510">
        <f t="shared" si="611"/>
        <v>1.5492900608519269</v>
      </c>
      <c r="BH277" s="510">
        <f t="shared" si="611"/>
        <v>1.5807933194154489</v>
      </c>
      <c r="BI277" s="510">
        <f t="shared" si="611"/>
        <v>1.5687912087912088</v>
      </c>
      <c r="BJ277" s="510">
        <f t="shared" ref="BJ277:CH277" si="612">BJ269/50</f>
        <v>1.6018475750577368</v>
      </c>
      <c r="BK277" s="510">
        <f t="shared" si="612"/>
        <v>1.6330508474576271</v>
      </c>
      <c r="BL277" s="510">
        <f t="shared" si="612"/>
        <v>1.6352941176470588</v>
      </c>
      <c r="BM277" s="510">
        <f t="shared" si="612"/>
        <v>1.6083885209713025</v>
      </c>
      <c r="BN277" s="510">
        <f t="shared" si="612"/>
        <v>1.6970443349753694</v>
      </c>
      <c r="BO277" s="510">
        <f t="shared" si="612"/>
        <v>1.7149122807017543</v>
      </c>
      <c r="BP277" s="510">
        <f t="shared" si="612"/>
        <v>1.7057324840764332</v>
      </c>
      <c r="BQ277" s="510">
        <f t="shared" si="612"/>
        <v>1.7516746411483251</v>
      </c>
      <c r="BR277" s="510">
        <f t="shared" si="612"/>
        <v>1.7152119700748127</v>
      </c>
      <c r="BS277" s="510">
        <f t="shared" si="612"/>
        <v>1.8119266055045871</v>
      </c>
      <c r="BT277" s="510">
        <f t="shared" si="612"/>
        <v>1.8280623608017816</v>
      </c>
      <c r="BU277" s="510">
        <f t="shared" si="612"/>
        <v>1.776470588235294</v>
      </c>
      <c r="BV277" s="510">
        <f t="shared" si="612"/>
        <v>1.8697674418604651</v>
      </c>
      <c r="BW277" s="510">
        <f t="shared" si="612"/>
        <v>1.9566502463054187</v>
      </c>
      <c r="BX277" s="510">
        <f t="shared" si="612"/>
        <v>1.9877333333333334</v>
      </c>
      <c r="BY277" s="510">
        <f t="shared" si="612"/>
        <v>1.9552486187845306</v>
      </c>
      <c r="BZ277" s="510">
        <f t="shared" si="612"/>
        <v>1.9894428152492667</v>
      </c>
      <c r="CA277" s="510">
        <f t="shared" si="612"/>
        <v>2.0504109589041097</v>
      </c>
      <c r="CB277" s="510">
        <f t="shared" si="612"/>
        <v>2.1180327868852458</v>
      </c>
      <c r="CC277" s="510">
        <f t="shared" si="612"/>
        <v>2.0721845641574501</v>
      </c>
      <c r="CD277" s="510">
        <f t="shared" si="612"/>
        <v>2.1235170751557266</v>
      </c>
      <c r="CE277" s="510">
        <f t="shared" si="612"/>
        <v>2.1293405895190478</v>
      </c>
      <c r="CF277" s="510">
        <f t="shared" si="612"/>
        <v>2.1885885885885887</v>
      </c>
      <c r="CG277" s="510">
        <f t="shared" si="612"/>
        <v>2.1329376854599404</v>
      </c>
      <c r="CH277" s="510">
        <f t="shared" si="612"/>
        <v>2.1505722000771503</v>
      </c>
      <c r="CI277" s="510">
        <f t="shared" ref="CI277:CK280" si="613">+CI269/50</f>
        <v>2.1473323949104359</v>
      </c>
      <c r="CJ277" s="510">
        <f t="shared" si="613"/>
        <v>2.218265978280221</v>
      </c>
      <c r="CK277" s="510">
        <f t="shared" si="613"/>
        <v>2.2031744155114832</v>
      </c>
      <c r="CL277" s="510">
        <f>CL269/50</f>
        <v>2.2555167621436563</v>
      </c>
      <c r="CM277" s="510">
        <f>CM269/50</f>
        <v>2.2502143765339007</v>
      </c>
      <c r="CN277" s="510">
        <f>CN269/50</f>
        <v>2.2856640384559022</v>
      </c>
      <c r="CO277" s="510">
        <f>+CO269/50</f>
        <v>2.2883137254901964</v>
      </c>
      <c r="CP277" s="510">
        <f t="shared" ref="CP277:CV280" si="614">CP269/50</f>
        <v>2.3360812550001739</v>
      </c>
      <c r="CQ277" s="510">
        <f t="shared" si="614"/>
        <v>2.3738096719985062</v>
      </c>
      <c r="CR277" s="510">
        <f t="shared" si="614"/>
        <v>2.4133876074174583</v>
      </c>
      <c r="CS277" s="510">
        <f t="shared" si="614"/>
        <v>2.4031650819985959</v>
      </c>
      <c r="CT277" s="373">
        <f t="shared" si="614"/>
        <v>2.4583875607918348</v>
      </c>
      <c r="CU277" s="373">
        <f t="shared" si="614"/>
        <v>2.4912450187175459</v>
      </c>
      <c r="CV277" s="373">
        <f t="shared" si="614"/>
        <v>2.5284792960038573</v>
      </c>
      <c r="CW277" s="373">
        <f>+CW269/50</f>
        <v>2.5260536147342205</v>
      </c>
      <c r="CX277" s="373">
        <f t="shared" ref="CX277:CY280" si="615">CX269/50</f>
        <v>2.5579742035952471</v>
      </c>
      <c r="CY277" s="373">
        <f t="shared" si="615"/>
        <v>2.5821417222751832</v>
      </c>
      <c r="CZ277" s="373">
        <f t="shared" ref="CZ277:DA280" si="616">CZ269/50</f>
        <v>2.6229308666017528</v>
      </c>
      <c r="DA277" s="373">
        <f t="shared" si="616"/>
        <v>2.6210551674295353</v>
      </c>
      <c r="DB277" s="373">
        <f t="shared" ref="DB277:DC277" si="617">DB269/50</f>
        <v>2.6629999651895431</v>
      </c>
      <c r="DC277" s="373">
        <f t="shared" si="617"/>
        <v>2.7328339167130098</v>
      </c>
      <c r="DD277" s="373">
        <f t="shared" ref="DD277" si="618">DD269/50</f>
        <v>2.7332295315946542</v>
      </c>
      <c r="DE277" s="373">
        <f>DE269/50</f>
        <v>2.8293263275871152</v>
      </c>
      <c r="DF277" s="373">
        <f t="shared" si="603"/>
        <v>2.756204963971177</v>
      </c>
      <c r="DG277" s="373">
        <f t="shared" si="604"/>
        <v>2.8284831037979647</v>
      </c>
      <c r="DH277" s="373">
        <f t="shared" si="605"/>
        <v>2.8288925652004671</v>
      </c>
      <c r="DI277" s="373">
        <f>+DI269/50</f>
        <v>2.924179394665865</v>
      </c>
    </row>
    <row r="278" spans="1:113">
      <c r="A278" s="943" t="s">
        <v>248</v>
      </c>
      <c r="B278" s="807">
        <f t="shared" ref="B278:R278" si="619">B270/50</f>
        <v>0.69580240153698358</v>
      </c>
      <c r="C278" s="807">
        <f t="shared" si="619"/>
        <v>0.44932888154790013</v>
      </c>
      <c r="D278" s="807">
        <f t="shared" si="619"/>
        <v>0.45774987928536931</v>
      </c>
      <c r="E278" s="807">
        <f t="shared" si="619"/>
        <v>0.49196242171189974</v>
      </c>
      <c r="F278" s="807">
        <f t="shared" si="619"/>
        <v>0.51276709401709419</v>
      </c>
      <c r="G278" s="807">
        <f t="shared" si="619"/>
        <v>0.50967397113842861</v>
      </c>
      <c r="H278" s="807">
        <f t="shared" si="619"/>
        <v>0.52991913746630714</v>
      </c>
      <c r="I278" s="807">
        <f t="shared" si="619"/>
        <v>0.55147219193020736</v>
      </c>
      <c r="J278" s="807">
        <f t="shared" si="619"/>
        <v>0.53580810965162762</v>
      </c>
      <c r="K278" s="807">
        <f t="shared" si="619"/>
        <v>0.5440377804014167</v>
      </c>
      <c r="L278" s="807">
        <f t="shared" si="619"/>
        <v>0.55642232683254889</v>
      </c>
      <c r="M278" s="807">
        <f t="shared" si="619"/>
        <v>0.56534090909090917</v>
      </c>
      <c r="N278" s="807">
        <f t="shared" si="619"/>
        <v>0.53933872343071054</v>
      </c>
      <c r="O278" s="807">
        <f t="shared" si="619"/>
        <v>0.52413279021974646</v>
      </c>
      <c r="P278" s="807">
        <f t="shared" si="619"/>
        <v>0.53192881615294707</v>
      </c>
      <c r="Q278" s="807">
        <f t="shared" si="619"/>
        <v>0.54662096314505615</v>
      </c>
      <c r="R278" s="807">
        <f t="shared" si="619"/>
        <v>0.57388179493726066</v>
      </c>
      <c r="S278" s="807">
        <f t="shared" ref="S278" si="620">S270/50</f>
        <v>0.5505848492504426</v>
      </c>
      <c r="T278" s="807">
        <f t="shared" ref="T278" si="621">T270/50</f>
        <v>0.51614566598528544</v>
      </c>
      <c r="U278" s="807">
        <f t="shared" si="610"/>
        <v>0.55485659093418183</v>
      </c>
      <c r="V278" s="807">
        <f t="shared" si="610"/>
        <v>0.52988804434214365</v>
      </c>
      <c r="W278" s="807">
        <f t="shared" si="610"/>
        <v>0.49809476168161498</v>
      </c>
      <c r="X278" s="807">
        <f t="shared" si="598"/>
        <v>0.4731900235975342</v>
      </c>
      <c r="Y278" s="807">
        <f t="shared" si="598"/>
        <v>0.44953052241765745</v>
      </c>
      <c r="Z278" s="807">
        <f t="shared" si="598"/>
        <v>0.42705399629677454</v>
      </c>
      <c r="AA278" s="807">
        <f t="shared" si="598"/>
        <v>0.40570129648193581</v>
      </c>
      <c r="AB278" s="807">
        <f>+AA278*(1+AB286)</f>
        <v>0.385416231657839</v>
      </c>
      <c r="AD278" s="807">
        <f>AD270/50</f>
        <v>0</v>
      </c>
      <c r="AE278" s="550"/>
      <c r="AF278" s="550"/>
      <c r="AG278" s="550"/>
      <c r="AH278" s="550"/>
      <c r="AI278" s="550"/>
      <c r="AJ278" s="550"/>
      <c r="AK278" s="550"/>
      <c r="AL278" s="550"/>
      <c r="AM278" s="550"/>
      <c r="AN278" s="550"/>
      <c r="AO278" s="550"/>
      <c r="AP278" s="550"/>
      <c r="AQ278" s="550"/>
      <c r="AR278" s="550"/>
      <c r="AS278" s="550"/>
      <c r="AT278" s="550"/>
      <c r="AU278" s="550"/>
      <c r="AV278" s="550"/>
      <c r="AW278" s="550"/>
      <c r="AX278" s="550"/>
      <c r="AY278" s="550"/>
      <c r="AZ278" s="550"/>
      <c r="BA278" s="550"/>
      <c r="BB278" s="550"/>
      <c r="BC278" s="550"/>
      <c r="BD278" s="550"/>
      <c r="BE278" s="550"/>
      <c r="BF278" s="551">
        <f t="shared" ref="BF278:CH278" si="622">BF270/50</f>
        <v>0.52383177570093453</v>
      </c>
      <c r="BG278" s="551">
        <f t="shared" si="622"/>
        <v>0.50466531440162266</v>
      </c>
      <c r="BH278" s="551">
        <f t="shared" si="622"/>
        <v>0.53277661795407116</v>
      </c>
      <c r="BI278" s="551">
        <f t="shared" si="622"/>
        <v>0.53890109890109883</v>
      </c>
      <c r="BJ278" s="551">
        <f t="shared" si="622"/>
        <v>0.54180138568129332</v>
      </c>
      <c r="BK278" s="551">
        <f t="shared" si="622"/>
        <v>0.53559322033898316</v>
      </c>
      <c r="BL278" s="551">
        <f t="shared" si="622"/>
        <v>0.55294117647058838</v>
      </c>
      <c r="BM278" s="551">
        <f t="shared" si="622"/>
        <v>0.5660044150110376</v>
      </c>
      <c r="BN278" s="551">
        <f t="shared" si="622"/>
        <v>0.52167487684729064</v>
      </c>
      <c r="BO278" s="551">
        <f t="shared" si="622"/>
        <v>0.51271929824561402</v>
      </c>
      <c r="BP278" s="551">
        <f t="shared" si="622"/>
        <v>0.52569002123142272</v>
      </c>
      <c r="BQ278" s="551">
        <f t="shared" si="622"/>
        <v>0.58612440191387538</v>
      </c>
      <c r="BR278" s="551">
        <f t="shared" si="622"/>
        <v>0.535660847880299</v>
      </c>
      <c r="BS278" s="551">
        <f t="shared" si="622"/>
        <v>0.53165137614678881</v>
      </c>
      <c r="BT278" s="551">
        <f t="shared" si="622"/>
        <v>0.54445434298440976</v>
      </c>
      <c r="BU278" s="551">
        <f t="shared" si="622"/>
        <v>0.56504901960784315</v>
      </c>
      <c r="BV278" s="551">
        <f t="shared" si="622"/>
        <v>0.51627906976744187</v>
      </c>
      <c r="BW278" s="551">
        <f t="shared" si="622"/>
        <v>0.564039408866995</v>
      </c>
      <c r="BX278" s="551">
        <f t="shared" si="622"/>
        <v>0.55359999999999987</v>
      </c>
      <c r="BY278" s="551">
        <f t="shared" si="622"/>
        <v>0.58895027624309393</v>
      </c>
      <c r="BZ278" s="551">
        <f t="shared" si="622"/>
        <v>0.54193548387096768</v>
      </c>
      <c r="CA278" s="551">
        <f t="shared" si="622"/>
        <v>0.53863013698630136</v>
      </c>
      <c r="CB278" s="551">
        <f t="shared" si="622"/>
        <v>0.56393442622950829</v>
      </c>
      <c r="CC278" s="551">
        <f t="shared" si="622"/>
        <v>0.61897966464502308</v>
      </c>
      <c r="CD278" s="551">
        <f t="shared" si="622"/>
        <v>0.53713963752465033</v>
      </c>
      <c r="CE278" s="551">
        <f t="shared" si="622"/>
        <v>0.52598138070112443</v>
      </c>
      <c r="CF278" s="551">
        <f t="shared" si="622"/>
        <v>0.53962375726026479</v>
      </c>
      <c r="CG278" s="551">
        <f t="shared" si="622"/>
        <v>0.55548961424332344</v>
      </c>
      <c r="CH278" s="551">
        <f t="shared" si="622"/>
        <v>0.50358908027695348</v>
      </c>
      <c r="CI278" s="551">
        <f t="shared" si="613"/>
        <v>0.5047221247233965</v>
      </c>
      <c r="CJ278" s="551">
        <f t="shared" si="613"/>
        <v>0.52163875046127817</v>
      </c>
      <c r="CK278" s="551">
        <f t="shared" si="613"/>
        <v>0.56629268376860653</v>
      </c>
      <c r="CL278" s="551">
        <f>CL270/50</f>
        <v>0.51634646593965972</v>
      </c>
      <c r="CM278" s="551">
        <f t="shared" ref="CM278:CN280" si="623">+CM270/50</f>
        <v>0.50796065355591591</v>
      </c>
      <c r="CN278" s="551">
        <f t="shared" si="623"/>
        <v>0.55244440648467408</v>
      </c>
      <c r="CO278" s="551">
        <f>+CO270/50</f>
        <v>0.54982195526396371</v>
      </c>
      <c r="CP278" s="551">
        <f t="shared" si="614"/>
        <v>0.50751039574759238</v>
      </c>
      <c r="CQ278" s="551">
        <f t="shared" si="614"/>
        <v>0.52579091565445935</v>
      </c>
      <c r="CR278" s="551">
        <f t="shared" si="614"/>
        <v>0.54314241232052596</v>
      </c>
      <c r="CS278" s="551">
        <f t="shared" si="614"/>
        <v>0.60753311253782272</v>
      </c>
      <c r="CT278" s="373">
        <f t="shared" si="614"/>
        <v>0.54467143411629793</v>
      </c>
      <c r="CU278" s="373">
        <f t="shared" si="614"/>
        <v>0.54027764161974401</v>
      </c>
      <c r="CV278" s="373">
        <f t="shared" si="614"/>
        <v>0.58017985223706181</v>
      </c>
      <c r="CW278" s="373">
        <f>+CW270/50</f>
        <v>0.63146211716371115</v>
      </c>
      <c r="CX278" s="373">
        <f t="shared" si="615"/>
        <v>0.4978082506280998</v>
      </c>
      <c r="CY278" s="373">
        <f t="shared" si="615"/>
        <v>0.49621202623499555</v>
      </c>
      <c r="CZ278" s="373">
        <f t="shared" si="616"/>
        <v>0.58277991458427936</v>
      </c>
      <c r="DA278" s="373">
        <f t="shared" si="616"/>
        <v>0.62671184308567229</v>
      </c>
      <c r="DB278" s="373">
        <f t="shared" ref="DB278:DC278" si="624">DB270/50</f>
        <v>0.49481956409846928</v>
      </c>
      <c r="DC278" s="373">
        <f t="shared" si="624"/>
        <v>0.49043939700229972</v>
      </c>
      <c r="DD278" s="373">
        <f t="shared" ref="DD278:DE278" si="625">DD270/50</f>
        <v>0.51122356299468041</v>
      </c>
      <c r="DE278" s="373">
        <f t="shared" si="625"/>
        <v>0.57468310486595475</v>
      </c>
      <c r="DF278" s="373">
        <f t="shared" si="603"/>
        <v>0.53935332486733156</v>
      </c>
      <c r="DG278" s="373">
        <f t="shared" si="604"/>
        <v>0.53457894273250672</v>
      </c>
      <c r="DH278" s="373">
        <f t="shared" si="605"/>
        <v>0.54956533021928144</v>
      </c>
      <c r="DI278" s="373">
        <f>+DI270/50</f>
        <v>0.59965428426767664</v>
      </c>
    </row>
    <row r="279" spans="1:113">
      <c r="A279" s="943" t="s">
        <v>478</v>
      </c>
      <c r="B279" s="807">
        <f t="shared" ref="B279:R279" si="626">B271/50</f>
        <v>0.46</v>
      </c>
      <c r="C279" s="807">
        <f t="shared" si="626"/>
        <v>0.49599999999999994</v>
      </c>
      <c r="D279" s="807">
        <f t="shared" si="626"/>
        <v>0.56977305649444721</v>
      </c>
      <c r="E279" s="807">
        <f t="shared" si="626"/>
        <v>0.55730688935281836</v>
      </c>
      <c r="F279" s="807">
        <f t="shared" si="626"/>
        <v>0.47008547008547014</v>
      </c>
      <c r="G279" s="807">
        <f t="shared" si="626"/>
        <v>0.49299839657936934</v>
      </c>
      <c r="H279" s="807">
        <f t="shared" si="626"/>
        <v>0.53390835579514828</v>
      </c>
      <c r="I279" s="807">
        <f t="shared" si="626"/>
        <v>0.54285714285714282</v>
      </c>
      <c r="J279" s="807">
        <f t="shared" si="626"/>
        <v>0.62284408909194744</v>
      </c>
      <c r="K279" s="807">
        <f t="shared" si="626"/>
        <v>0.64663518299881928</v>
      </c>
      <c r="L279" s="807">
        <f t="shared" si="626"/>
        <v>0.67357094821788843</v>
      </c>
      <c r="M279" s="807">
        <f t="shared" si="626"/>
        <v>0.70525568181818177</v>
      </c>
      <c r="N279" s="807">
        <f t="shared" si="626"/>
        <v>0.73824255903417901</v>
      </c>
      <c r="O279" s="807">
        <f t="shared" si="626"/>
        <v>0.75922713050699175</v>
      </c>
      <c r="P279" s="807">
        <f t="shared" si="626"/>
        <v>0.78136599851521893</v>
      </c>
      <c r="Q279" s="807">
        <f t="shared" si="626"/>
        <v>0.78586809155435045</v>
      </c>
      <c r="R279" s="807">
        <f t="shared" si="626"/>
        <v>0.76766811090479137</v>
      </c>
      <c r="S279" s="807">
        <f t="shared" ref="S279" si="627">S271/50</f>
        <v>0.79573741153501998</v>
      </c>
      <c r="T279" s="807">
        <f t="shared" ref="T279" si="628">T271/50</f>
        <v>0.8102499013772877</v>
      </c>
      <c r="U279" s="807">
        <f>+T279*(1+U287)</f>
        <v>0.83455739841860632</v>
      </c>
      <c r="V279" s="807">
        <f>+U279*(1+V287)</f>
        <v>0.85959412037116456</v>
      </c>
      <c r="W279" s="807">
        <f>+V279*(1+W287)</f>
        <v>0.88538194398229952</v>
      </c>
      <c r="X279" s="807">
        <f t="shared" si="598"/>
        <v>0.89866267314203396</v>
      </c>
      <c r="Y279" s="807">
        <f t="shared" si="598"/>
        <v>0.91214261323916435</v>
      </c>
      <c r="Z279" s="807">
        <f t="shared" si="598"/>
        <v>0.92582475243775175</v>
      </c>
      <c r="AA279" s="807">
        <f t="shared" si="598"/>
        <v>0.93971212372431789</v>
      </c>
      <c r="AB279" s="807">
        <f>+AA279*(1+AB287)</f>
        <v>0.95380780558018252</v>
      </c>
      <c r="AD279" s="807">
        <f>AD271/50</f>
        <v>0</v>
      </c>
      <c r="AE279" s="550"/>
      <c r="AF279" s="550"/>
      <c r="AG279" s="550"/>
      <c r="AH279" s="550"/>
      <c r="AI279" s="550"/>
      <c r="AJ279" s="550"/>
      <c r="AK279" s="550"/>
      <c r="AL279" s="550"/>
      <c r="AM279" s="550"/>
      <c r="AN279" s="550"/>
      <c r="AO279" s="550"/>
      <c r="AP279" s="550"/>
      <c r="AQ279" s="550"/>
      <c r="AR279" s="550"/>
      <c r="AS279" s="550"/>
      <c r="AT279" s="550"/>
      <c r="AU279" s="550"/>
      <c r="AV279" s="550"/>
      <c r="AW279" s="550"/>
      <c r="AX279" s="550"/>
      <c r="AY279" s="550"/>
      <c r="AZ279" s="550"/>
      <c r="BA279" s="550"/>
      <c r="BB279" s="550"/>
      <c r="BC279" s="550"/>
      <c r="BD279" s="550"/>
      <c r="BE279" s="550"/>
      <c r="BF279" s="551">
        <f t="shared" ref="BF279:CH279" si="629">BF271/50</f>
        <v>0.53317757009345801</v>
      </c>
      <c r="BG279" s="551">
        <f t="shared" si="629"/>
        <v>0.53225152129817443</v>
      </c>
      <c r="BH279" s="551">
        <f t="shared" si="629"/>
        <v>0.5365344467640919</v>
      </c>
      <c r="BI279" s="551">
        <f t="shared" si="629"/>
        <v>0.55472527472527478</v>
      </c>
      <c r="BJ279" s="551">
        <f t="shared" si="629"/>
        <v>0.54457274826789837</v>
      </c>
      <c r="BK279" s="551">
        <f t="shared" si="629"/>
        <v>0.54618644067796607</v>
      </c>
      <c r="BL279" s="551">
        <f t="shared" si="629"/>
        <v>0.54873949579831927</v>
      </c>
      <c r="BM279" s="551">
        <f t="shared" si="629"/>
        <v>0.54128035320088297</v>
      </c>
      <c r="BN279" s="551">
        <f t="shared" si="629"/>
        <v>0.6187192118226601</v>
      </c>
      <c r="BO279" s="551">
        <f t="shared" si="629"/>
        <v>0.62236842105263157</v>
      </c>
      <c r="BP279" s="551">
        <f t="shared" si="629"/>
        <v>0.62080679405520167</v>
      </c>
      <c r="BQ279" s="551">
        <f t="shared" si="629"/>
        <v>0.62966507177033482</v>
      </c>
      <c r="BR279" s="551">
        <f t="shared" si="629"/>
        <v>0.6478802992518703</v>
      </c>
      <c r="BS279" s="551">
        <f t="shared" si="629"/>
        <v>0.65091743119266054</v>
      </c>
      <c r="BT279" s="551">
        <f t="shared" si="629"/>
        <v>0.66</v>
      </c>
      <c r="BU279" s="551">
        <f t="shared" si="629"/>
        <v>0.62612745098039202</v>
      </c>
      <c r="BV279" s="551">
        <f t="shared" si="629"/>
        <v>0.66744186046511633</v>
      </c>
      <c r="BW279" s="551">
        <f t="shared" si="629"/>
        <v>0.6669950738916256</v>
      </c>
      <c r="BX279" s="551">
        <f t="shared" si="629"/>
        <v>0.67200000000000004</v>
      </c>
      <c r="BY279" s="551">
        <f t="shared" si="629"/>
        <v>0.6883977900552487</v>
      </c>
      <c r="BZ279" s="551">
        <f t="shared" si="629"/>
        <v>0.70909090909090911</v>
      </c>
      <c r="CA279" s="551">
        <f t="shared" si="629"/>
        <v>0.69260273972602748</v>
      </c>
      <c r="CB279" s="551">
        <f t="shared" si="629"/>
        <v>0.70327868852459019</v>
      </c>
      <c r="CC279" s="551">
        <f t="shared" si="629"/>
        <v>0.7164942323700797</v>
      </c>
      <c r="CD279" s="551">
        <f t="shared" si="629"/>
        <v>0.74185369518264621</v>
      </c>
      <c r="CE279" s="551">
        <f t="shared" si="629"/>
        <v>0.73427442747037219</v>
      </c>
      <c r="CF279" s="551">
        <f t="shared" si="629"/>
        <v>0.73605191841541084</v>
      </c>
      <c r="CG279" s="551">
        <f t="shared" si="629"/>
        <v>0.74124629080118698</v>
      </c>
      <c r="CH279" s="551">
        <f t="shared" si="629"/>
        <v>0.75929021473575931</v>
      </c>
      <c r="CI279" s="551">
        <f t="shared" si="613"/>
        <v>0.75405039882973146</v>
      </c>
      <c r="CJ279" s="551">
        <f t="shared" si="613"/>
        <v>0.76137914663818185</v>
      </c>
      <c r="CK279" s="551">
        <f t="shared" si="613"/>
        <v>0.76256908935063406</v>
      </c>
      <c r="CL279" s="551">
        <f>CL271/50</f>
        <v>0.7870919629843055</v>
      </c>
      <c r="CM279" s="551">
        <f t="shared" si="623"/>
        <v>0.77530382329459768</v>
      </c>
      <c r="CN279" s="551">
        <f t="shared" si="623"/>
        <v>0.78377348535920521</v>
      </c>
      <c r="CO279" s="551">
        <f>+CO271/50</f>
        <v>0.77992156862745088</v>
      </c>
      <c r="CP279" s="551">
        <f t="shared" si="614"/>
        <v>0.79098403422727759</v>
      </c>
      <c r="CQ279" s="551">
        <f t="shared" si="614"/>
        <v>0.79915354453227105</v>
      </c>
      <c r="CR279" s="551">
        <f t="shared" si="614"/>
        <v>0.80687471732247862</v>
      </c>
      <c r="CS279" s="551">
        <f t="shared" si="614"/>
        <v>0.74532576095973457</v>
      </c>
      <c r="CT279" s="373">
        <f t="shared" si="614"/>
        <v>0.76443592026851148</v>
      </c>
      <c r="CU279" s="373">
        <f t="shared" si="614"/>
        <v>0.76802318560560312</v>
      </c>
      <c r="CV279" s="373">
        <f t="shared" si="614"/>
        <v>0.76668073051654506</v>
      </c>
      <c r="CW279" s="373">
        <f>+CW271/50</f>
        <v>0.77144917087238651</v>
      </c>
      <c r="CX279" s="373">
        <f t="shared" si="615"/>
        <v>0.81993296997190157</v>
      </c>
      <c r="CY279" s="373">
        <f t="shared" si="615"/>
        <v>0.79059421671433117</v>
      </c>
      <c r="CZ279" s="373">
        <f t="shared" si="616"/>
        <v>0.79661635832521904</v>
      </c>
      <c r="DA279" s="373">
        <f t="shared" si="616"/>
        <v>0.77571669477234406</v>
      </c>
      <c r="DB279" s="373">
        <f t="shared" ref="DB279:DC279" si="630">DB271/50</f>
        <v>0.79924809412747588</v>
      </c>
      <c r="DC279" s="373">
        <f t="shared" si="630"/>
        <v>0.8191304916745723</v>
      </c>
      <c r="DD279" s="373">
        <f t="shared" ref="DD279:DE279" si="631">DD271/50</f>
        <v>0.78954197482807842</v>
      </c>
      <c r="DE279" s="373">
        <f t="shared" si="631"/>
        <v>0.83603957405029827</v>
      </c>
      <c r="DF279" s="373">
        <f t="shared" si="603"/>
        <v>0.82322553695130019</v>
      </c>
      <c r="DG279" s="373">
        <f t="shared" si="604"/>
        <v>0.84370440642480948</v>
      </c>
      <c r="DH279" s="373">
        <f t="shared" si="605"/>
        <v>0.81322823407292077</v>
      </c>
      <c r="DI279" s="373">
        <f>+DI271/50</f>
        <v>0.86038268528211237</v>
      </c>
    </row>
    <row r="280" spans="1:113">
      <c r="A280" s="943" t="s">
        <v>249</v>
      </c>
      <c r="B280" s="807">
        <f t="shared" ref="B280:R280" si="632">B272/50</f>
        <v>0.48491834774255521</v>
      </c>
      <c r="C280" s="807">
        <f t="shared" si="632"/>
        <v>0.50495516753185465</v>
      </c>
      <c r="D280" s="807">
        <f t="shared" si="632"/>
        <v>0.55663930468372769</v>
      </c>
      <c r="E280" s="807">
        <f t="shared" si="632"/>
        <v>0.52620041753653446</v>
      </c>
      <c r="F280" s="807">
        <f t="shared" si="632"/>
        <v>0.44353632478632482</v>
      </c>
      <c r="G280" s="807">
        <f t="shared" si="632"/>
        <v>0.47429182255478353</v>
      </c>
      <c r="H280" s="807">
        <f t="shared" si="632"/>
        <v>0.49681940700808624</v>
      </c>
      <c r="I280" s="807">
        <f t="shared" si="632"/>
        <v>0.52584514721919295</v>
      </c>
      <c r="J280" s="807">
        <f t="shared" si="632"/>
        <v>0.55842375785265563</v>
      </c>
      <c r="K280" s="807">
        <f t="shared" si="632"/>
        <v>0.59409681227863043</v>
      </c>
      <c r="L280" s="807">
        <f t="shared" si="632"/>
        <v>0.71405514458641561</v>
      </c>
      <c r="M280" s="807">
        <f t="shared" si="632"/>
        <v>0.78835227272727271</v>
      </c>
      <c r="N280" s="807">
        <f t="shared" si="632"/>
        <v>0.8658783833779764</v>
      </c>
      <c r="O280" s="807">
        <f t="shared" si="632"/>
        <v>0.89645234850232003</v>
      </c>
      <c r="P280" s="807">
        <f t="shared" si="632"/>
        <v>0.95687346051124511</v>
      </c>
      <c r="Q280" s="807">
        <f t="shared" si="632"/>
        <v>1.0504760940365372</v>
      </c>
      <c r="R280" s="807">
        <f t="shared" si="632"/>
        <v>1.1603149071211754</v>
      </c>
      <c r="S280" s="807">
        <f t="shared" ref="S280" si="633">S272/50</f>
        <v>1.2501147358793063</v>
      </c>
      <c r="T280" s="807">
        <f t="shared" ref="T280" si="634">T272/50</f>
        <v>1.4112527509672037</v>
      </c>
      <c r="U280" s="807">
        <f t="shared" ref="U280:AB280" si="635">+U277-U278-U279</f>
        <v>1.4440520201185305</v>
      </c>
      <c r="V280" s="807">
        <f t="shared" si="635"/>
        <v>1.5714898151842198</v>
      </c>
      <c r="W280" s="807">
        <f t="shared" si="635"/>
        <v>1.7107390133290021</v>
      </c>
      <c r="X280" s="807">
        <f t="shared" si="635"/>
        <v>1.8523200824510511</v>
      </c>
      <c r="Y280" s="807">
        <f t="shared" si="635"/>
        <v>1.997914900259804</v>
      </c>
      <c r="Z280" s="807">
        <f t="shared" si="635"/>
        <v>2.1478119846905983</v>
      </c>
      <c r="AA280" s="807">
        <f t="shared" si="635"/>
        <v>2.3023063240227257</v>
      </c>
      <c r="AB280" s="807">
        <f t="shared" si="635"/>
        <v>2.4616999362485759</v>
      </c>
      <c r="AD280" s="807">
        <f>AD272/50</f>
        <v>0.41504587155963302</v>
      </c>
      <c r="AE280" s="550">
        <f t="shared" ref="AE280:BE280" si="636">AE272/50</f>
        <v>0.43420593368237348</v>
      </c>
      <c r="AF280" s="550">
        <f t="shared" si="636"/>
        <v>0.45676998368678634</v>
      </c>
      <c r="AG280" s="550">
        <f t="shared" si="636"/>
        <v>0.517948717948718</v>
      </c>
      <c r="AH280" s="550">
        <f t="shared" si="636"/>
        <v>0.42515212981744427</v>
      </c>
      <c r="AI280" s="550">
        <f t="shared" si="636"/>
        <v>0.46177606177606179</v>
      </c>
      <c r="AJ280" s="550">
        <f t="shared" si="636"/>
        <v>0.50182481751824815</v>
      </c>
      <c r="AK280" s="550">
        <f t="shared" si="636"/>
        <v>0.54646271510516253</v>
      </c>
      <c r="AL280" s="550">
        <f t="shared" si="636"/>
        <v>0.42272727272727273</v>
      </c>
      <c r="AM280" s="550">
        <f t="shared" si="636"/>
        <v>0.474487895716946</v>
      </c>
      <c r="AN280" s="550">
        <f t="shared" si="636"/>
        <v>0.53937153419593342</v>
      </c>
      <c r="AO280" s="550">
        <f t="shared" si="636"/>
        <v>0.58404669260700393</v>
      </c>
      <c r="AP280" s="550">
        <f t="shared" si="636"/>
        <v>0.46589147286821708</v>
      </c>
      <c r="AQ280" s="550">
        <f t="shared" si="636"/>
        <v>0.51508379888268152</v>
      </c>
      <c r="AR280" s="550">
        <f t="shared" si="636"/>
        <v>0.60076190476190472</v>
      </c>
      <c r="AS280" s="550">
        <f t="shared" si="636"/>
        <v>0.64989858012170387</v>
      </c>
      <c r="AT280" s="550">
        <f t="shared" si="636"/>
        <v>0.47801147227533464</v>
      </c>
      <c r="AU280" s="550">
        <f t="shared" si="636"/>
        <v>0.62807775377969766</v>
      </c>
      <c r="AV280" s="550">
        <f t="shared" si="636"/>
        <v>0.61457489878542515</v>
      </c>
      <c r="AW280" s="550">
        <f t="shared" si="636"/>
        <v>0.37574370709382149</v>
      </c>
      <c r="AX280" s="550">
        <f t="shared" si="636"/>
        <v>0.28759689922480619</v>
      </c>
      <c r="AY280" s="550">
        <f t="shared" si="636"/>
        <v>0.44860335195530721</v>
      </c>
      <c r="AZ280" s="550">
        <f t="shared" si="636"/>
        <v>0.43866666666666665</v>
      </c>
      <c r="BA280" s="550">
        <f t="shared" si="636"/>
        <v>0.4273833671399595</v>
      </c>
      <c r="BB280" s="550">
        <f t="shared" si="636"/>
        <v>0.45522041763341065</v>
      </c>
      <c r="BC280" s="550">
        <f t="shared" si="636"/>
        <v>0.50288065843621399</v>
      </c>
      <c r="BD280" s="550">
        <f t="shared" si="636"/>
        <v>0.47701863354037272</v>
      </c>
      <c r="BE280" s="550">
        <f t="shared" si="636"/>
        <v>0.45944798301486195</v>
      </c>
      <c r="BF280" s="551">
        <f t="shared" ref="BF280:CH280" si="637">BF272/50</f>
        <v>0.48551401869158878</v>
      </c>
      <c r="BG280" s="551">
        <f t="shared" si="637"/>
        <v>0.51237322515212991</v>
      </c>
      <c r="BH280" s="551">
        <f t="shared" si="637"/>
        <v>0.51148225469728603</v>
      </c>
      <c r="BI280" s="551">
        <f t="shared" si="637"/>
        <v>0.47516483516483521</v>
      </c>
      <c r="BJ280" s="551">
        <f t="shared" si="637"/>
        <v>0.51547344110854509</v>
      </c>
      <c r="BK280" s="551">
        <f t="shared" si="637"/>
        <v>0.55127118644067796</v>
      </c>
      <c r="BL280" s="551">
        <f t="shared" si="637"/>
        <v>0.53361344537815125</v>
      </c>
      <c r="BM280" s="551">
        <f t="shared" si="637"/>
        <v>0.50110375275938202</v>
      </c>
      <c r="BN280" s="551">
        <f t="shared" si="637"/>
        <v>0.55665024630541871</v>
      </c>
      <c r="BO280" s="551">
        <f t="shared" si="637"/>
        <v>0.5798245614035088</v>
      </c>
      <c r="BP280" s="551">
        <f t="shared" si="637"/>
        <v>0.5592356687898089</v>
      </c>
      <c r="BQ280" s="551">
        <f t="shared" si="637"/>
        <v>0.53588516746411474</v>
      </c>
      <c r="BR280" s="551">
        <f t="shared" si="637"/>
        <v>0.53167082294264345</v>
      </c>
      <c r="BS280" s="551">
        <f t="shared" si="637"/>
        <v>0.62935779816513759</v>
      </c>
      <c r="BT280" s="551">
        <f t="shared" si="637"/>
        <v>0.62360801781737196</v>
      </c>
      <c r="BU280" s="551">
        <f t="shared" si="637"/>
        <v>0.58529411764705874</v>
      </c>
      <c r="BV280" s="551">
        <f t="shared" si="637"/>
        <v>0.68604651162790697</v>
      </c>
      <c r="BW280" s="551">
        <f t="shared" si="637"/>
        <v>0.72561576354679802</v>
      </c>
      <c r="BX280" s="551">
        <f t="shared" si="637"/>
        <v>0.76213333333333333</v>
      </c>
      <c r="BY280" s="551">
        <f t="shared" si="637"/>
        <v>0.67790055248618797</v>
      </c>
      <c r="BZ280" s="551">
        <f t="shared" si="637"/>
        <v>0.73841642228739002</v>
      </c>
      <c r="CA280" s="551">
        <f t="shared" si="637"/>
        <v>0.8191780821917809</v>
      </c>
      <c r="CB280" s="551">
        <f t="shared" si="637"/>
        <v>0.85081967213114751</v>
      </c>
      <c r="CC280" s="551">
        <f t="shared" si="637"/>
        <v>0.73671066714234745</v>
      </c>
      <c r="CD280" s="551">
        <f t="shared" si="637"/>
        <v>0.84452374244843031</v>
      </c>
      <c r="CE280" s="551">
        <f t="shared" si="637"/>
        <v>0.86908478134755118</v>
      </c>
      <c r="CF280" s="551">
        <f t="shared" si="637"/>
        <v>0.91291291291291299</v>
      </c>
      <c r="CG280" s="551">
        <f t="shared" si="637"/>
        <v>0.83620178041543014</v>
      </c>
      <c r="CH280" s="551">
        <f t="shared" si="637"/>
        <v>0.88769290506443777</v>
      </c>
      <c r="CI280" s="551">
        <f t="shared" si="613"/>
        <v>0.88855987135730785</v>
      </c>
      <c r="CJ280" s="551">
        <f t="shared" si="613"/>
        <v>0.93524808118076108</v>
      </c>
      <c r="CK280" s="551">
        <f t="shared" si="613"/>
        <v>0.8743126423922426</v>
      </c>
      <c r="CL280" s="551">
        <f>CL272/50</f>
        <v>0.95207833321969093</v>
      </c>
      <c r="CM280" s="551">
        <f t="shared" si="623"/>
        <v>0.96694989968338718</v>
      </c>
      <c r="CN280" s="551">
        <f t="shared" si="623"/>
        <v>0.94944614661202298</v>
      </c>
      <c r="CO280" s="551">
        <f>+CO272/50</f>
        <v>0.9585702015987817</v>
      </c>
      <c r="CP280" s="551">
        <f t="shared" si="614"/>
        <v>1.037586825025304</v>
      </c>
      <c r="CQ280" s="551">
        <f t="shared" si="614"/>
        <v>1.0488652118117758</v>
      </c>
      <c r="CR280" s="551">
        <f t="shared" si="614"/>
        <v>1.0633704777744539</v>
      </c>
      <c r="CS280" s="551">
        <f t="shared" si="614"/>
        <v>1.0503062085010391</v>
      </c>
      <c r="CT280" s="373">
        <f t="shared" si="614"/>
        <v>1.1492802064070256</v>
      </c>
      <c r="CU280" s="373">
        <f t="shared" si="614"/>
        <v>1.182944191492199</v>
      </c>
      <c r="CV280" s="373">
        <f t="shared" si="614"/>
        <v>1.1816187132502503</v>
      </c>
      <c r="CW280" s="373">
        <f>+CW272/50</f>
        <v>1.1231423266981226</v>
      </c>
      <c r="CX280" s="373">
        <f t="shared" si="615"/>
        <v>1.2402329829952456</v>
      </c>
      <c r="CY280" s="373">
        <f t="shared" si="615"/>
        <v>1.2953354793258562</v>
      </c>
      <c r="CZ280" s="373">
        <f t="shared" si="616"/>
        <v>1.2435345936922544</v>
      </c>
      <c r="DA280" s="373">
        <f t="shared" si="616"/>
        <v>1.2186266295715185</v>
      </c>
      <c r="DB280" s="373">
        <f t="shared" ref="DB280:DC280" si="638">DB272/50</f>
        <v>1.3689323069635975</v>
      </c>
      <c r="DC280" s="373">
        <f t="shared" si="638"/>
        <v>1.4232640280361377</v>
      </c>
      <c r="DD280" s="373">
        <f t="shared" ref="DD280:DE280" si="639">DD272/50</f>
        <v>1.4324639937718957</v>
      </c>
      <c r="DE280" s="373">
        <f t="shared" si="639"/>
        <v>1.4186036486708622</v>
      </c>
      <c r="DF280" s="889">
        <f>+DF277-DF278-DF279</f>
        <v>1.3936261021525453</v>
      </c>
      <c r="DG280" s="889">
        <f>+DG277-DG278-DG279</f>
        <v>1.4501997546406487</v>
      </c>
      <c r="DH280" s="889">
        <f>+DH277-DH278-DH279</f>
        <v>1.4660990009082648</v>
      </c>
      <c r="DI280" s="373">
        <f>+DI272/50</f>
        <v>1.4641424251160762</v>
      </c>
    </row>
    <row r="281" spans="1:113">
      <c r="A281" s="301"/>
      <c r="R281" s="896"/>
      <c r="S281" s="896"/>
      <c r="T281" s="896"/>
      <c r="AD281" s="549"/>
      <c r="AE281" s="549"/>
      <c r="AF281" s="549"/>
      <c r="AG281" s="549"/>
      <c r="AH281" s="549"/>
      <c r="AI281" s="549"/>
      <c r="AJ281" s="549"/>
      <c r="AK281" s="549"/>
      <c r="AL281" s="549"/>
      <c r="AM281" s="549"/>
      <c r="AN281" s="549"/>
      <c r="AO281" s="549"/>
      <c r="AP281" s="549"/>
      <c r="AQ281" s="549"/>
      <c r="AR281" s="549"/>
      <c r="AS281" s="549"/>
      <c r="AT281" s="549"/>
      <c r="AU281" s="549"/>
      <c r="AV281" s="549"/>
      <c r="AW281" s="549"/>
      <c r="AX281" s="549"/>
      <c r="AY281" s="549"/>
      <c r="AZ281" s="549"/>
      <c r="BA281" s="549"/>
      <c r="BB281" s="549"/>
      <c r="BC281" s="549"/>
      <c r="BD281" s="549"/>
      <c r="BE281" s="549"/>
      <c r="BF281" s="459"/>
      <c r="BG281" s="459"/>
      <c r="BH281" s="459"/>
      <c r="BI281" s="459"/>
      <c r="BJ281" s="459"/>
      <c r="BK281" s="459"/>
      <c r="BL281" s="459"/>
      <c r="BM281" s="459"/>
      <c r="BN281" s="459"/>
      <c r="BO281" s="459"/>
      <c r="BP281" s="459"/>
      <c r="BQ281" s="459"/>
      <c r="BR281" s="459"/>
      <c r="BS281" s="459"/>
      <c r="BT281" s="459"/>
      <c r="BU281" s="459"/>
      <c r="BV281" s="459"/>
      <c r="BW281" s="459"/>
      <c r="BX281" s="459"/>
      <c r="BY281" s="459"/>
      <c r="BZ281" s="459"/>
      <c r="CA281" s="459"/>
      <c r="CB281" s="459"/>
      <c r="CC281" s="459"/>
      <c r="CD281" s="459"/>
      <c r="CE281" s="459"/>
      <c r="CF281" s="459"/>
      <c r="CG281" s="459"/>
      <c r="CH281" s="459"/>
      <c r="CI281" s="404"/>
      <c r="CJ281" s="404"/>
      <c r="CK281" s="412"/>
      <c r="CL281" s="404"/>
      <c r="CM281" s="404"/>
      <c r="CN281" s="404"/>
      <c r="CO281" s="404"/>
      <c r="CP281" s="510">
        <f>CP277-CL277</f>
        <v>8.0564492856517678E-2</v>
      </c>
      <c r="CQ281" s="510">
        <f>CQ277-CM277</f>
        <v>0.12359529546460557</v>
      </c>
      <c r="CR281" s="510">
        <f>CR277-CN277</f>
        <v>0.12772356896155612</v>
      </c>
      <c r="CS281" s="510">
        <f>CS277-CO277</f>
        <v>0.1148513565083995</v>
      </c>
      <c r="CT281" s="510"/>
      <c r="CU281" s="510"/>
      <c r="CV281" s="510"/>
      <c r="CW281" s="510"/>
      <c r="CX281" s="510"/>
      <c r="CY281" s="510"/>
      <c r="CZ281" s="510"/>
      <c r="DA281" s="510"/>
      <c r="DB281" s="510"/>
      <c r="DC281" s="510"/>
      <c r="DD281" s="510"/>
      <c r="DE281" s="510"/>
      <c r="DF281" s="404"/>
      <c r="DG281" s="404"/>
      <c r="DH281" s="404"/>
      <c r="DI281" s="404"/>
    </row>
    <row r="282" spans="1:113">
      <c r="A282" s="34" t="s">
        <v>251</v>
      </c>
      <c r="AD282" s="70"/>
      <c r="AE282" s="70"/>
      <c r="AF282" s="70"/>
      <c r="AG282" s="70"/>
      <c r="AH282" s="70"/>
      <c r="AI282" s="70"/>
      <c r="AJ282" s="70"/>
      <c r="AK282" s="70"/>
      <c r="AL282" s="70"/>
      <c r="AM282" s="70"/>
      <c r="AN282" s="70"/>
      <c r="AO282" s="70"/>
      <c r="AP282" s="70"/>
      <c r="AQ282" s="70"/>
      <c r="AR282" s="70"/>
      <c r="AS282" s="70"/>
      <c r="AT282" s="70"/>
      <c r="AU282" s="70"/>
      <c r="AV282" s="70"/>
      <c r="AW282" s="70"/>
      <c r="AX282" s="394"/>
      <c r="AY282" s="394"/>
      <c r="AZ282" s="394"/>
      <c r="BA282" s="394"/>
      <c r="BB282" s="394"/>
      <c r="BC282" s="394"/>
      <c r="BD282" s="394"/>
      <c r="BE282" s="394"/>
      <c r="BF282" s="404"/>
      <c r="BG282" s="404"/>
      <c r="BH282" s="404"/>
      <c r="BI282" s="404"/>
      <c r="BJ282" s="404"/>
      <c r="BK282" s="404"/>
      <c r="BL282" s="404"/>
      <c r="BM282" s="404"/>
      <c r="BN282" s="404"/>
      <c r="BO282" s="404"/>
      <c r="BP282" s="404"/>
      <c r="BQ282" s="404"/>
      <c r="BR282" s="404"/>
      <c r="BS282" s="404"/>
      <c r="BT282" s="404"/>
      <c r="BU282" s="404"/>
      <c r="BV282" s="404"/>
      <c r="BW282" s="404"/>
      <c r="BX282" s="404"/>
      <c r="BY282" s="404"/>
      <c r="BZ282" s="404"/>
      <c r="CA282" s="404"/>
      <c r="CB282" s="404"/>
      <c r="CC282" s="404"/>
      <c r="CD282" s="404"/>
      <c r="CE282" s="404"/>
      <c r="CF282" s="404"/>
      <c r="CG282" s="404"/>
      <c r="CH282" s="404"/>
      <c r="CI282" s="404"/>
      <c r="CJ282" s="404"/>
      <c r="CK282" s="404"/>
      <c r="CL282" s="404"/>
      <c r="CM282" s="404"/>
      <c r="CN282" s="404"/>
      <c r="CO282" s="404"/>
      <c r="CP282" s="404"/>
      <c r="CQ282" s="404"/>
      <c r="CR282" s="404"/>
      <c r="CS282" s="404"/>
      <c r="CT282" s="404"/>
      <c r="CU282" s="404"/>
      <c r="CV282" s="404"/>
      <c r="CW282" s="404"/>
      <c r="CX282" s="404"/>
      <c r="CY282" s="404"/>
      <c r="CZ282" s="404"/>
      <c r="DA282" s="404"/>
      <c r="DB282" s="404"/>
      <c r="DC282" s="404"/>
      <c r="DD282" s="404"/>
      <c r="DE282" s="404"/>
      <c r="DF282" s="404"/>
      <c r="DG282" s="404"/>
      <c r="DH282" s="404"/>
      <c r="DI282" s="404"/>
    </row>
    <row r="283" spans="1:113">
      <c r="A283" s="310" t="s">
        <v>659</v>
      </c>
      <c r="C283" s="785">
        <f t="shared" ref="C283:W283" si="640">C275/B275-1</f>
        <v>-4.8998981888127902E-2</v>
      </c>
      <c r="D283" s="785">
        <f t="shared" si="640"/>
        <v>7.3615902096545893E-2</v>
      </c>
      <c r="E283" s="785">
        <f t="shared" si="640"/>
        <v>2.5228919198855282E-2</v>
      </c>
      <c r="F283" s="785">
        <f t="shared" si="640"/>
        <v>-7.8190096119322039E-2</v>
      </c>
      <c r="G283" s="785">
        <f t="shared" si="640"/>
        <v>3.0524495995698731E-2</v>
      </c>
      <c r="H283" s="785">
        <f t="shared" si="640"/>
        <v>4.4509842946620415E-2</v>
      </c>
      <c r="I283" s="785">
        <f t="shared" si="640"/>
        <v>3.0414379130089264E-2</v>
      </c>
      <c r="J283" s="785">
        <f t="shared" si="640"/>
        <v>4.8025140616225315E-2</v>
      </c>
      <c r="K283" s="785">
        <f t="shared" si="640"/>
        <v>3.1970623617413541E-2</v>
      </c>
      <c r="L283" s="785">
        <f t="shared" si="640"/>
        <v>0.29130641300737525</v>
      </c>
      <c r="M283" s="785">
        <f t="shared" si="640"/>
        <v>9.2053691131159576E-2</v>
      </c>
      <c r="N283" s="785">
        <f t="shared" si="640"/>
        <v>2.7338861897253652E-2</v>
      </c>
      <c r="O283" s="785">
        <f t="shared" si="640"/>
        <v>1.1459048500484181E-2</v>
      </c>
      <c r="P283" s="785">
        <f t="shared" si="640"/>
        <v>2.8479544281674318E-2</v>
      </c>
      <c r="Q283" s="785">
        <f t="shared" si="640"/>
        <v>3.4532881403239291E-2</v>
      </c>
      <c r="R283" s="785">
        <f t="shared" si="640"/>
        <v>3.402676656525716E-2</v>
      </c>
      <c r="S283" s="785">
        <f t="shared" si="640"/>
        <v>2.5722099659237774E-2</v>
      </c>
      <c r="T283" s="785">
        <f t="shared" si="640"/>
        <v>3.9105282699444244E-2</v>
      </c>
      <c r="U283" s="785">
        <f t="shared" si="640"/>
        <v>2.5509020936177906E-2</v>
      </c>
      <c r="V283" s="785">
        <f t="shared" si="640"/>
        <v>3.3127909375238795E-2</v>
      </c>
      <c r="W283" s="785">
        <f t="shared" si="640"/>
        <v>3.3512179883454563E-2</v>
      </c>
      <c r="X283" s="785">
        <f>X275/W275-1</f>
        <v>3.1623836485077161E-2</v>
      </c>
      <c r="Y283" s="785">
        <f>Y275/X275-1</f>
        <v>3.1945049056814279E-2</v>
      </c>
      <c r="Z283" s="785">
        <f>Z275/Y275-1</f>
        <v>3.2259350829676903E-2</v>
      </c>
      <c r="AA283" s="785">
        <f>AA275/Z275-1</f>
        <v>3.2566701149630006E-2</v>
      </c>
      <c r="AB283" s="785">
        <f>AB275/AA275-1</f>
        <v>3.2867072816519682E-2</v>
      </c>
      <c r="AD283" s="70"/>
      <c r="AE283" s="70"/>
      <c r="AF283" s="70"/>
      <c r="AG283" s="70"/>
      <c r="AH283" s="70"/>
      <c r="AI283" s="70"/>
      <c r="AJ283" s="70"/>
      <c r="AK283" s="70"/>
      <c r="AL283" s="70"/>
      <c r="AM283" s="70"/>
      <c r="AN283" s="70"/>
      <c r="AO283" s="70"/>
      <c r="AP283" s="70"/>
      <c r="AQ283" s="70"/>
      <c r="AR283" s="70"/>
      <c r="AS283" s="70"/>
      <c r="AT283" s="70"/>
      <c r="AU283" s="70"/>
      <c r="AV283" s="70"/>
      <c r="AW283" s="70"/>
      <c r="AX283" s="394"/>
      <c r="AY283" s="394"/>
      <c r="AZ283" s="394"/>
      <c r="BA283" s="394"/>
      <c r="BB283" s="394"/>
      <c r="BC283" s="394"/>
      <c r="BD283" s="394"/>
      <c r="BE283" s="394"/>
      <c r="BF283" s="404"/>
      <c r="BG283" s="404"/>
      <c r="BH283" s="404"/>
      <c r="BI283" s="404"/>
      <c r="BJ283" s="404"/>
      <c r="BK283" s="404"/>
      <c r="BL283" s="404"/>
      <c r="BM283" s="404"/>
      <c r="BN283" s="404"/>
      <c r="BO283" s="404"/>
      <c r="BP283" s="404"/>
      <c r="BQ283" s="404"/>
      <c r="BR283" s="404"/>
      <c r="BS283" s="404"/>
      <c r="BT283" s="404"/>
      <c r="BU283" s="404"/>
      <c r="BV283" s="404"/>
      <c r="BW283" s="404"/>
      <c r="BX283" s="404"/>
      <c r="BY283" s="404"/>
      <c r="BZ283" s="404"/>
      <c r="CA283" s="404"/>
      <c r="CB283" s="404"/>
      <c r="CC283" s="404"/>
      <c r="CD283" s="404"/>
      <c r="CE283" s="404"/>
      <c r="CF283" s="404"/>
      <c r="CG283" s="404"/>
      <c r="CH283" s="404"/>
      <c r="CI283" s="404"/>
      <c r="CJ283" s="404"/>
      <c r="CK283" s="404"/>
      <c r="CL283" s="404"/>
      <c r="CM283" s="404"/>
      <c r="CN283" s="404"/>
      <c r="CO283" s="404"/>
      <c r="CP283" s="404"/>
      <c r="CQ283" s="404"/>
      <c r="CR283" s="404"/>
      <c r="CS283" s="404"/>
      <c r="CT283" s="539">
        <f t="shared" ref="CT283:CV285" si="641">CT275/CP275-1</f>
        <v>3.591741514563207E-2</v>
      </c>
      <c r="CU283" s="539">
        <f t="shared" si="641"/>
        <v>3.5523147833949276E-2</v>
      </c>
      <c r="CV283" s="539">
        <f t="shared" si="641"/>
        <v>3.1315131640646365E-2</v>
      </c>
      <c r="CW283" s="539">
        <f>+CW275/CS275-1</f>
        <v>3.4042775256018398E-2</v>
      </c>
      <c r="CX283" s="539">
        <f t="shared" ref="CX283:DE285" si="642">CX275/CT275-1</f>
        <v>2.6675975936424123E-2</v>
      </c>
      <c r="CY283" s="539">
        <f t="shared" si="642"/>
        <v>2.2666069425461677E-2</v>
      </c>
      <c r="CZ283" s="539">
        <f t="shared" si="642"/>
        <v>2.6719369852848063E-2</v>
      </c>
      <c r="DA283" s="539">
        <f t="shared" si="642"/>
        <v>2.7343284731982997E-2</v>
      </c>
      <c r="DB283" s="539">
        <f t="shared" si="642"/>
        <v>2.943790434304594E-2</v>
      </c>
      <c r="DC283" s="539">
        <f t="shared" si="642"/>
        <v>4.1875411681731478E-2</v>
      </c>
      <c r="DD283" s="539">
        <f t="shared" si="642"/>
        <v>3.02945652810509E-2</v>
      </c>
      <c r="DE283" s="539">
        <f t="shared" si="642"/>
        <v>5.7316825710252095E-2</v>
      </c>
      <c r="DF283" s="539">
        <f t="shared" ref="DF283:DI283" si="643">DF275/DB275-1</f>
        <v>2.5398406374501858E-2</v>
      </c>
      <c r="DG283" s="539">
        <f t="shared" si="643"/>
        <v>2.5589882723612734E-2</v>
      </c>
      <c r="DH283" s="539">
        <f t="shared" si="643"/>
        <v>2.5582061068702089E-2</v>
      </c>
      <c r="DI283" s="539">
        <f t="shared" si="643"/>
        <v>2.4364757917110014E-2</v>
      </c>
    </row>
    <row r="284" spans="1:113">
      <c r="A284" s="941" t="s">
        <v>552</v>
      </c>
      <c r="C284" s="785">
        <f t="shared" ref="C284:T284" si="644">C276/B276-1</f>
        <v>0.40628878775341359</v>
      </c>
      <c r="D284" s="785">
        <f t="shared" si="644"/>
        <v>-6.155274174569958E-3</v>
      </c>
      <c r="E284" s="785">
        <f t="shared" si="644"/>
        <v>0.16927298748703423</v>
      </c>
      <c r="F284" s="785">
        <f t="shared" si="644"/>
        <v>-1.2632135306554049E-2</v>
      </c>
      <c r="G284" s="785">
        <f t="shared" si="644"/>
        <v>1.2484753799558712E-2</v>
      </c>
      <c r="H284" s="785">
        <f t="shared" si="644"/>
        <v>-9.3121066142087816E-4</v>
      </c>
      <c r="I284" s="785">
        <f t="shared" si="644"/>
        <v>-1.5959810485077774E-4</v>
      </c>
      <c r="J284" s="785">
        <f t="shared" si="644"/>
        <v>-3.7878746012998121E-4</v>
      </c>
      <c r="K284" s="785">
        <f t="shared" si="644"/>
        <v>-4.8737210329952152E-4</v>
      </c>
      <c r="L284" s="785">
        <f t="shared" si="644"/>
        <v>1.2064019585760835</v>
      </c>
      <c r="M284" s="785">
        <f t="shared" si="644"/>
        <v>0.16572101525697813</v>
      </c>
      <c r="N284" s="785">
        <f t="shared" si="644"/>
        <v>-5.0296045884024032E-4</v>
      </c>
      <c r="O284" s="785">
        <f t="shared" si="644"/>
        <v>-1.7878211308619552E-4</v>
      </c>
      <c r="P284" s="785">
        <f t="shared" si="644"/>
        <v>5.6496422212481967E-4</v>
      </c>
      <c r="Q284" s="785">
        <f t="shared" si="644"/>
        <v>5.9028527469195957E-4</v>
      </c>
      <c r="R284" s="785">
        <f t="shared" si="644"/>
        <v>-3.2619330868368657E-3</v>
      </c>
      <c r="S284" s="785">
        <f t="shared" si="644"/>
        <v>-4.1737542042911135E-3</v>
      </c>
      <c r="T284" s="785">
        <f t="shared" si="644"/>
        <v>-3.1191174269884492E-4</v>
      </c>
      <c r="U284" s="119">
        <f t="shared" ref="U284:AB284" si="645">T284</f>
        <v>-3.1191174269884492E-4</v>
      </c>
      <c r="V284" s="119">
        <f t="shared" si="645"/>
        <v>-3.1191174269884492E-4</v>
      </c>
      <c r="W284" s="119">
        <f t="shared" si="645"/>
        <v>-3.1191174269884492E-4</v>
      </c>
      <c r="X284" s="119">
        <f t="shared" si="645"/>
        <v>-3.1191174269884492E-4</v>
      </c>
      <c r="Y284" s="119">
        <f t="shared" si="645"/>
        <v>-3.1191174269884492E-4</v>
      </c>
      <c r="Z284" s="119">
        <f t="shared" si="645"/>
        <v>-3.1191174269884492E-4</v>
      </c>
      <c r="AA284" s="119">
        <f t="shared" si="645"/>
        <v>-3.1191174269884492E-4</v>
      </c>
      <c r="AB284" s="119">
        <f t="shared" si="645"/>
        <v>-3.1191174269884492E-4</v>
      </c>
      <c r="AD284" s="70"/>
      <c r="AE284" s="70"/>
      <c r="AF284" s="70"/>
      <c r="AG284" s="70"/>
      <c r="AH284" s="70"/>
      <c r="AI284" s="70"/>
      <c r="AJ284" s="70"/>
      <c r="AK284" s="70"/>
      <c r="AL284" s="70"/>
      <c r="AM284" s="70"/>
      <c r="AN284" s="70"/>
      <c r="AO284" s="70"/>
      <c r="AP284" s="70"/>
      <c r="AQ284" s="70"/>
      <c r="AR284" s="70"/>
      <c r="AS284" s="70"/>
      <c r="AT284" s="70"/>
      <c r="AU284" s="70"/>
      <c r="AV284" s="70"/>
      <c r="AW284" s="70"/>
      <c r="AX284" s="394"/>
      <c r="AY284" s="394"/>
      <c r="AZ284" s="394"/>
      <c r="BA284" s="394"/>
      <c r="BB284" s="394"/>
      <c r="BC284" s="394"/>
      <c r="BD284" s="394"/>
      <c r="BE284" s="394"/>
      <c r="BF284" s="404"/>
      <c r="BG284" s="404"/>
      <c r="BH284" s="404"/>
      <c r="BI284" s="404"/>
      <c r="BJ284" s="404"/>
      <c r="BK284" s="404"/>
      <c r="BL284" s="404"/>
      <c r="BM284" s="404"/>
      <c r="BN284" s="404"/>
      <c r="BO284" s="404"/>
      <c r="BP284" s="404"/>
      <c r="BQ284" s="404"/>
      <c r="BR284" s="404"/>
      <c r="BS284" s="404"/>
      <c r="BT284" s="404"/>
      <c r="BU284" s="404"/>
      <c r="BV284" s="404"/>
      <c r="BW284" s="404"/>
      <c r="BX284" s="404"/>
      <c r="BY284" s="404"/>
      <c r="BZ284" s="404"/>
      <c r="CA284" s="404"/>
      <c r="CB284" s="404"/>
      <c r="CC284" s="404"/>
      <c r="CD284" s="404"/>
      <c r="CE284" s="404"/>
      <c r="CF284" s="404"/>
      <c r="CG284" s="404"/>
      <c r="CH284" s="404"/>
      <c r="CI284" s="404"/>
      <c r="CJ284" s="404"/>
      <c r="CK284" s="404"/>
      <c r="CL284" s="404"/>
      <c r="CM284" s="404"/>
      <c r="CN284" s="404"/>
      <c r="CO284" s="404"/>
      <c r="CP284" s="404"/>
      <c r="CQ284" s="404"/>
      <c r="CR284" s="404"/>
      <c r="CS284" s="404"/>
      <c r="CT284" s="539">
        <f t="shared" si="641"/>
        <v>-1.889789786690077E-3</v>
      </c>
      <c r="CU284" s="539">
        <f t="shared" si="641"/>
        <v>2.8662505136307637E-3</v>
      </c>
      <c r="CV284" s="539">
        <f t="shared" si="641"/>
        <v>-7.6430346926056325E-3</v>
      </c>
      <c r="CW284" s="539">
        <f>+CW276/CS276-1</f>
        <v>-6.5202543821860637E-3</v>
      </c>
      <c r="CX284" s="539">
        <f t="shared" si="642"/>
        <v>-6.8689309506535512E-3</v>
      </c>
      <c r="CY284" s="539">
        <f t="shared" si="642"/>
        <v>-1.1195520825549421E-2</v>
      </c>
      <c r="CZ284" s="539">
        <f t="shared" si="642"/>
        <v>2.6966514878878911E-6</v>
      </c>
      <c r="DA284" s="539">
        <f t="shared" si="642"/>
        <v>1.5694413507585381E-3</v>
      </c>
      <c r="DB284" s="539">
        <f t="shared" si="642"/>
        <v>-8.5563026603341363E-5</v>
      </c>
      <c r="DC284" s="539">
        <f t="shared" si="642"/>
        <v>-4.5984134295007362E-4</v>
      </c>
      <c r="DD284" s="539">
        <f t="shared" si="642"/>
        <v>-3.4218801701801915E-4</v>
      </c>
      <c r="DE284" s="539">
        <f t="shared" si="642"/>
        <v>-2.8172806727588817E-4</v>
      </c>
      <c r="DF284" s="552">
        <v>0</v>
      </c>
      <c r="DG284" s="552">
        <v>0</v>
      </c>
      <c r="DH284" s="552">
        <v>0</v>
      </c>
      <c r="DI284" s="539">
        <f>DI276/DE276-1</f>
        <v>-1.3623175276352706E-3</v>
      </c>
    </row>
    <row r="285" spans="1:113">
      <c r="A285" s="945" t="s">
        <v>247</v>
      </c>
      <c r="B285" s="784"/>
      <c r="C285" s="785">
        <f t="shared" ref="C285:T285" si="646">C277/B277-1</f>
        <v>-0.11606892902610477</v>
      </c>
      <c r="D285" s="785">
        <f t="shared" si="646"/>
        <v>9.2311703675386214E-2</v>
      </c>
      <c r="E285" s="785">
        <f t="shared" si="646"/>
        <v>-5.4871348655224361E-3</v>
      </c>
      <c r="F285" s="785">
        <f t="shared" si="646"/>
        <v>-9.4626280026796739E-2</v>
      </c>
      <c r="G285" s="785">
        <f t="shared" si="646"/>
        <v>3.5456881203757007E-2</v>
      </c>
      <c r="H285" s="785">
        <f t="shared" si="646"/>
        <v>5.6658591012634041E-2</v>
      </c>
      <c r="I285" s="785">
        <f t="shared" si="646"/>
        <v>3.8142889161359994E-2</v>
      </c>
      <c r="J285" s="785">
        <f t="shared" si="646"/>
        <v>5.9809283299955274E-2</v>
      </c>
      <c r="K285" s="785">
        <f t="shared" si="646"/>
        <v>3.9423893172918056E-2</v>
      </c>
      <c r="L285" s="785">
        <f t="shared" si="646"/>
        <v>8.9243243654438364E-2</v>
      </c>
      <c r="M285" s="785">
        <f t="shared" si="646"/>
        <v>5.9103694557655961E-2</v>
      </c>
      <c r="N285" s="785">
        <f t="shared" si="646"/>
        <v>4.1045605211023073E-2</v>
      </c>
      <c r="O285" s="785">
        <f t="shared" si="646"/>
        <v>1.6959779540286934E-2</v>
      </c>
      <c r="P285" s="785">
        <f t="shared" si="646"/>
        <v>4.1451278729754515E-2</v>
      </c>
      <c r="Q285" s="785">
        <f t="shared" si="646"/>
        <v>4.968656940094851E-2</v>
      </c>
      <c r="R285" s="785">
        <f t="shared" si="646"/>
        <v>4.9895679041027652E-2</v>
      </c>
      <c r="S285" s="785">
        <f t="shared" si="646"/>
        <v>3.7800677003618777E-2</v>
      </c>
      <c r="T285" s="785">
        <f t="shared" si="646"/>
        <v>5.4386577392942614E-2</v>
      </c>
      <c r="U285" s="887">
        <v>3.5000000000000003E-2</v>
      </c>
      <c r="V285" s="887">
        <v>4.4999999999999998E-2</v>
      </c>
      <c r="W285" s="887">
        <v>4.4999999999999998E-2</v>
      </c>
      <c r="X285" s="887">
        <v>4.2000000000000003E-2</v>
      </c>
      <c r="Y285" s="887">
        <v>4.2000000000000003E-2</v>
      </c>
      <c r="Z285" s="887">
        <v>4.2000000000000003E-2</v>
      </c>
      <c r="AA285" s="887">
        <v>4.2000000000000003E-2</v>
      </c>
      <c r="AB285" s="887">
        <v>4.2000000000000003E-2</v>
      </c>
      <c r="AD285" s="538"/>
      <c r="AE285" s="538"/>
      <c r="AF285" s="538"/>
      <c r="AG285" s="538"/>
      <c r="AH285" s="538">
        <f t="shared" ref="AH285:BM285" si="647">AH277/AD277-1</f>
        <v>0.59556308830714255</v>
      </c>
      <c r="AI285" s="538">
        <f t="shared" si="647"/>
        <v>0.49725786035506014</v>
      </c>
      <c r="AJ285" s="538">
        <f t="shared" si="647"/>
        <v>0.47311938404517795</v>
      </c>
      <c r="AK285" s="538">
        <f t="shared" si="647"/>
        <v>0.39661469112635395</v>
      </c>
      <c r="AL285" s="538">
        <f t="shared" si="647"/>
        <v>9.9180092059839131E-2</v>
      </c>
      <c r="AM285" s="538">
        <f t="shared" si="647"/>
        <v>0.12452697103711863</v>
      </c>
      <c r="AN285" s="538">
        <f t="shared" si="647"/>
        <v>0.1083248428506296</v>
      </c>
      <c r="AO285" s="538">
        <f t="shared" si="647"/>
        <v>5.8563265443925872E-2</v>
      </c>
      <c r="AP285" s="538">
        <f t="shared" si="647"/>
        <v>-0.16916702645049031</v>
      </c>
      <c r="AQ285" s="538">
        <f t="shared" si="647"/>
        <v>-0.12257256212152856</v>
      </c>
      <c r="AR285" s="538">
        <f t="shared" si="647"/>
        <v>-0.106012110642833</v>
      </c>
      <c r="AS285" s="538">
        <f t="shared" si="647"/>
        <v>-7.6967452593185381E-2</v>
      </c>
      <c r="AT285" s="538">
        <f t="shared" si="647"/>
        <v>6.6101524921887034E-2</v>
      </c>
      <c r="AU285" s="538">
        <f t="shared" si="647"/>
        <v>9.5791061132053823E-2</v>
      </c>
      <c r="AV285" s="538">
        <f t="shared" si="647"/>
        <v>6.9236086319131029E-3</v>
      </c>
      <c r="AW285" s="538">
        <f t="shared" si="647"/>
        <v>-0.17820137084196086</v>
      </c>
      <c r="AX285" s="538">
        <f t="shared" si="647"/>
        <v>-0.25189576535736924</v>
      </c>
      <c r="AY285" s="538">
        <f t="shared" si="647"/>
        <v>-0.22969069698718059</v>
      </c>
      <c r="AZ285" s="538">
        <f t="shared" si="647"/>
        <v>-0.19040829797265424</v>
      </c>
      <c r="BA285" s="538">
        <f t="shared" si="647"/>
        <v>-5.8666103988001317E-2</v>
      </c>
      <c r="BB285" s="538">
        <f t="shared" si="647"/>
        <v>0.27876114196218027</v>
      </c>
      <c r="BC285" s="538">
        <f t="shared" si="647"/>
        <v>0.12895663714688799</v>
      </c>
      <c r="BD285" s="538">
        <f t="shared" si="647"/>
        <v>0.11040926602291479</v>
      </c>
      <c r="BE285" s="538">
        <f t="shared" si="647"/>
        <v>0.11214737095147242</v>
      </c>
      <c r="BF285" s="539">
        <f t="shared" si="647"/>
        <v>5.4612262204089435E-2</v>
      </c>
      <c r="BG285" s="539">
        <f t="shared" si="647"/>
        <v>3.8845156697070227E-2</v>
      </c>
      <c r="BH285" s="539">
        <f t="shared" si="647"/>
        <v>7.508191112033491E-2</v>
      </c>
      <c r="BI285" s="539">
        <f t="shared" si="647"/>
        <v>5.8596933152807118E-2</v>
      </c>
      <c r="BJ285" s="539">
        <f t="shared" si="647"/>
        <v>3.8459197401865097E-2</v>
      </c>
      <c r="BK285" s="539">
        <f t="shared" si="647"/>
        <v>5.4063979833215647E-2</v>
      </c>
      <c r="BL285" s="539">
        <f t="shared" si="647"/>
        <v>3.4476865231036991E-2</v>
      </c>
      <c r="BM285" s="539">
        <f t="shared" si="647"/>
        <v>2.5240651501740929E-2</v>
      </c>
      <c r="BN285" s="539">
        <f t="shared" ref="BN285:CN285" si="648">BN277/BJ277-1</f>
        <v>5.9429349833239442E-2</v>
      </c>
      <c r="BO285" s="539">
        <f t="shared" si="648"/>
        <v>5.0127914493030667E-2</v>
      </c>
      <c r="BP285" s="539">
        <f t="shared" si="648"/>
        <v>4.3073821197818773E-2</v>
      </c>
      <c r="BQ285" s="539">
        <f t="shared" si="648"/>
        <v>8.9086758770506869E-2</v>
      </c>
      <c r="BR285" s="539">
        <f t="shared" si="648"/>
        <v>1.0705456967160965E-2</v>
      </c>
      <c r="BS285" s="539">
        <f t="shared" si="648"/>
        <v>5.657101292850597E-2</v>
      </c>
      <c r="BT285" s="539">
        <f t="shared" si="648"/>
        <v>7.1716918020461984E-2</v>
      </c>
      <c r="BU285" s="539">
        <f t="shared" si="648"/>
        <v>1.4155566624355354E-2</v>
      </c>
      <c r="BV285" s="539">
        <f t="shared" si="648"/>
        <v>9.0108671395822348E-2</v>
      </c>
      <c r="BW285" s="539">
        <f t="shared" si="648"/>
        <v>7.9872794163496907E-2</v>
      </c>
      <c r="BX285" s="539">
        <f t="shared" si="648"/>
        <v>8.734437946718665E-2</v>
      </c>
      <c r="BY285" s="539">
        <f t="shared" si="648"/>
        <v>0.1006366397131464</v>
      </c>
      <c r="BZ285" s="539">
        <f t="shared" si="648"/>
        <v>6.4005485767642645E-2</v>
      </c>
      <c r="CA285" s="539">
        <f t="shared" si="648"/>
        <v>4.7918994606078291E-2</v>
      </c>
      <c r="CB285" s="539">
        <f t="shared" si="648"/>
        <v>6.5551777679054402E-2</v>
      </c>
      <c r="CC285" s="539">
        <f t="shared" si="648"/>
        <v>5.9806177204007938E-2</v>
      </c>
      <c r="CD285" s="539">
        <f t="shared" si="648"/>
        <v>6.7392869440010106E-2</v>
      </c>
      <c r="CE285" s="539">
        <f t="shared" si="648"/>
        <v>3.8494541922036829E-2</v>
      </c>
      <c r="CF285" s="539">
        <f t="shared" si="648"/>
        <v>3.3311949720618683E-2</v>
      </c>
      <c r="CG285" s="539">
        <f t="shared" si="648"/>
        <v>2.9318392943049609E-2</v>
      </c>
      <c r="CH285" s="539">
        <f t="shared" si="648"/>
        <v>1.2740714561685129E-2</v>
      </c>
      <c r="CI285" s="539">
        <f t="shared" si="648"/>
        <v>8.4494727992068253E-3</v>
      </c>
      <c r="CJ285" s="539">
        <f t="shared" si="648"/>
        <v>1.3560058681824305E-2</v>
      </c>
      <c r="CK285" s="539">
        <f t="shared" si="648"/>
        <v>3.2929574328561362E-2</v>
      </c>
      <c r="CL285" s="539">
        <f t="shared" si="648"/>
        <v>4.8798437021896346E-2</v>
      </c>
      <c r="CM285" s="539">
        <f t="shared" si="648"/>
        <v>4.791153054241315E-2</v>
      </c>
      <c r="CN285" s="539">
        <f t="shared" si="648"/>
        <v>3.0383218620128494E-2</v>
      </c>
      <c r="CO285" s="539">
        <f>+CO277/CK277-1</f>
        <v>3.8643926408771234E-2</v>
      </c>
      <c r="CP285" s="539">
        <f>CP277/CL277-1</f>
        <v>3.5718862394952255E-2</v>
      </c>
      <c r="CQ285" s="539">
        <f>CQ277/CM277-1</f>
        <v>5.4926009163173362E-2</v>
      </c>
      <c r="CR285" s="539">
        <f>CR277/CN277-1</f>
        <v>5.5880289846901965E-2</v>
      </c>
      <c r="CS285" s="539">
        <f>CS277/CO277-1</f>
        <v>5.0190389206268726E-2</v>
      </c>
      <c r="CT285" s="539">
        <f t="shared" si="641"/>
        <v>5.2355330333598182E-2</v>
      </c>
      <c r="CU285" s="539">
        <f t="shared" si="641"/>
        <v>4.9471256311872214E-2</v>
      </c>
      <c r="CV285" s="539">
        <f t="shared" si="641"/>
        <v>4.768885372273779E-2</v>
      </c>
      <c r="CW285" s="539">
        <f>+CW277/CS277-1</f>
        <v>5.1136117804035486E-2</v>
      </c>
      <c r="CX285" s="539">
        <f t="shared" si="642"/>
        <v>4.0508927230064495E-2</v>
      </c>
      <c r="CY285" s="539">
        <f t="shared" si="642"/>
        <v>3.6486456721318117E-2</v>
      </c>
      <c r="CZ285" s="539">
        <f t="shared" si="642"/>
        <v>3.7355089577823186E-2</v>
      </c>
      <c r="DA285" s="539">
        <f t="shared" si="642"/>
        <v>3.7608684210493459E-2</v>
      </c>
      <c r="DB285" s="539">
        <f t="shared" si="642"/>
        <v>4.105817855656313E-2</v>
      </c>
      <c r="DC285" s="539">
        <f t="shared" si="642"/>
        <v>5.8359381724814252E-2</v>
      </c>
      <c r="DD285" s="539">
        <f t="shared" si="642"/>
        <v>4.2051685920263537E-2</v>
      </c>
      <c r="DE285" s="539">
        <f t="shared" si="642"/>
        <v>7.9460807519679655E-2</v>
      </c>
      <c r="DF285" s="552">
        <v>3.5000000000000003E-2</v>
      </c>
      <c r="DG285" s="552">
        <v>3.5000000000000003E-2</v>
      </c>
      <c r="DH285" s="552">
        <v>3.5000000000000003E-2</v>
      </c>
      <c r="DI285" s="539">
        <f>+DI277/DE277-1</f>
        <v>3.3524965343832092E-2</v>
      </c>
    </row>
    <row r="286" spans="1:113">
      <c r="A286" s="945" t="s">
        <v>248</v>
      </c>
      <c r="B286" s="784"/>
      <c r="C286" s="785">
        <f t="shared" ref="C286:T286" si="649">C278/B278-1</f>
        <v>-0.35422918840843176</v>
      </c>
      <c r="D286" s="785">
        <f t="shared" si="649"/>
        <v>1.8741278567403707E-2</v>
      </c>
      <c r="E286" s="785">
        <f t="shared" si="649"/>
        <v>7.4740691313654573E-2</v>
      </c>
      <c r="F286" s="785">
        <f t="shared" si="649"/>
        <v>4.2289149306972806E-2</v>
      </c>
      <c r="G286" s="785">
        <f t="shared" si="649"/>
        <v>-6.0322179694364264E-3</v>
      </c>
      <c r="H286" s="785">
        <f t="shared" si="649"/>
        <v>3.9721797608494924E-2</v>
      </c>
      <c r="I286" s="785">
        <f t="shared" si="649"/>
        <v>4.0672345911022312E-2</v>
      </c>
      <c r="J286" s="785">
        <f t="shared" si="649"/>
        <v>-2.8404119931693894E-2</v>
      </c>
      <c r="K286" s="785">
        <f t="shared" si="649"/>
        <v>1.5359362058069426E-2</v>
      </c>
      <c r="L286" s="785">
        <f t="shared" si="649"/>
        <v>2.276412939923822E-2</v>
      </c>
      <c r="M286" s="785">
        <f t="shared" si="649"/>
        <v>1.6028440679455747E-2</v>
      </c>
      <c r="N286" s="785">
        <f t="shared" si="649"/>
        <v>-4.5993815841155361E-2</v>
      </c>
      <c r="O286" s="785">
        <f t="shared" si="649"/>
        <v>-2.8193661145337057E-2</v>
      </c>
      <c r="P286" s="785">
        <f t="shared" si="649"/>
        <v>1.4874142733813933E-2</v>
      </c>
      <c r="Q286" s="785">
        <f t="shared" si="649"/>
        <v>2.7620513395695712E-2</v>
      </c>
      <c r="R286" s="785">
        <f t="shared" si="649"/>
        <v>4.9871544690411662E-2</v>
      </c>
      <c r="S286" s="785">
        <f t="shared" si="649"/>
        <v>-4.0595373284780689E-2</v>
      </c>
      <c r="T286" s="785">
        <f t="shared" si="649"/>
        <v>-6.2550183340573384E-2</v>
      </c>
      <c r="U286" s="887">
        <v>7.4999999999999997E-2</v>
      </c>
      <c r="V286" s="887">
        <v>-4.4999999999999998E-2</v>
      </c>
      <c r="W286" s="887">
        <v>-0.06</v>
      </c>
      <c r="X286" s="887">
        <v>-0.05</v>
      </c>
      <c r="Y286" s="887">
        <v>-0.05</v>
      </c>
      <c r="Z286" s="887">
        <v>-0.05</v>
      </c>
      <c r="AA286" s="887">
        <v>-0.05</v>
      </c>
      <c r="AB286" s="887">
        <v>-0.05</v>
      </c>
      <c r="AD286" s="538"/>
      <c r="AE286" s="538"/>
      <c r="AF286" s="538"/>
      <c r="AG286" s="538"/>
      <c r="AH286" s="538"/>
      <c r="AI286" s="538"/>
      <c r="AJ286" s="538"/>
      <c r="AK286" s="538"/>
      <c r="AL286" s="538"/>
      <c r="AM286" s="538"/>
      <c r="AN286" s="538"/>
      <c r="AO286" s="538"/>
      <c r="AP286" s="538"/>
      <c r="AQ286" s="538"/>
      <c r="AR286" s="538"/>
      <c r="AS286" s="538"/>
      <c r="AT286" s="538"/>
      <c r="AU286" s="538"/>
      <c r="AV286" s="538"/>
      <c r="AW286" s="538"/>
      <c r="AX286" s="538"/>
      <c r="AY286" s="538"/>
      <c r="AZ286" s="538"/>
      <c r="BA286" s="538"/>
      <c r="BB286" s="538"/>
      <c r="BC286" s="538"/>
      <c r="BD286" s="538"/>
      <c r="BE286" s="538"/>
      <c r="BF286" s="539"/>
      <c r="BG286" s="539"/>
      <c r="BH286" s="539"/>
      <c r="BI286" s="539"/>
      <c r="BJ286" s="539">
        <f t="shared" ref="BJ286:BS288" si="650">BJ278/BF278-1</f>
        <v>3.4304161782308551E-2</v>
      </c>
      <c r="BK286" s="539">
        <f t="shared" si="650"/>
        <v>6.1283993678129978E-2</v>
      </c>
      <c r="BL286" s="539">
        <f t="shared" si="650"/>
        <v>3.7848054582334312E-2</v>
      </c>
      <c r="BM286" s="539">
        <f t="shared" si="650"/>
        <v>5.0293673858165411E-2</v>
      </c>
      <c r="BN286" s="539">
        <f t="shared" si="650"/>
        <v>-3.7147392690209613E-2</v>
      </c>
      <c r="BO286" s="539">
        <f t="shared" si="650"/>
        <v>-4.2707639351543647E-2</v>
      </c>
      <c r="BP286" s="539">
        <f t="shared" si="650"/>
        <v>-4.9284004155937922E-2</v>
      </c>
      <c r="BQ286" s="539">
        <f t="shared" si="650"/>
        <v>3.5547402757353908E-2</v>
      </c>
      <c r="BR286" s="539">
        <f t="shared" si="650"/>
        <v>2.6809746172811177E-2</v>
      </c>
      <c r="BS286" s="539">
        <f t="shared" si="650"/>
        <v>3.692483970460092E-2</v>
      </c>
      <c r="BT286" s="539">
        <f t="shared" ref="BT286:CC288" si="651">BT278/BP278-1</f>
        <v>3.5694650830601304E-2</v>
      </c>
      <c r="BU286" s="539">
        <f t="shared" si="651"/>
        <v>-3.5957182873148863E-2</v>
      </c>
      <c r="BV286" s="539">
        <f t="shared" si="651"/>
        <v>-3.6182928413667215E-2</v>
      </c>
      <c r="BW286" s="539">
        <f t="shared" si="651"/>
        <v>6.0919681906858925E-2</v>
      </c>
      <c r="BX286" s="539">
        <f t="shared" si="651"/>
        <v>1.6797840137445563E-2</v>
      </c>
      <c r="BY286" s="539">
        <f t="shared" si="651"/>
        <v>4.2299439174036335E-2</v>
      </c>
      <c r="BZ286" s="539">
        <f t="shared" si="651"/>
        <v>4.9694856146468958E-2</v>
      </c>
      <c r="CA286" s="539">
        <f t="shared" si="651"/>
        <v>-4.5048752766644662E-2</v>
      </c>
      <c r="CB286" s="539">
        <f t="shared" si="651"/>
        <v>1.8667677437695929E-2</v>
      </c>
      <c r="CC286" s="539">
        <f t="shared" si="651"/>
        <v>5.0987985935733393E-2</v>
      </c>
      <c r="CD286" s="539">
        <f t="shared" ref="CD286:CK288" si="652">CD278/BZ278-1</f>
        <v>-8.8494783771332353E-3</v>
      </c>
      <c r="CE286" s="539">
        <f t="shared" si="652"/>
        <v>-2.3483194527413875E-2</v>
      </c>
      <c r="CF286" s="539">
        <f t="shared" si="652"/>
        <v>-4.3109035090809655E-2</v>
      </c>
      <c r="CG286" s="539">
        <f t="shared" si="652"/>
        <v>-0.10257211024551249</v>
      </c>
      <c r="CH286" s="539">
        <f t="shared" si="652"/>
        <v>-6.246151820467194E-2</v>
      </c>
      <c r="CI286" s="539">
        <f t="shared" si="652"/>
        <v>-4.0418267181605683E-2</v>
      </c>
      <c r="CJ286" s="539">
        <f t="shared" si="652"/>
        <v>-3.3328789841089779E-2</v>
      </c>
      <c r="CK286" s="539">
        <f t="shared" si="652"/>
        <v>1.9447833493698718E-2</v>
      </c>
      <c r="CL286" s="539">
        <f t="shared" ref="CL286:DE288" si="653">+CL270/CH270-1</f>
        <v>2.5332927504484681E-2</v>
      </c>
      <c r="CM286" s="539">
        <f t="shared" si="653"/>
        <v>6.4164590254376375E-3</v>
      </c>
      <c r="CN286" s="539">
        <f t="shared" si="653"/>
        <v>5.9055536031697997E-2</v>
      </c>
      <c r="CO286" s="539">
        <f t="shared" si="653"/>
        <v>-2.9085186824297615E-2</v>
      </c>
      <c r="CP286" s="539">
        <f t="shared" si="653"/>
        <v>-1.7112676807010341E-2</v>
      </c>
      <c r="CQ286" s="539">
        <f t="shared" si="653"/>
        <v>3.5101659889845482E-2</v>
      </c>
      <c r="CR286" s="539">
        <f t="shared" si="653"/>
        <v>-1.6837882789580094E-2</v>
      </c>
      <c r="CS286" s="539">
        <f t="shared" si="653"/>
        <v>0.10496335535774026</v>
      </c>
      <c r="CT286" s="539">
        <f t="shared" si="653"/>
        <v>7.3222221022616107E-2</v>
      </c>
      <c r="CU286" s="539">
        <f t="shared" si="653"/>
        <v>2.7552256104031114E-2</v>
      </c>
      <c r="CV286" s="539">
        <f t="shared" si="653"/>
        <v>6.8191028865333347E-2</v>
      </c>
      <c r="CW286" s="539">
        <f t="shared" si="653"/>
        <v>3.9387161180286512E-2</v>
      </c>
      <c r="CX286" s="539">
        <f t="shared" si="653"/>
        <v>-8.6039363463647156E-2</v>
      </c>
      <c r="CY286" s="539">
        <f t="shared" si="653"/>
        <v>-8.1561056742308291E-2</v>
      </c>
      <c r="CZ286" s="539">
        <f t="shared" si="653"/>
        <v>4.4814764545721975E-3</v>
      </c>
      <c r="DA286" s="539">
        <f t="shared" si="653"/>
        <v>-7.5226588403675132E-3</v>
      </c>
      <c r="DB286" s="539">
        <f t="shared" si="653"/>
        <v>-6.0036902278328697E-3</v>
      </c>
      <c r="DC286" s="539">
        <f t="shared" si="653"/>
        <v>-1.1633392436083523E-2</v>
      </c>
      <c r="DD286" s="539">
        <f t="shared" si="653"/>
        <v>-0.12278451916216604</v>
      </c>
      <c r="DE286" s="539">
        <f t="shared" si="653"/>
        <v>-8.3018597452298781E-2</v>
      </c>
      <c r="DF286" s="552">
        <v>0.09</v>
      </c>
      <c r="DG286" s="552">
        <v>0.09</v>
      </c>
      <c r="DH286" s="552">
        <v>7.4999999999999997E-2</v>
      </c>
      <c r="DI286" s="539">
        <f>+DI270/DE270-1</f>
        <v>4.3452085489004366E-2</v>
      </c>
    </row>
    <row r="287" spans="1:113">
      <c r="A287" s="943" t="s">
        <v>478</v>
      </c>
      <c r="B287" s="784"/>
      <c r="C287" s="785">
        <f t="shared" ref="C287:T287" si="654">C279/B279-1</f>
        <v>7.8260869565217162E-2</v>
      </c>
      <c r="D287" s="785">
        <f t="shared" si="654"/>
        <v>0.14873600099686946</v>
      </c>
      <c r="E287" s="785">
        <f t="shared" si="654"/>
        <v>-2.1879179788401149E-2</v>
      </c>
      <c r="F287" s="785">
        <f t="shared" si="654"/>
        <v>-0.15650518759715226</v>
      </c>
      <c r="G287" s="785">
        <f t="shared" si="654"/>
        <v>4.8742043632476584E-2</v>
      </c>
      <c r="H287" s="785">
        <f t="shared" si="654"/>
        <v>8.2981931583610669E-2</v>
      </c>
      <c r="I287" s="785">
        <f t="shared" si="654"/>
        <v>1.6760904684975708E-2</v>
      </c>
      <c r="J287" s="785">
        <f t="shared" si="654"/>
        <v>0.14734437464306116</v>
      </c>
      <c r="K287" s="785">
        <f t="shared" si="654"/>
        <v>3.8197510939787849E-2</v>
      </c>
      <c r="L287" s="785">
        <f t="shared" si="654"/>
        <v>4.1655273216270938E-2</v>
      </c>
      <c r="M287" s="785">
        <f t="shared" si="654"/>
        <v>4.7039934967687991E-2</v>
      </c>
      <c r="N287" s="785">
        <f t="shared" si="654"/>
        <v>4.6772933655714111E-2</v>
      </c>
      <c r="O287" s="785">
        <f t="shared" si="654"/>
        <v>2.8425036210681487E-2</v>
      </c>
      <c r="P287" s="785">
        <f t="shared" si="654"/>
        <v>2.9159743005289451E-2</v>
      </c>
      <c r="Q287" s="785">
        <f t="shared" si="654"/>
        <v>5.7618235854728361E-3</v>
      </c>
      <c r="R287" s="785">
        <f t="shared" si="654"/>
        <v>-2.3159078279360812E-2</v>
      </c>
      <c r="S287" s="785">
        <f t="shared" si="654"/>
        <v>3.6564369721109768E-2</v>
      </c>
      <c r="T287" s="785">
        <f t="shared" si="654"/>
        <v>1.823778753128158E-2</v>
      </c>
      <c r="U287" s="121">
        <v>0.03</v>
      </c>
      <c r="V287" s="121">
        <v>0.03</v>
      </c>
      <c r="W287" s="121">
        <v>0.03</v>
      </c>
      <c r="X287" s="121">
        <v>1.4999999999999999E-2</v>
      </c>
      <c r="Y287" s="121">
        <v>1.4999999999999999E-2</v>
      </c>
      <c r="Z287" s="121">
        <v>1.4999999999999999E-2</v>
      </c>
      <c r="AA287" s="121">
        <v>1.4999999999999999E-2</v>
      </c>
      <c r="AB287" s="121">
        <v>1.4999999999999999E-2</v>
      </c>
      <c r="AD287" s="538"/>
      <c r="AE287" s="538"/>
      <c r="AF287" s="538"/>
      <c r="AG287" s="538"/>
      <c r="AH287" s="538"/>
      <c r="AI287" s="538"/>
      <c r="AJ287" s="538"/>
      <c r="AK287" s="538"/>
      <c r="AL287" s="538"/>
      <c r="AM287" s="538"/>
      <c r="AN287" s="538"/>
      <c r="AO287" s="538"/>
      <c r="AP287" s="538"/>
      <c r="AQ287" s="538"/>
      <c r="AR287" s="538"/>
      <c r="AS287" s="538"/>
      <c r="AT287" s="538"/>
      <c r="AU287" s="538"/>
      <c r="AV287" s="538"/>
      <c r="AW287" s="538"/>
      <c r="AX287" s="538"/>
      <c r="AY287" s="538"/>
      <c r="AZ287" s="538"/>
      <c r="BA287" s="538"/>
      <c r="BB287" s="538"/>
      <c r="BC287" s="538"/>
      <c r="BD287" s="538"/>
      <c r="BE287" s="538"/>
      <c r="BF287" s="539"/>
      <c r="BG287" s="539"/>
      <c r="BH287" s="539"/>
      <c r="BI287" s="539"/>
      <c r="BJ287" s="539">
        <f t="shared" si="650"/>
        <v>2.1372200958196697E-2</v>
      </c>
      <c r="BK287" s="539">
        <f t="shared" si="650"/>
        <v>2.618107947498971E-2</v>
      </c>
      <c r="BL287" s="539">
        <f t="shared" si="650"/>
        <v>2.2747931857567627E-2</v>
      </c>
      <c r="BM287" s="539">
        <f t="shared" si="650"/>
        <v>-2.423708119492185E-2</v>
      </c>
      <c r="BN287" s="539">
        <f t="shared" si="650"/>
        <v>0.13615529567095774</v>
      </c>
      <c r="BO287" s="539">
        <f t="shared" si="650"/>
        <v>0.13947980890939538</v>
      </c>
      <c r="BP287" s="539">
        <f t="shared" si="650"/>
        <v>0.13133244245894349</v>
      </c>
      <c r="BQ287" s="539">
        <f t="shared" si="650"/>
        <v>0.16328824433915856</v>
      </c>
      <c r="BR287" s="539">
        <f t="shared" si="650"/>
        <v>4.7131375383198115E-2</v>
      </c>
      <c r="BS287" s="539">
        <f t="shared" si="650"/>
        <v>4.587155963302747E-2</v>
      </c>
      <c r="BT287" s="539">
        <f t="shared" si="651"/>
        <v>6.3132694938440537E-2</v>
      </c>
      <c r="BU287" s="539">
        <f t="shared" si="651"/>
        <v>-5.6182579414745248E-3</v>
      </c>
      <c r="BV287" s="539">
        <f t="shared" si="651"/>
        <v>3.0193171849544509E-2</v>
      </c>
      <c r="BW287" s="539">
        <f t="shared" si="651"/>
        <v>2.469997257487222E-2</v>
      </c>
      <c r="BX287" s="539">
        <f t="shared" si="651"/>
        <v>1.8181818181818299E-2</v>
      </c>
      <c r="BY287" s="539">
        <f t="shared" si="651"/>
        <v>9.945313686111934E-2</v>
      </c>
      <c r="BZ287" s="539">
        <f t="shared" si="651"/>
        <v>6.2401013620525747E-2</v>
      </c>
      <c r="CA287" s="539">
        <f t="shared" si="651"/>
        <v>3.8392586147589336E-2</v>
      </c>
      <c r="CB287" s="539">
        <f t="shared" si="651"/>
        <v>4.6545667447306815E-2</v>
      </c>
      <c r="CC287" s="539">
        <f t="shared" si="651"/>
        <v>4.081425408494721E-2</v>
      </c>
      <c r="CD287" s="539">
        <f t="shared" si="652"/>
        <v>4.6203929103731722E-2</v>
      </c>
      <c r="CE287" s="539">
        <f t="shared" si="652"/>
        <v>6.016679599163699E-2</v>
      </c>
      <c r="CF287" s="539">
        <f t="shared" si="652"/>
        <v>4.6600629914686609E-2</v>
      </c>
      <c r="CG287" s="539">
        <f t="shared" si="652"/>
        <v>3.4546067941440883E-2</v>
      </c>
      <c r="CH287" s="539">
        <f t="shared" si="652"/>
        <v>2.3503986926721732E-2</v>
      </c>
      <c r="CI287" s="539">
        <f t="shared" si="652"/>
        <v>2.6932670701182992E-2</v>
      </c>
      <c r="CJ287" s="539">
        <f t="shared" si="652"/>
        <v>3.440956757139646E-2</v>
      </c>
      <c r="CK287" s="539">
        <f t="shared" si="652"/>
        <v>2.8766145360943352E-2</v>
      </c>
      <c r="CL287" s="539">
        <f t="shared" si="653"/>
        <v>3.661544388297111E-2</v>
      </c>
      <c r="CM287" s="539">
        <f t="shared" si="653"/>
        <v>2.8185681617370895E-2</v>
      </c>
      <c r="CN287" s="539">
        <f t="shared" si="653"/>
        <v>2.9412860622600512E-2</v>
      </c>
      <c r="CO287" s="539">
        <f t="shared" si="653"/>
        <v>2.2755288037695554E-2</v>
      </c>
      <c r="CP287" s="539">
        <f t="shared" si="653"/>
        <v>4.9448748380240826E-3</v>
      </c>
      <c r="CQ287" s="539">
        <f t="shared" si="653"/>
        <v>3.0761774314907564E-2</v>
      </c>
      <c r="CR287" s="539">
        <f t="shared" si="653"/>
        <v>2.9474372882984268E-2</v>
      </c>
      <c r="CS287" s="539">
        <f t="shared" si="653"/>
        <v>-4.4358059911844716E-2</v>
      </c>
      <c r="CT287" s="539">
        <f t="shared" si="653"/>
        <v>-3.3563400536524401E-2</v>
      </c>
      <c r="CU287" s="539">
        <f t="shared" si="653"/>
        <v>-3.8954164865636631E-2</v>
      </c>
      <c r="CV287" s="539">
        <f t="shared" si="653"/>
        <v>-4.981440853582908E-2</v>
      </c>
      <c r="CW287" s="539">
        <f t="shared" si="653"/>
        <v>3.5049653830579564E-2</v>
      </c>
      <c r="CX287" s="539">
        <f t="shared" si="653"/>
        <v>7.259869432076993E-2</v>
      </c>
      <c r="CY287" s="539">
        <f t="shared" si="653"/>
        <v>2.9388476196757329E-2</v>
      </c>
      <c r="CZ287" s="539">
        <f t="shared" si="653"/>
        <v>3.9045754793530785E-2</v>
      </c>
      <c r="DA287" s="539">
        <f t="shared" si="653"/>
        <v>5.5318277095710577E-3</v>
      </c>
      <c r="DB287" s="539">
        <f t="shared" si="653"/>
        <v>-2.5227520543703141E-2</v>
      </c>
      <c r="DC287" s="539">
        <f t="shared" si="653"/>
        <v>3.6094717564260081E-2</v>
      </c>
      <c r="DD287" s="539">
        <f t="shared" si="653"/>
        <v>-8.880540078305188E-3</v>
      </c>
      <c r="DE287" s="539">
        <f t="shared" si="653"/>
        <v>7.7764059590927914E-2</v>
      </c>
      <c r="DF287" s="888">
        <f>+$U$287</f>
        <v>0.03</v>
      </c>
      <c r="DG287" s="888">
        <f t="shared" ref="DG287:DH287" si="655">+$U$287</f>
        <v>0.03</v>
      </c>
      <c r="DH287" s="888">
        <f t="shared" si="655"/>
        <v>0.03</v>
      </c>
      <c r="DI287" s="539">
        <f>+DI271/DE271-1</f>
        <v>2.9117175774205029E-2</v>
      </c>
    </row>
    <row r="288" spans="1:113">
      <c r="A288" s="945" t="s">
        <v>249</v>
      </c>
      <c r="B288" s="784"/>
      <c r="C288" s="785">
        <f t="shared" ref="C288:T288" si="656">C280/B280-1</f>
        <v>4.1319986926823926E-2</v>
      </c>
      <c r="D288" s="785">
        <f t="shared" si="656"/>
        <v>0.1023539127334756</v>
      </c>
      <c r="E288" s="785">
        <f t="shared" si="656"/>
        <v>-5.4683323457527022E-2</v>
      </c>
      <c r="F288" s="785">
        <f t="shared" si="656"/>
        <v>-0.15709621276473085</v>
      </c>
      <c r="G288" s="785">
        <f t="shared" si="656"/>
        <v>6.9341553441593096E-2</v>
      </c>
      <c r="H288" s="785">
        <f t="shared" si="656"/>
        <v>4.7497307315899739E-2</v>
      </c>
      <c r="I288" s="785">
        <f t="shared" si="656"/>
        <v>5.8423120759117708E-2</v>
      </c>
      <c r="J288" s="785">
        <f t="shared" si="656"/>
        <v>6.1954761407891468E-2</v>
      </c>
      <c r="K288" s="785">
        <f t="shared" si="656"/>
        <v>6.3881691859155154E-2</v>
      </c>
      <c r="L288" s="785">
        <f t="shared" si="656"/>
        <v>0.2019171452001074</v>
      </c>
      <c r="M288" s="785">
        <f t="shared" si="656"/>
        <v>0.10404956634531404</v>
      </c>
      <c r="N288" s="785">
        <f t="shared" si="656"/>
        <v>9.8339426843415234E-2</v>
      </c>
      <c r="O288" s="785">
        <f t="shared" si="656"/>
        <v>3.5309768336135194E-2</v>
      </c>
      <c r="P288" s="785">
        <f t="shared" si="656"/>
        <v>6.7400249561361703E-2</v>
      </c>
      <c r="Q288" s="785">
        <f t="shared" si="656"/>
        <v>9.7821328930244755E-2</v>
      </c>
      <c r="R288" s="785">
        <f t="shared" si="656"/>
        <v>0.10456098307061312</v>
      </c>
      <c r="S288" s="785">
        <f t="shared" si="656"/>
        <v>7.7392635574191404E-2</v>
      </c>
      <c r="T288" s="785">
        <f t="shared" si="656"/>
        <v>0.12889858063672532</v>
      </c>
      <c r="U288" s="785">
        <f t="shared" ref="U288:AB288" si="657">U280/T280-1</f>
        <v>2.3241243731038086E-2</v>
      </c>
      <c r="V288" s="785">
        <f t="shared" si="657"/>
        <v>8.8250141470131327E-2</v>
      </c>
      <c r="W288" s="785">
        <f t="shared" si="657"/>
        <v>8.8609672680862284E-2</v>
      </c>
      <c r="X288" s="785">
        <f t="shared" si="657"/>
        <v>8.2760180260658345E-2</v>
      </c>
      <c r="Y288" s="785">
        <f t="shared" si="657"/>
        <v>7.8601327701472101E-2</v>
      </c>
      <c r="Z288" s="785">
        <f t="shared" si="657"/>
        <v>7.502676135570252E-2</v>
      </c>
      <c r="AA288" s="785">
        <f t="shared" si="657"/>
        <v>7.1931035134056742E-2</v>
      </c>
      <c r="AB288" s="785">
        <f t="shared" si="657"/>
        <v>6.9232148025962115E-2</v>
      </c>
      <c r="AD288" s="538"/>
      <c r="AE288" s="538"/>
      <c r="AF288" s="538"/>
      <c r="AG288" s="538"/>
      <c r="AH288" s="538">
        <f t="shared" ref="AH288:BI288" si="658">AH280/AD280-1</f>
        <v>2.4349738065902349E-2</v>
      </c>
      <c r="AI288" s="538">
        <f t="shared" si="658"/>
        <v>6.3495512048566738E-2</v>
      </c>
      <c r="AJ288" s="538">
        <f t="shared" si="658"/>
        <v>9.8637904066736004E-2</v>
      </c>
      <c r="AK288" s="538">
        <f t="shared" si="658"/>
        <v>5.5051776688185061E-2</v>
      </c>
      <c r="AL288" s="538">
        <f t="shared" si="658"/>
        <v>-5.7035045107565185E-3</v>
      </c>
      <c r="AM288" s="538">
        <f t="shared" si="658"/>
        <v>2.7528135373653839E-2</v>
      </c>
      <c r="AN288" s="538">
        <f t="shared" si="658"/>
        <v>7.4820366324987342E-2</v>
      </c>
      <c r="AO288" s="538">
        <f t="shared" si="658"/>
        <v>6.877683776579091E-2</v>
      </c>
      <c r="AP288" s="538">
        <f t="shared" si="658"/>
        <v>0.10210886054847057</v>
      </c>
      <c r="AQ288" s="538">
        <f t="shared" si="658"/>
        <v>8.5557299843014079E-2</v>
      </c>
      <c r="AR288" s="538">
        <f t="shared" si="658"/>
        <v>0.1138183361075753</v>
      </c>
      <c r="AS288" s="538">
        <f t="shared" si="658"/>
        <v>0.11275106656414313</v>
      </c>
      <c r="AT288" s="538">
        <f t="shared" si="658"/>
        <v>2.6014640990318805E-2</v>
      </c>
      <c r="AU288" s="538">
        <f t="shared" si="658"/>
        <v>0.21937004258748249</v>
      </c>
      <c r="AV288" s="538">
        <f t="shared" si="658"/>
        <v>2.299245993135135E-2</v>
      </c>
      <c r="AW288" s="538">
        <f t="shared" si="658"/>
        <v>-0.42184254807348942</v>
      </c>
      <c r="AX288" s="538">
        <f t="shared" si="658"/>
        <v>-0.3983472868217055</v>
      </c>
      <c r="AY288" s="538">
        <f t="shared" si="658"/>
        <v>-0.28575188461036027</v>
      </c>
      <c r="AZ288" s="538">
        <f t="shared" si="658"/>
        <v>-0.28622749231444888</v>
      </c>
      <c r="BA288" s="538">
        <f t="shared" si="658"/>
        <v>0.13743320000098858</v>
      </c>
      <c r="BB288" s="538">
        <f t="shared" si="658"/>
        <v>0.58284188341536325</v>
      </c>
      <c r="BC288" s="538">
        <f t="shared" si="658"/>
        <v>0.12099175417288066</v>
      </c>
      <c r="BD288" s="538">
        <f t="shared" si="658"/>
        <v>8.7428495912703852E-2</v>
      </c>
      <c r="BE288" s="538">
        <f t="shared" si="658"/>
        <v>7.5025418254992315E-2</v>
      </c>
      <c r="BF288" s="539">
        <f t="shared" si="658"/>
        <v>6.6547105280707397E-2</v>
      </c>
      <c r="BG288" s="539">
        <f t="shared" si="658"/>
        <v>1.8876380621665856E-2</v>
      </c>
      <c r="BH288" s="539">
        <f t="shared" si="658"/>
        <v>7.2247955810716746E-2</v>
      </c>
      <c r="BI288" s="539">
        <f t="shared" si="658"/>
        <v>3.4208120899433592E-2</v>
      </c>
      <c r="BJ288" s="539">
        <f t="shared" si="650"/>
        <v>6.1706606325588664E-2</v>
      </c>
      <c r="BK288" s="539">
        <f t="shared" si="650"/>
        <v>7.5917240361259575E-2</v>
      </c>
      <c r="BL288" s="539">
        <f t="shared" si="650"/>
        <v>4.3268736065854796E-2</v>
      </c>
      <c r="BM288" s="539">
        <f t="shared" si="650"/>
        <v>5.4589303910817844E-2</v>
      </c>
      <c r="BN288" s="539">
        <f t="shared" si="650"/>
        <v>7.9881526210780818E-2</v>
      </c>
      <c r="BO288" s="539">
        <f t="shared" si="650"/>
        <v>5.1795514921045838E-2</v>
      </c>
      <c r="BP288" s="539">
        <f t="shared" si="650"/>
        <v>4.8016450173027803E-2</v>
      </c>
      <c r="BQ288" s="539">
        <f t="shared" si="650"/>
        <v>6.9409607318255073E-2</v>
      </c>
      <c r="BR288" s="539">
        <f t="shared" si="650"/>
        <v>-4.4874539315428064E-2</v>
      </c>
      <c r="BS288" s="539">
        <f t="shared" si="650"/>
        <v>8.5427972629738003E-2</v>
      </c>
      <c r="BT288" s="539">
        <f t="shared" si="651"/>
        <v>0.11510773117684958</v>
      </c>
      <c r="BU288" s="539">
        <f t="shared" si="651"/>
        <v>9.220063025210079E-2</v>
      </c>
      <c r="BV288" s="539">
        <f t="shared" si="651"/>
        <v>0.29035952702997503</v>
      </c>
      <c r="BW288" s="539">
        <f t="shared" si="651"/>
        <v>0.15294632983383361</v>
      </c>
      <c r="BX288" s="539">
        <f t="shared" si="651"/>
        <v>0.22213523809523794</v>
      </c>
      <c r="BY288" s="539">
        <f t="shared" si="651"/>
        <v>0.15822204947388907</v>
      </c>
      <c r="BZ288" s="539">
        <f t="shared" si="651"/>
        <v>7.6335801978229423E-2</v>
      </c>
      <c r="CA288" s="539">
        <f t="shared" si="651"/>
        <v>0.12894195984339119</v>
      </c>
      <c r="CB288" s="539">
        <f t="shared" si="651"/>
        <v>0.1163659098991614</v>
      </c>
      <c r="CC288" s="539">
        <f t="shared" si="651"/>
        <v>8.6753306868499358E-2</v>
      </c>
      <c r="CD288" s="539">
        <f t="shared" si="652"/>
        <v>0.14369577511880349</v>
      </c>
      <c r="CE288" s="539">
        <f t="shared" si="652"/>
        <v>6.0922893618247986E-2</v>
      </c>
      <c r="CF288" s="539">
        <f t="shared" si="652"/>
        <v>7.2980494945813046E-2</v>
      </c>
      <c r="CG288" s="539">
        <f t="shared" si="652"/>
        <v>0.13504774358569049</v>
      </c>
      <c r="CH288" s="539">
        <f t="shared" si="652"/>
        <v>5.1116576652838752E-2</v>
      </c>
      <c r="CI288" s="539">
        <f t="shared" si="652"/>
        <v>2.2408734369459005E-2</v>
      </c>
      <c r="CJ288" s="539">
        <f t="shared" si="652"/>
        <v>2.446582576708356E-2</v>
      </c>
      <c r="CK288" s="539">
        <f t="shared" si="652"/>
        <v>4.557615502549961E-2</v>
      </c>
      <c r="CL288" s="539">
        <f t="shared" si="653"/>
        <v>7.2531196079098192E-2</v>
      </c>
      <c r="CM288" s="539">
        <f t="shared" si="653"/>
        <v>8.8221436566042089E-2</v>
      </c>
      <c r="CN288" s="539">
        <f t="shared" si="653"/>
        <v>1.518106876342018E-2</v>
      </c>
      <c r="CO288" s="539">
        <f t="shared" si="653"/>
        <v>9.6370057026738731E-2</v>
      </c>
      <c r="CP288" s="539">
        <f t="shared" si="653"/>
        <v>8.9812454313968892E-2</v>
      </c>
      <c r="CQ288" s="539">
        <f t="shared" si="653"/>
        <v>8.471515655072781E-2</v>
      </c>
      <c r="CR288" s="539">
        <f t="shared" si="653"/>
        <v>0.11999030336681593</v>
      </c>
      <c r="CS288" s="539">
        <f t="shared" si="653"/>
        <v>9.5700874854290685E-2</v>
      </c>
      <c r="CT288" s="539">
        <f t="shared" si="653"/>
        <v>0.10764726255944668</v>
      </c>
      <c r="CU288" s="539">
        <f t="shared" si="653"/>
        <v>0.12783242133545403</v>
      </c>
      <c r="CV288" s="539">
        <f t="shared" si="653"/>
        <v>0.11120135263043984</v>
      </c>
      <c r="CW288" s="539">
        <f t="shared" si="653"/>
        <v>6.9347508000578983E-2</v>
      </c>
      <c r="CX288" s="539">
        <f t="shared" si="653"/>
        <v>7.9138904577991553E-2</v>
      </c>
      <c r="CY288" s="539">
        <f t="shared" si="653"/>
        <v>9.5009797285435793E-2</v>
      </c>
      <c r="CZ288" s="539">
        <f t="shared" si="653"/>
        <v>5.2399204369143249E-2</v>
      </c>
      <c r="DA288" s="539">
        <f t="shared" si="653"/>
        <v>8.5015318721097355E-2</v>
      </c>
      <c r="DB288" s="539">
        <f t="shared" si="653"/>
        <v>0.10377028004652367</v>
      </c>
      <c r="DC288" s="539">
        <f t="shared" si="653"/>
        <v>9.8760939348979004E-2</v>
      </c>
      <c r="DD288" s="539">
        <f t="shared" si="653"/>
        <v>0.15192934803581104</v>
      </c>
      <c r="DE288" s="539">
        <f t="shared" si="653"/>
        <v>0.16410031936497038</v>
      </c>
      <c r="DF288" s="539">
        <f>+DF272/DB272-1</f>
        <v>1.8038726285685147E-2</v>
      </c>
      <c r="DG288" s="539">
        <f>+DG272/DC272-1</f>
        <v>1.8925319599117252E-2</v>
      </c>
      <c r="DH288" s="539">
        <f>+DH272/DD272-1</f>
        <v>2.3480525362318483E-2</v>
      </c>
      <c r="DI288" s="539">
        <f>+DI272/DE272-1</f>
        <v>3.2101127392334616E-2</v>
      </c>
    </row>
    <row r="289" spans="1:119">
      <c r="A289" s="301"/>
      <c r="T289" s="1052"/>
      <c r="U289" s="1052"/>
      <c r="V289" s="1052"/>
      <c r="W289" s="1052"/>
      <c r="X289" s="1052">
        <f t="shared" ref="X289:Y289" si="659">X222</f>
        <v>4.9483093784342014E-2</v>
      </c>
      <c r="Y289" s="1052">
        <f t="shared" si="659"/>
        <v>4.5582594466708315E-2</v>
      </c>
      <c r="AD289" s="531"/>
      <c r="AE289" s="531"/>
      <c r="AF289" s="531"/>
      <c r="AG289" s="531"/>
      <c r="AH289" s="531"/>
      <c r="AI289" s="531"/>
      <c r="AJ289" s="531"/>
      <c r="AK289" s="531"/>
      <c r="AL289" s="531"/>
      <c r="AM289" s="531"/>
      <c r="AN289" s="531"/>
      <c r="AO289" s="531"/>
      <c r="AP289" s="531"/>
      <c r="AQ289" s="531"/>
      <c r="AR289" s="531"/>
      <c r="AS289" s="531"/>
      <c r="AT289" s="531"/>
      <c r="AU289" s="531"/>
      <c r="AV289" s="531"/>
      <c r="AW289" s="531"/>
      <c r="AX289" s="531"/>
      <c r="AY289" s="531"/>
      <c r="AZ289" s="531"/>
      <c r="BA289" s="531"/>
      <c r="BB289" s="531"/>
      <c r="BC289" s="531"/>
      <c r="BD289" s="531"/>
      <c r="BE289" s="531"/>
      <c r="BF289" s="509"/>
      <c r="BG289" s="509"/>
      <c r="BH289" s="509"/>
      <c r="BI289" s="509"/>
      <c r="BJ289" s="509"/>
      <c r="BK289" s="509"/>
      <c r="BL289" s="509"/>
      <c r="BM289" s="509"/>
      <c r="BN289" s="509"/>
      <c r="BO289" s="509"/>
      <c r="BP289" s="509"/>
      <c r="BQ289" s="509"/>
      <c r="BR289" s="509"/>
      <c r="BS289" s="509"/>
      <c r="BT289" s="509"/>
      <c r="BU289" s="509"/>
      <c r="BV289" s="509"/>
      <c r="BW289" s="509"/>
      <c r="BX289" s="509"/>
      <c r="BY289" s="509"/>
      <c r="BZ289" s="509"/>
      <c r="CA289" s="509"/>
      <c r="CB289" s="509"/>
      <c r="CC289" s="509"/>
      <c r="CD289" s="509"/>
      <c r="CE289" s="509"/>
      <c r="CF289" s="509"/>
      <c r="CG289" s="509"/>
      <c r="CH289" s="404"/>
      <c r="CI289" s="404"/>
      <c r="CJ289" s="404"/>
      <c r="CK289" s="404"/>
      <c r="CL289" s="404"/>
      <c r="CM289" s="404"/>
      <c r="CN289" s="404"/>
      <c r="CO289" s="404"/>
      <c r="CP289" s="404"/>
      <c r="CQ289" s="404"/>
      <c r="CR289" s="404"/>
      <c r="CS289" s="404"/>
      <c r="CT289" s="404"/>
      <c r="CU289" s="404"/>
      <c r="CV289" s="404"/>
      <c r="CW289" s="404"/>
      <c r="CX289" s="404"/>
      <c r="CY289" s="404"/>
      <c r="CZ289" s="404"/>
      <c r="DA289" s="404"/>
      <c r="DB289" s="404"/>
      <c r="DC289" s="404"/>
      <c r="DD289" s="404"/>
      <c r="DE289" s="404"/>
      <c r="DF289" s="404"/>
      <c r="DG289" s="404"/>
      <c r="DH289" s="404"/>
      <c r="DI289" s="404"/>
    </row>
    <row r="290" spans="1:119">
      <c r="A290" s="195" t="s">
        <v>483</v>
      </c>
      <c r="B290" s="195"/>
      <c r="C290" s="195"/>
      <c r="D290" s="195"/>
      <c r="E290" s="195"/>
      <c r="F290" s="195"/>
      <c r="G290" s="195"/>
      <c r="H290" s="195"/>
      <c r="I290" s="195"/>
      <c r="J290" s="195"/>
      <c r="K290" s="195"/>
      <c r="L290" s="195"/>
      <c r="M290" s="195"/>
      <c r="N290" s="195"/>
      <c r="O290" s="195"/>
      <c r="P290" s="195"/>
      <c r="Q290" s="195"/>
      <c r="R290" s="195"/>
      <c r="S290" s="195"/>
      <c r="T290" s="195"/>
      <c r="U290" s="195"/>
      <c r="V290" s="195"/>
      <c r="W290" s="195"/>
      <c r="X290" s="195"/>
      <c r="Y290" s="195"/>
      <c r="Z290" s="195"/>
      <c r="AA290" s="195"/>
      <c r="AB290" s="195"/>
      <c r="AD290" s="195"/>
      <c r="AE290" s="195"/>
      <c r="AF290" s="195"/>
      <c r="AG290" s="195"/>
      <c r="AH290" s="195"/>
      <c r="AI290" s="195"/>
      <c r="AJ290" s="195"/>
      <c r="AK290" s="195"/>
      <c r="AL290" s="195"/>
      <c r="AM290" s="195"/>
      <c r="AN290" s="195"/>
      <c r="AO290" s="195"/>
      <c r="AP290" s="195"/>
      <c r="AQ290" s="195"/>
      <c r="AR290" s="195"/>
      <c r="AS290" s="195"/>
      <c r="AT290" s="195"/>
      <c r="AU290" s="195"/>
      <c r="AV290" s="195"/>
      <c r="AW290" s="195"/>
      <c r="AX290" s="195"/>
      <c r="AY290" s="195"/>
      <c r="AZ290" s="195"/>
      <c r="BA290" s="195"/>
      <c r="BB290" s="195"/>
      <c r="BC290" s="195"/>
      <c r="BD290" s="195"/>
      <c r="BE290" s="195"/>
      <c r="BF290" s="195"/>
      <c r="BG290" s="195"/>
      <c r="BH290" s="195"/>
      <c r="BI290" s="195"/>
      <c r="BJ290" s="195"/>
      <c r="BK290" s="195"/>
      <c r="BL290" s="195"/>
      <c r="BM290" s="195"/>
      <c r="BN290" s="195"/>
      <c r="BO290" s="195"/>
      <c r="BP290" s="195"/>
      <c r="BQ290" s="195"/>
      <c r="BR290" s="195"/>
      <c r="BS290" s="195"/>
      <c r="BT290" s="195"/>
      <c r="BU290" s="195"/>
      <c r="BV290" s="195"/>
      <c r="BW290" s="195"/>
      <c r="BX290" s="195"/>
      <c r="BY290" s="195"/>
      <c r="BZ290" s="195"/>
      <c r="CA290" s="195"/>
      <c r="CB290" s="195"/>
      <c r="CC290" s="195"/>
      <c r="CD290" s="195"/>
      <c r="CE290" s="195"/>
      <c r="CF290" s="195"/>
      <c r="CG290" s="195"/>
      <c r="CH290" s="195"/>
      <c r="CI290" s="195"/>
      <c r="CJ290" s="195"/>
      <c r="CK290" s="195"/>
      <c r="CL290" s="195"/>
      <c r="CM290" s="195"/>
      <c r="CN290" s="195"/>
      <c r="CO290" s="195"/>
      <c r="CP290" s="195"/>
      <c r="CQ290" s="195"/>
      <c r="CR290" s="195"/>
      <c r="CS290" s="195"/>
      <c r="CT290" s="195"/>
      <c r="CU290" s="195"/>
      <c r="CV290" s="195"/>
      <c r="CW290" s="195"/>
      <c r="CX290" s="195"/>
      <c r="CY290" s="195"/>
      <c r="CZ290" s="195"/>
      <c r="DA290" s="195"/>
      <c r="DB290" s="195"/>
      <c r="DC290" s="195"/>
      <c r="DD290" s="195"/>
      <c r="DE290" s="195"/>
      <c r="DF290" s="195"/>
      <c r="DG290" s="195"/>
      <c r="DH290" s="195"/>
      <c r="DI290" s="195"/>
    </row>
    <row r="291" spans="1:119">
      <c r="A291" s="946" t="s">
        <v>97</v>
      </c>
      <c r="B291" s="580">
        <v>153.0445</v>
      </c>
      <c r="C291" s="580">
        <v>158.2646</v>
      </c>
      <c r="D291" s="580">
        <v>157.64440000000002</v>
      </c>
      <c r="E291" s="580">
        <v>148.732</v>
      </c>
      <c r="F291" s="580">
        <v>152.494</v>
      </c>
      <c r="G291" s="580">
        <v>155.82749999999999</v>
      </c>
      <c r="H291" s="580">
        <v>152.68</v>
      </c>
      <c r="I291" s="580">
        <v>147.4</v>
      </c>
      <c r="J291" s="580">
        <v>144.19999999999999</v>
      </c>
      <c r="K291" s="580">
        <v>141.5</v>
      </c>
      <c r="L291" s="580">
        <v>126.5</v>
      </c>
      <c r="M291" s="580">
        <v>121.9</v>
      </c>
      <c r="N291" s="808">
        <v>117.19500000000001</v>
      </c>
      <c r="O291" s="808">
        <v>116.377</v>
      </c>
      <c r="P291" s="808">
        <v>111.42100000000001</v>
      </c>
      <c r="Q291" s="808">
        <v>108.023</v>
      </c>
      <c r="R291" s="808">
        <v>108.113</v>
      </c>
      <c r="S291" s="808">
        <f>+SUM(CX291:DA291)</f>
        <v>105.297</v>
      </c>
      <c r="T291" s="808">
        <f>+SUM(DB291:DE291)</f>
        <v>99.974000000000004</v>
      </c>
      <c r="U291" s="808">
        <f t="shared" ref="U291:AB291" si="660">T291*(1+U305)</f>
        <v>96.474909999999994</v>
      </c>
      <c r="V291" s="808">
        <f t="shared" si="660"/>
        <v>93.098288149999988</v>
      </c>
      <c r="W291" s="808">
        <f t="shared" si="660"/>
        <v>89.839848064749987</v>
      </c>
      <c r="X291" s="808">
        <f t="shared" si="660"/>
        <v>87.144652622807484</v>
      </c>
      <c r="Y291" s="808">
        <f t="shared" si="660"/>
        <v>84.530313044123261</v>
      </c>
      <c r="Z291" s="808">
        <f t="shared" si="660"/>
        <v>81.994403652799562</v>
      </c>
      <c r="AA291" s="808">
        <f t="shared" si="660"/>
        <v>79.534571543215577</v>
      </c>
      <c r="AB291" s="808">
        <f t="shared" si="660"/>
        <v>77.148534396919104</v>
      </c>
      <c r="AD291" s="399"/>
      <c r="AE291" s="399"/>
      <c r="AF291" s="399"/>
      <c r="AG291" s="399"/>
      <c r="AH291" s="399"/>
      <c r="AI291" s="399"/>
      <c r="AJ291" s="399"/>
      <c r="AK291" s="399"/>
      <c r="AL291" s="399"/>
      <c r="AM291" s="399"/>
      <c r="AN291" s="399"/>
      <c r="AO291" s="399"/>
      <c r="AP291" s="399"/>
      <c r="AQ291" s="399"/>
      <c r="AR291" s="399"/>
      <c r="AS291" s="399"/>
      <c r="AT291" s="399"/>
      <c r="AU291" s="399"/>
      <c r="AV291" s="399"/>
      <c r="AW291" s="399"/>
      <c r="AX291" s="399"/>
      <c r="AY291" s="399"/>
      <c r="AZ291" s="399"/>
      <c r="BA291" s="399"/>
      <c r="BB291" s="399"/>
      <c r="BC291" s="399"/>
      <c r="BD291" s="399"/>
      <c r="BE291" s="399"/>
      <c r="BF291" s="399"/>
      <c r="BG291" s="399"/>
      <c r="BH291" s="399"/>
      <c r="BI291" s="399"/>
      <c r="BJ291" s="400">
        <v>35.4</v>
      </c>
      <c r="BK291" s="400">
        <v>37.700000000000003</v>
      </c>
      <c r="BL291" s="400">
        <v>39.1</v>
      </c>
      <c r="BM291" s="400">
        <v>37.299999999999997</v>
      </c>
      <c r="BN291" s="400">
        <v>33.299999999999997</v>
      </c>
      <c r="BO291" s="400">
        <v>37.700000000000003</v>
      </c>
      <c r="BP291" s="400">
        <v>39.1</v>
      </c>
      <c r="BQ291" s="400">
        <v>34.299999999999997</v>
      </c>
      <c r="BR291" s="400">
        <v>33.200000000000003</v>
      </c>
      <c r="BS291" s="400">
        <v>36.700000000000003</v>
      </c>
      <c r="BT291" s="400">
        <v>37.5</v>
      </c>
      <c r="BU291" s="400">
        <v>34.1</v>
      </c>
      <c r="BV291" s="400">
        <v>29.1</v>
      </c>
      <c r="BW291" s="400">
        <v>34.6</v>
      </c>
      <c r="BX291" s="400">
        <v>31.9</v>
      </c>
      <c r="BY291" s="400">
        <v>30.9</v>
      </c>
      <c r="BZ291" s="400">
        <v>29.6</v>
      </c>
      <c r="CA291" s="400">
        <v>31.3</v>
      </c>
      <c r="CB291" s="400">
        <v>31.8</v>
      </c>
      <c r="CC291" s="400">
        <v>29.2</v>
      </c>
      <c r="CD291" s="400">
        <v>27.861000000000001</v>
      </c>
      <c r="CE291" s="400">
        <v>31.634</v>
      </c>
      <c r="CF291" s="400">
        <v>28.7</v>
      </c>
      <c r="CG291" s="400">
        <v>29</v>
      </c>
      <c r="CH291" s="400">
        <v>26.913</v>
      </c>
      <c r="CI291" s="400">
        <v>31.381</v>
      </c>
      <c r="CJ291" s="400">
        <v>28.954000000000001</v>
      </c>
      <c r="CK291" s="400">
        <v>29.129000000000001</v>
      </c>
      <c r="CL291" s="400">
        <v>25.434999999999999</v>
      </c>
      <c r="CM291" s="400">
        <v>29.119</v>
      </c>
      <c r="CN291" s="400">
        <v>29.399000000000001</v>
      </c>
      <c r="CO291" s="553">
        <v>27.468</v>
      </c>
      <c r="CP291" s="553">
        <v>24.815999999999999</v>
      </c>
      <c r="CQ291" s="400">
        <v>27.678999999999998</v>
      </c>
      <c r="CR291" s="400">
        <v>28.581</v>
      </c>
      <c r="CS291" s="444">
        <v>26.946999999999999</v>
      </c>
      <c r="CT291" s="679">
        <v>25.117000000000001</v>
      </c>
      <c r="CU291" s="679">
        <v>28.498000000000001</v>
      </c>
      <c r="CV291" s="679">
        <v>28.391999999999999</v>
      </c>
      <c r="CW291" s="444">
        <v>26.106000000000002</v>
      </c>
      <c r="CX291" s="444">
        <v>25.361000000000001</v>
      </c>
      <c r="CY291" s="444">
        <v>26.933</v>
      </c>
      <c r="CZ291" s="679">
        <v>28.152000000000001</v>
      </c>
      <c r="DA291" s="1006">
        <v>24.850999999999999</v>
      </c>
      <c r="DB291" s="1010">
        <v>24.695</v>
      </c>
      <c r="DC291" s="1010">
        <v>26.157</v>
      </c>
      <c r="DD291" s="1010">
        <v>26.454999999999998</v>
      </c>
      <c r="DE291" s="1010">
        <v>22.667000000000002</v>
      </c>
      <c r="DF291" s="554">
        <f>+DB291*(1+DF305)</f>
        <v>23.460249999999998</v>
      </c>
      <c r="DG291" s="554">
        <f>+DC291*(1+DG305)</f>
        <v>25.045327499999999</v>
      </c>
      <c r="DH291" s="554">
        <f>+DD291*(1+DH305)</f>
        <v>25.595212499999999</v>
      </c>
      <c r="DI291" s="554">
        <f>+U291-SUM(DF291:DH291)</f>
        <v>22.374119999999991</v>
      </c>
    </row>
    <row r="292" spans="1:119" hidden="1" outlineLevel="1">
      <c r="A292" s="946" t="s">
        <v>96</v>
      </c>
      <c r="B292" s="580">
        <v>3.7736999999999998</v>
      </c>
      <c r="C292" s="580">
        <v>4.6177999999999999</v>
      </c>
      <c r="D292" s="580">
        <v>5.2819000000000003</v>
      </c>
      <c r="E292" s="580">
        <v>4.6967999999999996</v>
      </c>
      <c r="F292" s="580">
        <v>6.8221000000000007</v>
      </c>
      <c r="G292" s="580">
        <v>5.5229999999999997</v>
      </c>
      <c r="H292" s="580">
        <v>5.7254999999999994</v>
      </c>
      <c r="I292" s="809">
        <v>5.8355263157894735</v>
      </c>
      <c r="J292" s="809">
        <v>5.7</v>
      </c>
      <c r="K292" s="809">
        <v>5.5</v>
      </c>
      <c r="L292" s="809">
        <v>4</v>
      </c>
      <c r="M292" s="730"/>
      <c r="N292" s="729"/>
      <c r="O292" s="729"/>
      <c r="P292" s="729"/>
      <c r="Q292" s="729"/>
      <c r="R292" s="729"/>
      <c r="S292" s="729"/>
      <c r="T292" s="729"/>
      <c r="U292" s="729"/>
      <c r="V292" s="729"/>
      <c r="W292" s="729"/>
      <c r="X292" s="729"/>
      <c r="Y292" s="729"/>
      <c r="Z292" s="729"/>
      <c r="AA292" s="729"/>
      <c r="AB292" s="729"/>
      <c r="AD292" s="399"/>
      <c r="AE292" s="399"/>
      <c r="AF292" s="399"/>
      <c r="AG292" s="399"/>
      <c r="AH292" s="399"/>
      <c r="AI292" s="399"/>
      <c r="AJ292" s="399"/>
      <c r="AK292" s="399"/>
      <c r="AL292" s="399"/>
      <c r="AM292" s="399"/>
      <c r="AN292" s="399"/>
      <c r="AO292" s="399"/>
      <c r="AP292" s="399"/>
      <c r="AQ292" s="399"/>
      <c r="AR292" s="399"/>
      <c r="AS292" s="399"/>
      <c r="AT292" s="399"/>
      <c r="AU292" s="399"/>
      <c r="AV292" s="399"/>
      <c r="AW292" s="399"/>
      <c r="AX292" s="399"/>
      <c r="AY292" s="399"/>
      <c r="AZ292" s="399"/>
      <c r="BA292" s="399"/>
      <c r="BB292" s="399"/>
      <c r="BC292" s="399"/>
      <c r="BD292" s="399"/>
      <c r="BE292" s="399"/>
      <c r="BF292" s="399"/>
      <c r="BG292" s="399"/>
      <c r="BH292" s="399"/>
      <c r="BI292" s="399"/>
      <c r="BJ292" s="400">
        <v>1.3355263157894737</v>
      </c>
      <c r="BK292" s="400">
        <v>1.5</v>
      </c>
      <c r="BL292" s="400">
        <v>1.5</v>
      </c>
      <c r="BM292" s="400">
        <v>1.5</v>
      </c>
      <c r="BN292" s="400">
        <v>1.3</v>
      </c>
      <c r="BO292" s="400">
        <v>1.5</v>
      </c>
      <c r="BP292" s="400">
        <v>1.5</v>
      </c>
      <c r="BQ292" s="400">
        <v>1.6</v>
      </c>
      <c r="BR292" s="400">
        <v>1.3</v>
      </c>
      <c r="BS292" s="400">
        <v>1.3</v>
      </c>
      <c r="BT292" s="400">
        <v>1.5</v>
      </c>
      <c r="BU292" s="400">
        <v>1.4</v>
      </c>
      <c r="BV292" s="400">
        <v>0.9</v>
      </c>
      <c r="BW292" s="400">
        <v>1.1000000000000001</v>
      </c>
      <c r="BX292" s="400">
        <v>1</v>
      </c>
      <c r="BY292" s="400">
        <v>1</v>
      </c>
      <c r="BZ292" s="555" t="s">
        <v>269</v>
      </c>
      <c r="CA292" s="555" t="s">
        <v>269</v>
      </c>
      <c r="CB292" s="555" t="s">
        <v>269</v>
      </c>
      <c r="CC292" s="556" t="s">
        <v>269</v>
      </c>
      <c r="CD292" s="555" t="s">
        <v>269</v>
      </c>
      <c r="CE292" s="555" t="s">
        <v>269</v>
      </c>
      <c r="CF292" s="555" t="s">
        <v>269</v>
      </c>
      <c r="CG292" s="556" t="s">
        <v>269</v>
      </c>
      <c r="CH292" s="555"/>
      <c r="CI292" s="555"/>
      <c r="CJ292" s="554"/>
      <c r="CK292" s="554"/>
      <c r="CL292" s="399"/>
      <c r="CM292" s="399"/>
      <c r="CN292" s="399"/>
      <c r="CO292" s="557"/>
      <c r="CP292" s="557"/>
      <c r="CQ292" s="399"/>
      <c r="CR292" s="399"/>
      <c r="CS292" s="399"/>
      <c r="CT292" s="557"/>
      <c r="CU292" s="557"/>
      <c r="CV292" s="557"/>
      <c r="CW292" s="399"/>
      <c r="CX292" s="399"/>
      <c r="CY292" s="399"/>
      <c r="CZ292" s="399"/>
      <c r="DA292" s="1007"/>
      <c r="DB292" s="1007"/>
      <c r="DC292" s="1007"/>
      <c r="DD292" s="1007"/>
      <c r="DE292" s="1007"/>
      <c r="DF292" s="399"/>
      <c r="DG292" s="399"/>
      <c r="DH292" s="399"/>
      <c r="DI292" s="399"/>
    </row>
    <row r="293" spans="1:119" hidden="1" outlineLevel="1">
      <c r="A293" s="946" t="s">
        <v>57</v>
      </c>
      <c r="B293" s="580">
        <v>10.0632</v>
      </c>
      <c r="C293" s="580">
        <v>10.9148</v>
      </c>
      <c r="D293" s="580">
        <v>10.157500000000001</v>
      </c>
      <c r="E293" s="580">
        <v>9.7850000000000001</v>
      </c>
      <c r="F293" s="580">
        <v>10.032500000000001</v>
      </c>
      <c r="G293" s="580">
        <v>8.2845000000000013</v>
      </c>
      <c r="H293" s="580">
        <v>8.0157000000000007</v>
      </c>
      <c r="I293" s="809">
        <v>7.102631578947368</v>
      </c>
      <c r="J293" s="809">
        <v>7</v>
      </c>
      <c r="K293" s="809">
        <v>6.3</v>
      </c>
      <c r="L293" s="809">
        <v>5.2</v>
      </c>
      <c r="M293" s="730"/>
      <c r="N293" s="729"/>
      <c r="O293" s="729"/>
      <c r="P293" s="729"/>
      <c r="Q293" s="729"/>
      <c r="R293" s="729"/>
      <c r="S293" s="729"/>
      <c r="T293" s="729"/>
      <c r="U293" s="729"/>
      <c r="V293" s="729"/>
      <c r="W293" s="729"/>
      <c r="X293" s="729"/>
      <c r="Y293" s="729"/>
      <c r="Z293" s="729"/>
      <c r="AA293" s="729"/>
      <c r="AB293" s="729"/>
      <c r="AD293" s="399"/>
      <c r="AE293" s="399"/>
      <c r="AF293" s="399"/>
      <c r="AG293" s="399"/>
      <c r="AH293" s="399"/>
      <c r="AI293" s="399"/>
      <c r="AJ293" s="399"/>
      <c r="AK293" s="399"/>
      <c r="AL293" s="399"/>
      <c r="AM293" s="399"/>
      <c r="AN293" s="399"/>
      <c r="AO293" s="399"/>
      <c r="AP293" s="399"/>
      <c r="AQ293" s="399"/>
      <c r="AR293" s="399"/>
      <c r="AS293" s="399"/>
      <c r="AT293" s="399"/>
      <c r="AU293" s="399"/>
      <c r="AV293" s="399"/>
      <c r="AW293" s="399"/>
      <c r="AX293" s="399"/>
      <c r="AY293" s="399"/>
      <c r="AZ293" s="399"/>
      <c r="BA293" s="399"/>
      <c r="BB293" s="399"/>
      <c r="BC293" s="399"/>
      <c r="BD293" s="399"/>
      <c r="BE293" s="399"/>
      <c r="BF293" s="399"/>
      <c r="BG293" s="399"/>
      <c r="BH293" s="399"/>
      <c r="BI293" s="399"/>
      <c r="BJ293" s="400">
        <v>1.6026315789473684</v>
      </c>
      <c r="BK293" s="400">
        <v>1.8</v>
      </c>
      <c r="BL293" s="400">
        <v>1.9</v>
      </c>
      <c r="BM293" s="400">
        <v>1.8</v>
      </c>
      <c r="BN293" s="400">
        <v>1.7</v>
      </c>
      <c r="BO293" s="400">
        <v>1.8</v>
      </c>
      <c r="BP293" s="400">
        <v>1.9</v>
      </c>
      <c r="BQ293" s="400">
        <v>1.6</v>
      </c>
      <c r="BR293" s="400">
        <v>1.5</v>
      </c>
      <c r="BS293" s="400">
        <v>1.6</v>
      </c>
      <c r="BT293" s="400">
        <v>1.6</v>
      </c>
      <c r="BU293" s="400">
        <v>1.6</v>
      </c>
      <c r="BV293" s="400">
        <v>1.2</v>
      </c>
      <c r="BW293" s="400">
        <v>1.5</v>
      </c>
      <c r="BX293" s="400">
        <v>1.3</v>
      </c>
      <c r="BY293" s="400">
        <v>1.2</v>
      </c>
      <c r="BZ293" s="555" t="s">
        <v>269</v>
      </c>
      <c r="CA293" s="555" t="s">
        <v>269</v>
      </c>
      <c r="CB293" s="555" t="s">
        <v>269</v>
      </c>
      <c r="CC293" s="556" t="s">
        <v>269</v>
      </c>
      <c r="CD293" s="555" t="s">
        <v>269</v>
      </c>
      <c r="CE293" s="555" t="s">
        <v>269</v>
      </c>
      <c r="CF293" s="555" t="s">
        <v>269</v>
      </c>
      <c r="CG293" s="556" t="s">
        <v>269</v>
      </c>
      <c r="CH293" s="555"/>
      <c r="CI293" s="555"/>
      <c r="CJ293" s="554"/>
      <c r="CK293" s="554"/>
      <c r="CL293" s="399"/>
      <c r="CM293" s="399"/>
      <c r="CN293" s="399"/>
      <c r="CO293" s="557"/>
      <c r="CP293" s="557"/>
      <c r="CQ293" s="399"/>
      <c r="CR293" s="399"/>
      <c r="CS293" s="399"/>
      <c r="CT293" s="557"/>
      <c r="CU293" s="557"/>
      <c r="CV293" s="557"/>
      <c r="CW293" s="399"/>
      <c r="CX293" s="399"/>
      <c r="CY293" s="399"/>
      <c r="CZ293" s="399"/>
      <c r="DA293" s="1007"/>
      <c r="DB293" s="1007"/>
      <c r="DC293" s="1007"/>
      <c r="DD293" s="1007"/>
      <c r="DE293" s="1007"/>
      <c r="DF293" s="399"/>
      <c r="DG293" s="399"/>
      <c r="DH293" s="399"/>
      <c r="DI293" s="399"/>
    </row>
    <row r="294" spans="1:119" hidden="1" outlineLevel="1">
      <c r="A294" s="946" t="s">
        <v>169</v>
      </c>
      <c r="B294" s="580">
        <v>20.5457</v>
      </c>
      <c r="C294" s="580">
        <v>21.829599999999999</v>
      </c>
      <c r="D294" s="580">
        <v>20.315000000000001</v>
      </c>
      <c r="E294" s="580">
        <v>17.613</v>
      </c>
      <c r="F294" s="580">
        <v>17.2559</v>
      </c>
      <c r="G294" s="580">
        <v>15.78</v>
      </c>
      <c r="H294" s="580">
        <v>15.268000000000001</v>
      </c>
      <c r="I294" s="809">
        <v>13.7</v>
      </c>
      <c r="J294" s="809">
        <v>13</v>
      </c>
      <c r="K294" s="809">
        <v>12.1</v>
      </c>
      <c r="L294" s="809">
        <v>9.1999999999999993</v>
      </c>
      <c r="M294" s="730"/>
      <c r="N294" s="729"/>
      <c r="O294" s="729"/>
      <c r="P294" s="729"/>
      <c r="Q294" s="729"/>
      <c r="R294" s="729"/>
      <c r="S294" s="729"/>
      <c r="T294" s="729"/>
      <c r="U294" s="729"/>
      <c r="V294" s="729"/>
      <c r="W294" s="729"/>
      <c r="X294" s="729"/>
      <c r="Y294" s="729"/>
      <c r="Z294" s="729"/>
      <c r="AA294" s="729"/>
      <c r="AB294" s="729"/>
      <c r="AD294" s="399"/>
      <c r="AE294" s="399"/>
      <c r="AF294" s="399"/>
      <c r="AG294" s="399"/>
      <c r="AH294" s="399"/>
      <c r="AI294" s="399"/>
      <c r="AJ294" s="399"/>
      <c r="AK294" s="399"/>
      <c r="AL294" s="399"/>
      <c r="AM294" s="399"/>
      <c r="AN294" s="399"/>
      <c r="AO294" s="399"/>
      <c r="AP294" s="399"/>
      <c r="AQ294" s="399"/>
      <c r="AR294" s="399"/>
      <c r="AS294" s="399"/>
      <c r="AT294" s="399"/>
      <c r="AU294" s="399"/>
      <c r="AV294" s="399"/>
      <c r="AW294" s="399"/>
      <c r="AX294" s="399"/>
      <c r="AY294" s="399"/>
      <c r="AZ294" s="399"/>
      <c r="BA294" s="399"/>
      <c r="BB294" s="399"/>
      <c r="BC294" s="399"/>
      <c r="BD294" s="399"/>
      <c r="BE294" s="399"/>
      <c r="BF294" s="399"/>
      <c r="BG294" s="399"/>
      <c r="BH294" s="399"/>
      <c r="BI294" s="399"/>
      <c r="BJ294" s="400">
        <v>3.4</v>
      </c>
      <c r="BK294" s="400">
        <v>3.5</v>
      </c>
      <c r="BL294" s="400">
        <v>3.5</v>
      </c>
      <c r="BM294" s="400">
        <v>3.5</v>
      </c>
      <c r="BN294" s="400">
        <v>3.2</v>
      </c>
      <c r="BO294" s="400">
        <v>3.5</v>
      </c>
      <c r="BP294" s="400">
        <v>3.5</v>
      </c>
      <c r="BQ294" s="400">
        <v>3.1</v>
      </c>
      <c r="BR294" s="400">
        <v>3.1</v>
      </c>
      <c r="BS294" s="400">
        <v>3</v>
      </c>
      <c r="BT294" s="400">
        <v>3.2</v>
      </c>
      <c r="BU294" s="400">
        <v>2.8</v>
      </c>
      <c r="BV294" s="400">
        <v>2.4</v>
      </c>
      <c r="BW294" s="400">
        <v>2.5</v>
      </c>
      <c r="BX294" s="400">
        <v>2.2999999999999998</v>
      </c>
      <c r="BY294" s="400">
        <v>2</v>
      </c>
      <c r="BZ294" s="555" t="s">
        <v>269</v>
      </c>
      <c r="CA294" s="555" t="s">
        <v>269</v>
      </c>
      <c r="CB294" s="555" t="s">
        <v>269</v>
      </c>
      <c r="CC294" s="556" t="s">
        <v>269</v>
      </c>
      <c r="CD294" s="555" t="s">
        <v>269</v>
      </c>
      <c r="CE294" s="555" t="s">
        <v>269</v>
      </c>
      <c r="CF294" s="555" t="s">
        <v>269</v>
      </c>
      <c r="CG294" s="556" t="s">
        <v>269</v>
      </c>
      <c r="CH294" s="555"/>
      <c r="CI294" s="555"/>
      <c r="CJ294" s="554"/>
      <c r="CK294" s="554"/>
      <c r="CL294" s="399"/>
      <c r="CM294" s="399"/>
      <c r="CN294" s="399"/>
      <c r="CO294" s="557"/>
      <c r="CP294" s="557"/>
      <c r="CQ294" s="399"/>
      <c r="CR294" s="399"/>
      <c r="CS294" s="399"/>
      <c r="CT294" s="557"/>
      <c r="CU294" s="557"/>
      <c r="CV294" s="557"/>
      <c r="CW294" s="399"/>
      <c r="CX294" s="399"/>
      <c r="CY294" s="399"/>
      <c r="CZ294" s="399"/>
      <c r="DA294" s="1007"/>
      <c r="DB294" s="1007"/>
      <c r="DC294" s="1007"/>
      <c r="DD294" s="1007"/>
      <c r="DE294" s="1007"/>
      <c r="DF294" s="399"/>
      <c r="DG294" s="399"/>
      <c r="DH294" s="399"/>
      <c r="DI294" s="399"/>
    </row>
    <row r="295" spans="1:119" collapsed="1">
      <c r="A295" s="946" t="s">
        <v>63</v>
      </c>
      <c r="B295" s="580">
        <f t="shared" ref="B295:L295" si="661">B296-SUM(B291:B294)</f>
        <v>20.772899999999993</v>
      </c>
      <c r="C295" s="580">
        <f t="shared" si="661"/>
        <v>16.273200000000031</v>
      </c>
      <c r="D295" s="580">
        <f t="shared" si="661"/>
        <v>13.701199999999972</v>
      </c>
      <c r="E295" s="580">
        <f t="shared" si="661"/>
        <v>10.773200000000003</v>
      </c>
      <c r="F295" s="580">
        <f t="shared" si="661"/>
        <v>0.59549999999998704</v>
      </c>
      <c r="G295" s="580">
        <f t="shared" si="661"/>
        <v>1.6850000000000023</v>
      </c>
      <c r="H295" s="580">
        <f t="shared" si="661"/>
        <v>3.810799999999972</v>
      </c>
      <c r="I295" s="580">
        <f t="shared" si="661"/>
        <v>9.3618421052631504</v>
      </c>
      <c r="J295" s="580">
        <f t="shared" si="661"/>
        <v>5.2000000000000171</v>
      </c>
      <c r="K295" s="580">
        <f t="shared" si="661"/>
        <v>4</v>
      </c>
      <c r="L295" s="580">
        <f t="shared" si="661"/>
        <v>3.8000000000000114</v>
      </c>
      <c r="M295" s="580">
        <f>10.3+8.6</f>
        <v>18.899999999999999</v>
      </c>
      <c r="N295" s="808">
        <v>17.950999999999997</v>
      </c>
      <c r="O295" s="808">
        <v>18.496999999999996</v>
      </c>
      <c r="P295" s="808">
        <v>17.891000000000002</v>
      </c>
      <c r="Q295" s="808">
        <v>17.367000000000001</v>
      </c>
      <c r="R295" s="808">
        <v>17.905000000000001</v>
      </c>
      <c r="S295" s="808">
        <f>+SUM(CX295:DA295)</f>
        <v>17.632999999999996</v>
      </c>
      <c r="T295" s="808">
        <f>+SUM(DB295:DE295)</f>
        <v>16.631999999999998</v>
      </c>
      <c r="U295" s="808">
        <f t="shared" ref="U295:AB295" si="662">+U296-U291</f>
        <v>15.466849999999994</v>
      </c>
      <c r="V295" s="808">
        <f t="shared" si="662"/>
        <v>14.645655849999997</v>
      </c>
      <c r="W295" s="808">
        <f t="shared" si="662"/>
        <v>14.133057895249991</v>
      </c>
      <c r="X295" s="808">
        <f t="shared" si="662"/>
        <v>13.50112034647249</v>
      </c>
      <c r="Y295" s="808">
        <f t="shared" si="662"/>
        <v>12.894795190139746</v>
      </c>
      <c r="Z295" s="808">
        <f t="shared" si="662"/>
        <v>12.313101117967022</v>
      </c>
      <c r="AA295" s="808">
        <f t="shared" si="662"/>
        <v>11.755093074886474</v>
      </c>
      <c r="AB295" s="808">
        <f t="shared" si="662"/>
        <v>11.219860953403682</v>
      </c>
      <c r="AD295" s="399"/>
      <c r="AE295" s="399"/>
      <c r="AF295" s="399"/>
      <c r="AG295" s="399"/>
      <c r="AH295" s="399"/>
      <c r="AI295" s="399"/>
      <c r="AJ295" s="399"/>
      <c r="AK295" s="399"/>
      <c r="AL295" s="399"/>
      <c r="AM295" s="399"/>
      <c r="AN295" s="399"/>
      <c r="AO295" s="399"/>
      <c r="AP295" s="399"/>
      <c r="AQ295" s="399"/>
      <c r="AR295" s="399"/>
      <c r="AS295" s="399"/>
      <c r="AT295" s="399"/>
      <c r="AU295" s="399"/>
      <c r="AV295" s="399"/>
      <c r="AW295" s="399"/>
      <c r="AX295" s="399"/>
      <c r="AY295" s="399"/>
      <c r="AZ295" s="399"/>
      <c r="BA295" s="399"/>
      <c r="BB295" s="399"/>
      <c r="BC295" s="399"/>
      <c r="BD295" s="399"/>
      <c r="BE295" s="399"/>
      <c r="BF295" s="399"/>
      <c r="BG295" s="399"/>
      <c r="BH295" s="399"/>
      <c r="BI295" s="399"/>
      <c r="BJ295" s="554">
        <f t="shared" ref="BJ295:CJ295" si="663">BJ296-SUM(BJ291:BJ294)</f>
        <v>1.5618421052631604</v>
      </c>
      <c r="BK295" s="554">
        <f t="shared" si="663"/>
        <v>2.7000000000000028</v>
      </c>
      <c r="BL295" s="554">
        <f t="shared" si="663"/>
        <v>1.6000000000000014</v>
      </c>
      <c r="BM295" s="554">
        <f t="shared" si="663"/>
        <v>1.2000000000000171</v>
      </c>
      <c r="BN295" s="554">
        <f t="shared" si="663"/>
        <v>1.1000000000000014</v>
      </c>
      <c r="BO295" s="554">
        <f t="shared" si="663"/>
        <v>1.1000000000000014</v>
      </c>
      <c r="BP295" s="554">
        <f t="shared" si="663"/>
        <v>1.1000000000000014</v>
      </c>
      <c r="BQ295" s="554">
        <f t="shared" si="663"/>
        <v>1.2000000000000028</v>
      </c>
      <c r="BR295" s="554">
        <f t="shared" si="663"/>
        <v>1</v>
      </c>
      <c r="BS295" s="554">
        <f t="shared" si="663"/>
        <v>1</v>
      </c>
      <c r="BT295" s="554">
        <f t="shared" si="663"/>
        <v>1.0999999999999943</v>
      </c>
      <c r="BU295" s="554">
        <f t="shared" si="663"/>
        <v>0.90000000000000568</v>
      </c>
      <c r="BV295" s="554">
        <f t="shared" si="663"/>
        <v>0.79999999999999716</v>
      </c>
      <c r="BW295" s="554">
        <f t="shared" si="663"/>
        <v>0.89999999999999858</v>
      </c>
      <c r="BX295" s="554">
        <f t="shared" si="663"/>
        <v>1.0000000000000071</v>
      </c>
      <c r="BY295" s="554">
        <f t="shared" si="663"/>
        <v>1.0999999999999943</v>
      </c>
      <c r="BZ295" s="554">
        <f t="shared" si="663"/>
        <v>4.5</v>
      </c>
      <c r="CA295" s="554">
        <f t="shared" si="663"/>
        <v>5.1999999999999993</v>
      </c>
      <c r="CB295" s="554">
        <f t="shared" si="663"/>
        <v>4.8000000000000007</v>
      </c>
      <c r="CC295" s="554">
        <f t="shared" si="663"/>
        <v>4.4000000000000021</v>
      </c>
      <c r="CD295" s="554">
        <f t="shared" si="663"/>
        <v>4.0859999999999985</v>
      </c>
      <c r="CE295" s="554">
        <f t="shared" si="663"/>
        <v>4.5649999999999977</v>
      </c>
      <c r="CF295" s="554">
        <f t="shared" si="663"/>
        <v>4.5999999999999979</v>
      </c>
      <c r="CG295" s="554">
        <f t="shared" si="663"/>
        <v>4.7000000000000028</v>
      </c>
      <c r="CH295" s="554">
        <f t="shared" si="663"/>
        <v>4.1950000000000003</v>
      </c>
      <c r="CI295" s="554">
        <f t="shared" si="663"/>
        <v>4.8500000000000014</v>
      </c>
      <c r="CJ295" s="554">
        <f t="shared" si="663"/>
        <v>4.7479999999999976</v>
      </c>
      <c r="CK295" s="554">
        <f>+CK296-CK291</f>
        <v>4.7039999999999971</v>
      </c>
      <c r="CL295" s="554">
        <f t="shared" ref="CL295:DB295" si="664">CL296-SUM(CL291:CL294)</f>
        <v>4.0660000000000025</v>
      </c>
      <c r="CM295" s="554">
        <f t="shared" si="664"/>
        <v>4.7000000000000028</v>
      </c>
      <c r="CN295" s="554">
        <f t="shared" si="664"/>
        <v>4.7179999999999964</v>
      </c>
      <c r="CO295" s="554">
        <f t="shared" si="664"/>
        <v>4.407</v>
      </c>
      <c r="CP295" s="558">
        <f t="shared" si="664"/>
        <v>3.9329999999999998</v>
      </c>
      <c r="CQ295" s="558">
        <f t="shared" si="664"/>
        <v>4.4550000000000018</v>
      </c>
      <c r="CR295" s="554">
        <f t="shared" si="664"/>
        <v>4.5839999999999996</v>
      </c>
      <c r="CS295" s="554">
        <f t="shared" si="664"/>
        <v>4.3949999999999996</v>
      </c>
      <c r="CT295" s="558">
        <f t="shared" si="664"/>
        <v>4.0809999999999995</v>
      </c>
      <c r="CU295" s="558">
        <f t="shared" si="664"/>
        <v>4.6260000000000012</v>
      </c>
      <c r="CV295" s="558">
        <f t="shared" si="664"/>
        <v>4.7900000000000027</v>
      </c>
      <c r="CW295" s="558">
        <f t="shared" si="664"/>
        <v>4.4079999999999977</v>
      </c>
      <c r="CX295" s="558">
        <f t="shared" si="664"/>
        <v>4.1780000000000008</v>
      </c>
      <c r="CY295" s="558">
        <f t="shared" si="664"/>
        <v>4.536999999999999</v>
      </c>
      <c r="CZ295" s="558">
        <f t="shared" si="664"/>
        <v>4.7119999999999962</v>
      </c>
      <c r="DA295" s="1008">
        <f t="shared" si="664"/>
        <v>4.2059999999999995</v>
      </c>
      <c r="DB295" s="1008">
        <f t="shared" si="664"/>
        <v>4.032</v>
      </c>
      <c r="DC295" s="1008">
        <f t="shared" ref="DC295:DH295" si="665">+DC296-DC291</f>
        <v>4.411999999999999</v>
      </c>
      <c r="DD295" s="1008">
        <f t="shared" si="665"/>
        <v>4.3730000000000011</v>
      </c>
      <c r="DE295" s="1008">
        <f t="shared" si="665"/>
        <v>3.8149999999999977</v>
      </c>
      <c r="DF295" s="554">
        <f t="shared" si="665"/>
        <v>3.4856760000000016</v>
      </c>
      <c r="DG295" s="554">
        <f t="shared" si="665"/>
        <v>4.1480674999999998</v>
      </c>
      <c r="DH295" s="554">
        <f t="shared" si="665"/>
        <v>4.1538074999999992</v>
      </c>
      <c r="DI295" s="554">
        <f>+U295-SUM(DF295:DH295)</f>
        <v>3.6792989999999932</v>
      </c>
    </row>
    <row r="296" spans="1:119">
      <c r="A296" s="333" t="s">
        <v>73</v>
      </c>
      <c r="B296" s="339">
        <v>208.2</v>
      </c>
      <c r="C296" s="339">
        <v>211.9</v>
      </c>
      <c r="D296" s="339">
        <v>207.1</v>
      </c>
      <c r="E296" s="339">
        <v>191.6</v>
      </c>
      <c r="F296" s="339">
        <v>187.2</v>
      </c>
      <c r="G296" s="339">
        <v>187.1</v>
      </c>
      <c r="H296" s="339">
        <v>185.5</v>
      </c>
      <c r="I296" s="339">
        <v>183.4</v>
      </c>
      <c r="J296" s="339">
        <v>175.1</v>
      </c>
      <c r="K296" s="339">
        <v>169.4</v>
      </c>
      <c r="L296" s="339">
        <v>148.69999999999999</v>
      </c>
      <c r="M296" s="340">
        <f t="shared" ref="M296:R296" si="666">M295+M291</f>
        <v>140.80000000000001</v>
      </c>
      <c r="N296" s="340">
        <f t="shared" si="666"/>
        <v>135.14600000000002</v>
      </c>
      <c r="O296" s="340">
        <f t="shared" si="666"/>
        <v>134.874</v>
      </c>
      <c r="P296" s="340">
        <f t="shared" si="666"/>
        <v>129.31200000000001</v>
      </c>
      <c r="Q296" s="340">
        <f t="shared" si="666"/>
        <v>125.39</v>
      </c>
      <c r="R296" s="340">
        <f t="shared" si="666"/>
        <v>126.018</v>
      </c>
      <c r="S296" s="340">
        <f>+SUM(CX296:DA296)</f>
        <v>122.92999999999999</v>
      </c>
      <c r="T296" s="340">
        <f>+SUM(DB296:DE296)</f>
        <v>116.60599999999999</v>
      </c>
      <c r="U296" s="340">
        <f t="shared" ref="U296:AB296" si="667">T296*(1+U310)</f>
        <v>111.94175999999999</v>
      </c>
      <c r="V296" s="340">
        <f t="shared" si="667"/>
        <v>107.74394399999998</v>
      </c>
      <c r="W296" s="340">
        <f t="shared" si="667"/>
        <v>103.97290595999998</v>
      </c>
      <c r="X296" s="340">
        <f t="shared" si="667"/>
        <v>100.64577296927997</v>
      </c>
      <c r="Y296" s="340">
        <f t="shared" si="667"/>
        <v>97.425108234263007</v>
      </c>
      <c r="Z296" s="340">
        <f t="shared" si="667"/>
        <v>94.307504770766585</v>
      </c>
      <c r="AA296" s="340">
        <f t="shared" si="667"/>
        <v>91.289664618102051</v>
      </c>
      <c r="AB296" s="340">
        <f t="shared" si="667"/>
        <v>88.368395350322785</v>
      </c>
      <c r="AD296" s="332"/>
      <c r="AE296" s="332"/>
      <c r="AF296" s="332"/>
      <c r="AG296" s="332"/>
      <c r="AH296" s="332"/>
      <c r="AI296" s="332"/>
      <c r="AJ296" s="332"/>
      <c r="AK296" s="332"/>
      <c r="AL296" s="332"/>
      <c r="AM296" s="332"/>
      <c r="AN296" s="332"/>
      <c r="AO296" s="332"/>
      <c r="AP296" s="332"/>
      <c r="AQ296" s="332"/>
      <c r="AR296" s="332"/>
      <c r="AS296" s="332"/>
      <c r="AT296" s="332"/>
      <c r="AU296" s="332"/>
      <c r="AV296" s="332"/>
      <c r="AW296" s="332"/>
      <c r="AX296" s="332"/>
      <c r="AY296" s="332"/>
      <c r="AZ296" s="332"/>
      <c r="BA296" s="332"/>
      <c r="BB296" s="332"/>
      <c r="BC296" s="332"/>
      <c r="BD296" s="332"/>
      <c r="BE296" s="332"/>
      <c r="BF296" s="332"/>
      <c r="BG296" s="332"/>
      <c r="BH296" s="332"/>
      <c r="BI296" s="332"/>
      <c r="BJ296" s="336">
        <f t="shared" ref="BJ296:BY296" si="668">BJ96</f>
        <v>43.3</v>
      </c>
      <c r="BK296" s="336">
        <f t="shared" si="668"/>
        <v>47.2</v>
      </c>
      <c r="BL296" s="336">
        <f t="shared" si="668"/>
        <v>47.6</v>
      </c>
      <c r="BM296" s="336">
        <f t="shared" si="668"/>
        <v>45.300000000000011</v>
      </c>
      <c r="BN296" s="336">
        <f t="shared" si="668"/>
        <v>40.6</v>
      </c>
      <c r="BO296" s="336">
        <f t="shared" si="668"/>
        <v>45.6</v>
      </c>
      <c r="BP296" s="336">
        <f t="shared" si="668"/>
        <v>47.1</v>
      </c>
      <c r="BQ296" s="336">
        <f t="shared" si="668"/>
        <v>41.800000000000004</v>
      </c>
      <c r="BR296" s="336">
        <f t="shared" si="668"/>
        <v>40.1</v>
      </c>
      <c r="BS296" s="336">
        <f t="shared" si="668"/>
        <v>43.6</v>
      </c>
      <c r="BT296" s="336">
        <f t="shared" si="668"/>
        <v>44.9</v>
      </c>
      <c r="BU296" s="336">
        <f t="shared" si="668"/>
        <v>40.800000000000004</v>
      </c>
      <c r="BV296" s="336">
        <f t="shared" si="668"/>
        <v>34.4</v>
      </c>
      <c r="BW296" s="336">
        <f t="shared" si="668"/>
        <v>40.6</v>
      </c>
      <c r="BX296" s="336">
        <f t="shared" si="668"/>
        <v>37.5</v>
      </c>
      <c r="BY296" s="336">
        <f t="shared" si="668"/>
        <v>36.199999999999996</v>
      </c>
      <c r="BZ296" s="347">
        <v>34.1</v>
      </c>
      <c r="CA296" s="347">
        <v>36.5</v>
      </c>
      <c r="CB296" s="347">
        <v>36.6</v>
      </c>
      <c r="CC296" s="347">
        <v>33.6</v>
      </c>
      <c r="CD296" s="354">
        <v>31.946999999999999</v>
      </c>
      <c r="CE296" s="354">
        <v>36.198999999999998</v>
      </c>
      <c r="CF296" s="347">
        <v>33.299999999999997</v>
      </c>
      <c r="CG296" s="347">
        <v>33.700000000000003</v>
      </c>
      <c r="CH296" s="354">
        <v>31.108000000000001</v>
      </c>
      <c r="CI296" s="354">
        <v>36.231000000000002</v>
      </c>
      <c r="CJ296" s="347">
        <v>33.701999999999998</v>
      </c>
      <c r="CK296" s="347">
        <v>33.832999999999998</v>
      </c>
      <c r="CL296" s="347">
        <v>29.501000000000001</v>
      </c>
      <c r="CM296" s="347">
        <v>33.819000000000003</v>
      </c>
      <c r="CN296" s="347">
        <v>34.116999999999997</v>
      </c>
      <c r="CO296" s="364">
        <v>31.875</v>
      </c>
      <c r="CP296" s="364">
        <v>28.748999999999999</v>
      </c>
      <c r="CQ296" s="347">
        <v>32.134</v>
      </c>
      <c r="CR296" s="347">
        <v>33.164999999999999</v>
      </c>
      <c r="CS296" s="445">
        <v>31.341999999999999</v>
      </c>
      <c r="CT296" s="680">
        <v>29.198</v>
      </c>
      <c r="CU296" s="680">
        <v>33.124000000000002</v>
      </c>
      <c r="CV296" s="680">
        <v>33.182000000000002</v>
      </c>
      <c r="CW296" s="445">
        <v>30.513999999999999</v>
      </c>
      <c r="CX296" s="445">
        <v>29.539000000000001</v>
      </c>
      <c r="CY296" s="445">
        <v>31.47</v>
      </c>
      <c r="CZ296" s="680">
        <v>32.863999999999997</v>
      </c>
      <c r="DA296" s="1009">
        <v>29.056999999999999</v>
      </c>
      <c r="DB296" s="1009">
        <v>28.727</v>
      </c>
      <c r="DC296" s="1009">
        <v>30.568999999999999</v>
      </c>
      <c r="DD296" s="1009">
        <v>30.827999999999999</v>
      </c>
      <c r="DE296" s="1009">
        <v>26.481999999999999</v>
      </c>
      <c r="DF296" s="336">
        <f>+DB296*(1+DF310)</f>
        <v>26.945926</v>
      </c>
      <c r="DG296" s="336">
        <f>+DC296*(1+DG310)</f>
        <v>29.193394999999999</v>
      </c>
      <c r="DH296" s="336">
        <f>+DD296*(1+DH310)</f>
        <v>29.749019999999998</v>
      </c>
      <c r="DI296" s="336">
        <f>+U296-SUM(DF296:DH296)</f>
        <v>26.053418999999991</v>
      </c>
    </row>
    <row r="297" spans="1:119">
      <c r="A297" s="947" t="s">
        <v>445</v>
      </c>
      <c r="T297" s="23"/>
      <c r="AD297" s="399"/>
      <c r="AE297" s="399"/>
      <c r="AF297" s="399"/>
      <c r="AG297" s="399"/>
      <c r="AH297" s="399"/>
      <c r="AI297" s="399"/>
      <c r="AJ297" s="399"/>
      <c r="AK297" s="399"/>
      <c r="AL297" s="399"/>
      <c r="AM297" s="399"/>
      <c r="AN297" s="399"/>
      <c r="AO297" s="399"/>
      <c r="AP297" s="399"/>
      <c r="AQ297" s="399"/>
      <c r="AR297" s="399"/>
      <c r="AS297" s="399"/>
      <c r="AT297" s="399"/>
      <c r="AU297" s="399"/>
      <c r="AV297" s="399"/>
      <c r="AW297" s="399"/>
      <c r="AX297" s="399"/>
      <c r="AY297" s="399"/>
      <c r="AZ297" s="399"/>
      <c r="BA297" s="399"/>
      <c r="BB297" s="399"/>
      <c r="BC297" s="399"/>
      <c r="BD297" s="399"/>
      <c r="BE297" s="399"/>
      <c r="BF297" s="399"/>
      <c r="BG297" s="399"/>
      <c r="BH297" s="399"/>
      <c r="BI297" s="399"/>
      <c r="BJ297" s="399"/>
      <c r="BK297" s="399"/>
      <c r="BL297" s="399"/>
      <c r="BM297" s="399"/>
      <c r="BN297" s="399"/>
      <c r="BO297" s="399"/>
      <c r="BP297" s="399"/>
      <c r="BQ297" s="399"/>
      <c r="BR297" s="377"/>
      <c r="BS297" s="377"/>
      <c r="BT297" s="377"/>
      <c r="BU297" s="377"/>
      <c r="BV297" s="412">
        <f>BV299/BV296</f>
        <v>0.92441860465116288</v>
      </c>
      <c r="BW297" s="412">
        <f t="shared" ref="BW297:DE297" si="669">BW299/BW296</f>
        <v>0.93349753694581272</v>
      </c>
      <c r="BX297" s="412">
        <f t="shared" si="669"/>
        <v>0.93066666666666664</v>
      </c>
      <c r="BY297" s="412">
        <f t="shared" si="669"/>
        <v>0.93093922651933703</v>
      </c>
      <c r="BZ297" s="412">
        <f t="shared" si="669"/>
        <v>0.93841642228738997</v>
      </c>
      <c r="CA297" s="412">
        <f t="shared" si="669"/>
        <v>0.93150684931506844</v>
      </c>
      <c r="CB297" s="412">
        <f t="shared" si="669"/>
        <v>0.94535519125683065</v>
      </c>
      <c r="CC297" s="412">
        <f t="shared" si="669"/>
        <v>0.94047619047619035</v>
      </c>
      <c r="CD297" s="412">
        <f t="shared" si="669"/>
        <v>0.94096472282217425</v>
      </c>
      <c r="CE297" s="412">
        <f t="shared" si="669"/>
        <v>0.9429542252548414</v>
      </c>
      <c r="CF297" s="412">
        <f t="shared" si="669"/>
        <v>0.93393393393393398</v>
      </c>
      <c r="CG297" s="412">
        <f t="shared" si="669"/>
        <v>0.92878338278931749</v>
      </c>
      <c r="CH297" s="412">
        <f t="shared" si="669"/>
        <v>0.93059663109168067</v>
      </c>
      <c r="CI297" s="412">
        <f t="shared" si="669"/>
        <v>0.92934227595153318</v>
      </c>
      <c r="CJ297" s="412">
        <f t="shared" si="669"/>
        <v>0.92371372618835679</v>
      </c>
      <c r="CK297" s="412">
        <f t="shared" si="669"/>
        <v>0.92380220494783216</v>
      </c>
      <c r="CL297" s="412">
        <f t="shared" si="669"/>
        <v>0.92257889563065654</v>
      </c>
      <c r="CM297" s="412">
        <f t="shared" si="669"/>
        <v>0.92134598894112762</v>
      </c>
      <c r="CN297" s="412">
        <f t="shared" si="669"/>
        <v>0.92080194624380807</v>
      </c>
      <c r="CO297" s="412">
        <f t="shared" si="669"/>
        <v>0.92081568627450983</v>
      </c>
      <c r="CP297" s="412">
        <f t="shared" si="669"/>
        <v>0.91985808202024422</v>
      </c>
      <c r="CQ297" s="412">
        <f t="shared" si="669"/>
        <v>0.91827970374058621</v>
      </c>
      <c r="CR297" s="412">
        <f t="shared" si="669"/>
        <v>0.91750339213025778</v>
      </c>
      <c r="CS297" s="412">
        <f t="shared" si="669"/>
        <v>0.91532129411013974</v>
      </c>
      <c r="CT297" s="588">
        <f t="shared" si="669"/>
        <v>0.91427495033906436</v>
      </c>
      <c r="CU297" s="588">
        <f t="shared" si="669"/>
        <v>0.91368796039125699</v>
      </c>
      <c r="CV297" s="588">
        <f t="shared" si="669"/>
        <v>0.90895666325116009</v>
      </c>
      <c r="CW297" s="588">
        <f t="shared" si="669"/>
        <v>0.90925476830307406</v>
      </c>
      <c r="CX297" s="588">
        <f t="shared" si="669"/>
        <v>0.90981414401299976</v>
      </c>
      <c r="CY297" s="588">
        <f t="shared" si="669"/>
        <v>0.90857959961868451</v>
      </c>
      <c r="CZ297" s="588">
        <f t="shared" si="669"/>
        <v>0.90786270691333992</v>
      </c>
      <c r="DA297" s="991">
        <f t="shared" si="669"/>
        <v>0.90769866125202192</v>
      </c>
      <c r="DB297" s="991">
        <f t="shared" si="669"/>
        <v>0.91011939986772028</v>
      </c>
      <c r="DC297" s="991">
        <f t="shared" si="669"/>
        <v>0.90637574012888877</v>
      </c>
      <c r="DD297" s="991">
        <f t="shared" si="669"/>
        <v>0.90897885039574411</v>
      </c>
      <c r="DE297" s="991">
        <f t="shared" si="669"/>
        <v>0.90880598142134283</v>
      </c>
      <c r="DF297" s="412"/>
      <c r="DG297" s="412"/>
      <c r="DH297" s="412"/>
      <c r="DI297" s="412"/>
    </row>
    <row r="298" spans="1:119">
      <c r="A298" s="947"/>
      <c r="S298" s="884"/>
      <c r="AD298" s="399"/>
      <c r="AE298" s="399"/>
      <c r="AF298" s="399"/>
      <c r="AG298" s="399"/>
      <c r="AH298" s="399"/>
      <c r="AI298" s="399"/>
      <c r="AJ298" s="399"/>
      <c r="AK298" s="399"/>
      <c r="AL298" s="399"/>
      <c r="AM298" s="399"/>
      <c r="AN298" s="399"/>
      <c r="AO298" s="399"/>
      <c r="AP298" s="399"/>
      <c r="AQ298" s="399"/>
      <c r="AR298" s="399"/>
      <c r="AS298" s="399"/>
      <c r="AT298" s="399"/>
      <c r="AU298" s="399"/>
      <c r="AV298" s="399"/>
      <c r="AW298" s="399"/>
      <c r="AX298" s="399"/>
      <c r="AY298" s="399"/>
      <c r="AZ298" s="399"/>
      <c r="BA298" s="399"/>
      <c r="BB298" s="399"/>
      <c r="BC298" s="399"/>
      <c r="BD298" s="399"/>
      <c r="BE298" s="399"/>
      <c r="BF298" s="399"/>
      <c r="BG298" s="399"/>
      <c r="BH298" s="399"/>
      <c r="BI298" s="399"/>
      <c r="BJ298" s="399"/>
      <c r="BK298" s="399"/>
      <c r="BL298" s="399"/>
      <c r="BM298" s="399"/>
      <c r="BN298" s="399"/>
      <c r="BO298" s="399"/>
      <c r="BP298" s="399"/>
      <c r="BQ298" s="399"/>
      <c r="BR298" s="377"/>
      <c r="BS298" s="377"/>
      <c r="BT298" s="377"/>
      <c r="BU298" s="377"/>
      <c r="BV298" s="377"/>
      <c r="BW298" s="377"/>
      <c r="BX298" s="377"/>
      <c r="BY298" s="377"/>
      <c r="BZ298" s="377"/>
      <c r="CA298" s="377"/>
      <c r="CB298" s="377"/>
      <c r="CC298" s="377"/>
      <c r="CD298" s="377"/>
      <c r="CE298" s="377"/>
      <c r="CF298" s="377"/>
      <c r="CG298" s="377"/>
      <c r="CH298" s="399"/>
      <c r="CI298" s="399"/>
      <c r="CJ298" s="399"/>
      <c r="CK298" s="399"/>
      <c r="CL298" s="399"/>
      <c r="CM298" s="399"/>
      <c r="CN298" s="399"/>
      <c r="CO298" s="399"/>
      <c r="CP298" s="399"/>
      <c r="CQ298" s="399"/>
      <c r="CR298" s="399"/>
      <c r="CS298" s="399"/>
      <c r="CT298" s="557"/>
      <c r="CU298" s="557"/>
      <c r="CV298" s="557"/>
      <c r="CW298" s="399"/>
      <c r="CX298" s="399"/>
      <c r="CY298" s="399"/>
      <c r="CZ298" s="399"/>
      <c r="DA298" s="1007"/>
      <c r="DB298" s="1007"/>
      <c r="DC298" s="1007"/>
      <c r="DD298" s="1007"/>
      <c r="DE298" s="1007"/>
      <c r="DF298" s="399"/>
      <c r="DG298" s="399"/>
      <c r="DH298" s="399"/>
      <c r="DI298" s="399"/>
    </row>
    <row r="299" spans="1:119">
      <c r="A299" s="946" t="s">
        <v>58</v>
      </c>
      <c r="O299" s="808">
        <f>+SUM(CH299:CK299)</f>
        <v>125.006</v>
      </c>
      <c r="P299" s="808">
        <f>+SUM(CL299:CO299)</f>
        <v>119.142</v>
      </c>
      <c r="Q299" s="558">
        <f>+SUM(CP299:CS299)</f>
        <v>115.07000000000001</v>
      </c>
      <c r="R299" s="558">
        <f>+SUM(CT299:CW299)</f>
        <v>114.866</v>
      </c>
      <c r="S299" s="558">
        <f>+SUM(CX299:DA299)</f>
        <v>111.679</v>
      </c>
      <c r="AD299" s="399"/>
      <c r="AE299" s="399"/>
      <c r="AF299" s="399"/>
      <c r="AG299" s="399"/>
      <c r="AH299" s="399"/>
      <c r="AI299" s="399"/>
      <c r="AJ299" s="399"/>
      <c r="AK299" s="399"/>
      <c r="AL299" s="399"/>
      <c r="AM299" s="399"/>
      <c r="AN299" s="399"/>
      <c r="AO299" s="399"/>
      <c r="AP299" s="399"/>
      <c r="AQ299" s="399"/>
      <c r="AR299" s="399"/>
      <c r="AS299" s="399"/>
      <c r="AT299" s="399"/>
      <c r="AU299" s="399"/>
      <c r="AV299" s="399"/>
      <c r="AW299" s="399"/>
      <c r="AX299" s="399"/>
      <c r="AY299" s="399"/>
      <c r="AZ299" s="399"/>
      <c r="BA299" s="399"/>
      <c r="BB299" s="399"/>
      <c r="BC299" s="399"/>
      <c r="BD299" s="399"/>
      <c r="BE299" s="399"/>
      <c r="BF299" s="399"/>
      <c r="BG299" s="399"/>
      <c r="BH299" s="399"/>
      <c r="BI299" s="399"/>
      <c r="BJ299" s="399"/>
      <c r="BK299" s="399"/>
      <c r="BL299" s="399"/>
      <c r="BM299" s="399"/>
      <c r="BN299" s="399"/>
      <c r="BO299" s="399"/>
      <c r="BP299" s="399"/>
      <c r="BQ299" s="399"/>
      <c r="BR299" s="377"/>
      <c r="BS299" s="377"/>
      <c r="BT299" s="377"/>
      <c r="BU299" s="377"/>
      <c r="BV299" s="554">
        <f t="shared" ref="BV299:CC299" si="670">BV291+BV301</f>
        <v>31.8</v>
      </c>
      <c r="BW299" s="554">
        <f t="shared" si="670"/>
        <v>37.9</v>
      </c>
      <c r="BX299" s="554">
        <f t="shared" si="670"/>
        <v>34.9</v>
      </c>
      <c r="BY299" s="554">
        <f t="shared" si="670"/>
        <v>33.699999999999996</v>
      </c>
      <c r="BZ299" s="554">
        <f t="shared" si="670"/>
        <v>32</v>
      </c>
      <c r="CA299" s="554">
        <f t="shared" si="670"/>
        <v>34</v>
      </c>
      <c r="CB299" s="554">
        <f t="shared" si="670"/>
        <v>34.6</v>
      </c>
      <c r="CC299" s="554">
        <f t="shared" si="670"/>
        <v>31.599999999999998</v>
      </c>
      <c r="CD299" s="554">
        <f t="shared" ref="CD299:CY299" si="671">CD291+CD301</f>
        <v>30.061</v>
      </c>
      <c r="CE299" s="554">
        <f t="shared" si="671"/>
        <v>34.134</v>
      </c>
      <c r="CF299" s="554">
        <f t="shared" si="671"/>
        <v>31.099999999999998</v>
      </c>
      <c r="CG299" s="554">
        <f t="shared" si="671"/>
        <v>31.3</v>
      </c>
      <c r="CH299" s="554">
        <f t="shared" si="671"/>
        <v>28.949000000000002</v>
      </c>
      <c r="CI299" s="554">
        <f t="shared" si="671"/>
        <v>33.670999999999999</v>
      </c>
      <c r="CJ299" s="554">
        <f t="shared" si="671"/>
        <v>31.131</v>
      </c>
      <c r="CK299" s="554">
        <f t="shared" si="671"/>
        <v>31.255000000000003</v>
      </c>
      <c r="CL299" s="554">
        <f t="shared" si="671"/>
        <v>27.216999999999999</v>
      </c>
      <c r="CM299" s="554">
        <f t="shared" si="671"/>
        <v>31.158999999999999</v>
      </c>
      <c r="CN299" s="554">
        <f t="shared" si="671"/>
        <v>31.414999999999999</v>
      </c>
      <c r="CO299" s="554">
        <f t="shared" si="671"/>
        <v>29.350999999999999</v>
      </c>
      <c r="CP299" s="554">
        <f t="shared" si="671"/>
        <v>26.445</v>
      </c>
      <c r="CQ299" s="554">
        <f t="shared" si="671"/>
        <v>29.507999999999999</v>
      </c>
      <c r="CR299" s="554">
        <f t="shared" si="671"/>
        <v>30.428999999999998</v>
      </c>
      <c r="CS299" s="554">
        <f t="shared" si="671"/>
        <v>28.687999999999999</v>
      </c>
      <c r="CT299" s="558">
        <f t="shared" si="671"/>
        <v>26.695</v>
      </c>
      <c r="CU299" s="558">
        <f t="shared" si="671"/>
        <v>30.265000000000001</v>
      </c>
      <c r="CV299" s="558">
        <f t="shared" si="671"/>
        <v>30.160999999999998</v>
      </c>
      <c r="CW299" s="558">
        <f t="shared" si="671"/>
        <v>27.745000000000001</v>
      </c>
      <c r="CX299" s="558">
        <f t="shared" si="671"/>
        <v>26.875</v>
      </c>
      <c r="CY299" s="558">
        <f t="shared" si="671"/>
        <v>28.593</v>
      </c>
      <c r="CZ299" s="558">
        <f t="shared" ref="CZ299:DE299" si="672">CZ291+CZ301</f>
        <v>29.836000000000002</v>
      </c>
      <c r="DA299" s="1008">
        <f t="shared" si="672"/>
        <v>26.375</v>
      </c>
      <c r="DB299" s="1008">
        <f t="shared" si="672"/>
        <v>26.145</v>
      </c>
      <c r="DC299" s="1008">
        <f t="shared" si="672"/>
        <v>27.707000000000001</v>
      </c>
      <c r="DD299" s="1008">
        <f t="shared" si="672"/>
        <v>28.021999999999998</v>
      </c>
      <c r="DE299" s="1008">
        <f t="shared" si="672"/>
        <v>24.067</v>
      </c>
      <c r="DF299" s="554"/>
      <c r="DG299" s="554"/>
      <c r="DH299" s="554"/>
      <c r="DI299" s="399"/>
      <c r="DJ299" s="412"/>
      <c r="DK299" s="412"/>
      <c r="DL299" s="412"/>
      <c r="DM299" s="412"/>
      <c r="DN299" s="412"/>
      <c r="DO299" s="412"/>
    </row>
    <row r="300" spans="1:119">
      <c r="A300" s="946" t="s">
        <v>59</v>
      </c>
      <c r="O300" s="808">
        <f>+SUM(CH300:CK300)</f>
        <v>9.8140087318087321</v>
      </c>
      <c r="P300" s="808">
        <f>+SUM(CL300:CO300)</f>
        <v>10.17</v>
      </c>
      <c r="Q300" s="558">
        <f>+SUM(CP300:CS300)</f>
        <v>10.32</v>
      </c>
      <c r="R300" s="558">
        <f>+SUM(CT300:CW300)</f>
        <v>11.151999999999999</v>
      </c>
      <c r="S300" s="558">
        <f t="shared" ref="S300:S302" si="673">+SUM(CX300:DA300)</f>
        <v>11.251000000000001</v>
      </c>
      <c r="AD300" s="399"/>
      <c r="AE300" s="399"/>
      <c r="AF300" s="399"/>
      <c r="AG300" s="399"/>
      <c r="AH300" s="399"/>
      <c r="AI300" s="399"/>
      <c r="AJ300" s="399"/>
      <c r="AK300" s="399"/>
      <c r="AL300" s="399"/>
      <c r="AM300" s="399"/>
      <c r="AN300" s="399"/>
      <c r="AO300" s="399"/>
      <c r="AP300" s="399"/>
      <c r="AQ300" s="399"/>
      <c r="AR300" s="399"/>
      <c r="AS300" s="399"/>
      <c r="AT300" s="399"/>
      <c r="AU300" s="399"/>
      <c r="AV300" s="399"/>
      <c r="AW300" s="399"/>
      <c r="AX300" s="399"/>
      <c r="AY300" s="399"/>
      <c r="AZ300" s="399"/>
      <c r="BA300" s="399"/>
      <c r="BB300" s="399"/>
      <c r="BC300" s="399"/>
      <c r="BD300" s="399"/>
      <c r="BE300" s="399"/>
      <c r="BF300" s="399"/>
      <c r="BG300" s="399"/>
      <c r="BH300" s="399"/>
      <c r="BI300" s="399"/>
      <c r="BJ300" s="399"/>
      <c r="BK300" s="399"/>
      <c r="BL300" s="399"/>
      <c r="BM300" s="399"/>
      <c r="BN300" s="399"/>
      <c r="BO300" s="399"/>
      <c r="BP300" s="399"/>
      <c r="BQ300" s="399"/>
      <c r="BR300" s="377"/>
      <c r="BS300" s="377"/>
      <c r="BT300" s="377"/>
      <c r="BU300" s="377"/>
      <c r="BV300" s="554">
        <f t="shared" ref="BV300:CC300" si="674">BV302</f>
        <v>2.6</v>
      </c>
      <c r="BW300" s="554">
        <f t="shared" si="674"/>
        <v>2.7</v>
      </c>
      <c r="BX300" s="554">
        <f t="shared" si="674"/>
        <v>2.6</v>
      </c>
      <c r="BY300" s="554">
        <f t="shared" si="674"/>
        <v>2.6</v>
      </c>
      <c r="BZ300" s="554">
        <f t="shared" si="674"/>
        <v>2.1</v>
      </c>
      <c r="CA300" s="554">
        <f t="shared" si="674"/>
        <v>2.5</v>
      </c>
      <c r="CB300" s="554">
        <f t="shared" si="674"/>
        <v>2</v>
      </c>
      <c r="CC300" s="554">
        <f t="shared" si="674"/>
        <v>2</v>
      </c>
      <c r="CD300" s="554">
        <f t="shared" ref="CD300:CY300" si="675">CD302</f>
        <v>1.8</v>
      </c>
      <c r="CE300" s="554">
        <f t="shared" si="675"/>
        <v>2.1124999999999998</v>
      </c>
      <c r="CF300" s="554">
        <f t="shared" si="675"/>
        <v>2.19</v>
      </c>
      <c r="CG300" s="554">
        <f t="shared" si="675"/>
        <v>2.3940000000000001</v>
      </c>
      <c r="CH300" s="554">
        <f t="shared" si="675"/>
        <v>2.1168</v>
      </c>
      <c r="CI300" s="554">
        <f t="shared" si="675"/>
        <v>2.56</v>
      </c>
      <c r="CJ300" s="554">
        <f t="shared" si="675"/>
        <v>2.5710000000000002</v>
      </c>
      <c r="CK300" s="554">
        <f t="shared" si="675"/>
        <v>2.5662087318087319</v>
      </c>
      <c r="CL300" s="554">
        <f t="shared" si="675"/>
        <v>2.2839999999999998</v>
      </c>
      <c r="CM300" s="554">
        <f t="shared" si="675"/>
        <v>2.66</v>
      </c>
      <c r="CN300" s="554">
        <f t="shared" si="675"/>
        <v>2.702</v>
      </c>
      <c r="CO300" s="554">
        <f t="shared" si="675"/>
        <v>2.524</v>
      </c>
      <c r="CP300" s="554">
        <f t="shared" si="675"/>
        <v>2.3039999999999998</v>
      </c>
      <c r="CQ300" s="554">
        <f t="shared" si="675"/>
        <v>2.6259999999999999</v>
      </c>
      <c r="CR300" s="554">
        <f t="shared" si="675"/>
        <v>2.7360000000000002</v>
      </c>
      <c r="CS300" s="554">
        <f t="shared" si="675"/>
        <v>2.6539999999999999</v>
      </c>
      <c r="CT300" s="558">
        <f t="shared" si="675"/>
        <v>2.5030000000000001</v>
      </c>
      <c r="CU300" s="558">
        <f t="shared" si="675"/>
        <v>2.859</v>
      </c>
      <c r="CV300" s="558">
        <f t="shared" si="675"/>
        <v>3.0209999999999999</v>
      </c>
      <c r="CW300" s="558">
        <f t="shared" si="675"/>
        <v>2.7690000000000001</v>
      </c>
      <c r="CX300" s="558">
        <f t="shared" si="675"/>
        <v>2.6640000000000001</v>
      </c>
      <c r="CY300" s="558">
        <f t="shared" si="675"/>
        <v>2.8769999999999998</v>
      </c>
      <c r="CZ300" s="558">
        <f t="shared" ref="CZ300:DE300" si="676">CZ302</f>
        <v>3.028</v>
      </c>
      <c r="DA300" s="1008">
        <f t="shared" si="676"/>
        <v>2.6819999999999999</v>
      </c>
      <c r="DB300" s="1008">
        <f t="shared" si="676"/>
        <v>2.5819999999999999</v>
      </c>
      <c r="DC300" s="1008">
        <f t="shared" si="676"/>
        <v>2.8620000000000001</v>
      </c>
      <c r="DD300" s="1008">
        <f t="shared" si="676"/>
        <v>2.806</v>
      </c>
      <c r="DE300" s="1008">
        <f t="shared" si="676"/>
        <v>2.415</v>
      </c>
      <c r="DF300" s="554"/>
      <c r="DG300" s="554"/>
      <c r="DH300" s="554"/>
      <c r="DI300" s="399"/>
      <c r="DJ300" s="412"/>
      <c r="DK300" s="412"/>
      <c r="DL300" s="412"/>
      <c r="DM300" s="412"/>
      <c r="DN300" s="412"/>
      <c r="DO300" s="412"/>
    </row>
    <row r="301" spans="1:119">
      <c r="A301" s="946" t="s">
        <v>60</v>
      </c>
      <c r="O301" s="808">
        <f>+SUM(CH301:CK301)</f>
        <v>8.6289999999999996</v>
      </c>
      <c r="P301" s="808">
        <f>+SUM(CL301:CO301)</f>
        <v>7.7210000000000001</v>
      </c>
      <c r="Q301" s="553">
        <f>+SUM(CP301:CS301)</f>
        <v>7.0470000000000006</v>
      </c>
      <c r="R301" s="553">
        <f>+SUM(CT301:CW301)</f>
        <v>6.7530000000000001</v>
      </c>
      <c r="S301" s="553">
        <f t="shared" si="673"/>
        <v>6.3819999999999997</v>
      </c>
      <c r="AD301" s="399"/>
      <c r="AE301" s="399"/>
      <c r="AF301" s="399"/>
      <c r="AG301" s="399"/>
      <c r="AH301" s="399"/>
      <c r="AI301" s="399"/>
      <c r="AJ301" s="399"/>
      <c r="AK301" s="399"/>
      <c r="AL301" s="399"/>
      <c r="AM301" s="399"/>
      <c r="AN301" s="399"/>
      <c r="AO301" s="399"/>
      <c r="AP301" s="399"/>
      <c r="AQ301" s="399"/>
      <c r="AR301" s="399"/>
      <c r="AS301" s="399"/>
      <c r="AT301" s="399"/>
      <c r="AU301" s="399"/>
      <c r="AV301" s="399"/>
      <c r="AW301" s="399"/>
      <c r="AX301" s="399"/>
      <c r="AY301" s="399"/>
      <c r="AZ301" s="399"/>
      <c r="BA301" s="399"/>
      <c r="BB301" s="399"/>
      <c r="BC301" s="399"/>
      <c r="BD301" s="399"/>
      <c r="BE301" s="399"/>
      <c r="BF301" s="399"/>
      <c r="BG301" s="399"/>
      <c r="BH301" s="399"/>
      <c r="BI301" s="399"/>
      <c r="BJ301" s="399"/>
      <c r="BK301" s="399"/>
      <c r="BL301" s="399"/>
      <c r="BM301" s="399"/>
      <c r="BN301" s="399"/>
      <c r="BO301" s="399"/>
      <c r="BP301" s="399"/>
      <c r="BQ301" s="399"/>
      <c r="BR301" s="377"/>
      <c r="BS301" s="377"/>
      <c r="BT301" s="377"/>
      <c r="BU301" s="377"/>
      <c r="BV301" s="554">
        <v>2.7</v>
      </c>
      <c r="BW301" s="554">
        <v>3.3</v>
      </c>
      <c r="BX301" s="554">
        <v>3</v>
      </c>
      <c r="BY301" s="554">
        <v>2.8</v>
      </c>
      <c r="BZ301" s="554">
        <v>2.4</v>
      </c>
      <c r="CA301" s="554">
        <v>2.7</v>
      </c>
      <c r="CB301" s="554">
        <v>2.8</v>
      </c>
      <c r="CC301" s="554">
        <v>2.4</v>
      </c>
      <c r="CD301" s="400">
        <v>2.2000000000000002</v>
      </c>
      <c r="CE301" s="400">
        <v>2.5</v>
      </c>
      <c r="CF301" s="400">
        <v>2.4</v>
      </c>
      <c r="CG301" s="400">
        <v>2.2999999999999998</v>
      </c>
      <c r="CH301" s="400">
        <v>2.036</v>
      </c>
      <c r="CI301" s="400">
        <v>2.29</v>
      </c>
      <c r="CJ301" s="400">
        <v>2.177</v>
      </c>
      <c r="CK301" s="400">
        <v>2.1259999999999999</v>
      </c>
      <c r="CL301" s="400">
        <v>1.782</v>
      </c>
      <c r="CM301" s="400">
        <v>2.04</v>
      </c>
      <c r="CN301" s="400">
        <v>2.016</v>
      </c>
      <c r="CO301" s="553">
        <v>1.883</v>
      </c>
      <c r="CP301" s="553">
        <v>1.629</v>
      </c>
      <c r="CQ301" s="400">
        <v>1.829</v>
      </c>
      <c r="CR301" s="400">
        <v>1.8480000000000001</v>
      </c>
      <c r="CS301" s="444">
        <v>1.7410000000000001</v>
      </c>
      <c r="CT301" s="553">
        <v>1.5780000000000001</v>
      </c>
      <c r="CU301" s="553">
        <v>1.7669999999999999</v>
      </c>
      <c r="CV301" s="553">
        <v>1.7689999999999999</v>
      </c>
      <c r="CW301" s="718">
        <v>1.639</v>
      </c>
      <c r="CX301" s="400">
        <v>1.514</v>
      </c>
      <c r="CY301" s="400">
        <v>1.66</v>
      </c>
      <c r="CZ301" s="400">
        <v>1.6839999999999999</v>
      </c>
      <c r="DA301" s="1010">
        <v>1.524</v>
      </c>
      <c r="DB301" s="1058">
        <v>1.45</v>
      </c>
      <c r="DC301" s="1010">
        <v>1.55</v>
      </c>
      <c r="DD301" s="1010">
        <v>1.5669999999999999</v>
      </c>
      <c r="DE301" s="1080">
        <v>1.4</v>
      </c>
      <c r="DF301" s="400"/>
      <c r="DG301" s="400"/>
      <c r="DH301" s="400"/>
      <c r="DI301" s="399"/>
      <c r="DJ301" s="11"/>
      <c r="DK301" s="11"/>
      <c r="DL301" s="11"/>
      <c r="DM301" s="11"/>
      <c r="DN301" s="11"/>
      <c r="DO301" s="11"/>
    </row>
    <row r="302" spans="1:119">
      <c r="A302" s="946" t="s">
        <v>61</v>
      </c>
      <c r="O302" s="808">
        <f>+SUM(CH302:CK302)</f>
        <v>9.8140087318087321</v>
      </c>
      <c r="P302" s="808">
        <f>+SUM(CL302:CO302)</f>
        <v>10.17</v>
      </c>
      <c r="Q302" s="553">
        <f>+SUM(CP302:CS302)</f>
        <v>10.32</v>
      </c>
      <c r="R302" s="553">
        <f>+SUM(CT302:CW302)</f>
        <v>11.151999999999999</v>
      </c>
      <c r="S302" s="553">
        <f t="shared" si="673"/>
        <v>11.251000000000001</v>
      </c>
      <c r="AD302" s="399"/>
      <c r="AE302" s="399"/>
      <c r="AF302" s="399"/>
      <c r="AG302" s="399"/>
      <c r="AH302" s="399"/>
      <c r="AI302" s="399"/>
      <c r="AJ302" s="399"/>
      <c r="AK302" s="399"/>
      <c r="AL302" s="399"/>
      <c r="AM302" s="399"/>
      <c r="AN302" s="399"/>
      <c r="AO302" s="399"/>
      <c r="AP302" s="399"/>
      <c r="AQ302" s="399"/>
      <c r="AR302" s="399"/>
      <c r="AS302" s="399"/>
      <c r="AT302" s="399"/>
      <c r="AU302" s="399"/>
      <c r="AV302" s="399"/>
      <c r="AW302" s="399"/>
      <c r="AX302" s="399"/>
      <c r="AY302" s="399"/>
      <c r="AZ302" s="399"/>
      <c r="BA302" s="399"/>
      <c r="BB302" s="399"/>
      <c r="BC302" s="399"/>
      <c r="BD302" s="399"/>
      <c r="BE302" s="399"/>
      <c r="BF302" s="399"/>
      <c r="BG302" s="399"/>
      <c r="BH302" s="399"/>
      <c r="BI302" s="399"/>
      <c r="BJ302" s="399"/>
      <c r="BK302" s="399"/>
      <c r="BL302" s="399"/>
      <c r="BM302" s="399"/>
      <c r="BN302" s="399"/>
      <c r="BO302" s="399"/>
      <c r="BP302" s="399"/>
      <c r="BQ302" s="399"/>
      <c r="BR302" s="377"/>
      <c r="BS302" s="377"/>
      <c r="BT302" s="377"/>
      <c r="BU302" s="377"/>
      <c r="BV302" s="554">
        <v>2.6</v>
      </c>
      <c r="BW302" s="554">
        <v>2.7</v>
      </c>
      <c r="BX302" s="554">
        <v>2.6</v>
      </c>
      <c r="BY302" s="554">
        <v>2.6</v>
      </c>
      <c r="BZ302" s="554">
        <v>2.1</v>
      </c>
      <c r="CA302" s="554">
        <v>2.5</v>
      </c>
      <c r="CB302" s="554">
        <v>2</v>
      </c>
      <c r="CC302" s="554">
        <v>2</v>
      </c>
      <c r="CD302" s="400">
        <v>1.8</v>
      </c>
      <c r="CE302" s="554">
        <f>CA302*(1+CE312)</f>
        <v>2.1124999999999998</v>
      </c>
      <c r="CF302" s="554">
        <f>CB302*(1+CF312)</f>
        <v>2.19</v>
      </c>
      <c r="CG302" s="554">
        <f>CC302*(1+CG312)</f>
        <v>2.3940000000000001</v>
      </c>
      <c r="CH302" s="400">
        <f>CD302*(1+CH312)</f>
        <v>2.1168</v>
      </c>
      <c r="CI302" s="400">
        <v>2.56</v>
      </c>
      <c r="CJ302" s="400">
        <v>2.5710000000000002</v>
      </c>
      <c r="CK302" s="400">
        <f>CG302*(1+CK312)</f>
        <v>2.5662087318087319</v>
      </c>
      <c r="CL302" s="400">
        <v>2.2839999999999998</v>
      </c>
      <c r="CM302" s="400">
        <v>2.66</v>
      </c>
      <c r="CN302" s="400">
        <v>2.702</v>
      </c>
      <c r="CO302" s="553">
        <v>2.524</v>
      </c>
      <c r="CP302" s="553">
        <v>2.3039999999999998</v>
      </c>
      <c r="CQ302" s="400">
        <v>2.6259999999999999</v>
      </c>
      <c r="CR302" s="400">
        <v>2.7360000000000002</v>
      </c>
      <c r="CS302" s="444">
        <v>2.6539999999999999</v>
      </c>
      <c r="CT302" s="553">
        <v>2.5030000000000001</v>
      </c>
      <c r="CU302" s="553">
        <v>2.859</v>
      </c>
      <c r="CV302" s="553">
        <v>3.0209999999999999</v>
      </c>
      <c r="CW302" s="718">
        <v>2.7690000000000001</v>
      </c>
      <c r="CX302" s="400">
        <v>2.6640000000000001</v>
      </c>
      <c r="CY302" s="400">
        <v>2.8769999999999998</v>
      </c>
      <c r="CZ302" s="400">
        <v>3.028</v>
      </c>
      <c r="DA302" s="1010">
        <v>2.6819999999999999</v>
      </c>
      <c r="DB302" s="1058">
        <v>2.5819999999999999</v>
      </c>
      <c r="DC302" s="1010">
        <v>2.8620000000000001</v>
      </c>
      <c r="DD302" s="1010">
        <v>2.806</v>
      </c>
      <c r="DE302" s="1080">
        <v>2.415</v>
      </c>
      <c r="DF302" s="400"/>
      <c r="DG302" s="400"/>
      <c r="DH302" s="400"/>
      <c r="DI302" s="399"/>
    </row>
    <row r="303" spans="1:119">
      <c r="A303" s="946"/>
      <c r="AD303" s="399"/>
      <c r="AE303" s="399"/>
      <c r="AF303" s="399"/>
      <c r="AG303" s="399"/>
      <c r="AH303" s="399"/>
      <c r="AI303" s="399"/>
      <c r="AJ303" s="399"/>
      <c r="AK303" s="399"/>
      <c r="AL303" s="399"/>
      <c r="AM303" s="399"/>
      <c r="AN303" s="399"/>
      <c r="AO303" s="399"/>
      <c r="AP303" s="399"/>
      <c r="AQ303" s="399"/>
      <c r="AR303" s="399"/>
      <c r="AS303" s="399"/>
      <c r="AT303" s="399"/>
      <c r="AU303" s="399"/>
      <c r="AV303" s="399"/>
      <c r="AW303" s="399"/>
      <c r="AX303" s="399"/>
      <c r="AY303" s="399"/>
      <c r="AZ303" s="399"/>
      <c r="BA303" s="399"/>
      <c r="BB303" s="399"/>
      <c r="BC303" s="399"/>
      <c r="BD303" s="399"/>
      <c r="BE303" s="399"/>
      <c r="BF303" s="399"/>
      <c r="BG303" s="399"/>
      <c r="BH303" s="399"/>
      <c r="BI303" s="399"/>
      <c r="BJ303" s="399"/>
      <c r="BK303" s="399"/>
      <c r="BL303" s="399"/>
      <c r="BM303" s="399"/>
      <c r="BN303" s="399"/>
      <c r="BO303" s="399"/>
      <c r="BP303" s="399"/>
      <c r="BQ303" s="399"/>
      <c r="BR303" s="377"/>
      <c r="BS303" s="377"/>
      <c r="BT303" s="377"/>
      <c r="BU303" s="377"/>
      <c r="BV303" s="554"/>
      <c r="BW303" s="554"/>
      <c r="BX303" s="554"/>
      <c r="BY303" s="554"/>
      <c r="BZ303" s="554"/>
      <c r="CA303" s="554"/>
      <c r="CB303" s="554"/>
      <c r="CC303" s="377"/>
      <c r="CD303" s="412"/>
      <c r="CE303" s="554"/>
      <c r="CF303" s="554"/>
      <c r="CG303" s="377"/>
      <c r="CH303" s="399"/>
      <c r="CI303" s="399"/>
      <c r="CJ303" s="399"/>
      <c r="CK303" s="399"/>
      <c r="CL303" s="399"/>
      <c r="CM303" s="399"/>
      <c r="CN303" s="399"/>
      <c r="CO303" s="557"/>
      <c r="CP303" s="399"/>
      <c r="CQ303" s="399"/>
      <c r="CR303" s="399"/>
      <c r="CS303" s="399"/>
      <c r="CT303" s="557"/>
      <c r="CU303" s="985"/>
      <c r="CV303" s="986"/>
      <c r="CY303" s="986"/>
      <c r="CZ303" s="986"/>
      <c r="DA303" s="1011"/>
      <c r="DB303" s="1007"/>
      <c r="DC303" s="399"/>
      <c r="DD303" s="399"/>
      <c r="DE303" s="1007"/>
      <c r="DF303" s="399"/>
      <c r="DG303" s="399"/>
      <c r="DH303" s="399"/>
      <c r="DI303" s="399"/>
    </row>
    <row r="304" spans="1:119">
      <c r="A304" s="333" t="s">
        <v>517</v>
      </c>
      <c r="J304" s="30">
        <f>J305-J310</f>
        <v>2.3546636797177944E-2</v>
      </c>
      <c r="K304" s="30">
        <f t="shared" ref="K304:P304" si="677">K305-K310</f>
        <v>1.3828832503875343E-2</v>
      </c>
      <c r="L304" s="30">
        <f t="shared" si="677"/>
        <v>1.6188918694540422E-2</v>
      </c>
      <c r="M304" s="30">
        <f t="shared" si="677"/>
        <v>1.6763465183102011E-2</v>
      </c>
      <c r="N304" s="30">
        <f t="shared" si="677"/>
        <v>1.5590391714520591E-3</v>
      </c>
      <c r="O304" s="30">
        <f t="shared" si="677"/>
        <v>-4.967181774299223E-3</v>
      </c>
      <c r="P304" s="30">
        <f t="shared" si="677"/>
        <v>-1.3472450379375944E-3</v>
      </c>
      <c r="Q304" s="181"/>
      <c r="R304" s="181"/>
      <c r="S304" s="181"/>
      <c r="AD304" s="399"/>
      <c r="AE304" s="399"/>
      <c r="AF304" s="399"/>
      <c r="AG304" s="399"/>
      <c r="AH304" s="399"/>
      <c r="AI304" s="399"/>
      <c r="AJ304" s="399"/>
      <c r="AK304" s="399"/>
      <c r="AL304" s="399"/>
      <c r="AM304" s="399"/>
      <c r="AN304" s="399"/>
      <c r="AO304" s="399"/>
      <c r="AP304" s="399"/>
      <c r="AQ304" s="399"/>
      <c r="AR304" s="399"/>
      <c r="AS304" s="399"/>
      <c r="AT304" s="399"/>
      <c r="AU304" s="399"/>
      <c r="AV304" s="399"/>
      <c r="AW304" s="399"/>
      <c r="AX304" s="399"/>
      <c r="AY304" s="399"/>
      <c r="AZ304" s="399"/>
      <c r="BA304" s="399"/>
      <c r="BB304" s="399"/>
      <c r="BC304" s="399"/>
      <c r="BD304" s="399"/>
      <c r="BE304" s="399"/>
      <c r="BF304" s="399"/>
      <c r="BG304" s="399"/>
      <c r="BH304" s="399"/>
      <c r="BI304" s="399"/>
      <c r="BJ304" s="412">
        <f t="shared" ref="BJ304:BT304" si="678">(BJ291+BJ292+BJ293+0.7)/BJ296</f>
        <v>0.90157408532879546</v>
      </c>
      <c r="BK304" s="412">
        <f t="shared" si="678"/>
        <v>0.88347457627118642</v>
      </c>
      <c r="BL304" s="412">
        <f t="shared" si="678"/>
        <v>0.90756302521008403</v>
      </c>
      <c r="BM304" s="412">
        <f t="shared" si="678"/>
        <v>0.91169977924944778</v>
      </c>
      <c r="BN304" s="412">
        <f t="shared" si="678"/>
        <v>0.91133004926108374</v>
      </c>
      <c r="BO304" s="412">
        <f t="shared" si="678"/>
        <v>0.91447368421052633</v>
      </c>
      <c r="BP304" s="412">
        <f t="shared" si="678"/>
        <v>0.91719745222929938</v>
      </c>
      <c r="BQ304" s="412">
        <f t="shared" si="678"/>
        <v>0.9138755980861244</v>
      </c>
      <c r="BR304" s="412">
        <f t="shared" si="678"/>
        <v>0.91521197007481303</v>
      </c>
      <c r="BS304" s="412">
        <f t="shared" si="678"/>
        <v>0.92431192660550465</v>
      </c>
      <c r="BT304" s="412">
        <f t="shared" si="678"/>
        <v>0.9198218262806237</v>
      </c>
      <c r="BU304" s="377"/>
      <c r="BV304" s="554"/>
      <c r="BW304" s="554"/>
      <c r="BX304" s="554"/>
      <c r="BY304" s="554"/>
      <c r="BZ304" s="554"/>
      <c r="CA304" s="554"/>
      <c r="CB304" s="554"/>
      <c r="CC304" s="377"/>
      <c r="CD304" s="554"/>
      <c r="CE304" s="554"/>
      <c r="CF304" s="554"/>
      <c r="CG304" s="377"/>
      <c r="CH304" s="399"/>
      <c r="CI304" s="399"/>
      <c r="CJ304" s="399"/>
      <c r="CK304" s="399"/>
      <c r="CL304" s="399"/>
      <c r="CM304" s="399"/>
      <c r="CN304" s="399"/>
      <c r="CO304" s="399"/>
      <c r="CP304" s="399"/>
      <c r="CQ304" s="399"/>
      <c r="CR304" s="399"/>
      <c r="CS304" s="399"/>
      <c r="CT304" s="557"/>
      <c r="CU304" s="985"/>
      <c r="CV304" s="985"/>
      <c r="CW304" s="986"/>
      <c r="CX304" s="986"/>
      <c r="CY304" s="987"/>
      <c r="CZ304" s="987"/>
      <c r="DA304" s="991"/>
      <c r="DB304" s="1007"/>
      <c r="DC304" s="399"/>
      <c r="DD304" s="399"/>
      <c r="DE304" s="1007"/>
      <c r="DF304" s="399"/>
      <c r="DG304" s="399"/>
      <c r="DH304" s="399"/>
      <c r="DI304" s="399"/>
    </row>
    <row r="305" spans="1:117">
      <c r="A305" s="946" t="s">
        <v>97</v>
      </c>
      <c r="B305" s="508"/>
      <c r="C305" s="509">
        <f t="shared" ref="C305:T305" si="679">C291/B291-1</f>
        <v>3.4108380242347858E-2</v>
      </c>
      <c r="D305" s="509">
        <f t="shared" si="679"/>
        <v>-3.9187537832211516E-3</v>
      </c>
      <c r="E305" s="509">
        <f t="shared" si="679"/>
        <v>-5.6534834094963182E-2</v>
      </c>
      <c r="F305" s="509">
        <f t="shared" si="679"/>
        <v>2.5293817066939228E-2</v>
      </c>
      <c r="G305" s="509">
        <f t="shared" si="679"/>
        <v>2.1859876454155547E-2</v>
      </c>
      <c r="H305" s="509">
        <f t="shared" si="679"/>
        <v>-2.0198617060531499E-2</v>
      </c>
      <c r="I305" s="509">
        <f t="shared" si="679"/>
        <v>-3.458213256484155E-2</v>
      </c>
      <c r="J305" s="509">
        <f t="shared" si="679"/>
        <v>-2.1709633649932281E-2</v>
      </c>
      <c r="K305" s="509">
        <f t="shared" si="679"/>
        <v>-1.8723994452149673E-2</v>
      </c>
      <c r="L305" s="509">
        <f t="shared" si="679"/>
        <v>-0.10600706713780916</v>
      </c>
      <c r="M305" s="509">
        <f t="shared" si="679"/>
        <v>-3.6363636363636265E-2</v>
      </c>
      <c r="N305" s="509">
        <f t="shared" si="679"/>
        <v>-3.8597210828547945E-2</v>
      </c>
      <c r="O305" s="509">
        <f t="shared" si="679"/>
        <v>-6.9798199581894149E-3</v>
      </c>
      <c r="P305" s="509">
        <f t="shared" si="679"/>
        <v>-4.2585734294577016E-2</v>
      </c>
      <c r="Q305" s="509">
        <f t="shared" si="679"/>
        <v>-3.0496944023119643E-2</v>
      </c>
      <c r="R305" s="509">
        <f t="shared" si="679"/>
        <v>8.3315590198385081E-4</v>
      </c>
      <c r="S305" s="509">
        <f t="shared" si="679"/>
        <v>-2.6046821381332519E-2</v>
      </c>
      <c r="T305" s="509">
        <f t="shared" si="679"/>
        <v>-5.0552247452444021E-2</v>
      </c>
      <c r="U305" s="534">
        <v>-3.5000000000000003E-2</v>
      </c>
      <c r="V305" s="534">
        <f>U305</f>
        <v>-3.5000000000000003E-2</v>
      </c>
      <c r="W305" s="534">
        <f>V305</f>
        <v>-3.5000000000000003E-2</v>
      </c>
      <c r="X305" s="534">
        <v>-0.03</v>
      </c>
      <c r="Y305" s="534">
        <v>-0.03</v>
      </c>
      <c r="Z305" s="534">
        <v>-0.03</v>
      </c>
      <c r="AA305" s="534">
        <v>-0.03</v>
      </c>
      <c r="AB305" s="534">
        <v>-0.03</v>
      </c>
      <c r="AD305" s="399"/>
      <c r="AE305" s="399"/>
      <c r="AF305" s="399"/>
      <c r="AG305" s="399"/>
      <c r="AH305" s="399"/>
      <c r="AI305" s="399"/>
      <c r="AJ305" s="399"/>
      <c r="AK305" s="399"/>
      <c r="AL305" s="399"/>
      <c r="AM305" s="399"/>
      <c r="AN305" s="399"/>
      <c r="AO305" s="399"/>
      <c r="AP305" s="399"/>
      <c r="AQ305" s="399"/>
      <c r="AR305" s="399"/>
      <c r="AS305" s="399"/>
      <c r="AT305" s="399"/>
      <c r="AU305" s="399"/>
      <c r="AV305" s="399"/>
      <c r="AW305" s="399"/>
      <c r="AX305" s="399"/>
      <c r="AY305" s="399"/>
      <c r="AZ305" s="399"/>
      <c r="BA305" s="399"/>
      <c r="BB305" s="399"/>
      <c r="BC305" s="399"/>
      <c r="BD305" s="399"/>
      <c r="BE305" s="399"/>
      <c r="BF305" s="399"/>
      <c r="BG305" s="399"/>
      <c r="BH305" s="399"/>
      <c r="BI305" s="399"/>
      <c r="BJ305" s="400"/>
      <c r="BK305" s="400"/>
      <c r="BL305" s="400"/>
      <c r="BM305" s="400"/>
      <c r="BN305" s="374">
        <f t="shared" ref="BN305:CB305" si="680">BN291/BJ291-1</f>
        <v>-5.9322033898305149E-2</v>
      </c>
      <c r="BO305" s="374">
        <f t="shared" si="680"/>
        <v>0</v>
      </c>
      <c r="BP305" s="374">
        <f t="shared" si="680"/>
        <v>0</v>
      </c>
      <c r="BQ305" s="374">
        <f t="shared" si="680"/>
        <v>-8.0428954423592547E-2</v>
      </c>
      <c r="BR305" s="374">
        <f t="shared" si="680"/>
        <v>-3.0030030030028243E-3</v>
      </c>
      <c r="BS305" s="374">
        <f t="shared" si="680"/>
        <v>-2.6525198938992078E-2</v>
      </c>
      <c r="BT305" s="374">
        <f t="shared" si="680"/>
        <v>-4.0920716112532007E-2</v>
      </c>
      <c r="BU305" s="374">
        <f t="shared" si="680"/>
        <v>-5.8309037900873273E-3</v>
      </c>
      <c r="BV305" s="374">
        <f t="shared" si="680"/>
        <v>-0.12349397590361444</v>
      </c>
      <c r="BW305" s="374">
        <f t="shared" si="680"/>
        <v>-5.7220708446866553E-2</v>
      </c>
      <c r="BX305" s="374">
        <f t="shared" si="680"/>
        <v>-0.14933333333333332</v>
      </c>
      <c r="BY305" s="374">
        <f t="shared" si="680"/>
        <v>-9.3841642228739031E-2</v>
      </c>
      <c r="BZ305" s="375">
        <f t="shared" si="680"/>
        <v>1.7182130584192379E-2</v>
      </c>
      <c r="CA305" s="375">
        <f t="shared" si="680"/>
        <v>-9.5375722543352581E-2</v>
      </c>
      <c r="CB305" s="375">
        <f t="shared" si="680"/>
        <v>-3.1347962382444194E-3</v>
      </c>
      <c r="CC305" s="401">
        <v>-5.7000000000000002E-2</v>
      </c>
      <c r="CD305" s="401">
        <v>-5.7000000000000002E-2</v>
      </c>
      <c r="CE305" s="401">
        <v>1.0999999999999999E-2</v>
      </c>
      <c r="CF305" s="401">
        <v>-0.1</v>
      </c>
      <c r="CG305" s="401">
        <v>-6.0000000000000001E-3</v>
      </c>
      <c r="CH305" s="401">
        <v>-3.4000000000000002E-2</v>
      </c>
      <c r="CI305" s="401">
        <v>-8.0000000000000002E-3</v>
      </c>
      <c r="CJ305" s="401">
        <v>0.01</v>
      </c>
      <c r="CK305" s="402">
        <v>3.0000000000000001E-3</v>
      </c>
      <c r="CL305" s="402">
        <v>-5.5E-2</v>
      </c>
      <c r="CM305" s="402">
        <v>-7.1999999999999995E-2</v>
      </c>
      <c r="CN305" s="402">
        <v>1.4999999999999999E-2</v>
      </c>
      <c r="CO305" s="402">
        <v>-5.7000000000000002E-2</v>
      </c>
      <c r="CP305" s="402">
        <v>-2.4E-2</v>
      </c>
      <c r="CQ305" s="402">
        <v>-4.9000000000000002E-2</v>
      </c>
      <c r="CR305" s="402">
        <v>-2.8000000000000001E-2</v>
      </c>
      <c r="CS305" s="446">
        <v>-1.9E-2</v>
      </c>
      <c r="CT305" s="681">
        <v>1.2E-2</v>
      </c>
      <c r="CU305" s="374">
        <f t="shared" ref="CU305:DD305" si="681">+CU291/CQ291-1</f>
        <v>2.9589219263701727E-2</v>
      </c>
      <c r="CV305" s="685">
        <f t="shared" si="681"/>
        <v>-6.6127847171197907E-3</v>
      </c>
      <c r="CW305" s="374">
        <f t="shared" si="681"/>
        <v>-3.1209411066166814E-2</v>
      </c>
      <c r="CX305" s="685">
        <f t="shared" si="681"/>
        <v>9.7145359716526158E-3</v>
      </c>
      <c r="CY305" s="685">
        <f t="shared" si="681"/>
        <v>-5.4916134465576527E-2</v>
      </c>
      <c r="CZ305" s="685">
        <f t="shared" si="681"/>
        <v>-8.4530853761622948E-3</v>
      </c>
      <c r="DA305" s="1012">
        <f t="shared" si="681"/>
        <v>-4.8073239868229645E-2</v>
      </c>
      <c r="DB305" s="1012">
        <f t="shared" si="681"/>
        <v>-2.6260794132723531E-2</v>
      </c>
      <c r="DC305" s="1012">
        <f t="shared" si="681"/>
        <v>-2.8812237775220018E-2</v>
      </c>
      <c r="DD305" s="1012">
        <f t="shared" si="681"/>
        <v>-6.027990906507541E-2</v>
      </c>
      <c r="DE305" s="1012">
        <f>+DE291/DA291-1</f>
        <v>-8.7883787372741495E-2</v>
      </c>
      <c r="DF305" s="446">
        <v>-0.05</v>
      </c>
      <c r="DG305" s="446">
        <v>-4.2500000000000003E-2</v>
      </c>
      <c r="DH305" s="446">
        <v>-3.2500000000000001E-2</v>
      </c>
      <c r="DI305" s="374">
        <f>+DI291/DE291-1</f>
        <v>-1.2920986456081973E-2</v>
      </c>
    </row>
    <row r="306" spans="1:117" hidden="1" outlineLevel="1">
      <c r="A306" s="946" t="s">
        <v>96</v>
      </c>
      <c r="B306" s="508"/>
      <c r="C306" s="509">
        <f t="shared" ref="C306:L306" si="682">C292/B292-1</f>
        <v>0.223679677769828</v>
      </c>
      <c r="D306" s="509">
        <f t="shared" si="682"/>
        <v>0.14381307115942654</v>
      </c>
      <c r="E306" s="509">
        <f t="shared" si="682"/>
        <v>-0.11077453189193298</v>
      </c>
      <c r="F306" s="509">
        <f t="shared" si="682"/>
        <v>0.45249957417816411</v>
      </c>
      <c r="G306" s="509">
        <f t="shared" si="682"/>
        <v>-0.19042523563125735</v>
      </c>
      <c r="H306" s="509">
        <f t="shared" si="682"/>
        <v>3.6664856056491058E-2</v>
      </c>
      <c r="I306" s="509">
        <f t="shared" si="682"/>
        <v>1.9216892112387418E-2</v>
      </c>
      <c r="J306" s="509">
        <f t="shared" si="682"/>
        <v>-2.322435174746329E-2</v>
      </c>
      <c r="K306" s="509">
        <f t="shared" si="682"/>
        <v>-3.5087719298245612E-2</v>
      </c>
      <c r="L306" s="509">
        <f t="shared" si="682"/>
        <v>-0.27272727272727271</v>
      </c>
      <c r="M306" s="509"/>
      <c r="N306" s="509"/>
      <c r="O306" s="509"/>
      <c r="P306" s="509"/>
      <c r="Q306" s="509"/>
      <c r="R306" s="509"/>
      <c r="S306" s="509"/>
      <c r="T306" s="509"/>
      <c r="U306" s="509"/>
      <c r="V306" s="509"/>
      <c r="W306" s="509"/>
      <c r="X306" s="509"/>
      <c r="Y306" s="509"/>
      <c r="Z306" s="509"/>
      <c r="AA306" s="509"/>
      <c r="AB306" s="509"/>
      <c r="AD306" s="399"/>
      <c r="AE306" s="399"/>
      <c r="AF306" s="399"/>
      <c r="AG306" s="399"/>
      <c r="AH306" s="399"/>
      <c r="AI306" s="399"/>
      <c r="AJ306" s="399"/>
      <c r="AK306" s="399"/>
      <c r="AL306" s="399"/>
      <c r="AM306" s="399"/>
      <c r="AN306" s="399"/>
      <c r="AO306" s="399"/>
      <c r="AP306" s="399"/>
      <c r="AQ306" s="399"/>
      <c r="AR306" s="399"/>
      <c r="AS306" s="399"/>
      <c r="AT306" s="399"/>
      <c r="AU306" s="399"/>
      <c r="AV306" s="399"/>
      <c r="AW306" s="399"/>
      <c r="AX306" s="399"/>
      <c r="AY306" s="399"/>
      <c r="AZ306" s="399"/>
      <c r="BA306" s="399"/>
      <c r="BB306" s="399"/>
      <c r="BC306" s="399"/>
      <c r="BD306" s="399"/>
      <c r="BE306" s="399"/>
      <c r="BF306" s="399"/>
      <c r="BG306" s="399"/>
      <c r="BH306" s="399"/>
      <c r="BI306" s="399"/>
      <c r="BJ306" s="400"/>
      <c r="BK306" s="400"/>
      <c r="BL306" s="400"/>
      <c r="BM306" s="400"/>
      <c r="BN306" s="374">
        <f t="shared" ref="BN306:BY309" si="683">BN292/BJ292-1</f>
        <v>-2.6600985221674867E-2</v>
      </c>
      <c r="BO306" s="374">
        <f t="shared" si="683"/>
        <v>0</v>
      </c>
      <c r="BP306" s="374">
        <f t="shared" si="683"/>
        <v>0</v>
      </c>
      <c r="BQ306" s="374">
        <f t="shared" si="683"/>
        <v>6.6666666666666652E-2</v>
      </c>
      <c r="BR306" s="374">
        <f t="shared" si="683"/>
        <v>0</v>
      </c>
      <c r="BS306" s="374">
        <f t="shared" si="683"/>
        <v>-0.1333333333333333</v>
      </c>
      <c r="BT306" s="374">
        <f t="shared" si="683"/>
        <v>0</v>
      </c>
      <c r="BU306" s="374">
        <f t="shared" si="683"/>
        <v>-0.12500000000000011</v>
      </c>
      <c r="BV306" s="374">
        <f t="shared" si="683"/>
        <v>-0.30769230769230771</v>
      </c>
      <c r="BW306" s="374">
        <f t="shared" si="683"/>
        <v>-0.15384615384615385</v>
      </c>
      <c r="BX306" s="374">
        <f t="shared" si="683"/>
        <v>-0.33333333333333337</v>
      </c>
      <c r="BY306" s="374">
        <f t="shared" si="683"/>
        <v>-0.2857142857142857</v>
      </c>
      <c r="BZ306" s="559" t="s">
        <v>269</v>
      </c>
      <c r="CA306" s="559" t="s">
        <v>269</v>
      </c>
      <c r="CB306" s="559" t="s">
        <v>269</v>
      </c>
      <c r="CC306" s="560" t="s">
        <v>269</v>
      </c>
      <c r="CD306" s="559" t="s">
        <v>269</v>
      </c>
      <c r="CE306" s="559" t="s">
        <v>269</v>
      </c>
      <c r="CF306" s="559" t="s">
        <v>269</v>
      </c>
      <c r="CG306" s="560" t="s">
        <v>269</v>
      </c>
      <c r="CH306" s="559"/>
      <c r="CI306" s="559"/>
      <c r="CJ306" s="561"/>
      <c r="CK306" s="561"/>
      <c r="CL306" s="399"/>
      <c r="CM306" s="399"/>
      <c r="CN306" s="399"/>
      <c r="CO306" s="399"/>
      <c r="CP306" s="399"/>
      <c r="CQ306" s="399"/>
      <c r="CR306" s="399"/>
      <c r="CS306" s="399"/>
      <c r="CT306" s="557"/>
      <c r="CU306" s="557"/>
      <c r="CV306" s="557"/>
      <c r="CW306" s="399"/>
      <c r="CX306" s="557"/>
      <c r="CY306" s="557"/>
      <c r="CZ306" s="557"/>
      <c r="DA306" s="1007"/>
      <c r="DB306" s="1007"/>
      <c r="DC306" s="1007"/>
      <c r="DD306" s="1007"/>
      <c r="DE306" s="1007"/>
      <c r="DF306" s="399"/>
      <c r="DG306" s="399"/>
      <c r="DH306" s="399"/>
      <c r="DI306" s="399"/>
    </row>
    <row r="307" spans="1:117" hidden="1" outlineLevel="1">
      <c r="A307" s="946" t="s">
        <v>57</v>
      </c>
      <c r="B307" s="508"/>
      <c r="C307" s="509">
        <f t="shared" ref="C307:L307" si="684">C293/B293-1</f>
        <v>8.4625168932347616E-2</v>
      </c>
      <c r="D307" s="509">
        <f t="shared" si="684"/>
        <v>-6.9382856305200136E-2</v>
      </c>
      <c r="E307" s="509">
        <f t="shared" si="684"/>
        <v>-3.6672409549593943E-2</v>
      </c>
      <c r="F307" s="509">
        <f t="shared" si="684"/>
        <v>2.5293817066939228E-2</v>
      </c>
      <c r="G307" s="509">
        <f t="shared" si="684"/>
        <v>-0.17423374034388228</v>
      </c>
      <c r="H307" s="509">
        <f t="shared" si="684"/>
        <v>-3.2446134347275057E-2</v>
      </c>
      <c r="I307" s="509">
        <f t="shared" si="684"/>
        <v>-0.11391000424824194</v>
      </c>
      <c r="J307" s="509">
        <f t="shared" si="684"/>
        <v>-1.4449796220822431E-2</v>
      </c>
      <c r="K307" s="509">
        <f t="shared" si="684"/>
        <v>-9.9999999999999978E-2</v>
      </c>
      <c r="L307" s="509">
        <f t="shared" si="684"/>
        <v>-0.17460317460317454</v>
      </c>
      <c r="M307" s="509"/>
      <c r="N307" s="509"/>
      <c r="O307" s="509"/>
      <c r="P307" s="509"/>
      <c r="Q307" s="509"/>
      <c r="R307" s="509"/>
      <c r="S307" s="509"/>
      <c r="T307" s="509"/>
      <c r="U307" s="509"/>
      <c r="V307" s="509"/>
      <c r="W307" s="509"/>
      <c r="X307" s="509"/>
      <c r="Y307" s="509"/>
      <c r="Z307" s="509"/>
      <c r="AA307" s="509"/>
      <c r="AB307" s="509"/>
      <c r="AD307" s="399"/>
      <c r="AE307" s="399"/>
      <c r="AF307" s="399"/>
      <c r="AG307" s="399"/>
      <c r="AH307" s="399"/>
      <c r="AI307" s="399"/>
      <c r="AJ307" s="399"/>
      <c r="AK307" s="399"/>
      <c r="AL307" s="399"/>
      <c r="AM307" s="399"/>
      <c r="AN307" s="399"/>
      <c r="AO307" s="399"/>
      <c r="AP307" s="399"/>
      <c r="AQ307" s="399"/>
      <c r="AR307" s="399"/>
      <c r="AS307" s="399"/>
      <c r="AT307" s="399"/>
      <c r="AU307" s="399"/>
      <c r="AV307" s="399"/>
      <c r="AW307" s="399"/>
      <c r="AX307" s="399"/>
      <c r="AY307" s="399"/>
      <c r="AZ307" s="399"/>
      <c r="BA307" s="399"/>
      <c r="BB307" s="399"/>
      <c r="BC307" s="399"/>
      <c r="BD307" s="399"/>
      <c r="BE307" s="399"/>
      <c r="BF307" s="399"/>
      <c r="BG307" s="399"/>
      <c r="BH307" s="399"/>
      <c r="BI307" s="399"/>
      <c r="BJ307" s="400"/>
      <c r="BK307" s="400"/>
      <c r="BL307" s="400"/>
      <c r="BM307" s="400"/>
      <c r="BN307" s="374">
        <f t="shared" si="683"/>
        <v>6.075533661740562E-2</v>
      </c>
      <c r="BO307" s="374">
        <f t="shared" si="683"/>
        <v>0</v>
      </c>
      <c r="BP307" s="374">
        <f t="shared" si="683"/>
        <v>0</v>
      </c>
      <c r="BQ307" s="374">
        <f t="shared" si="683"/>
        <v>-0.11111111111111105</v>
      </c>
      <c r="BR307" s="374">
        <f t="shared" si="683"/>
        <v>-0.11764705882352944</v>
      </c>
      <c r="BS307" s="374">
        <f t="shared" si="683"/>
        <v>-0.11111111111111105</v>
      </c>
      <c r="BT307" s="374">
        <f t="shared" si="683"/>
        <v>-0.1578947368421052</v>
      </c>
      <c r="BU307" s="374">
        <f t="shared" si="683"/>
        <v>0</v>
      </c>
      <c r="BV307" s="374">
        <f t="shared" si="683"/>
        <v>-0.20000000000000007</v>
      </c>
      <c r="BW307" s="374">
        <f t="shared" si="683"/>
        <v>-6.25E-2</v>
      </c>
      <c r="BX307" s="374">
        <f t="shared" si="683"/>
        <v>-0.1875</v>
      </c>
      <c r="BY307" s="374">
        <f t="shared" si="683"/>
        <v>-0.25000000000000011</v>
      </c>
      <c r="BZ307" s="559" t="s">
        <v>269</v>
      </c>
      <c r="CA307" s="559" t="s">
        <v>269</v>
      </c>
      <c r="CB307" s="559" t="s">
        <v>269</v>
      </c>
      <c r="CC307" s="560" t="s">
        <v>269</v>
      </c>
      <c r="CD307" s="559" t="s">
        <v>269</v>
      </c>
      <c r="CE307" s="559" t="s">
        <v>269</v>
      </c>
      <c r="CF307" s="559" t="s">
        <v>269</v>
      </c>
      <c r="CG307" s="560" t="s">
        <v>269</v>
      </c>
      <c r="CH307" s="559"/>
      <c r="CI307" s="559"/>
      <c r="CJ307" s="561"/>
      <c r="CK307" s="561"/>
      <c r="CL307" s="399"/>
      <c r="CM307" s="399"/>
      <c r="CN307" s="399"/>
      <c r="CO307" s="399"/>
      <c r="CP307" s="399"/>
      <c r="CQ307" s="399"/>
      <c r="CR307" s="399"/>
      <c r="CS307" s="399"/>
      <c r="CT307" s="557"/>
      <c r="CU307" s="557"/>
      <c r="CV307" s="557"/>
      <c r="CW307" s="399"/>
      <c r="CX307" s="557"/>
      <c r="CY307" s="557"/>
      <c r="CZ307" s="557"/>
      <c r="DA307" s="1007"/>
      <c r="DB307" s="1007"/>
      <c r="DC307" s="1007"/>
      <c r="DD307" s="1007"/>
      <c r="DE307" s="1007"/>
      <c r="DF307" s="399"/>
      <c r="DG307" s="399"/>
      <c r="DH307" s="399"/>
      <c r="DI307" s="399"/>
    </row>
    <row r="308" spans="1:117" hidden="1" outlineLevel="1">
      <c r="A308" s="946" t="s">
        <v>169</v>
      </c>
      <c r="B308" s="508"/>
      <c r="C308" s="509">
        <f t="shared" ref="C308:L308" si="685">C294/B294-1</f>
        <v>6.2489961403116023E-2</v>
      </c>
      <c r="D308" s="509">
        <f t="shared" si="685"/>
        <v>-6.9382856305200136E-2</v>
      </c>
      <c r="E308" s="509">
        <f t="shared" si="685"/>
        <v>-0.13300516859463463</v>
      </c>
      <c r="F308" s="509">
        <f t="shared" si="685"/>
        <v>-2.027479702492474E-2</v>
      </c>
      <c r="G308" s="509">
        <f t="shared" si="685"/>
        <v>-8.5530166493778981E-2</v>
      </c>
      <c r="H308" s="509">
        <f t="shared" si="685"/>
        <v>-3.2446134347274946E-2</v>
      </c>
      <c r="I308" s="509">
        <f t="shared" si="685"/>
        <v>-0.1026984542834688</v>
      </c>
      <c r="J308" s="509">
        <f t="shared" si="685"/>
        <v>-5.1094890510948843E-2</v>
      </c>
      <c r="K308" s="509">
        <f t="shared" si="685"/>
        <v>-6.9230769230769207E-2</v>
      </c>
      <c r="L308" s="509">
        <f t="shared" si="685"/>
        <v>-0.2396694214876034</v>
      </c>
      <c r="M308" s="509"/>
      <c r="N308" s="509"/>
      <c r="O308" s="509"/>
      <c r="P308" s="509"/>
      <c r="Q308" s="509"/>
      <c r="R308" s="509"/>
      <c r="S308" s="509"/>
      <c r="T308" s="509"/>
      <c r="U308" s="509"/>
      <c r="V308" s="509"/>
      <c r="W308" s="509"/>
      <c r="X308" s="509"/>
      <c r="Y308" s="509"/>
      <c r="Z308" s="509"/>
      <c r="AA308" s="509"/>
      <c r="AB308" s="509"/>
      <c r="AD308" s="399"/>
      <c r="AE308" s="399"/>
      <c r="AF308" s="399"/>
      <c r="AG308" s="399"/>
      <c r="AH308" s="399"/>
      <c r="AI308" s="399"/>
      <c r="AJ308" s="399"/>
      <c r="AK308" s="399"/>
      <c r="AL308" s="399"/>
      <c r="AM308" s="399"/>
      <c r="AN308" s="399"/>
      <c r="AO308" s="399"/>
      <c r="AP308" s="399"/>
      <c r="AQ308" s="399"/>
      <c r="AR308" s="399"/>
      <c r="AS308" s="399"/>
      <c r="AT308" s="399"/>
      <c r="AU308" s="399"/>
      <c r="AV308" s="399"/>
      <c r="AW308" s="399"/>
      <c r="AX308" s="399"/>
      <c r="AY308" s="399"/>
      <c r="AZ308" s="399"/>
      <c r="BA308" s="399"/>
      <c r="BB308" s="399"/>
      <c r="BC308" s="399"/>
      <c r="BD308" s="399"/>
      <c r="BE308" s="399"/>
      <c r="BF308" s="399"/>
      <c r="BG308" s="399"/>
      <c r="BH308" s="399"/>
      <c r="BI308" s="399"/>
      <c r="BJ308" s="400"/>
      <c r="BK308" s="400"/>
      <c r="BL308" s="400"/>
      <c r="BM308" s="400"/>
      <c r="BN308" s="374">
        <f t="shared" si="683"/>
        <v>-5.8823529411764608E-2</v>
      </c>
      <c r="BO308" s="374">
        <f t="shared" si="683"/>
        <v>0</v>
      </c>
      <c r="BP308" s="374">
        <f t="shared" si="683"/>
        <v>0</v>
      </c>
      <c r="BQ308" s="374">
        <f t="shared" si="683"/>
        <v>-0.11428571428571421</v>
      </c>
      <c r="BR308" s="374">
        <f t="shared" si="683"/>
        <v>-3.125E-2</v>
      </c>
      <c r="BS308" s="374">
        <f t="shared" si="683"/>
        <v>-0.1428571428571429</v>
      </c>
      <c r="BT308" s="374">
        <f t="shared" si="683"/>
        <v>-8.5714285714285632E-2</v>
      </c>
      <c r="BU308" s="374">
        <f t="shared" si="683"/>
        <v>-9.6774193548387233E-2</v>
      </c>
      <c r="BV308" s="374">
        <f t="shared" si="683"/>
        <v>-0.22580645161290325</v>
      </c>
      <c r="BW308" s="374">
        <f t="shared" si="683"/>
        <v>-0.16666666666666663</v>
      </c>
      <c r="BX308" s="374">
        <f t="shared" si="683"/>
        <v>-0.28125000000000011</v>
      </c>
      <c r="BY308" s="374">
        <f t="shared" si="683"/>
        <v>-0.2857142857142857</v>
      </c>
      <c r="BZ308" s="559" t="s">
        <v>269</v>
      </c>
      <c r="CA308" s="559" t="s">
        <v>269</v>
      </c>
      <c r="CB308" s="559" t="s">
        <v>269</v>
      </c>
      <c r="CC308" s="560" t="s">
        <v>269</v>
      </c>
      <c r="CD308" s="559" t="s">
        <v>269</v>
      </c>
      <c r="CE308" s="559" t="s">
        <v>269</v>
      </c>
      <c r="CF308" s="559" t="s">
        <v>269</v>
      </c>
      <c r="CG308" s="560" t="s">
        <v>269</v>
      </c>
      <c r="CH308" s="559"/>
      <c r="CI308" s="559"/>
      <c r="CJ308" s="561"/>
      <c r="CK308" s="561"/>
      <c r="CL308" s="399"/>
      <c r="CM308" s="399"/>
      <c r="CN308" s="399"/>
      <c r="CO308" s="399"/>
      <c r="CP308" s="399"/>
      <c r="CQ308" s="399"/>
      <c r="CR308" s="399"/>
      <c r="CS308" s="399"/>
      <c r="CT308" s="557"/>
      <c r="CU308" s="557"/>
      <c r="CV308" s="557"/>
      <c r="CW308" s="399"/>
      <c r="CX308" s="557"/>
      <c r="CY308" s="557"/>
      <c r="CZ308" s="557"/>
      <c r="DA308" s="1007"/>
      <c r="DB308" s="1007"/>
      <c r="DC308" s="1007"/>
      <c r="DD308" s="1007"/>
      <c r="DE308" s="1007"/>
      <c r="DF308" s="399"/>
      <c r="DG308" s="399"/>
      <c r="DH308" s="399"/>
      <c r="DI308" s="399"/>
    </row>
    <row r="309" spans="1:117" collapsed="1">
      <c r="A309" s="946" t="s">
        <v>63</v>
      </c>
      <c r="B309" s="508"/>
      <c r="C309" s="509">
        <f t="shared" ref="C309:L309" si="686">C295/B295-1</f>
        <v>-0.21661395375705672</v>
      </c>
      <c r="D309" s="509">
        <f t="shared" si="686"/>
        <v>-0.15805127448811873</v>
      </c>
      <c r="E309" s="509">
        <f t="shared" si="686"/>
        <v>-0.21370390914664228</v>
      </c>
      <c r="F309" s="509">
        <f t="shared" si="686"/>
        <v>-0.94472394460327602</v>
      </c>
      <c r="G309" s="509">
        <f t="shared" si="686"/>
        <v>1.8295549958019124</v>
      </c>
      <c r="H309" s="509">
        <f t="shared" si="686"/>
        <v>1.2616023738872206</v>
      </c>
      <c r="I309" s="509">
        <f t="shared" si="686"/>
        <v>1.4566605713401959</v>
      </c>
      <c r="J309" s="509">
        <f t="shared" si="686"/>
        <v>-0.44455375966268218</v>
      </c>
      <c r="K309" s="509">
        <f t="shared" si="686"/>
        <v>-0.23076923076923328</v>
      </c>
      <c r="L309" s="509">
        <f t="shared" si="686"/>
        <v>-4.9999999999997158E-2</v>
      </c>
      <c r="M309" s="509">
        <f t="shared" ref="M309:W309" si="687">M295/SUM(L292:L295)-1</f>
        <v>-0.14864864864864913</v>
      </c>
      <c r="N309" s="509">
        <f t="shared" si="687"/>
        <v>-5.0211640211640263E-2</v>
      </c>
      <c r="O309" s="509">
        <f t="shared" si="687"/>
        <v>3.0416132805971774E-2</v>
      </c>
      <c r="P309" s="509">
        <f t="shared" si="687"/>
        <v>-3.2762069524787552E-2</v>
      </c>
      <c r="Q309" s="509">
        <f t="shared" si="687"/>
        <v>-2.9288469062657252E-2</v>
      </c>
      <c r="R309" s="509">
        <f t="shared" si="687"/>
        <v>3.0978292163298171E-2</v>
      </c>
      <c r="S309" s="509">
        <f t="shared" si="687"/>
        <v>-1.5191287349902605E-2</v>
      </c>
      <c r="T309" s="509">
        <f t="shared" si="687"/>
        <v>-5.6768558951964976E-2</v>
      </c>
      <c r="U309" s="509">
        <f t="shared" si="687"/>
        <v>-7.0054713804714064E-2</v>
      </c>
      <c r="V309" s="509">
        <f t="shared" si="687"/>
        <v>-5.3093820008598858E-2</v>
      </c>
      <c r="W309" s="509">
        <f t="shared" si="687"/>
        <v>-3.5000000000000475E-2</v>
      </c>
      <c r="X309" s="509">
        <f>X295/SUM(W292:W295)-1</f>
        <v>-4.4713433813208248E-2</v>
      </c>
      <c r="Y309" s="509">
        <f>Y295/SUM(X292:X295)-1</f>
        <v>-4.4909247586342849E-2</v>
      </c>
      <c r="Z309" s="509">
        <f>Z295/SUM(Y292:Y295)-1</f>
        <v>-4.5110764738437004E-2</v>
      </c>
      <c r="AA309" s="509">
        <f>AA295/SUM(Z292:Z295)-1</f>
        <v>-4.5318237683138474E-2</v>
      </c>
      <c r="AB309" s="509">
        <f>AB295/SUM(AA292:AA295)-1</f>
        <v>-4.553193395178301E-2</v>
      </c>
      <c r="AD309" s="399"/>
      <c r="AE309" s="399"/>
      <c r="AF309" s="399"/>
      <c r="AG309" s="399"/>
      <c r="AH309" s="399"/>
      <c r="AI309" s="399"/>
      <c r="AJ309" s="399"/>
      <c r="AK309" s="399"/>
      <c r="AL309" s="399"/>
      <c r="AM309" s="399"/>
      <c r="AN309" s="399"/>
      <c r="AO309" s="399"/>
      <c r="AP309" s="399"/>
      <c r="AQ309" s="399"/>
      <c r="AR309" s="399"/>
      <c r="AS309" s="399"/>
      <c r="AT309" s="399"/>
      <c r="AU309" s="399"/>
      <c r="AV309" s="399"/>
      <c r="AW309" s="399"/>
      <c r="AX309" s="399"/>
      <c r="AY309" s="399"/>
      <c r="AZ309" s="399"/>
      <c r="BA309" s="399"/>
      <c r="BB309" s="399"/>
      <c r="BC309" s="399"/>
      <c r="BD309" s="399"/>
      <c r="BE309" s="399"/>
      <c r="BF309" s="399"/>
      <c r="BG309" s="399"/>
      <c r="BH309" s="399"/>
      <c r="BI309" s="399"/>
      <c r="BJ309" s="554"/>
      <c r="BK309" s="554"/>
      <c r="BL309" s="554"/>
      <c r="BM309" s="554"/>
      <c r="BN309" s="374">
        <f t="shared" si="683"/>
        <v>-0.29570345408593113</v>
      </c>
      <c r="BO309" s="374">
        <f t="shared" si="683"/>
        <v>-0.59259259259259256</v>
      </c>
      <c r="BP309" s="374">
        <f t="shared" si="683"/>
        <v>-0.31249999999999978</v>
      </c>
      <c r="BQ309" s="374">
        <f t="shared" si="683"/>
        <v>-1.1879386363489175E-14</v>
      </c>
      <c r="BR309" s="374">
        <f t="shared" si="683"/>
        <v>-9.090909090909205E-2</v>
      </c>
      <c r="BS309" s="374">
        <f t="shared" si="683"/>
        <v>-9.090909090909205E-2</v>
      </c>
      <c r="BT309" s="374">
        <f t="shared" si="683"/>
        <v>-6.4392935428259079E-15</v>
      </c>
      <c r="BU309" s="374">
        <f t="shared" si="683"/>
        <v>-0.249999999999997</v>
      </c>
      <c r="BV309" s="374">
        <f t="shared" si="683"/>
        <v>-0.20000000000000284</v>
      </c>
      <c r="BW309" s="374">
        <f t="shared" si="683"/>
        <v>-0.10000000000000142</v>
      </c>
      <c r="BX309" s="374">
        <f t="shared" si="683"/>
        <v>-9.0909090909079726E-2</v>
      </c>
      <c r="BY309" s="374">
        <f t="shared" si="683"/>
        <v>0.22222222222220811</v>
      </c>
      <c r="BZ309" s="375">
        <f t="shared" ref="BZ309:CJ309" si="688">BZ295/SUM(BV292:BV295)-1</f>
        <v>-0.15094339622641462</v>
      </c>
      <c r="CA309" s="375">
        <f t="shared" si="688"/>
        <v>-0.13333333333333319</v>
      </c>
      <c r="CB309" s="375">
        <f t="shared" si="688"/>
        <v>-0.14285714285714379</v>
      </c>
      <c r="CC309" s="375">
        <f t="shared" si="688"/>
        <v>-0.16981132075471572</v>
      </c>
      <c r="CD309" s="375">
        <f t="shared" si="688"/>
        <v>-9.2000000000000304E-2</v>
      </c>
      <c r="CE309" s="375">
        <f t="shared" si="688"/>
        <v>-0.12211538461538496</v>
      </c>
      <c r="CF309" s="375">
        <f t="shared" si="688"/>
        <v>-4.1666666666667296E-2</v>
      </c>
      <c r="CG309" s="375">
        <f t="shared" si="688"/>
        <v>6.8181818181818343E-2</v>
      </c>
      <c r="CH309" s="375">
        <f t="shared" si="688"/>
        <v>2.6676456191875086E-2</v>
      </c>
      <c r="CI309" s="375">
        <f t="shared" si="688"/>
        <v>6.2431544359256019E-2</v>
      </c>
      <c r="CJ309" s="375">
        <f t="shared" si="688"/>
        <v>3.2173913043478164E-2</v>
      </c>
      <c r="CK309" s="375">
        <f>CK295/CG295-1</f>
        <v>8.5106382978605843E-4</v>
      </c>
      <c r="CL309" s="375">
        <f>CL295/SUM(CH292:CH295)-1</f>
        <v>-3.0750893921334344E-2</v>
      </c>
      <c r="CM309" s="375">
        <f>CM295/SUM(CI292:CI295)-1</f>
        <v>-3.092783505154606E-2</v>
      </c>
      <c r="CN309" s="375">
        <f>CN295/SUM(CJ292:CJ295)-1</f>
        <v>-6.3184498736312822E-3</v>
      </c>
      <c r="CO309" s="375">
        <f>+CO295/CK295-1</f>
        <v>-6.3137755102040227E-2</v>
      </c>
      <c r="CP309" s="375">
        <f>CP295/SUM(CL292:CL295)-1</f>
        <v>-3.271028037383239E-2</v>
      </c>
      <c r="CQ309" s="375">
        <f>CQ295/SUM(CM292:CM295)-1</f>
        <v>-5.2127659574468299E-2</v>
      </c>
      <c r="CR309" s="375">
        <f>CR295/SUM(CN292:CN295)-1</f>
        <v>-2.8401865197116738E-2</v>
      </c>
      <c r="CS309" s="375">
        <f>+CS295/CO295-1</f>
        <v>-2.7229407760381852E-3</v>
      </c>
      <c r="CT309" s="682">
        <f>CT295/SUM(CP292:CP295)-1</f>
        <v>3.7630307653190975E-2</v>
      </c>
      <c r="CU309" s="682">
        <f>CU295/SUM(CQ292:CQ295)-1</f>
        <v>3.8383838383838187E-2</v>
      </c>
      <c r="CV309" s="682">
        <f>CV295/SUM(CR292:CR295)-1</f>
        <v>4.4938917975567927E-2</v>
      </c>
      <c r="CW309" s="375">
        <f>+CW295/CS295-1</f>
        <v>2.9579067121725533E-3</v>
      </c>
      <c r="CX309" s="682">
        <f>CX295/SUM(CT292:CT295)-1</f>
        <v>2.376868414604294E-2</v>
      </c>
      <c r="CY309" s="682">
        <f>CY295/SUM(CU292:CU295)-1</f>
        <v>-1.9239083441418559E-2</v>
      </c>
      <c r="CZ309" s="682">
        <f>CZ295/SUM(CV292:CV295)-1</f>
        <v>-1.6283924843425113E-2</v>
      </c>
      <c r="DA309" s="1013">
        <f t="shared" ref="DA309:DI309" si="689">+DA295/CW295-1</f>
        <v>-4.582577132486354E-2</v>
      </c>
      <c r="DB309" s="1013">
        <f t="shared" si="689"/>
        <v>-3.4944949736716358E-2</v>
      </c>
      <c r="DC309" s="1013">
        <f t="shared" si="689"/>
        <v>-2.7551245316288275E-2</v>
      </c>
      <c r="DD309" s="1013">
        <f t="shared" si="689"/>
        <v>-7.1943972835313064E-2</v>
      </c>
      <c r="DE309" s="1013">
        <f t="shared" si="689"/>
        <v>-9.2962434617213985E-2</v>
      </c>
      <c r="DF309" s="374">
        <f t="shared" si="689"/>
        <v>-0.13549702380952344</v>
      </c>
      <c r="DG309" s="374">
        <f t="shared" si="689"/>
        <v>-5.9821509519492166E-2</v>
      </c>
      <c r="DH309" s="374">
        <f t="shared" si="689"/>
        <v>-5.0124056711639997E-2</v>
      </c>
      <c r="DI309" s="375">
        <f t="shared" si="689"/>
        <v>-3.5570380078638109E-2</v>
      </c>
    </row>
    <row r="310" spans="1:117">
      <c r="A310" s="333" t="s">
        <v>315</v>
      </c>
      <c r="B310" s="339"/>
      <c r="C310" s="188">
        <f t="shared" ref="C310:L310" si="690">C296/B296-1</f>
        <v>1.7771373679154712E-2</v>
      </c>
      <c r="D310" s="188">
        <f t="shared" si="690"/>
        <v>-2.2652194431335593E-2</v>
      </c>
      <c r="E310" s="188">
        <f t="shared" si="690"/>
        <v>-7.4843070980202819E-2</v>
      </c>
      <c r="F310" s="188">
        <f t="shared" si="690"/>
        <v>-2.2964509394572064E-2</v>
      </c>
      <c r="G310" s="188">
        <f t="shared" si="690"/>
        <v>-5.3418803418803229E-4</v>
      </c>
      <c r="H310" s="188">
        <f t="shared" si="690"/>
        <v>-8.5515766969535001E-3</v>
      </c>
      <c r="I310" s="188">
        <f t="shared" si="690"/>
        <v>-1.132075471698113E-2</v>
      </c>
      <c r="J310" s="188">
        <f t="shared" si="690"/>
        <v>-4.5256270447110225E-2</v>
      </c>
      <c r="K310" s="188">
        <f t="shared" si="690"/>
        <v>-3.2552826956025016E-2</v>
      </c>
      <c r="L310" s="188">
        <f t="shared" si="690"/>
        <v>-0.12219598583234959</v>
      </c>
      <c r="M310" s="188">
        <f t="shared" ref="M310:T310" si="691">M296/L296-1</f>
        <v>-5.3127101546738276E-2</v>
      </c>
      <c r="N310" s="188">
        <f t="shared" si="691"/>
        <v>-4.0156250000000004E-2</v>
      </c>
      <c r="O310" s="188">
        <f t="shared" si="691"/>
        <v>-2.0126381838901919E-3</v>
      </c>
      <c r="P310" s="188">
        <f t="shared" si="691"/>
        <v>-4.1238489256639421E-2</v>
      </c>
      <c r="Q310" s="188">
        <f t="shared" si="691"/>
        <v>-3.0329745112596007E-2</v>
      </c>
      <c r="R310" s="188">
        <f t="shared" si="691"/>
        <v>5.0083738735147154E-3</v>
      </c>
      <c r="S310" s="188">
        <f t="shared" si="691"/>
        <v>-2.4504435874240227E-2</v>
      </c>
      <c r="T310" s="188">
        <f t="shared" si="691"/>
        <v>-5.1443911168957968E-2</v>
      </c>
      <c r="U310" s="893">
        <v>-0.04</v>
      </c>
      <c r="V310" s="893">
        <v>-3.7499999999999999E-2</v>
      </c>
      <c r="W310" s="893">
        <v>-3.5000000000000003E-2</v>
      </c>
      <c r="X310" s="893">
        <v>-3.2000000000000001E-2</v>
      </c>
      <c r="Y310" s="893">
        <v>-3.2000000000000001E-2</v>
      </c>
      <c r="Z310" s="893">
        <v>-3.2000000000000001E-2</v>
      </c>
      <c r="AA310" s="893">
        <v>-3.2000000000000001E-2</v>
      </c>
      <c r="AB310" s="893">
        <v>-3.2000000000000001E-2</v>
      </c>
      <c r="AD310" s="332"/>
      <c r="AE310" s="332"/>
      <c r="AF310" s="332"/>
      <c r="AG310" s="332"/>
      <c r="AH310" s="332"/>
      <c r="AI310" s="332"/>
      <c r="AJ310" s="332"/>
      <c r="AK310" s="332"/>
      <c r="AL310" s="332"/>
      <c r="AM310" s="332"/>
      <c r="AN310" s="332"/>
      <c r="AO310" s="332"/>
      <c r="AP310" s="332"/>
      <c r="AQ310" s="332"/>
      <c r="AR310" s="332"/>
      <c r="AS310" s="332"/>
      <c r="AT310" s="332"/>
      <c r="AU310" s="332"/>
      <c r="AV310" s="332"/>
      <c r="AW310" s="332"/>
      <c r="AX310" s="332"/>
      <c r="AY310" s="332"/>
      <c r="AZ310" s="332"/>
      <c r="BA310" s="332"/>
      <c r="BB310" s="332"/>
      <c r="BC310" s="332"/>
      <c r="BD310" s="332"/>
      <c r="BE310" s="332"/>
      <c r="BF310" s="332"/>
      <c r="BG310" s="332"/>
      <c r="BH310" s="332"/>
      <c r="BI310" s="332"/>
      <c r="BJ310" s="336"/>
      <c r="BK310" s="336"/>
      <c r="BL310" s="336"/>
      <c r="BM310" s="336"/>
      <c r="BN310" s="337">
        <f t="shared" ref="BN310:BT310" si="692">BN296/BJ296-1</f>
        <v>-6.2355658198614217E-2</v>
      </c>
      <c r="BO310" s="337">
        <f t="shared" si="692"/>
        <v>-3.3898305084745783E-2</v>
      </c>
      <c r="BP310" s="337">
        <f t="shared" si="692"/>
        <v>-1.0504201680672232E-2</v>
      </c>
      <c r="BQ310" s="337">
        <f t="shared" si="692"/>
        <v>-7.7262693156733064E-2</v>
      </c>
      <c r="BR310" s="337">
        <f t="shared" si="692"/>
        <v>-1.2315270935960632E-2</v>
      </c>
      <c r="BS310" s="337">
        <f t="shared" si="692"/>
        <v>-4.3859649122807043E-2</v>
      </c>
      <c r="BT310" s="337">
        <f t="shared" si="692"/>
        <v>-4.6709129511677383E-2</v>
      </c>
      <c r="BU310" s="346">
        <v>-2.1000000000000001E-2</v>
      </c>
      <c r="BV310" s="337">
        <f t="shared" ref="BV310:CB310" si="693">BV296/BR296-1</f>
        <v>-0.14214463840399005</v>
      </c>
      <c r="BW310" s="337">
        <f t="shared" si="693"/>
        <v>-6.8807339449541316E-2</v>
      </c>
      <c r="BX310" s="337">
        <f t="shared" si="693"/>
        <v>-0.16481069042316254</v>
      </c>
      <c r="BY310" s="337">
        <f t="shared" si="693"/>
        <v>-0.11274509803921584</v>
      </c>
      <c r="BZ310" s="338">
        <f t="shared" si="693"/>
        <v>-8.720930232558044E-3</v>
      </c>
      <c r="CA310" s="338">
        <f t="shared" si="693"/>
        <v>-0.10098522167487689</v>
      </c>
      <c r="CB310" s="338">
        <f t="shared" si="693"/>
        <v>-2.399999999999991E-2</v>
      </c>
      <c r="CC310" s="344">
        <v>-7.0000000000000007E-2</v>
      </c>
      <c r="CD310" s="344">
        <v>-6.4000000000000001E-2</v>
      </c>
      <c r="CE310" s="344">
        <v>-7.0000000000000001E-3</v>
      </c>
      <c r="CF310" s="344">
        <v>-0.09</v>
      </c>
      <c r="CG310" s="344">
        <v>2E-3</v>
      </c>
      <c r="CH310" s="344">
        <v>-2.5999999999999999E-2</v>
      </c>
      <c r="CI310" s="344">
        <v>1E-3</v>
      </c>
      <c r="CJ310" s="353">
        <v>1.2E-2</v>
      </c>
      <c r="CK310" s="353">
        <v>4.0000000000000001E-3</v>
      </c>
      <c r="CL310" s="346">
        <v>-5.1999999999999998E-2</v>
      </c>
      <c r="CM310" s="346">
        <v>-6.7000000000000004E-2</v>
      </c>
      <c r="CN310" s="346">
        <v>1.2E-2</v>
      </c>
      <c r="CO310" s="346">
        <v>-5.8000000000000003E-2</v>
      </c>
      <c r="CP310" s="346">
        <v>-2.5000000000000001E-2</v>
      </c>
      <c r="CQ310" s="346">
        <v>-0.05</v>
      </c>
      <c r="CR310" s="346">
        <v>-2.8000000000000001E-2</v>
      </c>
      <c r="CS310" s="447">
        <v>-1.7000000000000001E-2</v>
      </c>
      <c r="CT310" s="683">
        <v>1.6E-2</v>
      </c>
      <c r="CU310" s="683">
        <v>3.1E-2</v>
      </c>
      <c r="CV310" s="683">
        <v>1E-3</v>
      </c>
      <c r="CW310" s="447">
        <v>-2.5999999999999999E-2</v>
      </c>
      <c r="CX310" s="447">
        <v>1.2E-2</v>
      </c>
      <c r="CY310" s="447">
        <v>-0.05</v>
      </c>
      <c r="CZ310" s="683">
        <v>-0.01</v>
      </c>
      <c r="DA310" s="1014">
        <v>-4.8000000000000001E-2</v>
      </c>
      <c r="DB310" s="1059">
        <v>-2.7E-2</v>
      </c>
      <c r="DC310" s="1014">
        <v>-2.9000000000000001E-2</v>
      </c>
      <c r="DD310" s="1014">
        <v>-6.2E-2</v>
      </c>
      <c r="DE310" s="1014">
        <v>-8.8999999999999996E-2</v>
      </c>
      <c r="DF310" s="447">
        <v>-6.2E-2</v>
      </c>
      <c r="DG310" s="447">
        <v>-4.4999999999999998E-2</v>
      </c>
      <c r="DH310" s="447">
        <v>-3.5000000000000003E-2</v>
      </c>
      <c r="DI310" s="337">
        <f>+DI314+SUM(DI315:DI319)</f>
        <v>-1.6183860735594302E-2</v>
      </c>
      <c r="DJ310" s="539"/>
      <c r="DK310" s="539"/>
      <c r="DL310" s="539"/>
      <c r="DM310" s="539"/>
    </row>
    <row r="311" spans="1:117">
      <c r="A311" s="946" t="s">
        <v>446</v>
      </c>
      <c r="P311" s="509">
        <f t="shared" ref="P311:T312" si="694">+P299/O299-1</f>
        <v>-4.6909748332080059E-2</v>
      </c>
      <c r="Q311" s="509">
        <f t="shared" si="694"/>
        <v>-3.4177703916335012E-2</v>
      </c>
      <c r="R311" s="509">
        <f t="shared" si="694"/>
        <v>-1.7728339271748661E-3</v>
      </c>
      <c r="S311" s="509">
        <f t="shared" si="694"/>
        <v>-2.7745372869256379E-2</v>
      </c>
      <c r="T311" s="509">
        <f t="shared" si="694"/>
        <v>-1</v>
      </c>
      <c r="AD311" s="399"/>
      <c r="AE311" s="399"/>
      <c r="AF311" s="399"/>
      <c r="AG311" s="399"/>
      <c r="AH311" s="399"/>
      <c r="AI311" s="399"/>
      <c r="AJ311" s="399"/>
      <c r="AK311" s="399"/>
      <c r="AL311" s="399"/>
      <c r="AM311" s="399"/>
      <c r="AN311" s="399"/>
      <c r="AO311" s="399"/>
      <c r="AP311" s="399"/>
      <c r="AQ311" s="399"/>
      <c r="AR311" s="399"/>
      <c r="AS311" s="399"/>
      <c r="AT311" s="399"/>
      <c r="AU311" s="399"/>
      <c r="AV311" s="399"/>
      <c r="AW311" s="399"/>
      <c r="AX311" s="399"/>
      <c r="AY311" s="399"/>
      <c r="AZ311" s="399"/>
      <c r="BA311" s="399"/>
      <c r="BB311" s="399"/>
      <c r="BC311" s="399"/>
      <c r="BD311" s="399"/>
      <c r="BE311" s="399"/>
      <c r="BF311" s="399"/>
      <c r="BG311" s="399"/>
      <c r="BH311" s="399"/>
      <c r="BI311" s="399"/>
      <c r="BJ311" s="554"/>
      <c r="BK311" s="554"/>
      <c r="BL311" s="554"/>
      <c r="BM311" s="554"/>
      <c r="BN311" s="374"/>
      <c r="BO311" s="374"/>
      <c r="BP311" s="374"/>
      <c r="BQ311" s="374"/>
      <c r="BR311" s="374"/>
      <c r="BS311" s="374"/>
      <c r="BT311" s="374"/>
      <c r="BU311" s="402"/>
      <c r="BV311" s="374"/>
      <c r="BW311" s="374"/>
      <c r="BX311" s="374"/>
      <c r="BY311" s="374"/>
      <c r="BZ311" s="375">
        <f>BZ299/BV299-1</f>
        <v>6.2893081761006275E-3</v>
      </c>
      <c r="CA311" s="375">
        <f>CA299/BW299-1</f>
        <v>-0.1029023746701847</v>
      </c>
      <c r="CB311" s="375">
        <f>CB299/BX299-1</f>
        <v>-8.5959885386818202E-3</v>
      </c>
      <c r="CC311" s="401">
        <f>CC299/BY299-1</f>
        <v>-6.2314540059347112E-2</v>
      </c>
      <c r="CD311" s="401">
        <f>CD299/BZ299-1</f>
        <v>-6.0593750000000002E-2</v>
      </c>
      <c r="CE311" s="401">
        <f>(31.6+2.5)/(31.3+2.7)-1</f>
        <v>2.9411764705882248E-3</v>
      </c>
      <c r="CF311" s="401">
        <f>(28.7+2.4)/(31.8+2.8)-1</f>
        <v>-0.10115606936416199</v>
      </c>
      <c r="CG311" s="401">
        <f>(29+2.3)/(29.3+2.4)-1</f>
        <v>-1.2618296529968376E-2</v>
      </c>
      <c r="CH311" s="401">
        <f>+(26.913+2.036)/(27.861+2.25)-1</f>
        <v>-3.8590548304606287E-2</v>
      </c>
      <c r="CI311" s="401">
        <f>+(31.381+2.29)/(31.634+2.501)-1</f>
        <v>-1.3593086275084154E-2</v>
      </c>
      <c r="CJ311" s="562">
        <f>+(28.954+2.177)/(28.673+2.364)-1</f>
        <v>3.0286432322712553E-3</v>
      </c>
      <c r="CK311" s="562">
        <f>+(29129+2126)/(29033+2266)-1</f>
        <v>-1.4057957123231324E-3</v>
      </c>
      <c r="CL311" s="374">
        <f t="shared" ref="CL311:DC312" si="695">CL299/CH299-1</f>
        <v>-5.9829355072714141E-2</v>
      </c>
      <c r="CM311" s="374">
        <f t="shared" si="695"/>
        <v>-7.4604258857770778E-2</v>
      </c>
      <c r="CN311" s="374">
        <f t="shared" si="695"/>
        <v>9.1227393916031296E-3</v>
      </c>
      <c r="CO311" s="374">
        <f t="shared" si="695"/>
        <v>-6.0918253079507378E-2</v>
      </c>
      <c r="CP311" s="374">
        <f t="shared" si="695"/>
        <v>-2.8364625050519843E-2</v>
      </c>
      <c r="CQ311" s="374">
        <f t="shared" si="695"/>
        <v>-5.2986296094226337E-2</v>
      </c>
      <c r="CR311" s="374">
        <f t="shared" si="695"/>
        <v>-3.1386280439280601E-2</v>
      </c>
      <c r="CS311" s="374">
        <f t="shared" si="695"/>
        <v>-2.2588668188477379E-2</v>
      </c>
      <c r="CT311" s="374">
        <f t="shared" si="695"/>
        <v>9.4535829079220868E-3</v>
      </c>
      <c r="CU311" s="374">
        <f t="shared" si="695"/>
        <v>2.5654059915955152E-2</v>
      </c>
      <c r="CV311" s="685">
        <f t="shared" si="695"/>
        <v>-8.8073876893752789E-3</v>
      </c>
      <c r="CW311" s="685">
        <f t="shared" si="695"/>
        <v>-3.287088678192962E-2</v>
      </c>
      <c r="CX311" s="685">
        <f t="shared" si="695"/>
        <v>6.7428357370293845E-3</v>
      </c>
      <c r="CY311" s="685">
        <f t="shared" si="695"/>
        <v>-5.5245332892780441E-2</v>
      </c>
      <c r="CZ311" s="685">
        <f t="shared" si="695"/>
        <v>-1.0775504790955015E-2</v>
      </c>
      <c r="DA311" s="685">
        <f t="shared" si="695"/>
        <v>-4.9378266354298095E-2</v>
      </c>
      <c r="DB311" s="685">
        <f>DB299/CX299-1</f>
        <v>-2.7162790697674466E-2</v>
      </c>
      <c r="DC311" s="1012">
        <f>DC299/CY299-1</f>
        <v>-3.0986605113139554E-2</v>
      </c>
      <c r="DD311" s="1012"/>
      <c r="DE311" s="1012"/>
      <c r="DF311" s="374"/>
      <c r="DG311" s="374"/>
      <c r="DH311" s="374"/>
      <c r="DI311" s="374"/>
    </row>
    <row r="312" spans="1:117">
      <c r="A312" s="946" t="s">
        <v>447</v>
      </c>
      <c r="P312" s="509">
        <f t="shared" si="694"/>
        <v>3.6273787594812701E-2</v>
      </c>
      <c r="Q312" s="509">
        <f t="shared" si="694"/>
        <v>1.4749262536873253E-2</v>
      </c>
      <c r="R312" s="509">
        <f t="shared" si="694"/>
        <v>8.0620155038759522E-2</v>
      </c>
      <c r="S312" s="509">
        <f t="shared" si="694"/>
        <v>8.877331420373169E-3</v>
      </c>
      <c r="T312" s="509">
        <f t="shared" si="694"/>
        <v>-1</v>
      </c>
      <c r="AD312" s="399"/>
      <c r="AE312" s="399"/>
      <c r="AF312" s="399"/>
      <c r="AG312" s="399"/>
      <c r="AH312" s="399"/>
      <c r="AI312" s="399"/>
      <c r="AJ312" s="399"/>
      <c r="AK312" s="399"/>
      <c r="AL312" s="399"/>
      <c r="AM312" s="399"/>
      <c r="AN312" s="399"/>
      <c r="AO312" s="399"/>
      <c r="AP312" s="399"/>
      <c r="AQ312" s="399"/>
      <c r="AR312" s="399"/>
      <c r="AS312" s="399"/>
      <c r="AT312" s="399"/>
      <c r="AU312" s="399"/>
      <c r="AV312" s="399"/>
      <c r="AW312" s="399"/>
      <c r="AX312" s="399"/>
      <c r="AY312" s="399"/>
      <c r="AZ312" s="399"/>
      <c r="BA312" s="399"/>
      <c r="BB312" s="399"/>
      <c r="BC312" s="399"/>
      <c r="BD312" s="399"/>
      <c r="BE312" s="399"/>
      <c r="BF312" s="399"/>
      <c r="BG312" s="399"/>
      <c r="BH312" s="399"/>
      <c r="BI312" s="399"/>
      <c r="BJ312" s="554"/>
      <c r="BK312" s="554"/>
      <c r="BL312" s="554"/>
      <c r="BM312" s="554"/>
      <c r="BN312" s="374"/>
      <c r="BO312" s="374"/>
      <c r="BP312" s="374"/>
      <c r="BQ312" s="374"/>
      <c r="BR312" s="374"/>
      <c r="BS312" s="374"/>
      <c r="BT312" s="374"/>
      <c r="BU312" s="402"/>
      <c r="BV312" s="374"/>
      <c r="BW312" s="374"/>
      <c r="BX312" s="374"/>
      <c r="BY312" s="374"/>
      <c r="BZ312" s="375">
        <f>BZ300/BV300-1</f>
        <v>-0.19230769230769229</v>
      </c>
      <c r="CA312" s="375">
        <f>CA300/BW300-1</f>
        <v>-7.4074074074074181E-2</v>
      </c>
      <c r="CB312" s="375">
        <f>CB300/BX300-1</f>
        <v>-0.23076923076923084</v>
      </c>
      <c r="CC312" s="401">
        <f>CC300/BY300-1</f>
        <v>-0.23076923076923084</v>
      </c>
      <c r="CD312" s="401">
        <v>-0.13500000000000001</v>
      </c>
      <c r="CE312" s="401">
        <v>-0.155</v>
      </c>
      <c r="CF312" s="401">
        <v>9.5000000000000001E-2</v>
      </c>
      <c r="CG312" s="401">
        <v>0.19700000000000001</v>
      </c>
      <c r="CH312" s="401">
        <v>0.17599999999999999</v>
      </c>
      <c r="CI312" s="401">
        <f>2.56/2.064-1</f>
        <v>0.24031007751937983</v>
      </c>
      <c r="CJ312" s="562">
        <f>2.571/2.251-1</f>
        <v>0.1421590404264772</v>
      </c>
      <c r="CK312" s="562">
        <f>2578/2405-1</f>
        <v>7.1933471933471882E-2</v>
      </c>
      <c r="CL312" s="374">
        <f t="shared" si="695"/>
        <v>7.8987150415721796E-2</v>
      </c>
      <c r="CM312" s="374">
        <f t="shared" si="695"/>
        <v>3.90625E-2</v>
      </c>
      <c r="CN312" s="374">
        <f t="shared" si="695"/>
        <v>5.0952936600544341E-2</v>
      </c>
      <c r="CO312" s="374">
        <f t="shared" si="695"/>
        <v>-1.6447895015532121E-2</v>
      </c>
      <c r="CP312" s="374">
        <f t="shared" si="695"/>
        <v>8.7565674255691839E-3</v>
      </c>
      <c r="CQ312" s="374">
        <f t="shared" si="695"/>
        <v>-1.2781954887218117E-2</v>
      </c>
      <c r="CR312" s="374">
        <f t="shared" si="695"/>
        <v>1.2583271650629335E-2</v>
      </c>
      <c r="CS312" s="374">
        <f t="shared" si="695"/>
        <v>5.1505546751188458E-2</v>
      </c>
      <c r="CT312" s="374">
        <f t="shared" si="695"/>
        <v>8.6371527777777901E-2</v>
      </c>
      <c r="CU312" s="374">
        <f t="shared" si="695"/>
        <v>8.8728103579588824E-2</v>
      </c>
      <c r="CV312" s="685">
        <f t="shared" si="695"/>
        <v>0.10416666666666652</v>
      </c>
      <c r="CW312" s="685">
        <f t="shared" si="695"/>
        <v>4.3330821401657893E-2</v>
      </c>
      <c r="CX312" s="685">
        <f t="shared" si="695"/>
        <v>6.432281262485029E-2</v>
      </c>
      <c r="CY312" s="685">
        <f t="shared" si="695"/>
        <v>6.2959076600208608E-3</v>
      </c>
      <c r="CZ312" s="685">
        <f t="shared" si="695"/>
        <v>2.3171135385633423E-3</v>
      </c>
      <c r="DA312" s="685">
        <f t="shared" si="695"/>
        <v>-3.1419284940411796E-2</v>
      </c>
      <c r="DB312" s="685">
        <f t="shared" si="695"/>
        <v>-3.0780780780780836E-2</v>
      </c>
      <c r="DC312" s="1012">
        <f t="shared" si="695"/>
        <v>-5.2137643378518117E-3</v>
      </c>
      <c r="DD312" s="1012"/>
      <c r="DE312" s="1012"/>
      <c r="DF312" s="374"/>
      <c r="DG312" s="374"/>
      <c r="DH312" s="374"/>
      <c r="DI312" s="374"/>
    </row>
    <row r="313" spans="1:117">
      <c r="A313" s="333"/>
      <c r="AD313" s="332"/>
      <c r="AE313" s="332"/>
      <c r="AF313" s="332"/>
      <c r="AG313" s="332"/>
      <c r="AH313" s="332"/>
      <c r="AI313" s="332"/>
      <c r="AJ313" s="332"/>
      <c r="AK313" s="332"/>
      <c r="AL313" s="332"/>
      <c r="AM313" s="332"/>
      <c r="AN313" s="332"/>
      <c r="AO313" s="332"/>
      <c r="AP313" s="332"/>
      <c r="AQ313" s="332"/>
      <c r="AR313" s="332"/>
      <c r="AS313" s="332"/>
      <c r="AT313" s="332"/>
      <c r="AU313" s="332"/>
      <c r="AV313" s="332"/>
      <c r="AW313" s="332"/>
      <c r="AX313" s="332"/>
      <c r="AY313" s="332"/>
      <c r="AZ313" s="332"/>
      <c r="BA313" s="332"/>
      <c r="BB313" s="332"/>
      <c r="BC313" s="332"/>
      <c r="BD313" s="332"/>
      <c r="BE313" s="332"/>
      <c r="BF313" s="332"/>
      <c r="BG313" s="332"/>
      <c r="BH313" s="332"/>
      <c r="BI313" s="332"/>
      <c r="BJ313" s="336"/>
      <c r="BK313" s="336"/>
      <c r="BL313" s="336"/>
      <c r="BM313" s="336"/>
      <c r="BN313" s="337"/>
      <c r="BO313" s="337"/>
      <c r="BP313" s="337"/>
      <c r="BQ313" s="337"/>
      <c r="BR313" s="337"/>
      <c r="BS313" s="337"/>
      <c r="BT313" s="337"/>
      <c r="BU313" s="346"/>
      <c r="BV313" s="346"/>
      <c r="BW313" s="346"/>
      <c r="BX313" s="346"/>
      <c r="BY313" s="346"/>
      <c r="BZ313" s="344"/>
      <c r="CA313" s="344"/>
      <c r="CB313" s="344"/>
      <c r="CC313" s="344"/>
      <c r="CD313" s="344"/>
      <c r="CE313" s="344"/>
      <c r="CF313" s="344"/>
      <c r="CG313" s="344"/>
      <c r="CH313" s="344"/>
      <c r="CI313" s="344"/>
      <c r="CJ313" s="355"/>
      <c r="CK313" s="355"/>
      <c r="CL313" s="344"/>
      <c r="CM313" s="344"/>
      <c r="CN313" s="344"/>
      <c r="CO313" s="346"/>
      <c r="CP313" s="344"/>
      <c r="CQ313" s="344"/>
      <c r="CR313" s="338"/>
      <c r="CS313" s="337"/>
      <c r="CT313" s="338"/>
      <c r="CU313" s="338"/>
      <c r="CV313" s="714"/>
      <c r="CW313" s="337"/>
      <c r="CX313" s="1060"/>
      <c r="CY313" s="1060"/>
      <c r="CZ313" s="1060"/>
      <c r="DA313" s="1060"/>
      <c r="DB313" s="1060"/>
      <c r="DC313" s="1077"/>
      <c r="DD313" s="1060"/>
      <c r="DE313" s="1060"/>
      <c r="DF313" s="338"/>
      <c r="DG313" s="338"/>
      <c r="DH313" s="338"/>
      <c r="DI313" s="337"/>
    </row>
    <row r="314" spans="1:117">
      <c r="A314" s="333" t="s">
        <v>702</v>
      </c>
      <c r="S314" s="431">
        <v>-2.5000000000000001E-2</v>
      </c>
      <c r="AD314" s="332"/>
      <c r="AE314" s="332"/>
      <c r="AF314" s="332"/>
      <c r="AG314" s="332"/>
      <c r="AH314" s="332"/>
      <c r="AI314" s="332"/>
      <c r="AJ314" s="332"/>
      <c r="AK314" s="332"/>
      <c r="AL314" s="332"/>
      <c r="AM314" s="332"/>
      <c r="AN314" s="332"/>
      <c r="AO314" s="332"/>
      <c r="AP314" s="332"/>
      <c r="AQ314" s="332"/>
      <c r="AR314" s="332"/>
      <c r="AS314" s="332"/>
      <c r="AT314" s="332"/>
      <c r="AU314" s="332"/>
      <c r="AV314" s="332"/>
      <c r="AW314" s="332"/>
      <c r="AX314" s="332"/>
      <c r="AY314" s="332"/>
      <c r="AZ314" s="332"/>
      <c r="BA314" s="332"/>
      <c r="BB314" s="332"/>
      <c r="BC314" s="332"/>
      <c r="BD314" s="332"/>
      <c r="BE314" s="332"/>
      <c r="BF314" s="332"/>
      <c r="BG314" s="332"/>
      <c r="BH314" s="332"/>
      <c r="BI314" s="332"/>
      <c r="BJ314" s="336"/>
      <c r="BK314" s="336"/>
      <c r="BL314" s="336"/>
      <c r="BM314" s="336"/>
      <c r="BN314" s="337"/>
      <c r="BO314" s="337"/>
      <c r="BP314" s="337"/>
      <c r="BQ314" s="337"/>
      <c r="BR314" s="337"/>
      <c r="BS314" s="337"/>
      <c r="BT314" s="337"/>
      <c r="BU314" s="346">
        <v>-3.5000000000000003E-2</v>
      </c>
      <c r="BV314" s="346">
        <v>-5.7000000000000002E-2</v>
      </c>
      <c r="BW314" s="346">
        <v>-0.12</v>
      </c>
      <c r="BX314" s="346">
        <v>-0.12</v>
      </c>
      <c r="BY314" s="346">
        <v>-0.12</v>
      </c>
      <c r="BZ314" s="344">
        <v>-0.11</v>
      </c>
      <c r="CA314" s="344">
        <v>-3.5000000000000003E-2</v>
      </c>
      <c r="CB314" s="344">
        <v>-0.04</v>
      </c>
      <c r="CC314" s="344">
        <v>-0.06</v>
      </c>
      <c r="CD314" s="344">
        <v>-0.05</v>
      </c>
      <c r="CE314" s="344">
        <v>-4.4999999999999998E-2</v>
      </c>
      <c r="CF314" s="344">
        <v>-0.05</v>
      </c>
      <c r="CG314" s="344">
        <v>-0.03</v>
      </c>
      <c r="CH314" s="344">
        <v>0</v>
      </c>
      <c r="CI314" s="344">
        <v>-1.4999999999999999E-2</v>
      </c>
      <c r="CJ314" s="355">
        <v>-0.01</v>
      </c>
      <c r="CK314" s="355">
        <v>-0.01</v>
      </c>
      <c r="CL314" s="344">
        <v>-0.04</v>
      </c>
      <c r="CM314" s="344">
        <v>-3.5000000000000003E-2</v>
      </c>
      <c r="CN314" s="344">
        <v>-0.03</v>
      </c>
      <c r="CO314" s="346">
        <v>-0.04</v>
      </c>
      <c r="CP314" s="344">
        <v>-3.5000000000000003E-2</v>
      </c>
      <c r="CQ314" s="344">
        <v>-0.04</v>
      </c>
      <c r="CR314" s="563">
        <v>-0.03</v>
      </c>
      <c r="CS314" s="447">
        <v>-0.02</v>
      </c>
      <c r="CT314" s="692">
        <v>0</v>
      </c>
      <c r="CU314" s="692">
        <v>0.01</v>
      </c>
      <c r="CV314" s="692">
        <v>0</v>
      </c>
      <c r="CW314" s="447">
        <v>5.0000000000000001E-3</v>
      </c>
      <c r="CX314" s="720">
        <v>-5.0000000000000001E-3</v>
      </c>
      <c r="CY314" s="720">
        <v>-0.03</v>
      </c>
      <c r="CZ314" s="922">
        <v>-0.03</v>
      </c>
      <c r="DA314" s="1014">
        <v>-3.5000000000000003E-2</v>
      </c>
      <c r="DB314" s="1061">
        <v>-0.03</v>
      </c>
      <c r="DC314" s="1061">
        <v>-0.05</v>
      </c>
      <c r="DD314" s="1061">
        <v>-4.4999999999999998E-2</v>
      </c>
      <c r="DE314" s="1061">
        <v>-6.5000000000000002E-2</v>
      </c>
      <c r="DF314" s="338">
        <f>+DF310</f>
        <v>-6.2E-2</v>
      </c>
      <c r="DG314" s="338">
        <f>+DG310</f>
        <v>-4.4999999999999998E-2</v>
      </c>
      <c r="DH314" s="338">
        <f>+DH310</f>
        <v>-3.5000000000000003E-2</v>
      </c>
      <c r="DI314" s="337">
        <f>+DI296/DE296-1</f>
        <v>-1.6183860735594302E-2</v>
      </c>
    </row>
    <row r="315" spans="1:117">
      <c r="A315" s="947" t="s">
        <v>448</v>
      </c>
      <c r="AD315" s="399"/>
      <c r="AE315" s="399"/>
      <c r="AF315" s="399"/>
      <c r="AG315" s="399"/>
      <c r="AH315" s="399"/>
      <c r="AI315" s="399"/>
      <c r="AJ315" s="399"/>
      <c r="AK315" s="399"/>
      <c r="AL315" s="399"/>
      <c r="AM315" s="399"/>
      <c r="AN315" s="399"/>
      <c r="AO315" s="399"/>
      <c r="AP315" s="399"/>
      <c r="AQ315" s="399"/>
      <c r="AR315" s="399"/>
      <c r="AS315" s="399"/>
      <c r="AT315" s="399"/>
      <c r="AU315" s="399"/>
      <c r="AV315" s="399"/>
      <c r="AW315" s="399"/>
      <c r="AX315" s="399"/>
      <c r="AY315" s="399"/>
      <c r="AZ315" s="399"/>
      <c r="BA315" s="399"/>
      <c r="BB315" s="399"/>
      <c r="BC315" s="399"/>
      <c r="BD315" s="399"/>
      <c r="BE315" s="399"/>
      <c r="BF315" s="399"/>
      <c r="BG315" s="399"/>
      <c r="BH315" s="399"/>
      <c r="BI315" s="399"/>
      <c r="BJ315" s="554"/>
      <c r="BK315" s="554"/>
      <c r="BL315" s="554"/>
      <c r="BM315" s="554"/>
      <c r="BN315" s="374"/>
      <c r="BO315" s="374"/>
      <c r="BP315" s="374"/>
      <c r="BQ315" s="374"/>
      <c r="BR315" s="374"/>
      <c r="BS315" s="374"/>
      <c r="BT315" s="374"/>
      <c r="BU315" s="374"/>
      <c r="BV315" s="564" t="s">
        <v>269</v>
      </c>
      <c r="BW315" s="560">
        <f>BW310-BW314</f>
        <v>5.119266055045868E-2</v>
      </c>
      <c r="BX315" s="564" t="s">
        <v>269</v>
      </c>
      <c r="BY315" s="560">
        <f>BY310-BY314</f>
        <v>7.2549019607841547E-3</v>
      </c>
      <c r="BZ315" s="375">
        <v>0.02</v>
      </c>
      <c r="CA315" s="564" t="s">
        <v>269</v>
      </c>
      <c r="CB315" s="375">
        <f>CB310-CB314</f>
        <v>1.6000000000000091E-2</v>
      </c>
      <c r="CC315" s="564" t="s">
        <v>269</v>
      </c>
      <c r="CD315" s="564">
        <f>CD310-CD314-CD316</f>
        <v>6.1759530791788836E-3</v>
      </c>
      <c r="CE315" s="564">
        <f>CE310-CE314-CE318</f>
        <v>1.9150684931506849E-2</v>
      </c>
      <c r="CF315" s="564" t="s">
        <v>269</v>
      </c>
      <c r="CG315" s="564">
        <f>CG310-CG314-SUM(CG316:CG319)</f>
        <v>3.6226190476190467E-2</v>
      </c>
      <c r="CH315" s="565" t="s">
        <v>269</v>
      </c>
      <c r="CI315" s="566">
        <f>CI321/CE296</f>
        <v>3.4309925688554933E-2</v>
      </c>
      <c r="CJ315" s="565" t="s">
        <v>269</v>
      </c>
      <c r="CK315" s="565" t="s">
        <v>269</v>
      </c>
      <c r="CL315" s="566">
        <f t="shared" ref="CL315:CO316" si="696">CL321/CH$296</f>
        <v>0</v>
      </c>
      <c r="CM315" s="566">
        <f t="shared" si="696"/>
        <v>-1.4986751676740909E-2</v>
      </c>
      <c r="CN315" s="566">
        <f t="shared" si="696"/>
        <v>0</v>
      </c>
      <c r="CO315" s="566">
        <f t="shared" si="696"/>
        <v>0</v>
      </c>
      <c r="CP315" s="566">
        <f>CP310-CP314</f>
        <v>1.0000000000000002E-2</v>
      </c>
      <c r="CQ315" s="566">
        <f t="shared" ref="CQ315:CS316" si="697">CQ321/CM$296</f>
        <v>0</v>
      </c>
      <c r="CR315" s="567">
        <f t="shared" si="697"/>
        <v>0</v>
      </c>
      <c r="CS315" s="566">
        <f t="shared" si="697"/>
        <v>0</v>
      </c>
      <c r="CT315" s="566">
        <f>CT310-CT314</f>
        <v>1.6E-2</v>
      </c>
      <c r="CU315" s="566">
        <f>CU310-CU314</f>
        <v>2.0999999999999998E-2</v>
      </c>
      <c r="CV315" s="567">
        <f>CV310-CV314</f>
        <v>1E-3</v>
      </c>
      <c r="CW315" s="566">
        <f>CW321/CS$296</f>
        <v>0</v>
      </c>
      <c r="CX315" s="566">
        <f>CX321/CT$296</f>
        <v>0</v>
      </c>
      <c r="CY315" s="567">
        <f>CY310-CY314</f>
        <v>-2.0000000000000004E-2</v>
      </c>
      <c r="CZ315" s="566">
        <f t="shared" ref="CZ315:DE316" si="698">CZ321/CV$296</f>
        <v>1.9965041287445005E-2</v>
      </c>
      <c r="DA315" s="1015">
        <f t="shared" si="698"/>
        <v>0</v>
      </c>
      <c r="DB315" s="1015">
        <f t="shared" si="698"/>
        <v>0</v>
      </c>
      <c r="DC315" s="567">
        <f>DC310-DC314</f>
        <v>2.1000000000000001E-2</v>
      </c>
      <c r="DD315" s="567">
        <f>DD310-DD314-DD319</f>
        <v>-6.0109890109890009E-3</v>
      </c>
      <c r="DE315" s="1015">
        <f t="shared" si="698"/>
        <v>0</v>
      </c>
      <c r="DF315" s="566">
        <f t="shared" ref="DF315:DF316" si="699">DF321/DB$296</f>
        <v>0</v>
      </c>
      <c r="DG315" s="566">
        <f t="shared" ref="DG315:DG316" si="700">DG321/DC$296</f>
        <v>0</v>
      </c>
      <c r="DH315" s="566">
        <f t="shared" ref="DH315:DH316" si="701">DH321/DD$296</f>
        <v>0</v>
      </c>
      <c r="DI315" s="566">
        <f t="shared" ref="DI315:DI316" si="702">DI321/DE$296</f>
        <v>0</v>
      </c>
    </row>
    <row r="316" spans="1:117">
      <c r="A316" s="947" t="s">
        <v>451</v>
      </c>
      <c r="AD316" s="399"/>
      <c r="AE316" s="399"/>
      <c r="AF316" s="399"/>
      <c r="AG316" s="399"/>
      <c r="AH316" s="399"/>
      <c r="AI316" s="399"/>
      <c r="AJ316" s="399"/>
      <c r="AK316" s="399"/>
      <c r="AL316" s="399"/>
      <c r="AM316" s="399"/>
      <c r="AN316" s="399"/>
      <c r="AO316" s="399"/>
      <c r="AP316" s="399"/>
      <c r="AQ316" s="399"/>
      <c r="AR316" s="399"/>
      <c r="AS316" s="399"/>
      <c r="AT316" s="399"/>
      <c r="AU316" s="399"/>
      <c r="AV316" s="399"/>
      <c r="AW316" s="399"/>
      <c r="AX316" s="399"/>
      <c r="AY316" s="399"/>
      <c r="AZ316" s="399"/>
      <c r="BA316" s="399"/>
      <c r="BB316" s="399"/>
      <c r="BC316" s="399"/>
      <c r="BD316" s="399"/>
      <c r="BE316" s="399"/>
      <c r="BF316" s="399"/>
      <c r="BG316" s="399"/>
      <c r="BH316" s="399"/>
      <c r="BI316" s="399"/>
      <c r="BJ316" s="554"/>
      <c r="BK316" s="554"/>
      <c r="BL316" s="554"/>
      <c r="BM316" s="554"/>
      <c r="BN316" s="374"/>
      <c r="BO316" s="374"/>
      <c r="BP316" s="374"/>
      <c r="BQ316" s="374"/>
      <c r="BR316" s="374"/>
      <c r="BS316" s="374"/>
      <c r="BT316" s="374"/>
      <c r="BU316" s="374"/>
      <c r="BV316" s="564" t="s">
        <v>269</v>
      </c>
      <c r="BW316" s="564" t="s">
        <v>269</v>
      </c>
      <c r="BX316" s="564" t="s">
        <v>269</v>
      </c>
      <c r="BY316" s="564" t="s">
        <v>269</v>
      </c>
      <c r="BZ316" s="564" t="s">
        <v>269</v>
      </c>
      <c r="CA316" s="564">
        <f>CA310-CA314-CA317</f>
        <v>-4.9039408866995114E-2</v>
      </c>
      <c r="CB316" s="564" t="s">
        <v>269</v>
      </c>
      <c r="CC316" s="564" t="s">
        <v>269</v>
      </c>
      <c r="CD316" s="566">
        <f>CD322/BZ$296</f>
        <v>-2.0175953079178882E-2</v>
      </c>
      <c r="CE316" s="564" t="s">
        <v>269</v>
      </c>
      <c r="CF316" s="566">
        <f>CF322/CB$296</f>
        <v>-1.6393442622950911E-2</v>
      </c>
      <c r="CG316" s="564" t="s">
        <v>269</v>
      </c>
      <c r="CH316" s="566">
        <f>CH322/CD$296</f>
        <v>-6.5921682787116144E-3</v>
      </c>
      <c r="CI316" s="566">
        <f>CI322/CE$296</f>
        <v>-1.9309925688554934E-2</v>
      </c>
      <c r="CJ316" s="412">
        <f>CJ310-CJ314-CJ319</f>
        <v>3.6999999999999998E-2</v>
      </c>
      <c r="CK316" s="566">
        <f>CK322/CG$296</f>
        <v>-1.8059347181008899E-2</v>
      </c>
      <c r="CL316" s="566">
        <f t="shared" si="696"/>
        <v>0</v>
      </c>
      <c r="CM316" s="566">
        <f t="shared" si="696"/>
        <v>0</v>
      </c>
      <c r="CN316" s="566">
        <f t="shared" si="696"/>
        <v>0</v>
      </c>
      <c r="CO316" s="566">
        <f t="shared" si="696"/>
        <v>0</v>
      </c>
      <c r="CP316" s="566">
        <f>CP322/CL$296</f>
        <v>0</v>
      </c>
      <c r="CQ316" s="566">
        <f t="shared" si="697"/>
        <v>0</v>
      </c>
      <c r="CR316" s="567">
        <f t="shared" si="697"/>
        <v>0</v>
      </c>
      <c r="CS316" s="566">
        <f t="shared" si="697"/>
        <v>0</v>
      </c>
      <c r="CT316" s="566">
        <f>CT322/CP$296</f>
        <v>0</v>
      </c>
      <c r="CU316" s="566">
        <f>CU322/CQ$296</f>
        <v>0</v>
      </c>
      <c r="CV316" s="567">
        <f>CV322/CR$296</f>
        <v>0</v>
      </c>
      <c r="CW316" s="566">
        <f>CW322/CS$296</f>
        <v>0</v>
      </c>
      <c r="CX316" s="566">
        <f>CX322/CT$296</f>
        <v>0</v>
      </c>
      <c r="CY316" s="566">
        <f>CY322/CU$296</f>
        <v>0</v>
      </c>
      <c r="CZ316" s="566">
        <f t="shared" si="698"/>
        <v>0</v>
      </c>
      <c r="DA316" s="1015">
        <f t="shared" si="698"/>
        <v>0</v>
      </c>
      <c r="DB316" s="1015">
        <f t="shared" si="698"/>
        <v>0</v>
      </c>
      <c r="DC316" s="1015">
        <f t="shared" si="698"/>
        <v>0</v>
      </c>
      <c r="DD316" s="1015">
        <f t="shared" si="698"/>
        <v>0</v>
      </c>
      <c r="DE316" s="1015">
        <f t="shared" si="698"/>
        <v>0</v>
      </c>
      <c r="DF316" s="566">
        <f t="shared" si="699"/>
        <v>0</v>
      </c>
      <c r="DG316" s="566">
        <f t="shared" si="700"/>
        <v>0</v>
      </c>
      <c r="DH316" s="566">
        <f t="shared" si="701"/>
        <v>0</v>
      </c>
      <c r="DI316" s="566">
        <f t="shared" si="702"/>
        <v>0</v>
      </c>
    </row>
    <row r="317" spans="1:117">
      <c r="A317" s="947" t="s">
        <v>450</v>
      </c>
      <c r="AD317" s="399"/>
      <c r="AE317" s="399"/>
      <c r="AF317" s="399"/>
      <c r="AG317" s="399"/>
      <c r="AH317" s="399"/>
      <c r="AI317" s="399"/>
      <c r="AJ317" s="399"/>
      <c r="AK317" s="399"/>
      <c r="AL317" s="399"/>
      <c r="AM317" s="399"/>
      <c r="AN317" s="399"/>
      <c r="AO317" s="399"/>
      <c r="AP317" s="399"/>
      <c r="AQ317" s="399"/>
      <c r="AR317" s="399"/>
      <c r="AS317" s="399"/>
      <c r="AT317" s="399"/>
      <c r="AU317" s="399"/>
      <c r="AV317" s="399"/>
      <c r="AW317" s="399"/>
      <c r="AX317" s="399"/>
      <c r="AY317" s="399"/>
      <c r="AZ317" s="399"/>
      <c r="BA317" s="399"/>
      <c r="BB317" s="399"/>
      <c r="BC317" s="399"/>
      <c r="BD317" s="399"/>
      <c r="BE317" s="399"/>
      <c r="BF317" s="399"/>
      <c r="BG317" s="399"/>
      <c r="BH317" s="399"/>
      <c r="BI317" s="399"/>
      <c r="BJ317" s="554"/>
      <c r="BK317" s="554"/>
      <c r="BL317" s="554"/>
      <c r="BM317" s="554"/>
      <c r="BN317" s="374"/>
      <c r="BO317" s="374"/>
      <c r="BP317" s="374"/>
      <c r="BQ317" s="374"/>
      <c r="BR317" s="374"/>
      <c r="BS317" s="374"/>
      <c r="BT317" s="374"/>
      <c r="BU317" s="374"/>
      <c r="BV317" s="560">
        <f>BV310-BV314-BV319</f>
        <v>-6.9760023019374673E-2</v>
      </c>
      <c r="BW317" s="564" t="s">
        <v>269</v>
      </c>
      <c r="BX317" s="560">
        <f>BX310-BX314</f>
        <v>-4.4810690423162547E-2</v>
      </c>
      <c r="BY317" s="564" t="s">
        <v>269</v>
      </c>
      <c r="BZ317" s="568" t="s">
        <v>269</v>
      </c>
      <c r="CA317" s="566">
        <f>CA323/BW$296</f>
        <v>-1.6945812807881773E-2</v>
      </c>
      <c r="CB317" s="564" t="s">
        <v>269</v>
      </c>
      <c r="CC317" s="566">
        <f>CC310-CC314</f>
        <v>-1.0000000000000009E-2</v>
      </c>
      <c r="CD317" s="564" t="s">
        <v>269</v>
      </c>
      <c r="CE317" s="564" t="s">
        <v>269</v>
      </c>
      <c r="CF317" s="566">
        <f>CF310-CF314-CF316</f>
        <v>-2.3606557377049083E-2</v>
      </c>
      <c r="CG317" s="564" t="s">
        <v>269</v>
      </c>
      <c r="CH317" s="566">
        <v>-1.9E-2</v>
      </c>
      <c r="CI317" s="399"/>
      <c r="CJ317" s="566"/>
      <c r="CK317" s="399"/>
      <c r="CL317" s="566">
        <f>CL323/CH296</f>
        <v>0</v>
      </c>
      <c r="CM317" s="566">
        <f>CM310-CM314-CM315</f>
        <v>-1.7013248323259091E-2</v>
      </c>
      <c r="CN317" s="566">
        <f>CN323/CJ296</f>
        <v>1.8289923446679728E-2</v>
      </c>
      <c r="CO317" s="566">
        <f>+CO310-CO314</f>
        <v>-1.8000000000000002E-2</v>
      </c>
      <c r="CP317" s="566">
        <f>CP323/CL$296</f>
        <v>0</v>
      </c>
      <c r="CQ317" s="566">
        <f>CQ310-CQ314</f>
        <v>-1.0000000000000002E-2</v>
      </c>
      <c r="CR317" s="567">
        <f>CR323/CN296</f>
        <v>0</v>
      </c>
      <c r="CS317" s="566">
        <f>CS323/CO296</f>
        <v>0</v>
      </c>
      <c r="CT317" s="566">
        <f>CT323/CP$296</f>
        <v>0</v>
      </c>
      <c r="CU317" s="566">
        <f t="shared" ref="CU317:DE317" si="703">CU323/CQ296</f>
        <v>0</v>
      </c>
      <c r="CV317" s="567">
        <f t="shared" si="703"/>
        <v>-1.0173586612392581E-2</v>
      </c>
      <c r="CW317" s="566">
        <f t="shared" si="703"/>
        <v>0</v>
      </c>
      <c r="CX317" s="566">
        <f t="shared" si="703"/>
        <v>0</v>
      </c>
      <c r="CY317" s="566">
        <f t="shared" si="703"/>
        <v>0</v>
      </c>
      <c r="CZ317" s="566">
        <f t="shared" si="703"/>
        <v>0</v>
      </c>
      <c r="DA317" s="1015">
        <f t="shared" si="703"/>
        <v>0</v>
      </c>
      <c r="DB317" s="1015">
        <f t="shared" si="703"/>
        <v>0</v>
      </c>
      <c r="DC317" s="1015">
        <f t="shared" si="703"/>
        <v>0</v>
      </c>
      <c r="DD317" s="1015">
        <f t="shared" si="703"/>
        <v>-6.0109890109890009E-3</v>
      </c>
      <c r="DE317" s="1015">
        <f t="shared" si="703"/>
        <v>-1.3850530238595088E-2</v>
      </c>
      <c r="DF317" s="566">
        <f t="shared" ref="DF317" si="704">DF323/DB296</f>
        <v>0</v>
      </c>
      <c r="DG317" s="566">
        <f t="shared" ref="DG317" si="705">DG323/DC296</f>
        <v>0</v>
      </c>
      <c r="DH317" s="566">
        <f t="shared" ref="DH317" si="706">DH323/DD296</f>
        <v>0</v>
      </c>
      <c r="DI317" s="566">
        <f t="shared" ref="DI317" si="707">DI323/DE296</f>
        <v>0</v>
      </c>
    </row>
    <row r="318" spans="1:117">
      <c r="A318" s="947" t="s">
        <v>458</v>
      </c>
      <c r="AD318" s="399"/>
      <c r="AE318" s="399"/>
      <c r="AF318" s="399"/>
      <c r="AG318" s="399"/>
      <c r="AH318" s="399"/>
      <c r="AI318" s="399"/>
      <c r="AJ318" s="399"/>
      <c r="AK318" s="399"/>
      <c r="AL318" s="399"/>
      <c r="AM318" s="399"/>
      <c r="AN318" s="399"/>
      <c r="AO318" s="399"/>
      <c r="AP318" s="399"/>
      <c r="AQ318" s="399"/>
      <c r="AR318" s="399"/>
      <c r="AS318" s="399"/>
      <c r="AT318" s="399"/>
      <c r="AU318" s="399"/>
      <c r="AV318" s="399"/>
      <c r="AW318" s="399"/>
      <c r="AX318" s="399"/>
      <c r="AY318" s="399"/>
      <c r="AZ318" s="399"/>
      <c r="BA318" s="399"/>
      <c r="BB318" s="399"/>
      <c r="BC318" s="399"/>
      <c r="BD318" s="399"/>
      <c r="BE318" s="399"/>
      <c r="BF318" s="399"/>
      <c r="BG318" s="399"/>
      <c r="BH318" s="399"/>
      <c r="BI318" s="399"/>
      <c r="BJ318" s="554"/>
      <c r="BK318" s="554"/>
      <c r="BL318" s="554"/>
      <c r="BM318" s="554"/>
      <c r="BN318" s="374"/>
      <c r="BO318" s="374"/>
      <c r="BP318" s="374"/>
      <c r="BQ318" s="374"/>
      <c r="BR318" s="374"/>
      <c r="BS318" s="374"/>
      <c r="BT318" s="374"/>
      <c r="BU318" s="374"/>
      <c r="BV318" s="564" t="s">
        <v>269</v>
      </c>
      <c r="BW318" s="564" t="s">
        <v>269</v>
      </c>
      <c r="BX318" s="564" t="s">
        <v>269</v>
      </c>
      <c r="BY318" s="564" t="s">
        <v>269</v>
      </c>
      <c r="BZ318" s="564">
        <f>BZ310-BZ314-BZ315</f>
        <v>8.1279069767441953E-2</v>
      </c>
      <c r="CA318" s="564" t="s">
        <v>269</v>
      </c>
      <c r="CB318" s="564" t="s">
        <v>269</v>
      </c>
      <c r="CC318" s="564" t="s">
        <v>269</v>
      </c>
      <c r="CD318" s="564" t="s">
        <v>269</v>
      </c>
      <c r="CE318" s="566">
        <f>CE324/CA$296</f>
        <v>1.8849315068493151E-2</v>
      </c>
      <c r="CF318" s="564" t="s">
        <v>269</v>
      </c>
      <c r="CG318" s="566">
        <f>CG324/CC$296</f>
        <v>1.0773809523809531E-2</v>
      </c>
      <c r="CH318" s="399"/>
      <c r="CI318" s="399"/>
      <c r="CJ318" s="399"/>
      <c r="CK318" s="566">
        <f>CK324/CG$296</f>
        <v>0</v>
      </c>
      <c r="CL318" s="566">
        <f>+CL324/CH296</f>
        <v>3.9024881059534521E-3</v>
      </c>
      <c r="CM318" s="566">
        <f>+CM324/CI296</f>
        <v>0</v>
      </c>
      <c r="CN318" s="566">
        <f>+CN324/CJ296</f>
        <v>-3.6558661207050022E-2</v>
      </c>
      <c r="CO318" s="566">
        <f>+CO324/CK296</f>
        <v>0</v>
      </c>
      <c r="CP318" s="566">
        <f>+CP324/CL295</f>
        <v>0</v>
      </c>
      <c r="CQ318" s="566">
        <f>+CQ324/CM296</f>
        <v>0</v>
      </c>
      <c r="CR318" s="567">
        <f>+CR324/CN296</f>
        <v>0</v>
      </c>
      <c r="CS318" s="566">
        <f>+CS324/CO296</f>
        <v>0</v>
      </c>
      <c r="CT318" s="566">
        <f>+CT324/CP295</f>
        <v>0</v>
      </c>
      <c r="CU318" s="566">
        <f t="shared" ref="CU318:DE318" si="708">+CU324/CQ296</f>
        <v>0</v>
      </c>
      <c r="CV318" s="566">
        <f t="shared" si="708"/>
        <v>0</v>
      </c>
      <c r="CW318" s="566">
        <f t="shared" si="708"/>
        <v>0</v>
      </c>
      <c r="CX318" s="566">
        <f t="shared" si="708"/>
        <v>0</v>
      </c>
      <c r="CY318" s="566">
        <f t="shared" si="708"/>
        <v>0</v>
      </c>
      <c r="CZ318" s="566">
        <f t="shared" si="708"/>
        <v>0</v>
      </c>
      <c r="DA318" s="1015">
        <f t="shared" si="708"/>
        <v>0</v>
      </c>
      <c r="DB318" s="1015">
        <f t="shared" si="708"/>
        <v>0</v>
      </c>
      <c r="DC318" s="1015">
        <f t="shared" si="708"/>
        <v>0</v>
      </c>
      <c r="DD318" s="1015">
        <f t="shared" si="708"/>
        <v>0</v>
      </c>
      <c r="DE318" s="1015">
        <f t="shared" si="708"/>
        <v>0</v>
      </c>
      <c r="DF318" s="566">
        <f t="shared" ref="DF318" si="709">+DF324/DB296</f>
        <v>0</v>
      </c>
      <c r="DG318" s="566">
        <f t="shared" ref="DG318" si="710">+DG324/DC296</f>
        <v>0</v>
      </c>
      <c r="DH318" s="566">
        <f t="shared" ref="DH318" si="711">+DH324/DD296</f>
        <v>0</v>
      </c>
      <c r="DI318" s="566">
        <f t="shared" ref="DI318" si="712">+DI324/DE296</f>
        <v>0</v>
      </c>
    </row>
    <row r="319" spans="1:117">
      <c r="A319" s="947" t="s">
        <v>449</v>
      </c>
      <c r="AD319" s="399"/>
      <c r="AE319" s="399"/>
      <c r="AF319" s="399"/>
      <c r="AG319" s="399"/>
      <c r="AH319" s="399"/>
      <c r="AI319" s="399"/>
      <c r="AJ319" s="399"/>
      <c r="AK319" s="399"/>
      <c r="AL319" s="399"/>
      <c r="AM319" s="399"/>
      <c r="AN319" s="399"/>
      <c r="AO319" s="399"/>
      <c r="AP319" s="399"/>
      <c r="AQ319" s="399"/>
      <c r="AR319" s="399"/>
      <c r="AS319" s="399"/>
      <c r="AT319" s="399"/>
      <c r="AU319" s="399"/>
      <c r="AV319" s="399"/>
      <c r="AW319" s="399"/>
      <c r="AX319" s="399"/>
      <c r="AY319" s="399"/>
      <c r="AZ319" s="399"/>
      <c r="BA319" s="399"/>
      <c r="BB319" s="399"/>
      <c r="BC319" s="399"/>
      <c r="BD319" s="399"/>
      <c r="BE319" s="399"/>
      <c r="BF319" s="399"/>
      <c r="BG319" s="399"/>
      <c r="BH319" s="399"/>
      <c r="BI319" s="399"/>
      <c r="BJ319" s="554"/>
      <c r="BK319" s="554"/>
      <c r="BL319" s="554"/>
      <c r="BM319" s="554"/>
      <c r="BN319" s="374"/>
      <c r="BO319" s="374"/>
      <c r="BP319" s="374"/>
      <c r="BQ319" s="374"/>
      <c r="BR319" s="374"/>
      <c r="BS319" s="374"/>
      <c r="BT319" s="374"/>
      <c r="BU319" s="402"/>
      <c r="BV319" s="560">
        <f>-1/65</f>
        <v>-1.5384615384615385E-2</v>
      </c>
      <c r="BW319" s="564" t="s">
        <v>269</v>
      </c>
      <c r="BX319" s="564" t="s">
        <v>269</v>
      </c>
      <c r="BY319" s="564" t="s">
        <v>269</v>
      </c>
      <c r="BZ319" s="564" t="s">
        <v>269</v>
      </c>
      <c r="CA319" s="564" t="s">
        <v>269</v>
      </c>
      <c r="CB319" s="564" t="s">
        <v>269</v>
      </c>
      <c r="CC319" s="564" t="s">
        <v>269</v>
      </c>
      <c r="CD319" s="564" t="s">
        <v>269</v>
      </c>
      <c r="CE319" s="564" t="s">
        <v>269</v>
      </c>
      <c r="CF319" s="564" t="s">
        <v>269</v>
      </c>
      <c r="CG319" s="564">
        <v>-1.4999999999999999E-2</v>
      </c>
      <c r="CH319" s="399"/>
      <c r="CI319" s="399"/>
      <c r="CJ319" s="412">
        <f>-1.5%</f>
        <v>-1.4999999999999999E-2</v>
      </c>
      <c r="CK319" s="566">
        <f>CK325/CG$296</f>
        <v>1.4955489614243322E-2</v>
      </c>
      <c r="CL319" s="566">
        <f>+CL325/CH296</f>
        <v>-1.4999999999999999E-2</v>
      </c>
      <c r="CM319" s="566">
        <f>+CM325/CI296</f>
        <v>0</v>
      </c>
      <c r="CN319" s="566">
        <f>+CN325/CJ296</f>
        <v>1.3845469111625423E-2</v>
      </c>
      <c r="CO319" s="566">
        <f>+CO325/CK296</f>
        <v>0</v>
      </c>
      <c r="CP319" s="566">
        <f>+CP325/CL296</f>
        <v>0</v>
      </c>
      <c r="CQ319" s="566">
        <f>+CQ325/CM296</f>
        <v>0</v>
      </c>
      <c r="CR319" s="567">
        <f>+CR325/CN296</f>
        <v>0</v>
      </c>
      <c r="CS319" s="566">
        <f>+CS325/CO296</f>
        <v>0</v>
      </c>
      <c r="CT319" s="566">
        <f>+CT325/CP296</f>
        <v>0</v>
      </c>
      <c r="CU319" s="566">
        <f t="shared" ref="CU319:DE319" si="713">+CU325/CQ296</f>
        <v>0</v>
      </c>
      <c r="CV319" s="566">
        <f t="shared" si="713"/>
        <v>0</v>
      </c>
      <c r="CW319" s="566">
        <f t="shared" si="713"/>
        <v>0</v>
      </c>
      <c r="CX319" s="566">
        <f t="shared" si="713"/>
        <v>1.7000000000000001E-2</v>
      </c>
      <c r="CY319" s="566">
        <f t="shared" si="713"/>
        <v>0</v>
      </c>
      <c r="CZ319" s="566">
        <f t="shared" si="713"/>
        <v>0</v>
      </c>
      <c r="DA319" s="1015">
        <f t="shared" si="713"/>
        <v>0</v>
      </c>
      <c r="DB319" s="1015">
        <f t="shared" si="713"/>
        <v>0</v>
      </c>
      <c r="DC319" s="1015">
        <f t="shared" si="713"/>
        <v>0</v>
      </c>
      <c r="DD319" s="1015">
        <f t="shared" si="713"/>
        <v>-1.0989010989011E-2</v>
      </c>
      <c r="DE319" s="1015">
        <f t="shared" si="713"/>
        <v>0</v>
      </c>
      <c r="DF319" s="566">
        <f t="shared" ref="DF319" si="714">+DF325/DB296</f>
        <v>0</v>
      </c>
      <c r="DG319" s="566">
        <f t="shared" ref="DG319" si="715">+DG325/DC296</f>
        <v>0</v>
      </c>
      <c r="DH319" s="566">
        <f t="shared" ref="DH319" si="716">+DH325/DD296</f>
        <v>0</v>
      </c>
      <c r="DI319" s="566">
        <f t="shared" ref="DI319" si="717">+DI325/DE296</f>
        <v>0</v>
      </c>
    </row>
    <row r="320" spans="1:117">
      <c r="A320" s="947"/>
      <c r="AD320" s="399"/>
      <c r="AE320" s="399"/>
      <c r="AF320" s="399"/>
      <c r="AG320" s="399"/>
      <c r="AH320" s="399"/>
      <c r="AI320" s="399"/>
      <c r="AJ320" s="399"/>
      <c r="AK320" s="399"/>
      <c r="AL320" s="399"/>
      <c r="AM320" s="399"/>
      <c r="AN320" s="399"/>
      <c r="AO320" s="399"/>
      <c r="AP320" s="399"/>
      <c r="AQ320" s="399"/>
      <c r="AR320" s="399"/>
      <c r="AS320" s="399"/>
      <c r="AT320" s="399"/>
      <c r="AU320" s="399"/>
      <c r="AV320" s="399"/>
      <c r="AW320" s="399"/>
      <c r="AX320" s="399"/>
      <c r="AY320" s="399"/>
      <c r="AZ320" s="399"/>
      <c r="BA320" s="399"/>
      <c r="BB320" s="399"/>
      <c r="BC320" s="399"/>
      <c r="BD320" s="399"/>
      <c r="BE320" s="399"/>
      <c r="BF320" s="399"/>
      <c r="BG320" s="399"/>
      <c r="BH320" s="399"/>
      <c r="BI320" s="399"/>
      <c r="BJ320" s="554"/>
      <c r="BK320" s="554"/>
      <c r="BL320" s="554"/>
      <c r="BM320" s="554"/>
      <c r="BN320" s="374"/>
      <c r="BO320" s="374"/>
      <c r="BP320" s="374"/>
      <c r="BQ320" s="374"/>
      <c r="BR320" s="374"/>
      <c r="BS320" s="374"/>
      <c r="BT320" s="374"/>
      <c r="BU320" s="402"/>
      <c r="BV320" s="374"/>
      <c r="BW320" s="402"/>
      <c r="BX320" s="402"/>
      <c r="BY320" s="402"/>
      <c r="BZ320" s="401"/>
      <c r="CA320" s="401"/>
      <c r="CB320" s="401"/>
      <c r="CC320" s="401"/>
      <c r="CD320" s="375"/>
      <c r="CE320" s="375"/>
      <c r="CF320" s="375"/>
      <c r="CG320" s="375"/>
      <c r="CH320" s="399"/>
      <c r="CI320" s="399"/>
      <c r="CJ320" s="399"/>
      <c r="CK320" s="399"/>
      <c r="CL320" s="566"/>
      <c r="CM320" s="566"/>
      <c r="CN320" s="566"/>
      <c r="CO320" s="399"/>
      <c r="CP320" s="566"/>
      <c r="CQ320" s="566"/>
      <c r="CR320" s="567"/>
      <c r="CS320" s="399"/>
      <c r="CT320" s="566"/>
      <c r="CU320" s="566"/>
      <c r="CV320" s="566"/>
      <c r="CW320" s="399"/>
      <c r="CX320" s="566"/>
      <c r="CY320" s="566"/>
      <c r="CZ320" s="566"/>
      <c r="DA320" s="1007"/>
      <c r="DB320" s="1015"/>
      <c r="DC320" s="1015"/>
      <c r="DD320" s="1015"/>
      <c r="DE320" s="1007"/>
      <c r="DF320" s="566"/>
      <c r="DG320" s="566"/>
      <c r="DH320" s="566"/>
      <c r="DI320" s="399"/>
    </row>
    <row r="321" spans="1:113">
      <c r="A321" s="948" t="s">
        <v>448</v>
      </c>
      <c r="AD321" s="569"/>
      <c r="AE321" s="569"/>
      <c r="AF321" s="569"/>
      <c r="AG321" s="569"/>
      <c r="AH321" s="569"/>
      <c r="AI321" s="569"/>
      <c r="AJ321" s="569"/>
      <c r="AK321" s="569"/>
      <c r="AL321" s="569"/>
      <c r="AM321" s="569"/>
      <c r="AN321" s="569"/>
      <c r="AO321" s="569"/>
      <c r="AP321" s="569"/>
      <c r="AQ321" s="569"/>
      <c r="AR321" s="569"/>
      <c r="AS321" s="569"/>
      <c r="AT321" s="569"/>
      <c r="AU321" s="569"/>
      <c r="AV321" s="569"/>
      <c r="AW321" s="569"/>
      <c r="AX321" s="569"/>
      <c r="AY321" s="569"/>
      <c r="AZ321" s="569"/>
      <c r="BA321" s="569"/>
      <c r="BB321" s="569"/>
      <c r="BC321" s="569"/>
      <c r="BD321" s="569"/>
      <c r="BE321" s="569"/>
      <c r="BF321" s="569"/>
      <c r="BG321" s="569"/>
      <c r="BH321" s="569"/>
      <c r="BI321" s="569"/>
      <c r="BJ321" s="569"/>
      <c r="BK321" s="569"/>
      <c r="BL321" s="569"/>
      <c r="BM321" s="569"/>
      <c r="BN321" s="569"/>
      <c r="BO321" s="569"/>
      <c r="BP321" s="569"/>
      <c r="BQ321" s="569"/>
      <c r="BR321" s="569"/>
      <c r="BS321" s="569"/>
      <c r="BT321" s="569"/>
      <c r="BU321" s="571"/>
      <c r="BV321" s="572" t="s">
        <v>269</v>
      </c>
      <c r="BW321" s="569">
        <f>BW315*BS$296</f>
        <v>2.2319999999999984</v>
      </c>
      <c r="BX321" s="572" t="s">
        <v>269</v>
      </c>
      <c r="BY321" s="569">
        <f>BY315*BU$296</f>
        <v>0.29599999999999355</v>
      </c>
      <c r="BZ321" s="569">
        <f>BZ315*BV$296</f>
        <v>0.68799999999999994</v>
      </c>
      <c r="CA321" s="572" t="s">
        <v>269</v>
      </c>
      <c r="CB321" s="573">
        <f>CB315*BX$296</f>
        <v>0.60000000000000342</v>
      </c>
      <c r="CC321" s="572" t="s">
        <v>269</v>
      </c>
      <c r="CD321" s="573">
        <f>CD315*BZ$296</f>
        <v>0.21059999999999993</v>
      </c>
      <c r="CE321" s="573">
        <f>CE315*CA$296</f>
        <v>0.69899999999999995</v>
      </c>
      <c r="CF321" s="572" t="s">
        <v>269</v>
      </c>
      <c r="CG321" s="572">
        <f>CG315*CC296</f>
        <v>1.2171999999999998</v>
      </c>
      <c r="CH321" s="569"/>
      <c r="CI321" s="569">
        <f>-CI322+0.015*CE296</f>
        <v>1.2419849999999999</v>
      </c>
      <c r="CJ321" s="569"/>
      <c r="CK321" s="569"/>
      <c r="CL321" s="569"/>
      <c r="CM321" s="570">
        <f>-SUM(CI321:CI322)</f>
        <v>-0.54298499999999994</v>
      </c>
      <c r="CN321" s="569"/>
      <c r="CO321" s="569"/>
      <c r="CP321" s="569">
        <f>CP315*CL296</f>
        <v>0.29501000000000005</v>
      </c>
      <c r="CQ321" s="570"/>
      <c r="CR321" s="574"/>
      <c r="CS321" s="569"/>
      <c r="CT321" s="569">
        <f>CT315*CP296</f>
        <v>0.459984</v>
      </c>
      <c r="CU321" s="569">
        <f>CU315*CQ296</f>
        <v>0.67481399999999991</v>
      </c>
      <c r="CV321" s="569">
        <f>CV315*CR296</f>
        <v>3.3165E-2</v>
      </c>
      <c r="CW321" s="569">
        <v>0</v>
      </c>
      <c r="CX321" s="569">
        <v>0</v>
      </c>
      <c r="CY321" s="569">
        <f>CY315*CU296</f>
        <v>-0.66248000000000018</v>
      </c>
      <c r="CZ321" s="569">
        <f>+-CY321</f>
        <v>0.66248000000000018</v>
      </c>
      <c r="DA321" s="991"/>
      <c r="DB321" s="1017"/>
      <c r="DC321" s="569">
        <v>0.6</v>
      </c>
      <c r="DD321" s="569"/>
      <c r="DE321" s="1017"/>
      <c r="DF321" s="569"/>
      <c r="DG321" s="569"/>
      <c r="DH321" s="569"/>
      <c r="DI321" s="569"/>
    </row>
    <row r="322" spans="1:113">
      <c r="A322" s="948" t="s">
        <v>451</v>
      </c>
      <c r="AD322" s="569"/>
      <c r="AE322" s="569"/>
      <c r="AF322" s="569"/>
      <c r="AG322" s="569"/>
      <c r="AH322" s="569"/>
      <c r="AI322" s="569"/>
      <c r="AJ322" s="569"/>
      <c r="AK322" s="569"/>
      <c r="AL322" s="569"/>
      <c r="AM322" s="569"/>
      <c r="AN322" s="569"/>
      <c r="AO322" s="569"/>
      <c r="AP322" s="569"/>
      <c r="AQ322" s="569"/>
      <c r="AR322" s="569"/>
      <c r="AS322" s="569"/>
      <c r="AT322" s="569"/>
      <c r="AU322" s="569"/>
      <c r="AV322" s="569"/>
      <c r="AW322" s="569"/>
      <c r="AX322" s="569"/>
      <c r="AY322" s="569"/>
      <c r="AZ322" s="569"/>
      <c r="BA322" s="569"/>
      <c r="BB322" s="569"/>
      <c r="BC322" s="569"/>
      <c r="BD322" s="569"/>
      <c r="BE322" s="569"/>
      <c r="BF322" s="569"/>
      <c r="BG322" s="569"/>
      <c r="BH322" s="569"/>
      <c r="BI322" s="569"/>
      <c r="BJ322" s="569"/>
      <c r="BK322" s="569"/>
      <c r="BL322" s="569"/>
      <c r="BM322" s="569"/>
      <c r="BN322" s="569"/>
      <c r="BO322" s="569"/>
      <c r="BP322" s="569"/>
      <c r="BQ322" s="569"/>
      <c r="BR322" s="569"/>
      <c r="BS322" s="569"/>
      <c r="BT322" s="569"/>
      <c r="BU322" s="571"/>
      <c r="BV322" s="572" t="s">
        <v>269</v>
      </c>
      <c r="BW322" s="572" t="s">
        <v>269</v>
      </c>
      <c r="BX322" s="572" t="s">
        <v>269</v>
      </c>
      <c r="BY322" s="572" t="s">
        <v>269</v>
      </c>
      <c r="BZ322" s="572" t="s">
        <v>269</v>
      </c>
      <c r="CA322" s="573">
        <f>CA316*BW$296</f>
        <v>-1.9910000000000017</v>
      </c>
      <c r="CB322" s="572" t="s">
        <v>269</v>
      </c>
      <c r="CC322" s="572" t="s">
        <v>269</v>
      </c>
      <c r="CD322" s="570">
        <f>-BZ321</f>
        <v>-0.68799999999999994</v>
      </c>
      <c r="CE322" s="572" t="s">
        <v>269</v>
      </c>
      <c r="CF322" s="570">
        <f>-CB321</f>
        <v>-0.60000000000000342</v>
      </c>
      <c r="CG322" s="572" t="s">
        <v>269</v>
      </c>
      <c r="CH322" s="570">
        <f>-CD321</f>
        <v>-0.21059999999999993</v>
      </c>
      <c r="CI322" s="570">
        <f>-CE321</f>
        <v>-0.69899999999999995</v>
      </c>
      <c r="CJ322" s="569"/>
      <c r="CK322" s="570">
        <f>-CG321/2</f>
        <v>-0.60859999999999992</v>
      </c>
      <c r="CL322" s="570"/>
      <c r="CM322" s="570"/>
      <c r="CN322" s="569"/>
      <c r="CO322" s="570"/>
      <c r="CP322" s="570"/>
      <c r="CQ322" s="570"/>
      <c r="CR322" s="574"/>
      <c r="CS322" s="570"/>
      <c r="CT322" s="569">
        <v>0</v>
      </c>
      <c r="CU322" s="569">
        <v>0</v>
      </c>
      <c r="CV322" s="569">
        <v>0</v>
      </c>
      <c r="CW322" s="569">
        <v>0</v>
      </c>
      <c r="CX322" s="569">
        <v>0</v>
      </c>
      <c r="CY322" s="569">
        <v>0</v>
      </c>
      <c r="CZ322" s="569"/>
      <c r="DA322" s="1016"/>
      <c r="DB322" s="1017"/>
      <c r="DC322" s="569">
        <v>0</v>
      </c>
      <c r="DD322" s="569"/>
      <c r="DE322" s="1016"/>
      <c r="DF322" s="569"/>
      <c r="DG322" s="569"/>
      <c r="DH322" s="569"/>
      <c r="DI322" s="570"/>
    </row>
    <row r="323" spans="1:113">
      <c r="A323" s="948" t="s">
        <v>450</v>
      </c>
      <c r="AD323" s="569"/>
      <c r="AE323" s="569"/>
      <c r="AF323" s="569"/>
      <c r="AG323" s="569"/>
      <c r="AH323" s="569"/>
      <c r="AI323" s="569"/>
      <c r="AJ323" s="569"/>
      <c r="AK323" s="569"/>
      <c r="AL323" s="569"/>
      <c r="AM323" s="569"/>
      <c r="AN323" s="569"/>
      <c r="AO323" s="569"/>
      <c r="AP323" s="569"/>
      <c r="AQ323" s="569"/>
      <c r="AR323" s="569"/>
      <c r="AS323" s="569"/>
      <c r="AT323" s="569"/>
      <c r="AU323" s="569"/>
      <c r="AV323" s="569"/>
      <c r="AW323" s="569"/>
      <c r="AX323" s="569"/>
      <c r="AY323" s="569"/>
      <c r="AZ323" s="569"/>
      <c r="BA323" s="569"/>
      <c r="BB323" s="569"/>
      <c r="BC323" s="569"/>
      <c r="BD323" s="569"/>
      <c r="BE323" s="569"/>
      <c r="BF323" s="569"/>
      <c r="BG323" s="569"/>
      <c r="BH323" s="569"/>
      <c r="BI323" s="569"/>
      <c r="BJ323" s="569"/>
      <c r="BK323" s="569"/>
      <c r="BL323" s="569"/>
      <c r="BM323" s="569"/>
      <c r="BN323" s="569"/>
      <c r="BO323" s="569"/>
      <c r="BP323" s="569"/>
      <c r="BQ323" s="569"/>
      <c r="BR323" s="569"/>
      <c r="BS323" s="569"/>
      <c r="BT323" s="569"/>
      <c r="BU323" s="571"/>
      <c r="BV323" s="569">
        <f>BV317*BR$296</f>
        <v>-2.7973769230769245</v>
      </c>
      <c r="BW323" s="572" t="s">
        <v>269</v>
      </c>
      <c r="BX323" s="569">
        <f>BX317*BT$296</f>
        <v>-2.0119999999999982</v>
      </c>
      <c r="BY323" s="572" t="s">
        <v>269</v>
      </c>
      <c r="BZ323" s="572" t="s">
        <v>269</v>
      </c>
      <c r="CA323" s="572">
        <f>-BZ321</f>
        <v>-0.68799999999999994</v>
      </c>
      <c r="CB323" s="572" t="s">
        <v>269</v>
      </c>
      <c r="CC323" s="573">
        <f>CC317*BY$296</f>
        <v>-0.36200000000000027</v>
      </c>
      <c r="CD323" s="572" t="s">
        <v>269</v>
      </c>
      <c r="CE323" s="572" t="s">
        <v>269</v>
      </c>
      <c r="CF323" s="573">
        <f>CF317*CB$296</f>
        <v>-0.86399999999999644</v>
      </c>
      <c r="CG323" s="572" t="s">
        <v>269</v>
      </c>
      <c r="CH323" s="570">
        <f>+CH317*CD296</f>
        <v>-0.606993</v>
      </c>
      <c r="CI323" s="569"/>
      <c r="CJ323" s="570">
        <f>CJ316*CF296</f>
        <v>1.2320999999999998</v>
      </c>
      <c r="CK323" s="569"/>
      <c r="CL323" s="570"/>
      <c r="CM323" s="570">
        <f>CM317*CI296</f>
        <v>-0.61640700000000015</v>
      </c>
      <c r="CN323" s="570">
        <f>-CM323</f>
        <v>0.61640700000000015</v>
      </c>
      <c r="CO323" s="569">
        <f>+CO317*CK296</f>
        <v>-0.60899400000000004</v>
      </c>
      <c r="CP323" s="569"/>
      <c r="CQ323" s="569">
        <f>CQ317*CM296</f>
        <v>-0.3381900000000001</v>
      </c>
      <c r="CR323" s="575"/>
      <c r="CS323" s="569"/>
      <c r="CT323" s="570">
        <v>0</v>
      </c>
      <c r="CU323" s="570">
        <v>0</v>
      </c>
      <c r="CV323" s="570">
        <f>-CU321/2</f>
        <v>-0.33740699999999996</v>
      </c>
      <c r="CW323" s="570">
        <v>0</v>
      </c>
      <c r="CX323" s="569">
        <v>0</v>
      </c>
      <c r="CY323" s="569">
        <v>0</v>
      </c>
      <c r="CZ323" s="570"/>
      <c r="DA323" s="1017"/>
      <c r="DB323" s="1016"/>
      <c r="DC323" s="569">
        <v>0</v>
      </c>
      <c r="DD323" s="569">
        <f>+DD315*CZ296</f>
        <v>-0.1975451428571425</v>
      </c>
      <c r="DE323" s="1017">
        <f>+-DC321-DD323</f>
        <v>-0.40245485714285745</v>
      </c>
      <c r="DF323" s="570"/>
      <c r="DG323" s="570"/>
      <c r="DH323" s="570"/>
      <c r="DI323" s="569"/>
    </row>
    <row r="324" spans="1:113">
      <c r="A324" s="948" t="s">
        <v>458</v>
      </c>
      <c r="AD324" s="569"/>
      <c r="AE324" s="569"/>
      <c r="AF324" s="569"/>
      <c r="AG324" s="569"/>
      <c r="AH324" s="569"/>
      <c r="AI324" s="569"/>
      <c r="AJ324" s="569"/>
      <c r="AK324" s="569"/>
      <c r="AL324" s="569"/>
      <c r="AM324" s="569"/>
      <c r="AN324" s="569"/>
      <c r="AO324" s="569"/>
      <c r="AP324" s="569"/>
      <c r="AQ324" s="569"/>
      <c r="AR324" s="569"/>
      <c r="AS324" s="569"/>
      <c r="AT324" s="569"/>
      <c r="AU324" s="569"/>
      <c r="AV324" s="569"/>
      <c r="AW324" s="569"/>
      <c r="AX324" s="569"/>
      <c r="AY324" s="569"/>
      <c r="AZ324" s="569"/>
      <c r="BA324" s="569"/>
      <c r="BB324" s="569"/>
      <c r="BC324" s="569"/>
      <c r="BD324" s="569"/>
      <c r="BE324" s="569"/>
      <c r="BF324" s="569"/>
      <c r="BG324" s="569"/>
      <c r="BH324" s="569"/>
      <c r="BI324" s="569"/>
      <c r="BJ324" s="569"/>
      <c r="BK324" s="569"/>
      <c r="BL324" s="569"/>
      <c r="BM324" s="569"/>
      <c r="BN324" s="569"/>
      <c r="BO324" s="569"/>
      <c r="BP324" s="569"/>
      <c r="BQ324" s="569"/>
      <c r="BR324" s="569"/>
      <c r="BS324" s="569"/>
      <c r="BT324" s="569"/>
      <c r="BU324" s="571"/>
      <c r="BV324" s="572" t="s">
        <v>269</v>
      </c>
      <c r="BW324" s="572" t="s">
        <v>269</v>
      </c>
      <c r="BX324" s="572" t="s">
        <v>269</v>
      </c>
      <c r="BY324" s="572" t="s">
        <v>269</v>
      </c>
      <c r="BZ324" s="569">
        <f>BZ318*BV$296</f>
        <v>2.7960000000000029</v>
      </c>
      <c r="CA324" s="572" t="s">
        <v>269</v>
      </c>
      <c r="CB324" s="572" t="s">
        <v>269</v>
      </c>
      <c r="CC324" s="572" t="s">
        <v>269</v>
      </c>
      <c r="CD324" s="572" t="s">
        <v>269</v>
      </c>
      <c r="CE324" s="570">
        <f>-CA323</f>
        <v>0.68799999999999994</v>
      </c>
      <c r="CF324" s="572" t="s">
        <v>269</v>
      </c>
      <c r="CG324" s="570">
        <f>-CC323</f>
        <v>0.36200000000000027</v>
      </c>
      <c r="CH324" s="569"/>
      <c r="CI324" s="569"/>
      <c r="CJ324" s="569"/>
      <c r="CK324" s="569"/>
      <c r="CL324" s="569">
        <f>-CH323/5</f>
        <v>0.1213986</v>
      </c>
      <c r="CM324" s="570"/>
      <c r="CN324" s="569">
        <f>-CJ323</f>
        <v>-1.2320999999999998</v>
      </c>
      <c r="CO324" s="569"/>
      <c r="CP324" s="569"/>
      <c r="CQ324" s="570"/>
      <c r="CR324" s="574"/>
      <c r="CS324" s="569"/>
      <c r="CT324" s="569">
        <v>0</v>
      </c>
      <c r="CU324" s="569">
        <v>0</v>
      </c>
      <c r="CV324" s="569">
        <v>0</v>
      </c>
      <c r="CW324" s="569">
        <v>0</v>
      </c>
      <c r="CX324" s="569">
        <v>0</v>
      </c>
      <c r="CY324" s="569">
        <v>0</v>
      </c>
      <c r="CZ324" s="569"/>
      <c r="DA324" s="1017"/>
      <c r="DB324" s="1017"/>
      <c r="DC324" s="569">
        <v>0</v>
      </c>
      <c r="DD324" s="569"/>
      <c r="DE324" s="1017"/>
      <c r="DF324" s="569"/>
      <c r="DG324" s="569"/>
      <c r="DH324" s="569"/>
      <c r="DI324" s="569"/>
    </row>
    <row r="325" spans="1:113">
      <c r="A325" s="948" t="s">
        <v>449</v>
      </c>
      <c r="AD325" s="569"/>
      <c r="AE325" s="569"/>
      <c r="AF325" s="569"/>
      <c r="AG325" s="569"/>
      <c r="AH325" s="569"/>
      <c r="AI325" s="569"/>
      <c r="AJ325" s="569"/>
      <c r="AK325" s="569"/>
      <c r="AL325" s="569"/>
      <c r="AM325" s="569"/>
      <c r="AN325" s="569"/>
      <c r="AO325" s="569"/>
      <c r="AP325" s="569"/>
      <c r="AQ325" s="569"/>
      <c r="AR325" s="569"/>
      <c r="AS325" s="569"/>
      <c r="AT325" s="569"/>
      <c r="AU325" s="569"/>
      <c r="AV325" s="569"/>
      <c r="AW325" s="569"/>
      <c r="AX325" s="569"/>
      <c r="AY325" s="569"/>
      <c r="AZ325" s="569"/>
      <c r="BA325" s="569"/>
      <c r="BB325" s="569"/>
      <c r="BC325" s="569"/>
      <c r="BD325" s="569"/>
      <c r="BE325" s="569"/>
      <c r="BF325" s="569"/>
      <c r="BG325" s="569"/>
      <c r="BH325" s="569"/>
      <c r="BI325" s="569"/>
      <c r="BJ325" s="569"/>
      <c r="BK325" s="569"/>
      <c r="BL325" s="569"/>
      <c r="BM325" s="569"/>
      <c r="BN325" s="569"/>
      <c r="BO325" s="569"/>
      <c r="BP325" s="569"/>
      <c r="BQ325" s="569"/>
      <c r="BR325" s="569"/>
      <c r="BS325" s="569"/>
      <c r="BT325" s="569"/>
      <c r="BU325" s="571"/>
      <c r="BV325" s="569">
        <f>BV319*BR$296</f>
        <v>-0.61692307692307702</v>
      </c>
      <c r="BW325" s="572" t="s">
        <v>269</v>
      </c>
      <c r="BX325" s="572" t="s">
        <v>269</v>
      </c>
      <c r="BY325" s="572" t="s">
        <v>269</v>
      </c>
      <c r="BZ325" s="572" t="s">
        <v>269</v>
      </c>
      <c r="CA325" s="572" t="s">
        <v>269</v>
      </c>
      <c r="CB325" s="572" t="s">
        <v>269</v>
      </c>
      <c r="CC325" s="572" t="s">
        <v>269</v>
      </c>
      <c r="CD325" s="572" t="s">
        <v>269</v>
      </c>
      <c r="CE325" s="572" t="s">
        <v>269</v>
      </c>
      <c r="CF325" s="572" t="s">
        <v>269</v>
      </c>
      <c r="CG325" s="570">
        <f>CG319*CC296</f>
        <v>-0.504</v>
      </c>
      <c r="CH325" s="569"/>
      <c r="CI325" s="569"/>
      <c r="CJ325" s="569">
        <f>+CJ319*CF296</f>
        <v>-0.49949999999999994</v>
      </c>
      <c r="CK325" s="569">
        <f>-CG325</f>
        <v>0.504</v>
      </c>
      <c r="CL325" s="569">
        <f>-CH296/64*0.96</f>
        <v>-0.46661999999999998</v>
      </c>
      <c r="CM325" s="570"/>
      <c r="CN325" s="569">
        <f>-CL325</f>
        <v>0.46661999999999998</v>
      </c>
      <c r="CO325" s="569"/>
      <c r="CP325" s="569"/>
      <c r="CQ325" s="570"/>
      <c r="CR325" s="574"/>
      <c r="CS325" s="569"/>
      <c r="CT325" s="569">
        <v>0</v>
      </c>
      <c r="CU325" s="569">
        <v>0</v>
      </c>
      <c r="CV325" s="569">
        <v>0</v>
      </c>
      <c r="CW325" s="569">
        <v>0</v>
      </c>
      <c r="CX325" s="569">
        <f>(CX310-CX314)*CT296</f>
        <v>0.49636600000000003</v>
      </c>
      <c r="CY325" s="569">
        <v>0</v>
      </c>
      <c r="CZ325" s="569"/>
      <c r="DA325" s="1017"/>
      <c r="DB325" s="1017"/>
      <c r="DC325" s="569">
        <v>0</v>
      </c>
      <c r="DD325" s="569">
        <f>-0.010989010989011*CZ296</f>
        <v>-0.36114285714285749</v>
      </c>
      <c r="DE325" s="1017"/>
      <c r="DF325" s="569"/>
      <c r="DG325" s="569"/>
      <c r="DH325" s="569"/>
      <c r="DI325" s="569"/>
    </row>
    <row r="326" spans="1:113">
      <c r="A326" s="947"/>
      <c r="AD326" s="332"/>
      <c r="AE326" s="332"/>
      <c r="AF326" s="332"/>
      <c r="AG326" s="332"/>
      <c r="AH326" s="332"/>
      <c r="AI326" s="332"/>
      <c r="AJ326" s="332"/>
      <c r="AK326" s="332"/>
      <c r="AL326" s="332"/>
      <c r="AM326" s="332"/>
      <c r="AN326" s="332"/>
      <c r="AO326" s="332"/>
      <c r="AP326" s="332"/>
      <c r="AQ326" s="332"/>
      <c r="AR326" s="332"/>
      <c r="AS326" s="332"/>
      <c r="AT326" s="332"/>
      <c r="AU326" s="332"/>
      <c r="AV326" s="332"/>
      <c r="AW326" s="332"/>
      <c r="AX326" s="332"/>
      <c r="AY326" s="332"/>
      <c r="AZ326" s="332"/>
      <c r="BA326" s="332"/>
      <c r="BB326" s="332"/>
      <c r="BC326" s="332"/>
      <c r="BD326" s="332"/>
      <c r="BE326" s="332"/>
      <c r="BF326" s="332"/>
      <c r="BG326" s="332"/>
      <c r="BH326" s="332"/>
      <c r="BI326" s="332"/>
      <c r="BJ326" s="336"/>
      <c r="BK326" s="336"/>
      <c r="BL326" s="336"/>
      <c r="BM326" s="336"/>
      <c r="BN326" s="337"/>
      <c r="BO326" s="337"/>
      <c r="BP326" s="337"/>
      <c r="BQ326" s="337"/>
      <c r="BR326" s="337"/>
      <c r="BS326" s="337"/>
      <c r="BT326" s="337"/>
      <c r="BU326" s="346"/>
      <c r="BV326" s="346"/>
      <c r="BW326" s="346"/>
      <c r="BX326" s="346"/>
      <c r="BY326" s="346"/>
      <c r="BZ326" s="344"/>
      <c r="CA326" s="344"/>
      <c r="CB326" s="344"/>
      <c r="CC326" s="344"/>
      <c r="CD326" s="338"/>
      <c r="CE326" s="338"/>
      <c r="CF326" s="338"/>
      <c r="CG326" s="338"/>
      <c r="CH326" s="332"/>
      <c r="CI326" s="332"/>
      <c r="CJ326" s="332"/>
      <c r="CK326" s="332"/>
      <c r="CL326" s="332"/>
      <c r="CM326" s="332"/>
      <c r="CN326" s="332"/>
      <c r="CO326" s="332"/>
      <c r="CP326" s="332"/>
      <c r="CQ326" s="332"/>
      <c r="CR326" s="415"/>
      <c r="CS326" s="332"/>
      <c r="CT326" s="332"/>
      <c r="CU326" s="332"/>
      <c r="CV326" s="332"/>
      <c r="CW326" s="332"/>
      <c r="CX326" s="332"/>
      <c r="CY326" s="332"/>
      <c r="CZ326" s="332"/>
      <c r="DA326" s="1018"/>
      <c r="DB326" s="1018"/>
      <c r="DC326" s="1018"/>
      <c r="DD326" s="1018"/>
      <c r="DE326" s="1018"/>
      <c r="DF326" s="332"/>
      <c r="DG326" s="332"/>
      <c r="DH326" s="332"/>
      <c r="DI326" s="332"/>
    </row>
    <row r="327" spans="1:113">
      <c r="A327" s="368" t="s">
        <v>703</v>
      </c>
      <c r="S327" s="431">
        <v>-2.5000000000000001E-2</v>
      </c>
      <c r="T327" s="431">
        <v>-0.04</v>
      </c>
      <c r="AD327" s="367"/>
      <c r="AE327" s="367"/>
      <c r="AF327" s="367"/>
      <c r="AG327" s="367"/>
      <c r="AH327" s="367"/>
      <c r="AI327" s="367"/>
      <c r="AJ327" s="367"/>
      <c r="AK327" s="367"/>
      <c r="AL327" s="367"/>
      <c r="AM327" s="367"/>
      <c r="AN327" s="367"/>
      <c r="AO327" s="367"/>
      <c r="AP327" s="367"/>
      <c r="AQ327" s="367"/>
      <c r="AR327" s="367"/>
      <c r="AS327" s="367"/>
      <c r="AT327" s="367"/>
      <c r="AU327" s="367"/>
      <c r="AV327" s="367"/>
      <c r="AW327" s="367"/>
      <c r="AX327" s="367"/>
      <c r="AY327" s="367"/>
      <c r="AZ327" s="367"/>
      <c r="BA327" s="367"/>
      <c r="BB327" s="367"/>
      <c r="BC327" s="367"/>
      <c r="BD327" s="367"/>
      <c r="BE327" s="367"/>
      <c r="BF327" s="367"/>
      <c r="BG327" s="367"/>
      <c r="BH327" s="367"/>
      <c r="BI327" s="367"/>
      <c r="BJ327" s="367"/>
      <c r="BK327" s="367"/>
      <c r="BL327" s="367"/>
      <c r="BM327" s="367"/>
      <c r="BN327" s="367"/>
      <c r="BO327" s="367"/>
      <c r="BP327" s="367"/>
      <c r="BQ327" s="367"/>
      <c r="BR327" s="367"/>
      <c r="BS327" s="367"/>
      <c r="BT327" s="367"/>
      <c r="BU327" s="369"/>
      <c r="BV327" s="369">
        <v>-0.05</v>
      </c>
      <c r="BW327" s="369">
        <v>-0.08</v>
      </c>
      <c r="BX327" s="369">
        <v>-0.1</v>
      </c>
      <c r="BY327" s="369">
        <v>-0.1</v>
      </c>
      <c r="BZ327" s="370">
        <v>-0.1</v>
      </c>
      <c r="CA327" s="370">
        <v>-4.4999999999999998E-2</v>
      </c>
      <c r="CB327" s="370">
        <v>-0.04</v>
      </c>
      <c r="CC327" s="370">
        <v>-0.04</v>
      </c>
      <c r="CD327" s="368"/>
      <c r="CE327" s="368"/>
      <c r="CF327" s="368"/>
      <c r="CG327" s="368"/>
      <c r="CH327" s="367"/>
      <c r="CI327" s="367"/>
      <c r="CJ327" s="367"/>
      <c r="CK327" s="367"/>
      <c r="CL327" s="367"/>
      <c r="CM327" s="367"/>
      <c r="CN327" s="367"/>
      <c r="CO327" s="367"/>
      <c r="CP327" s="369">
        <v>-0.04</v>
      </c>
      <c r="CQ327" s="369">
        <v>-4.4999999999999998E-2</v>
      </c>
      <c r="CR327" s="431">
        <v>-3.5000000000000003E-2</v>
      </c>
      <c r="CS327" s="452">
        <v>-2.5000000000000001E-2</v>
      </c>
      <c r="CT327" s="431">
        <v>-5.0000000000000001E-3</v>
      </c>
      <c r="CU327" s="367">
        <v>0</v>
      </c>
      <c r="CV327" s="452">
        <v>-0.01</v>
      </c>
      <c r="CW327" s="452">
        <v>0</v>
      </c>
      <c r="CX327" s="452">
        <v>-0.01</v>
      </c>
      <c r="CY327" s="452">
        <v>-0.03</v>
      </c>
      <c r="CZ327" s="452">
        <v>-0.03</v>
      </c>
      <c r="DA327" s="1019">
        <v>-3.5000000000000003E-2</v>
      </c>
      <c r="DB327" s="1019">
        <v>-0.03</v>
      </c>
      <c r="DC327" s="1019">
        <v>-4.4999999999999998E-2</v>
      </c>
      <c r="DD327" s="1019">
        <v>-3.5000000000000003E-2</v>
      </c>
      <c r="DE327" s="1019">
        <v>-4.4999999999999998E-2</v>
      </c>
      <c r="DF327" s="367"/>
      <c r="DG327" s="367"/>
      <c r="DH327" s="367"/>
      <c r="DI327" s="367"/>
    </row>
    <row r="328" spans="1:113">
      <c r="A328" s="946"/>
      <c r="AD328" s="399"/>
      <c r="AE328" s="399"/>
      <c r="AF328" s="399"/>
      <c r="AG328" s="399"/>
      <c r="AH328" s="399"/>
      <c r="AI328" s="399"/>
      <c r="AJ328" s="399"/>
      <c r="AK328" s="399"/>
      <c r="AL328" s="399"/>
      <c r="AM328" s="399"/>
      <c r="AN328" s="399"/>
      <c r="AO328" s="399"/>
      <c r="AP328" s="399"/>
      <c r="AQ328" s="399"/>
      <c r="AR328" s="399"/>
      <c r="AS328" s="399"/>
      <c r="AT328" s="399"/>
      <c r="AU328" s="399"/>
      <c r="AV328" s="399"/>
      <c r="AW328" s="399"/>
      <c r="AX328" s="399"/>
      <c r="AY328" s="399"/>
      <c r="AZ328" s="399"/>
      <c r="BA328" s="399"/>
      <c r="BB328" s="399"/>
      <c r="BC328" s="399"/>
      <c r="BD328" s="399"/>
      <c r="BE328" s="399"/>
      <c r="BF328" s="399"/>
      <c r="BG328" s="399"/>
      <c r="BH328" s="399"/>
      <c r="BI328" s="399"/>
      <c r="BJ328" s="399"/>
      <c r="BK328" s="399"/>
      <c r="BL328" s="399"/>
      <c r="BM328" s="399"/>
      <c r="BN328" s="399"/>
      <c r="BO328" s="399"/>
      <c r="BP328" s="399"/>
      <c r="BQ328" s="399"/>
      <c r="BR328" s="377"/>
      <c r="BS328" s="377"/>
      <c r="BT328" s="377"/>
      <c r="BU328" s="377"/>
      <c r="BV328" s="337"/>
      <c r="BW328" s="337"/>
      <c r="BX328" s="337"/>
      <c r="BY328" s="337"/>
      <c r="BZ328" s="377"/>
      <c r="CA328" s="377"/>
      <c r="CB328" s="377"/>
      <c r="CC328" s="377"/>
      <c r="CD328" s="377"/>
      <c r="CE328" s="377"/>
      <c r="CF328" s="377"/>
      <c r="CG328" s="377"/>
      <c r="CH328" s="399"/>
      <c r="CI328" s="399"/>
      <c r="CJ328" s="399"/>
      <c r="CK328" s="399"/>
      <c r="CL328" s="399"/>
      <c r="CM328" s="399"/>
      <c r="CN328" s="399"/>
      <c r="CO328" s="399"/>
      <c r="CP328" s="399"/>
      <c r="CQ328" s="399"/>
      <c r="CR328" s="399"/>
      <c r="CS328" s="399"/>
      <c r="CT328" s="399"/>
      <c r="CU328" s="399"/>
      <c r="CV328" s="399"/>
      <c r="CW328" s="399"/>
      <c r="CX328" s="399"/>
      <c r="CY328" s="399"/>
      <c r="CZ328" s="399"/>
      <c r="DA328" s="1007"/>
      <c r="DB328" s="1007"/>
      <c r="DC328" s="1007"/>
      <c r="DD328" s="1007"/>
      <c r="DE328" s="1007"/>
      <c r="DF328" s="399"/>
      <c r="DG328" s="399"/>
      <c r="DH328" s="399"/>
      <c r="DI328" s="399"/>
    </row>
    <row r="329" spans="1:113" hidden="1" outlineLevel="1">
      <c r="A329" s="946" t="s">
        <v>58</v>
      </c>
      <c r="AD329" s="399"/>
      <c r="AE329" s="399"/>
      <c r="AF329" s="399"/>
      <c r="AG329" s="399"/>
      <c r="AH329" s="399"/>
      <c r="AI329" s="399"/>
      <c r="AJ329" s="399"/>
      <c r="AK329" s="399"/>
      <c r="AL329" s="399"/>
      <c r="AM329" s="399"/>
      <c r="AN329" s="399"/>
      <c r="AO329" s="399"/>
      <c r="AP329" s="399"/>
      <c r="AQ329" s="399"/>
      <c r="AR329" s="399"/>
      <c r="AS329" s="399"/>
      <c r="AT329" s="399"/>
      <c r="AU329" s="399"/>
      <c r="AV329" s="399"/>
      <c r="AW329" s="399"/>
      <c r="AX329" s="399"/>
      <c r="AY329" s="399"/>
      <c r="AZ329" s="399"/>
      <c r="BA329" s="399"/>
      <c r="BB329" s="399"/>
      <c r="BC329" s="399"/>
      <c r="BD329" s="399"/>
      <c r="BE329" s="399"/>
      <c r="BF329" s="399"/>
      <c r="BG329" s="399"/>
      <c r="BH329" s="399"/>
      <c r="BI329" s="399"/>
      <c r="BJ329" s="399"/>
      <c r="BK329" s="399"/>
      <c r="BL329" s="399"/>
      <c r="BM329" s="399"/>
      <c r="BN329" s="399"/>
      <c r="BO329" s="399"/>
      <c r="BP329" s="399"/>
      <c r="BQ329" s="399"/>
      <c r="BR329" s="377"/>
      <c r="BS329" s="377"/>
      <c r="BT329" s="377"/>
      <c r="BU329" s="377"/>
      <c r="BV329" s="554"/>
      <c r="BW329" s="554"/>
      <c r="BX329" s="554"/>
      <c r="BY329" s="554"/>
      <c r="BZ329" s="375">
        <f>BZ299/BV299-1</f>
        <v>6.2893081761006275E-3</v>
      </c>
      <c r="CA329" s="375">
        <f>CA299/BW299-1</f>
        <v>-0.1029023746701847</v>
      </c>
      <c r="CB329" s="375">
        <f>CB299/BX299-1</f>
        <v>-8.5959885386818202E-3</v>
      </c>
      <c r="CC329" s="375">
        <f>CC299/BY299-1</f>
        <v>-6.2314540059347112E-2</v>
      </c>
      <c r="CD329" s="375"/>
      <c r="CE329" s="375"/>
      <c r="CF329" s="375"/>
      <c r="CG329" s="377"/>
      <c r="CH329" s="399"/>
      <c r="CI329" s="399"/>
      <c r="CJ329" s="399"/>
      <c r="CK329" s="399"/>
      <c r="CL329" s="399"/>
      <c r="CM329" s="399"/>
      <c r="CN329" s="399"/>
      <c r="CO329" s="399"/>
      <c r="CP329" s="399"/>
      <c r="CQ329" s="399"/>
      <c r="CR329" s="399"/>
      <c r="CS329" s="399"/>
      <c r="CT329" s="399"/>
      <c r="CU329" s="399"/>
      <c r="CV329" s="399"/>
      <c r="CW329" s="399"/>
      <c r="CX329" s="399"/>
      <c r="CY329" s="399"/>
      <c r="CZ329" s="399"/>
      <c r="DA329" s="1007"/>
      <c r="DB329" s="1007"/>
      <c r="DC329" s="1007"/>
      <c r="DD329" s="1007"/>
      <c r="DE329" s="399"/>
      <c r="DF329" s="399"/>
      <c r="DG329" s="399"/>
      <c r="DH329" s="399"/>
      <c r="DI329" s="399"/>
    </row>
    <row r="330" spans="1:113" hidden="1" outlineLevel="1">
      <c r="A330" s="946" t="s">
        <v>60</v>
      </c>
      <c r="AD330" s="399"/>
      <c r="AE330" s="399"/>
      <c r="AF330" s="399"/>
      <c r="AG330" s="399"/>
      <c r="AH330" s="399"/>
      <c r="AI330" s="399"/>
      <c r="AJ330" s="399"/>
      <c r="AK330" s="399"/>
      <c r="AL330" s="399"/>
      <c r="AM330" s="399"/>
      <c r="AN330" s="399"/>
      <c r="AO330" s="399"/>
      <c r="AP330" s="399"/>
      <c r="AQ330" s="399"/>
      <c r="AR330" s="399"/>
      <c r="AS330" s="399"/>
      <c r="AT330" s="399"/>
      <c r="AU330" s="399"/>
      <c r="AV330" s="399"/>
      <c r="AW330" s="399"/>
      <c r="AX330" s="399"/>
      <c r="AY330" s="399"/>
      <c r="AZ330" s="399"/>
      <c r="BA330" s="399"/>
      <c r="BB330" s="399"/>
      <c r="BC330" s="399"/>
      <c r="BD330" s="399"/>
      <c r="BE330" s="399"/>
      <c r="BF330" s="399"/>
      <c r="BG330" s="399"/>
      <c r="BH330" s="399"/>
      <c r="BI330" s="399"/>
      <c r="BJ330" s="399"/>
      <c r="BK330" s="399"/>
      <c r="BL330" s="399"/>
      <c r="BM330" s="399"/>
      <c r="BN330" s="399"/>
      <c r="BO330" s="399"/>
      <c r="BP330" s="399"/>
      <c r="BQ330" s="399"/>
      <c r="BR330" s="377"/>
      <c r="BS330" s="377"/>
      <c r="BT330" s="377"/>
      <c r="BU330" s="377"/>
      <c r="BV330" s="554"/>
      <c r="BW330" s="554"/>
      <c r="BX330" s="554"/>
      <c r="BY330" s="554"/>
      <c r="BZ330" s="375">
        <f>BZ301/BV301-1</f>
        <v>-0.11111111111111116</v>
      </c>
      <c r="CA330" s="375">
        <f>CA301/BW301-1</f>
        <v>-0.18181818181818177</v>
      </c>
      <c r="CB330" s="375">
        <f>CB301/BX301-1</f>
        <v>-6.6666666666666763E-2</v>
      </c>
      <c r="CC330" s="375">
        <f>CC301/BY301-1</f>
        <v>-0.14285714285714279</v>
      </c>
      <c r="CD330" s="375"/>
      <c r="CE330" s="375"/>
      <c r="CF330" s="375"/>
      <c r="CG330" s="375"/>
      <c r="CH330" s="399"/>
      <c r="CI330" s="399"/>
      <c r="CJ330" s="399"/>
      <c r="CK330" s="399"/>
      <c r="CL330" s="399"/>
      <c r="CM330" s="399"/>
      <c r="CN330" s="399"/>
      <c r="CO330" s="399"/>
      <c r="CP330" s="399"/>
      <c r="CQ330" s="399"/>
      <c r="CR330" s="399"/>
      <c r="CS330" s="399"/>
      <c r="CT330" s="399"/>
      <c r="CU330" s="399"/>
      <c r="CV330" s="399"/>
      <c r="CW330" s="399"/>
      <c r="CX330" s="399"/>
      <c r="CY330" s="399"/>
      <c r="CZ330" s="399"/>
      <c r="DA330" s="1007"/>
      <c r="DB330" s="1007"/>
      <c r="DC330" s="1007"/>
      <c r="DD330" s="1007"/>
      <c r="DE330" s="399"/>
      <c r="DF330" s="399"/>
      <c r="DG330" s="399"/>
      <c r="DH330" s="399"/>
      <c r="DI330" s="399"/>
    </row>
    <row r="331" spans="1:113" hidden="1" outlineLevel="1">
      <c r="A331" s="946" t="s">
        <v>59</v>
      </c>
      <c r="AD331" s="399"/>
      <c r="AE331" s="399"/>
      <c r="AF331" s="399"/>
      <c r="AG331" s="399"/>
      <c r="AH331" s="399"/>
      <c r="AI331" s="399"/>
      <c r="AJ331" s="399"/>
      <c r="AK331" s="399"/>
      <c r="AL331" s="399"/>
      <c r="AM331" s="399"/>
      <c r="AN331" s="399"/>
      <c r="AO331" s="399"/>
      <c r="AP331" s="399"/>
      <c r="AQ331" s="399"/>
      <c r="AR331" s="399"/>
      <c r="AS331" s="399"/>
      <c r="AT331" s="399"/>
      <c r="AU331" s="399"/>
      <c r="AV331" s="399"/>
      <c r="AW331" s="399"/>
      <c r="AX331" s="399"/>
      <c r="AY331" s="399"/>
      <c r="AZ331" s="399"/>
      <c r="BA331" s="399"/>
      <c r="BB331" s="399"/>
      <c r="BC331" s="399"/>
      <c r="BD331" s="399"/>
      <c r="BE331" s="399"/>
      <c r="BF331" s="399"/>
      <c r="BG331" s="399"/>
      <c r="BH331" s="399"/>
      <c r="BI331" s="399"/>
      <c r="BJ331" s="399"/>
      <c r="BK331" s="399"/>
      <c r="BL331" s="399"/>
      <c r="BM331" s="399"/>
      <c r="BN331" s="399"/>
      <c r="BO331" s="399"/>
      <c r="BP331" s="399"/>
      <c r="BQ331" s="399"/>
      <c r="BR331" s="377"/>
      <c r="BS331" s="377"/>
      <c r="BT331" s="377"/>
      <c r="BU331" s="377"/>
      <c r="BV331" s="554"/>
      <c r="BW331" s="554"/>
      <c r="BX331" s="554"/>
      <c r="BY331" s="554"/>
      <c r="BZ331" s="375">
        <f>BZ300/BV300-1</f>
        <v>-0.19230769230769229</v>
      </c>
      <c r="CA331" s="375">
        <f>CA300/BW300-1</f>
        <v>-7.4074074074074181E-2</v>
      </c>
      <c r="CB331" s="375">
        <f>CB300/BX300-1</f>
        <v>-0.23076923076923084</v>
      </c>
      <c r="CC331" s="375">
        <f>CC300/BY300-1</f>
        <v>-0.23076923076923084</v>
      </c>
      <c r="CD331" s="375"/>
      <c r="CE331" s="375"/>
      <c r="CF331" s="375"/>
      <c r="CG331" s="377"/>
      <c r="CH331" s="399"/>
      <c r="CI331" s="399"/>
      <c r="CJ331" s="399"/>
      <c r="CK331" s="399"/>
      <c r="CL331" s="399"/>
      <c r="CM331" s="399"/>
      <c r="CN331" s="399"/>
      <c r="CO331" s="399"/>
      <c r="CP331" s="399"/>
      <c r="CQ331" s="399"/>
      <c r="CR331" s="399"/>
      <c r="CS331" s="399"/>
      <c r="CT331" s="399"/>
      <c r="CU331" s="399"/>
      <c r="CV331" s="399"/>
      <c r="CW331" s="399"/>
      <c r="CX331" s="399"/>
      <c r="CY331" s="399"/>
      <c r="CZ331" s="399"/>
      <c r="DA331" s="1007"/>
      <c r="DB331" s="1007"/>
      <c r="DC331" s="1007"/>
      <c r="DD331" s="1007"/>
      <c r="DE331" s="399"/>
      <c r="DF331" s="399"/>
      <c r="DG331" s="399"/>
      <c r="DH331" s="399"/>
      <c r="DI331" s="399"/>
    </row>
    <row r="332" spans="1:113" hidden="1" outlineLevel="1">
      <c r="A332" s="946"/>
      <c r="AD332" s="399"/>
      <c r="AE332" s="399"/>
      <c r="AF332" s="399"/>
      <c r="AG332" s="399"/>
      <c r="AH332" s="399"/>
      <c r="AI332" s="399"/>
      <c r="AJ332" s="399"/>
      <c r="AK332" s="399"/>
      <c r="AL332" s="399"/>
      <c r="AM332" s="399"/>
      <c r="AN332" s="399"/>
      <c r="AO332" s="399"/>
      <c r="AP332" s="399"/>
      <c r="AQ332" s="399"/>
      <c r="AR332" s="399"/>
      <c r="AS332" s="399"/>
      <c r="AT332" s="399"/>
      <c r="AU332" s="399"/>
      <c r="AV332" s="399"/>
      <c r="AW332" s="399"/>
      <c r="AX332" s="399"/>
      <c r="AY332" s="399"/>
      <c r="AZ332" s="399"/>
      <c r="BA332" s="399"/>
      <c r="BB332" s="399"/>
      <c r="BC332" s="399"/>
      <c r="BD332" s="399"/>
      <c r="BE332" s="399"/>
      <c r="BF332" s="399"/>
      <c r="BG332" s="399"/>
      <c r="BH332" s="399"/>
      <c r="BI332" s="399"/>
      <c r="BJ332" s="399"/>
      <c r="BK332" s="399"/>
      <c r="BL332" s="399"/>
      <c r="BM332" s="399"/>
      <c r="BN332" s="399"/>
      <c r="BO332" s="399"/>
      <c r="BP332" s="399"/>
      <c r="BQ332" s="399"/>
      <c r="BR332" s="377"/>
      <c r="BS332" s="377"/>
      <c r="BT332" s="377"/>
      <c r="BU332" s="377"/>
      <c r="BV332" s="377"/>
      <c r="BW332" s="377"/>
      <c r="BX332" s="377"/>
      <c r="BY332" s="377"/>
      <c r="BZ332" s="377"/>
      <c r="CA332" s="377"/>
      <c r="CB332" s="377"/>
      <c r="CC332" s="377"/>
      <c r="CD332" s="377"/>
      <c r="CE332" s="377"/>
      <c r="CF332" s="377"/>
      <c r="CG332" s="377"/>
      <c r="CH332" s="399"/>
      <c r="CI332" s="399"/>
      <c r="CJ332" s="399"/>
      <c r="CK332" s="399"/>
      <c r="CL332" s="399"/>
      <c r="CM332" s="399"/>
      <c r="CN332" s="399"/>
      <c r="CO332" s="399"/>
      <c r="CP332" s="399"/>
      <c r="CQ332" s="399"/>
      <c r="CR332" s="399"/>
      <c r="CS332" s="399"/>
      <c r="CT332" s="399"/>
      <c r="CU332" s="399"/>
      <c r="CV332" s="399"/>
      <c r="CW332" s="399"/>
      <c r="CX332" s="399"/>
      <c r="CY332" s="399"/>
      <c r="CZ332" s="399"/>
      <c r="DA332" s="1007"/>
      <c r="DB332" s="1007"/>
      <c r="DC332" s="1007"/>
      <c r="DD332" s="1007"/>
      <c r="DE332" s="399"/>
      <c r="DF332" s="399"/>
      <c r="DG332" s="399"/>
      <c r="DH332" s="399"/>
      <c r="DI332" s="399"/>
    </row>
    <row r="333" spans="1:113" collapsed="1">
      <c r="A333" s="333" t="s">
        <v>62</v>
      </c>
      <c r="AD333" s="399"/>
      <c r="AE333" s="399"/>
      <c r="AF333" s="399"/>
      <c r="AG333" s="399"/>
      <c r="AH333" s="399"/>
      <c r="AI333" s="399"/>
      <c r="AJ333" s="399"/>
      <c r="AK333" s="399"/>
      <c r="AL333" s="399"/>
      <c r="AM333" s="399"/>
      <c r="AN333" s="399"/>
      <c r="AO333" s="399"/>
      <c r="AP333" s="399"/>
      <c r="AQ333" s="399"/>
      <c r="AR333" s="399"/>
      <c r="AS333" s="399"/>
      <c r="AT333" s="399"/>
      <c r="AU333" s="399"/>
      <c r="AV333" s="399"/>
      <c r="AW333" s="399"/>
      <c r="AX333" s="399"/>
      <c r="AY333" s="399"/>
      <c r="AZ333" s="399"/>
      <c r="BA333" s="399"/>
      <c r="BB333" s="399"/>
      <c r="BC333" s="399"/>
      <c r="BD333" s="399"/>
      <c r="BE333" s="399"/>
      <c r="BF333" s="399"/>
      <c r="BG333" s="399"/>
      <c r="BH333" s="399"/>
      <c r="BI333" s="399"/>
      <c r="BJ333" s="412" t="e">
        <f t="shared" ref="BJ333:BT333" si="718">(BJ305+BJ306+BJ307+0.7)/BJ310</f>
        <v>#DIV/0!</v>
      </c>
      <c r="BK333" s="412" t="e">
        <f t="shared" si="718"/>
        <v>#DIV/0!</v>
      </c>
      <c r="BL333" s="412" t="e">
        <f t="shared" si="718"/>
        <v>#DIV/0!</v>
      </c>
      <c r="BM333" s="412" t="e">
        <f t="shared" si="718"/>
        <v>#DIV/0!</v>
      </c>
      <c r="BN333" s="412">
        <f t="shared" si="718"/>
        <v>-10.822310869495768</v>
      </c>
      <c r="BO333" s="412">
        <f t="shared" si="718"/>
        <v>-20.649999999999984</v>
      </c>
      <c r="BP333" s="412">
        <f t="shared" si="718"/>
        <v>-66.640000000000228</v>
      </c>
      <c r="BQ333" s="412">
        <f t="shared" si="718"/>
        <v>-7.4437814375079618</v>
      </c>
      <c r="BR333" s="412">
        <f t="shared" si="718"/>
        <v>-47.043214979685423</v>
      </c>
      <c r="BS333" s="412">
        <f t="shared" si="718"/>
        <v>-9.7818921308576421</v>
      </c>
      <c r="BT333" s="412">
        <f t="shared" si="718"/>
        <v>-10.729905529925697</v>
      </c>
      <c r="BU333" s="377"/>
      <c r="BV333" s="554"/>
      <c r="BW333" s="554"/>
      <c r="BX333" s="554"/>
      <c r="BY333" s="554"/>
      <c r="BZ333" s="554"/>
      <c r="CA333" s="554"/>
      <c r="CB333" s="554"/>
      <c r="CC333" s="377"/>
      <c r="CD333" s="554"/>
      <c r="CE333" s="554"/>
      <c r="CF333" s="554"/>
      <c r="CG333" s="377"/>
      <c r="CH333" s="399" t="s">
        <v>299</v>
      </c>
      <c r="CI333" s="399"/>
      <c r="CJ333" s="399"/>
      <c r="CK333" s="399"/>
      <c r="CL333" s="399"/>
      <c r="CM333" s="399"/>
      <c r="CN333" s="399"/>
      <c r="CO333" s="399"/>
      <c r="CP333" s="399"/>
      <c r="CQ333" s="399"/>
      <c r="CR333" s="399"/>
      <c r="CS333" s="577"/>
      <c r="CT333" s="399"/>
      <c r="CU333" s="399"/>
      <c r="CV333" s="399"/>
      <c r="CW333" s="399"/>
      <c r="CX333" s="399"/>
      <c r="CY333" s="399"/>
      <c r="CZ333" s="399"/>
      <c r="DA333" s="1007"/>
      <c r="DB333" s="1007"/>
      <c r="DC333" s="1007"/>
      <c r="DD333" s="1007"/>
      <c r="DE333" s="399"/>
      <c r="DF333" s="399"/>
      <c r="DG333" s="399"/>
      <c r="DH333" s="399"/>
      <c r="DI333" s="399"/>
    </row>
    <row r="334" spans="1:113">
      <c r="A334" s="946" t="s">
        <v>97</v>
      </c>
      <c r="B334" s="508"/>
      <c r="C334" s="509"/>
      <c r="D334" s="509"/>
      <c r="E334" s="509"/>
      <c r="F334" s="534">
        <v>0.38</v>
      </c>
      <c r="G334" s="534">
        <v>0.39500000000000002</v>
      </c>
      <c r="H334" s="534">
        <v>0.4</v>
      </c>
      <c r="I334" s="534">
        <v>0.40500000000000003</v>
      </c>
      <c r="J334" s="534">
        <v>0.41</v>
      </c>
      <c r="K334" s="534">
        <v>0.41899999999999998</v>
      </c>
      <c r="L334" s="534">
        <v>0.41799999999999998</v>
      </c>
      <c r="M334" s="509">
        <v>0.42599999999999999</v>
      </c>
      <c r="N334" s="509">
        <v>0.42</v>
      </c>
      <c r="O334" s="509">
        <v>0.42599999999999999</v>
      </c>
      <c r="P334" s="509">
        <v>0.437</v>
      </c>
      <c r="Q334" s="509">
        <v>0.438</v>
      </c>
      <c r="R334" s="509">
        <v>0.44</v>
      </c>
      <c r="AD334" s="399"/>
      <c r="AE334" s="399"/>
      <c r="AF334" s="399"/>
      <c r="AG334" s="399"/>
      <c r="AH334" s="399"/>
      <c r="AI334" s="399"/>
      <c r="AJ334" s="399"/>
      <c r="AK334" s="399"/>
      <c r="AL334" s="399"/>
      <c r="AM334" s="399"/>
      <c r="AN334" s="399"/>
      <c r="AO334" s="399"/>
      <c r="AP334" s="399"/>
      <c r="AQ334" s="399"/>
      <c r="AR334" s="399"/>
      <c r="AS334" s="399"/>
      <c r="AT334" s="399"/>
      <c r="AU334" s="399"/>
      <c r="AV334" s="399"/>
      <c r="AW334" s="402">
        <v>0.36685000000000001</v>
      </c>
      <c r="AX334" s="402">
        <v>0.37085000000000001</v>
      </c>
      <c r="AY334" s="402">
        <v>0.37384999999999996</v>
      </c>
      <c r="AZ334" s="402">
        <v>0.37685000000000002</v>
      </c>
      <c r="BA334" s="402">
        <v>0.38085000000000002</v>
      </c>
      <c r="BB334" s="402">
        <v>0.38585000000000003</v>
      </c>
      <c r="BC334" s="402">
        <v>0.39185000000000003</v>
      </c>
      <c r="BD334" s="402">
        <v>0.39185000000000003</v>
      </c>
      <c r="BE334" s="402">
        <v>0.39385000000000014</v>
      </c>
      <c r="BF334" s="402">
        <v>0.39384999999999998</v>
      </c>
      <c r="BG334" s="402">
        <v>0.39585000000000004</v>
      </c>
      <c r="BH334" s="402">
        <v>0.39685000000000004</v>
      </c>
      <c r="BI334" s="402">
        <v>0.39684999999999993</v>
      </c>
      <c r="BJ334" s="402">
        <v>0.39984999999999998</v>
      </c>
      <c r="BK334" s="402">
        <v>0.40185000000000004</v>
      </c>
      <c r="BL334" s="402">
        <v>0.40185000000000004</v>
      </c>
      <c r="BM334" s="402">
        <v>0.39984999999999998</v>
      </c>
      <c r="BN334" s="402">
        <v>0.40384999999999999</v>
      </c>
      <c r="BO334" s="402">
        <v>0.40584999999999999</v>
      </c>
      <c r="BP334" s="402">
        <v>0.40685000000000004</v>
      </c>
      <c r="BQ334" s="402">
        <v>0.40785000000000005</v>
      </c>
      <c r="BR334" s="402">
        <v>0.41899999999999998</v>
      </c>
      <c r="BS334" s="402">
        <v>0.41799999999999998</v>
      </c>
      <c r="BT334" s="402">
        <v>0.41799999999999998</v>
      </c>
      <c r="BU334" s="402">
        <v>0.42099999999999999</v>
      </c>
      <c r="BV334" s="402">
        <v>0.42399999999999999</v>
      </c>
      <c r="BW334" s="402">
        <v>0.41200000000000003</v>
      </c>
      <c r="BX334" s="402">
        <v>0.41899999999999998</v>
      </c>
      <c r="BY334" s="402">
        <v>0.41699999999999998</v>
      </c>
      <c r="BZ334" s="401">
        <v>0.42699999999999999</v>
      </c>
      <c r="CA334" s="401">
        <v>0.42799999999999999</v>
      </c>
      <c r="CB334" s="401">
        <v>0.42599999999999999</v>
      </c>
      <c r="CC334" s="401">
        <v>0.42299999999999999</v>
      </c>
      <c r="CD334" s="401">
        <v>0.42199999999999999</v>
      </c>
      <c r="CE334" s="401">
        <v>0.42599999999999999</v>
      </c>
      <c r="CF334" s="401">
        <v>0.41699999999999998</v>
      </c>
      <c r="CG334" s="401">
        <v>0.41599999999999998</v>
      </c>
      <c r="CH334" s="562">
        <v>0.434</v>
      </c>
      <c r="CI334" s="562">
        <v>0.437</v>
      </c>
      <c r="CJ334" s="562">
        <v>0.437</v>
      </c>
      <c r="CK334" s="401">
        <v>0.435</v>
      </c>
      <c r="CL334" s="562">
        <v>0.436</v>
      </c>
      <c r="CM334" s="562">
        <v>0.437</v>
      </c>
      <c r="CN334" s="562">
        <v>0.437</v>
      </c>
      <c r="CO334" s="562">
        <v>0.437</v>
      </c>
      <c r="CP334" s="562">
        <v>0.438</v>
      </c>
      <c r="CQ334" s="562">
        <v>0.44</v>
      </c>
      <c r="CR334" s="562">
        <v>0.438</v>
      </c>
      <c r="CS334" s="562">
        <v>0.438</v>
      </c>
      <c r="CT334" s="587">
        <v>0.44</v>
      </c>
      <c r="CU334" s="562">
        <v>0.442</v>
      </c>
      <c r="CV334" s="562">
        <v>0.439</v>
      </c>
      <c r="CW334" s="562">
        <v>0.44</v>
      </c>
      <c r="CX334" s="562">
        <v>0.438</v>
      </c>
      <c r="CY334" s="562">
        <v>0.438</v>
      </c>
      <c r="CZ334" s="587">
        <v>0.437</v>
      </c>
      <c r="DA334" s="990">
        <v>0.437</v>
      </c>
      <c r="DB334" s="990">
        <v>0.436</v>
      </c>
      <c r="DC334" s="990">
        <v>0.435</v>
      </c>
      <c r="DD334" s="990">
        <v>0.432</v>
      </c>
      <c r="DE334" s="990">
        <v>0.43</v>
      </c>
      <c r="DF334" s="562"/>
      <c r="DG334" s="562"/>
      <c r="DH334" s="562"/>
      <c r="DI334" s="399"/>
    </row>
    <row r="335" spans="1:113" hidden="1" outlineLevel="1">
      <c r="A335" s="946" t="s">
        <v>96</v>
      </c>
      <c r="B335" s="508"/>
      <c r="C335" s="509"/>
      <c r="D335" s="509"/>
      <c r="E335" s="509"/>
      <c r="F335" s="534">
        <v>1.7000000000000001E-2</v>
      </c>
      <c r="G335" s="534">
        <v>1.7000000000000001E-2</v>
      </c>
      <c r="H335" s="534">
        <v>1.7000000000000001E-2</v>
      </c>
      <c r="I335" s="534">
        <v>1.7999999999999999E-2</v>
      </c>
      <c r="J335" s="534">
        <v>1.9E-2</v>
      </c>
      <c r="K335" s="534">
        <v>1.9E-2</v>
      </c>
      <c r="L335" s="534">
        <v>1.6E-2</v>
      </c>
      <c r="M335" s="509">
        <v>0</v>
      </c>
      <c r="N335" s="509">
        <v>0</v>
      </c>
      <c r="O335" s="509">
        <v>0</v>
      </c>
      <c r="P335" s="509">
        <v>0</v>
      </c>
      <c r="Q335" s="509"/>
      <c r="AD335" s="399"/>
      <c r="AE335" s="399"/>
      <c r="AF335" s="399"/>
      <c r="AG335" s="399"/>
      <c r="AH335" s="399"/>
      <c r="AI335" s="399"/>
      <c r="AJ335" s="399"/>
      <c r="AK335" s="399"/>
      <c r="AL335" s="399"/>
      <c r="AM335" s="399"/>
      <c r="AN335" s="399"/>
      <c r="AO335" s="399"/>
      <c r="AP335" s="399"/>
      <c r="AQ335" s="399"/>
      <c r="AR335" s="399"/>
      <c r="AS335" s="399"/>
      <c r="AT335" s="399"/>
      <c r="AU335" s="399"/>
      <c r="AV335" s="399"/>
      <c r="AW335" s="374">
        <v>1.2810000000000002E-2</v>
      </c>
      <c r="AX335" s="374">
        <v>1.481E-2</v>
      </c>
      <c r="AY335" s="374">
        <v>1.6810000000000002E-2</v>
      </c>
      <c r="AZ335" s="374">
        <v>1.7810000000000003E-2</v>
      </c>
      <c r="BA335" s="374">
        <v>1.6810000000000002E-2</v>
      </c>
      <c r="BB335" s="374">
        <v>1.6810000000000002E-2</v>
      </c>
      <c r="BC335" s="374">
        <v>1.5810000000000001E-2</v>
      </c>
      <c r="BD335" s="374">
        <v>1.6810000000000002E-2</v>
      </c>
      <c r="BE335" s="374">
        <v>1.7809999999999999E-2</v>
      </c>
      <c r="BF335" s="374">
        <v>1.6810000000000002E-2</v>
      </c>
      <c r="BG335" s="374">
        <v>1.6810000000000002E-2</v>
      </c>
      <c r="BH335" s="374">
        <v>1.7810000000000003E-2</v>
      </c>
      <c r="BI335" s="374">
        <v>1.5809999999999998E-2</v>
      </c>
      <c r="BJ335" s="374">
        <v>1.7810000000000003E-2</v>
      </c>
      <c r="BK335" s="374">
        <v>1.881E-2</v>
      </c>
      <c r="BL335" s="374">
        <v>1.7810000000000003E-2</v>
      </c>
      <c r="BM335" s="374">
        <v>1.881E-2</v>
      </c>
      <c r="BN335" s="374">
        <v>1.881E-2</v>
      </c>
      <c r="BO335" s="374">
        <v>1.881E-2</v>
      </c>
      <c r="BP335" s="374">
        <v>1.881E-2</v>
      </c>
      <c r="BQ335" s="374">
        <v>1.881E-2</v>
      </c>
      <c r="BR335" s="374">
        <v>1.9E-2</v>
      </c>
      <c r="BS335" s="374">
        <v>1.9E-2</v>
      </c>
      <c r="BT335" s="374">
        <v>1.7999999999999999E-2</v>
      </c>
      <c r="BU335" s="374">
        <v>1.6810000000000002E-2</v>
      </c>
      <c r="BV335" s="374">
        <v>1.7000000000000001E-2</v>
      </c>
      <c r="BW335" s="374">
        <v>1.7000000000000001E-2</v>
      </c>
      <c r="BX335" s="374">
        <v>1.4999999999999999E-2</v>
      </c>
      <c r="BY335" s="374">
        <v>1.4E-2</v>
      </c>
      <c r="BZ335" s="402"/>
      <c r="CA335" s="402"/>
      <c r="CB335" s="402"/>
      <c r="CC335" s="402"/>
      <c r="CD335" s="402"/>
      <c r="CE335" s="402"/>
      <c r="CF335" s="402"/>
      <c r="CG335" s="374"/>
      <c r="CH335" s="399"/>
      <c r="CI335" s="399"/>
      <c r="CJ335" s="399"/>
      <c r="CK335" s="374"/>
      <c r="CL335" s="399"/>
      <c r="CM335" s="399"/>
      <c r="CN335" s="399"/>
      <c r="CO335" s="399"/>
      <c r="CP335" s="399"/>
      <c r="CQ335" s="399"/>
      <c r="CR335" s="399"/>
      <c r="CS335" s="399"/>
      <c r="CT335" s="557"/>
      <c r="CU335" s="399"/>
      <c r="CV335" s="399"/>
      <c r="CW335" s="399"/>
      <c r="CX335" s="399"/>
      <c r="CY335" s="399"/>
      <c r="CZ335" s="557"/>
      <c r="DA335" s="991"/>
      <c r="DB335" s="1007"/>
      <c r="DC335" s="1007"/>
      <c r="DD335" s="1007"/>
      <c r="DE335" s="1007"/>
      <c r="DF335" s="399"/>
      <c r="DG335" s="399"/>
      <c r="DH335" s="399"/>
      <c r="DI335" s="399"/>
    </row>
    <row r="336" spans="1:113" hidden="1" outlineLevel="1">
      <c r="A336" s="946" t="s">
        <v>57</v>
      </c>
      <c r="B336" s="508"/>
      <c r="C336" s="509"/>
      <c r="D336" s="509"/>
      <c r="E336" s="509"/>
      <c r="F336" s="534">
        <v>2.4E-2</v>
      </c>
      <c r="G336" s="534">
        <v>2.4E-2</v>
      </c>
      <c r="H336" s="534">
        <v>2.3E-2</v>
      </c>
      <c r="I336" s="534">
        <v>2.3E-2</v>
      </c>
      <c r="J336" s="534">
        <v>2.1999999999999999E-2</v>
      </c>
      <c r="K336" s="534">
        <v>0.02</v>
      </c>
      <c r="L336" s="534">
        <v>1.7999999999999999E-2</v>
      </c>
      <c r="M336" s="509">
        <v>0</v>
      </c>
      <c r="N336" s="509">
        <v>0</v>
      </c>
      <c r="O336" s="509">
        <v>0</v>
      </c>
      <c r="P336" s="509">
        <v>0</v>
      </c>
      <c r="Q336" s="509"/>
      <c r="AD336" s="399"/>
      <c r="AE336" s="399"/>
      <c r="AF336" s="399"/>
      <c r="AG336" s="399"/>
      <c r="AH336" s="399"/>
      <c r="AI336" s="399"/>
      <c r="AJ336" s="399"/>
      <c r="AK336" s="399"/>
      <c r="AL336" s="399"/>
      <c r="AM336" s="399"/>
      <c r="AN336" s="399"/>
      <c r="AO336" s="399"/>
      <c r="AP336" s="399"/>
      <c r="AQ336" s="399"/>
      <c r="AR336" s="399"/>
      <c r="AS336" s="399"/>
      <c r="AT336" s="399"/>
      <c r="AU336" s="399"/>
      <c r="AV336" s="399"/>
      <c r="AW336" s="374">
        <v>2.479E-2</v>
      </c>
      <c r="AX336" s="374">
        <v>2.479E-2</v>
      </c>
      <c r="AY336" s="374">
        <v>2.3789999999999999E-2</v>
      </c>
      <c r="AZ336" s="374">
        <v>2.3789999999999999E-2</v>
      </c>
      <c r="BA336" s="374">
        <v>2.3789999999999999E-2</v>
      </c>
      <c r="BB336" s="374">
        <v>2.3789999999999999E-2</v>
      </c>
      <c r="BC336" s="374">
        <v>2.2789999999999998E-2</v>
      </c>
      <c r="BD336" s="374">
        <v>2.3789999999999999E-2</v>
      </c>
      <c r="BE336" s="374">
        <v>2.479E-2</v>
      </c>
      <c r="BF336" s="374">
        <v>2.2789999999999998E-2</v>
      </c>
      <c r="BG336" s="374">
        <v>2.2789999999999998E-2</v>
      </c>
      <c r="BH336" s="374">
        <v>2.2789999999999998E-2</v>
      </c>
      <c r="BI336" s="374">
        <v>2.2789999999999998E-2</v>
      </c>
      <c r="BJ336" s="374">
        <v>2.2789999999999998E-2</v>
      </c>
      <c r="BK336" s="374">
        <v>2.2789999999999998E-2</v>
      </c>
      <c r="BL336" s="374">
        <v>2.2789999999999998E-2</v>
      </c>
      <c r="BM336" s="374">
        <v>2.2789999999999998E-2</v>
      </c>
      <c r="BN336" s="374">
        <v>2.1790000000000004E-2</v>
      </c>
      <c r="BO336" s="374">
        <v>2.1790000000000004E-2</v>
      </c>
      <c r="BP336" s="374">
        <v>2.1790000000000004E-2</v>
      </c>
      <c r="BQ336" s="374">
        <v>2.1790000000000004E-2</v>
      </c>
      <c r="BR336" s="374">
        <v>2.1000000000000001E-2</v>
      </c>
      <c r="BS336" s="374">
        <v>0.02</v>
      </c>
      <c r="BT336" s="374">
        <v>1.9E-2</v>
      </c>
      <c r="BU336" s="374">
        <v>1.7999999999999999E-2</v>
      </c>
      <c r="BV336" s="374">
        <v>1.9E-2</v>
      </c>
      <c r="BW336" s="374">
        <v>1.8000000000000002E-2</v>
      </c>
      <c r="BX336" s="374">
        <v>1.7999999999999999E-2</v>
      </c>
      <c r="BY336" s="374">
        <v>1.7999999999999999E-2</v>
      </c>
      <c r="BZ336" s="402"/>
      <c r="CA336" s="402"/>
      <c r="CB336" s="402"/>
      <c r="CC336" s="402"/>
      <c r="CD336" s="402"/>
      <c r="CE336" s="402"/>
      <c r="CF336" s="402"/>
      <c r="CG336" s="374"/>
      <c r="CH336" s="399"/>
      <c r="CI336" s="399"/>
      <c r="CJ336" s="399"/>
      <c r="CK336" s="374"/>
      <c r="CL336" s="399"/>
      <c r="CM336" s="399"/>
      <c r="CN336" s="399"/>
      <c r="CO336" s="399"/>
      <c r="CP336" s="399"/>
      <c r="CQ336" s="399"/>
      <c r="CR336" s="399"/>
      <c r="CS336" s="399"/>
      <c r="CT336" s="557"/>
      <c r="CU336" s="399"/>
      <c r="CV336" s="399"/>
      <c r="CW336" s="399"/>
      <c r="CX336" s="399"/>
      <c r="CY336" s="399"/>
      <c r="CZ336" s="557"/>
      <c r="DA336" s="991"/>
      <c r="DB336" s="1007"/>
      <c r="DC336" s="1007"/>
      <c r="DD336" s="1007"/>
      <c r="DE336" s="1007"/>
      <c r="DF336" s="399"/>
      <c r="DG336" s="399"/>
      <c r="DH336" s="399"/>
      <c r="DI336" s="399"/>
    </row>
    <row r="337" spans="1:113" hidden="1" outlineLevel="1">
      <c r="A337" s="946" t="s">
        <v>169</v>
      </c>
      <c r="B337" s="508"/>
      <c r="C337" s="509"/>
      <c r="D337" s="509"/>
      <c r="E337" s="509"/>
      <c r="F337" s="534">
        <v>4.2000000000000003E-2</v>
      </c>
      <c r="G337" s="534">
        <v>4.2000000000000003E-2</v>
      </c>
      <c r="H337" s="534">
        <v>4.2999999999999997E-2</v>
      </c>
      <c r="I337" s="534">
        <v>4.2000000000000003E-2</v>
      </c>
      <c r="J337" s="534">
        <v>4.1000000000000002E-2</v>
      </c>
      <c r="K337" s="534">
        <v>3.7999999999999999E-2</v>
      </c>
      <c r="L337" s="534">
        <v>3.4000000000000002E-2</v>
      </c>
      <c r="M337" s="509">
        <v>0</v>
      </c>
      <c r="N337" s="509">
        <v>0</v>
      </c>
      <c r="O337" s="509">
        <v>0</v>
      </c>
      <c r="P337" s="509">
        <v>0</v>
      </c>
      <c r="Q337" s="509"/>
      <c r="AD337" s="399"/>
      <c r="AE337" s="399"/>
      <c r="AF337" s="399"/>
      <c r="AG337" s="399"/>
      <c r="AH337" s="399"/>
      <c r="AI337" s="399"/>
      <c r="AJ337" s="399"/>
      <c r="AK337" s="399"/>
      <c r="AL337" s="399"/>
      <c r="AM337" s="399"/>
      <c r="AN337" s="399"/>
      <c r="AO337" s="399"/>
      <c r="AP337" s="399"/>
      <c r="AQ337" s="399"/>
      <c r="AR337" s="399"/>
      <c r="AS337" s="399"/>
      <c r="AT337" s="399"/>
      <c r="AU337" s="399"/>
      <c r="AV337" s="399"/>
      <c r="AW337" s="374">
        <v>4.2599999999999999E-2</v>
      </c>
      <c r="AX337" s="374">
        <v>4.2599999999999999E-2</v>
      </c>
      <c r="AY337" s="374">
        <v>4.1599999999999998E-2</v>
      </c>
      <c r="AZ337" s="374">
        <v>4.1599999999999998E-2</v>
      </c>
      <c r="BA337" s="374">
        <v>4.1599999999999998E-2</v>
      </c>
      <c r="BB337" s="374">
        <v>4.2599999999999999E-2</v>
      </c>
      <c r="BC337" s="374">
        <v>4.1599999999999998E-2</v>
      </c>
      <c r="BD337" s="374">
        <v>4.1599999999999998E-2</v>
      </c>
      <c r="BE337" s="374">
        <v>4.0600000000000011E-2</v>
      </c>
      <c r="BF337" s="374">
        <v>4.2599999999999999E-2</v>
      </c>
      <c r="BG337" s="374">
        <v>4.2599999999999999E-2</v>
      </c>
      <c r="BH337" s="374">
        <v>4.1599999999999998E-2</v>
      </c>
      <c r="BI337" s="374">
        <v>4.3599999999999986E-2</v>
      </c>
      <c r="BJ337" s="374">
        <v>4.1599999999999998E-2</v>
      </c>
      <c r="BK337" s="374">
        <v>4.1599999999999998E-2</v>
      </c>
      <c r="BL337" s="374">
        <v>4.1599999999999998E-2</v>
      </c>
      <c r="BM337" s="374">
        <v>4.0599999999999997E-2</v>
      </c>
      <c r="BN337" s="374">
        <v>4.0599999999999997E-2</v>
      </c>
      <c r="BO337" s="374">
        <v>3.9599999999999996E-2</v>
      </c>
      <c r="BP337" s="374">
        <v>3.9599999999999996E-2</v>
      </c>
      <c r="BQ337" s="374">
        <v>3.9599999999999996E-2</v>
      </c>
      <c r="BR337" s="374">
        <v>3.9E-2</v>
      </c>
      <c r="BS337" s="374">
        <v>3.9E-2</v>
      </c>
      <c r="BT337" s="374">
        <v>3.7999999999999999E-2</v>
      </c>
      <c r="BU337" s="374">
        <v>1.9E-2</v>
      </c>
      <c r="BV337" s="374">
        <v>3.6000000000000004E-2</v>
      </c>
      <c r="BW337" s="374">
        <v>3.5000000000000003E-2</v>
      </c>
      <c r="BX337" s="374">
        <v>3.2000000000000001E-2</v>
      </c>
      <c r="BY337" s="374">
        <v>3.1E-2</v>
      </c>
      <c r="BZ337" s="402"/>
      <c r="CA337" s="402"/>
      <c r="CB337" s="402"/>
      <c r="CC337" s="402"/>
      <c r="CD337" s="402"/>
      <c r="CE337" s="402"/>
      <c r="CF337" s="402"/>
      <c r="CG337" s="374"/>
      <c r="CH337" s="399"/>
      <c r="CI337" s="399"/>
      <c r="CJ337" s="399"/>
      <c r="CK337" s="374"/>
      <c r="CL337" s="399"/>
      <c r="CM337" s="399"/>
      <c r="CN337" s="399"/>
      <c r="CO337" s="399"/>
      <c r="CP337" s="399"/>
      <c r="CQ337" s="399"/>
      <c r="CR337" s="399"/>
      <c r="CS337" s="399"/>
      <c r="CT337" s="557"/>
      <c r="CU337" s="399"/>
      <c r="CV337" s="399"/>
      <c r="CW337" s="399"/>
      <c r="CX337" s="399"/>
      <c r="CY337" s="399"/>
      <c r="CZ337" s="557"/>
      <c r="DA337" s="991"/>
      <c r="DB337" s="1007"/>
      <c r="DC337" s="1007"/>
      <c r="DD337" s="1007"/>
      <c r="DE337" s="1007"/>
      <c r="DF337" s="399"/>
      <c r="DG337" s="399"/>
      <c r="DH337" s="399"/>
      <c r="DI337" s="399"/>
    </row>
    <row r="338" spans="1:113" collapsed="1">
      <c r="A338" s="946" t="s">
        <v>63</v>
      </c>
      <c r="B338" s="508"/>
      <c r="C338" s="509"/>
      <c r="D338" s="509"/>
      <c r="E338" s="509"/>
      <c r="F338" s="509">
        <f t="shared" ref="F338:L338" si="719">F339-SUM(F334:F337)</f>
        <v>2.3999999999999966E-2</v>
      </c>
      <c r="G338" s="509">
        <f t="shared" si="719"/>
        <v>1.9999999999999962E-2</v>
      </c>
      <c r="H338" s="509">
        <f t="shared" si="719"/>
        <v>1.699999999999996E-2</v>
      </c>
      <c r="I338" s="509">
        <f t="shared" si="719"/>
        <v>1.4999999999999958E-2</v>
      </c>
      <c r="J338" s="509">
        <f t="shared" si="719"/>
        <v>1.4000000000000012E-2</v>
      </c>
      <c r="K338" s="509">
        <f t="shared" si="719"/>
        <v>1.3000000000000012E-2</v>
      </c>
      <c r="L338" s="509">
        <f t="shared" si="719"/>
        <v>1.3000000000000012E-2</v>
      </c>
      <c r="M338" s="509">
        <v>7.2000000000000008E-2</v>
      </c>
      <c r="N338" s="509">
        <v>6.8000000000000005E-2</v>
      </c>
      <c r="O338" s="509">
        <v>6.7000000000000004E-2</v>
      </c>
      <c r="P338" s="509">
        <v>7.0000000000000007E-2</v>
      </c>
      <c r="Q338" s="509">
        <v>7.1000000000000008E-2</v>
      </c>
      <c r="R338" s="509">
        <f>2.8%+4.5%</f>
        <v>7.2999999999999995E-2</v>
      </c>
      <c r="AD338" s="399"/>
      <c r="AE338" s="399"/>
      <c r="AF338" s="399"/>
      <c r="AG338" s="399"/>
      <c r="AH338" s="399"/>
      <c r="AI338" s="399"/>
      <c r="AJ338" s="399"/>
      <c r="AK338" s="399"/>
      <c r="AL338" s="399"/>
      <c r="AM338" s="399"/>
      <c r="AN338" s="399"/>
      <c r="AO338" s="399"/>
      <c r="AP338" s="399"/>
      <c r="AQ338" s="399"/>
      <c r="AR338" s="399"/>
      <c r="AS338" s="399"/>
      <c r="AT338" s="399"/>
      <c r="AU338" s="399"/>
      <c r="AV338" s="399"/>
      <c r="AW338" s="374">
        <f t="shared" ref="AW338:BT338" si="720">AW339-SUM(AW334:AW337)</f>
        <v>2.8860000000000052E-2</v>
      </c>
      <c r="AX338" s="374">
        <f t="shared" si="720"/>
        <v>2.4859999999999993E-2</v>
      </c>
      <c r="AY338" s="374">
        <f t="shared" si="720"/>
        <v>2.3860000000000048E-2</v>
      </c>
      <c r="AZ338" s="374">
        <f t="shared" si="720"/>
        <v>2.2859999999999991E-2</v>
      </c>
      <c r="BA338" s="374">
        <f t="shared" si="720"/>
        <v>2.2860000000000047E-2</v>
      </c>
      <c r="BB338" s="374">
        <f t="shared" si="720"/>
        <v>2.1860000000000046E-2</v>
      </c>
      <c r="BC338" s="374">
        <f t="shared" si="720"/>
        <v>2.085999999999999E-2</v>
      </c>
      <c r="BD338" s="374">
        <f t="shared" si="720"/>
        <v>1.9859999999999989E-2</v>
      </c>
      <c r="BE338" s="374">
        <f t="shared" si="720"/>
        <v>1.6859999999999653E-2</v>
      </c>
      <c r="BF338" s="374">
        <f t="shared" si="720"/>
        <v>1.8860000000000043E-2</v>
      </c>
      <c r="BG338" s="374">
        <f t="shared" si="720"/>
        <v>1.6860000000000042E-2</v>
      </c>
      <c r="BH338" s="374">
        <f t="shared" si="720"/>
        <v>1.6860000000000042E-2</v>
      </c>
      <c r="BI338" s="374">
        <f t="shared" si="720"/>
        <v>1.4860000000000206E-2</v>
      </c>
      <c r="BJ338" s="374">
        <f t="shared" si="720"/>
        <v>1.6859999999999986E-2</v>
      </c>
      <c r="BK338" s="374">
        <f t="shared" si="720"/>
        <v>1.486000000000004E-2</v>
      </c>
      <c r="BL338" s="374">
        <f t="shared" si="720"/>
        <v>1.4859999999999984E-2</v>
      </c>
      <c r="BM338" s="374">
        <f t="shared" si="720"/>
        <v>1.3860000000000039E-2</v>
      </c>
      <c r="BN338" s="374">
        <f t="shared" si="720"/>
        <v>1.3859999999999983E-2</v>
      </c>
      <c r="BO338" s="374">
        <f t="shared" si="720"/>
        <v>1.3860000000000039E-2</v>
      </c>
      <c r="BP338" s="374">
        <f t="shared" si="720"/>
        <v>1.3859999999999983E-2</v>
      </c>
      <c r="BQ338" s="374">
        <f t="shared" si="720"/>
        <v>1.3860000000000094E-2</v>
      </c>
      <c r="BR338" s="374">
        <f t="shared" si="720"/>
        <v>1.4000000000000012E-2</v>
      </c>
      <c r="BS338" s="374">
        <f t="shared" si="720"/>
        <v>1.4000000000000012E-2</v>
      </c>
      <c r="BT338" s="374">
        <f t="shared" si="720"/>
        <v>1.3000000000000012E-2</v>
      </c>
      <c r="BU338" s="374">
        <v>3.7999999999999999E-2</v>
      </c>
      <c r="BV338" s="374">
        <f t="shared" ref="BV338:CK338" si="721">BV339-SUM(BV334:BV337)</f>
        <v>1.3000000000000012E-2</v>
      </c>
      <c r="BW338" s="374">
        <f t="shared" si="721"/>
        <v>1.2999999999999901E-2</v>
      </c>
      <c r="BX338" s="374">
        <f t="shared" si="721"/>
        <v>1.3000000000000012E-2</v>
      </c>
      <c r="BY338" s="374">
        <f t="shared" si="721"/>
        <v>1.4000000000000012E-2</v>
      </c>
      <c r="BZ338" s="374">
        <f t="shared" si="721"/>
        <v>7.5000000000000011E-2</v>
      </c>
      <c r="CA338" s="374">
        <f t="shared" si="721"/>
        <v>7.400000000000001E-2</v>
      </c>
      <c r="CB338" s="374">
        <f t="shared" si="721"/>
        <v>7.0000000000000007E-2</v>
      </c>
      <c r="CC338" s="374">
        <f t="shared" si="721"/>
        <v>6.9000000000000006E-2</v>
      </c>
      <c r="CD338" s="374">
        <f t="shared" si="721"/>
        <v>6.8000000000000005E-2</v>
      </c>
      <c r="CE338" s="374">
        <f t="shared" si="721"/>
        <v>6.7000000000000004E-2</v>
      </c>
      <c r="CF338" s="374">
        <f t="shared" si="721"/>
        <v>7.0000000000000007E-2</v>
      </c>
      <c r="CG338" s="374">
        <f t="shared" si="721"/>
        <v>7.2000000000000008E-2</v>
      </c>
      <c r="CH338" s="374">
        <f t="shared" si="721"/>
        <v>6.6000000000000003E-2</v>
      </c>
      <c r="CI338" s="374">
        <f t="shared" si="721"/>
        <v>6.7000000000000004E-2</v>
      </c>
      <c r="CJ338" s="374">
        <f t="shared" si="721"/>
        <v>6.8000000000000005E-2</v>
      </c>
      <c r="CK338" s="374">
        <f t="shared" si="721"/>
        <v>6.9000000000000006E-2</v>
      </c>
      <c r="CL338" s="374">
        <f t="shared" ref="CL338:DE338" si="722">CL339-SUM(CL334:CL337)</f>
        <v>6.9000000000000006E-2</v>
      </c>
      <c r="CM338" s="374">
        <f t="shared" si="722"/>
        <v>7.0000000000000007E-2</v>
      </c>
      <c r="CN338" s="374">
        <f t="shared" si="722"/>
        <v>7.0000000000000007E-2</v>
      </c>
      <c r="CO338" s="374">
        <f t="shared" si="722"/>
        <v>7.0000000000000007E-2</v>
      </c>
      <c r="CP338" s="374">
        <f t="shared" si="722"/>
        <v>6.9000000000000006E-2</v>
      </c>
      <c r="CQ338" s="374">
        <f t="shared" si="722"/>
        <v>6.9000000000000006E-2</v>
      </c>
      <c r="CR338" s="374">
        <f t="shared" si="722"/>
        <v>7.1000000000000008E-2</v>
      </c>
      <c r="CS338" s="374">
        <f t="shared" si="722"/>
        <v>7.1000000000000008E-2</v>
      </c>
      <c r="CT338" s="685">
        <f t="shared" si="722"/>
        <v>7.1000000000000008E-2</v>
      </c>
      <c r="CU338" s="685">
        <f t="shared" si="722"/>
        <v>7.2000000000000008E-2</v>
      </c>
      <c r="CV338" s="685">
        <f t="shared" si="722"/>
        <v>7.400000000000001E-2</v>
      </c>
      <c r="CW338" s="685">
        <f t="shared" si="722"/>
        <v>7.400000000000001E-2</v>
      </c>
      <c r="CX338" s="685">
        <f t="shared" si="722"/>
        <v>7.3000000000000009E-2</v>
      </c>
      <c r="CY338" s="685">
        <f t="shared" si="722"/>
        <v>7.400000000000001E-2</v>
      </c>
      <c r="CZ338" s="685">
        <f t="shared" si="722"/>
        <v>7.400000000000001E-2</v>
      </c>
      <c r="DA338" s="991">
        <f t="shared" si="722"/>
        <v>7.400000000000001E-2</v>
      </c>
      <c r="DB338" s="991">
        <f t="shared" si="722"/>
        <v>7.400000000000001E-2</v>
      </c>
      <c r="DC338" s="991">
        <f t="shared" si="722"/>
        <v>7.3000000000000009E-2</v>
      </c>
      <c r="DD338" s="991">
        <f t="shared" si="722"/>
        <v>7.3000000000000009E-2</v>
      </c>
      <c r="DE338" s="991">
        <f t="shared" si="722"/>
        <v>7.3000000000000009E-2</v>
      </c>
      <c r="DF338" s="374"/>
      <c r="DG338" s="374"/>
      <c r="DH338" s="374"/>
      <c r="DI338" s="399"/>
    </row>
    <row r="339" spans="1:113">
      <c r="A339" s="333" t="s">
        <v>73</v>
      </c>
      <c r="B339" s="339"/>
      <c r="C339" s="188"/>
      <c r="D339" s="188"/>
      <c r="E339" s="188"/>
      <c r="F339" s="341">
        <v>0.48699999999999999</v>
      </c>
      <c r="G339" s="341">
        <v>0.498</v>
      </c>
      <c r="H339" s="341">
        <v>0.5</v>
      </c>
      <c r="I339" s="341">
        <v>0.503</v>
      </c>
      <c r="J339" s="341">
        <v>0.50600000000000001</v>
      </c>
      <c r="K339" s="341">
        <v>0.50900000000000001</v>
      </c>
      <c r="L339" s="341">
        <v>0.499</v>
      </c>
      <c r="M339" s="188">
        <v>0.498</v>
      </c>
      <c r="N339" s="188">
        <v>0.49</v>
      </c>
      <c r="O339" s="188">
        <v>0.496</v>
      </c>
      <c r="P339" s="188">
        <v>0.50600000000000001</v>
      </c>
      <c r="Q339" s="188">
        <v>0.50900000000000001</v>
      </c>
      <c r="R339" s="188">
        <v>0.51300000000000001</v>
      </c>
      <c r="S339" s="188">
        <v>0.51300000000000001</v>
      </c>
      <c r="AD339" s="332"/>
      <c r="AE339" s="332"/>
      <c r="AF339" s="332"/>
      <c r="AG339" s="332"/>
      <c r="AH339" s="332"/>
      <c r="AI339" s="332"/>
      <c r="AJ339" s="332"/>
      <c r="AK339" s="332"/>
      <c r="AL339" s="332"/>
      <c r="AM339" s="332"/>
      <c r="AN339" s="332"/>
      <c r="AO339" s="332"/>
      <c r="AP339" s="332"/>
      <c r="AQ339" s="332"/>
      <c r="AR339" s="332"/>
      <c r="AS339" s="332"/>
      <c r="AT339" s="332"/>
      <c r="AU339" s="332"/>
      <c r="AV339" s="332"/>
      <c r="AW339" s="346">
        <v>0.47591</v>
      </c>
      <c r="AX339" s="346">
        <v>0.47790999999999995</v>
      </c>
      <c r="AY339" s="346">
        <v>0.47991</v>
      </c>
      <c r="AZ339" s="346">
        <v>0.48290999999999995</v>
      </c>
      <c r="BA339" s="346">
        <v>0.48591000000000001</v>
      </c>
      <c r="BB339" s="346">
        <v>0.49091000000000001</v>
      </c>
      <c r="BC339" s="346">
        <v>0.49290999999999996</v>
      </c>
      <c r="BD339" s="346">
        <v>0.49390999999999996</v>
      </c>
      <c r="BE339" s="346">
        <v>0.49390999999999979</v>
      </c>
      <c r="BF339" s="346">
        <v>0.49491000000000002</v>
      </c>
      <c r="BG339" s="346">
        <v>0.49491000000000002</v>
      </c>
      <c r="BH339" s="346">
        <v>0.49591000000000002</v>
      </c>
      <c r="BI339" s="346">
        <v>0.49391000000000007</v>
      </c>
      <c r="BJ339" s="346">
        <v>0.49890999999999996</v>
      </c>
      <c r="BK339" s="346">
        <v>0.49991000000000002</v>
      </c>
      <c r="BL339" s="346">
        <v>0.49890999999999996</v>
      </c>
      <c r="BM339" s="346">
        <v>0.49591000000000002</v>
      </c>
      <c r="BN339" s="346">
        <v>0.49890999999999996</v>
      </c>
      <c r="BO339" s="346">
        <v>0.49991000000000002</v>
      </c>
      <c r="BP339" s="346">
        <v>0.50090999999999997</v>
      </c>
      <c r="BQ339" s="346">
        <v>0.50191000000000008</v>
      </c>
      <c r="BR339" s="346">
        <v>0.51200000000000001</v>
      </c>
      <c r="BS339" s="346">
        <v>0.51</v>
      </c>
      <c r="BT339" s="346">
        <v>0.50600000000000001</v>
      </c>
      <c r="BU339" s="346">
        <v>0.50900000000000001</v>
      </c>
      <c r="BV339" s="346">
        <v>0.50900000000000001</v>
      </c>
      <c r="BW339" s="346">
        <v>0.495</v>
      </c>
      <c r="BX339" s="346">
        <v>0.497</v>
      </c>
      <c r="BY339" s="346">
        <v>0.49399999999999999</v>
      </c>
      <c r="BZ339" s="344">
        <v>0.502</v>
      </c>
      <c r="CA339" s="344">
        <v>0.502</v>
      </c>
      <c r="CB339" s="344">
        <v>0.496</v>
      </c>
      <c r="CC339" s="344">
        <v>0.49199999999999999</v>
      </c>
      <c r="CD339" s="344">
        <v>0.49</v>
      </c>
      <c r="CE339" s="344">
        <v>0.49299999999999999</v>
      </c>
      <c r="CF339" s="344">
        <v>0.48699999999999999</v>
      </c>
      <c r="CG339" s="344">
        <v>0.48799999999999999</v>
      </c>
      <c r="CH339" s="344">
        <v>0.5</v>
      </c>
      <c r="CI339" s="344">
        <v>0.504</v>
      </c>
      <c r="CJ339" s="344">
        <v>0.505</v>
      </c>
      <c r="CK339" s="344">
        <v>0.504</v>
      </c>
      <c r="CL339" s="344">
        <v>0.505</v>
      </c>
      <c r="CM339" s="344">
        <v>0.50700000000000001</v>
      </c>
      <c r="CN339" s="344">
        <v>0.50700000000000001</v>
      </c>
      <c r="CO339" s="353">
        <v>0.50700000000000001</v>
      </c>
      <c r="CP339" s="344">
        <v>0.50700000000000001</v>
      </c>
      <c r="CQ339" s="344">
        <v>0.50900000000000001</v>
      </c>
      <c r="CR339" s="344">
        <v>0.50900000000000001</v>
      </c>
      <c r="CS339" s="344">
        <v>0.50900000000000001</v>
      </c>
      <c r="CT339" s="563">
        <v>0.51100000000000001</v>
      </c>
      <c r="CU339" s="344">
        <v>0.51400000000000001</v>
      </c>
      <c r="CV339" s="344">
        <v>0.51300000000000001</v>
      </c>
      <c r="CW339" s="344">
        <v>0.51400000000000001</v>
      </c>
      <c r="CX339" s="344">
        <v>0.51100000000000001</v>
      </c>
      <c r="CY339" s="344">
        <v>0.51200000000000001</v>
      </c>
      <c r="CZ339" s="563">
        <v>0.51100000000000001</v>
      </c>
      <c r="DA339" s="992">
        <v>0.51100000000000001</v>
      </c>
      <c r="DB339" s="1061">
        <v>0.51</v>
      </c>
      <c r="DC339" s="1061">
        <v>0.50800000000000001</v>
      </c>
      <c r="DD339" s="1061">
        <v>0.505</v>
      </c>
      <c r="DE339" s="1061">
        <v>0.503</v>
      </c>
      <c r="DF339" s="344"/>
      <c r="DG339" s="344"/>
      <c r="DH339" s="344"/>
      <c r="DI339" s="332"/>
    </row>
    <row r="340" spans="1:113">
      <c r="A340" s="946"/>
      <c r="AD340" s="399"/>
      <c r="AE340" s="399"/>
      <c r="AF340" s="399"/>
      <c r="AG340" s="399"/>
      <c r="AH340" s="399"/>
      <c r="AI340" s="399"/>
      <c r="AJ340" s="399"/>
      <c r="AK340" s="399"/>
      <c r="AL340" s="399"/>
      <c r="AM340" s="399"/>
      <c r="AN340" s="399"/>
      <c r="AO340" s="399"/>
      <c r="AP340" s="399"/>
      <c r="AQ340" s="399"/>
      <c r="AR340" s="399"/>
      <c r="AS340" s="399"/>
      <c r="AT340" s="399"/>
      <c r="AU340" s="399"/>
      <c r="AV340" s="399"/>
      <c r="AW340" s="399"/>
      <c r="AX340" s="399"/>
      <c r="AY340" s="399"/>
      <c r="AZ340" s="399"/>
      <c r="BA340" s="399"/>
      <c r="BB340" s="399"/>
      <c r="BC340" s="399"/>
      <c r="BD340" s="399"/>
      <c r="BE340" s="399"/>
      <c r="BF340" s="399"/>
      <c r="BG340" s="399"/>
      <c r="BH340" s="399"/>
      <c r="BI340" s="399"/>
      <c r="BJ340" s="399"/>
      <c r="BK340" s="399"/>
      <c r="BL340" s="399"/>
      <c r="BM340" s="399"/>
      <c r="BN340" s="399"/>
      <c r="BO340" s="399"/>
      <c r="BP340" s="399"/>
      <c r="BQ340" s="399"/>
      <c r="BR340" s="377"/>
      <c r="BS340" s="377"/>
      <c r="BT340" s="377"/>
      <c r="BU340" s="377"/>
      <c r="BV340" s="374"/>
      <c r="BW340" s="374"/>
      <c r="BX340" s="374"/>
      <c r="BY340" s="554"/>
      <c r="BZ340" s="375"/>
      <c r="CA340" s="375"/>
      <c r="CB340" s="375"/>
      <c r="CC340" s="375"/>
      <c r="CD340" s="375"/>
      <c r="CE340" s="375"/>
      <c r="CF340" s="375"/>
      <c r="CG340" s="375"/>
      <c r="CH340" s="399"/>
      <c r="CI340" s="399"/>
      <c r="CJ340" s="399"/>
      <c r="CK340" s="399"/>
      <c r="CL340" s="399"/>
      <c r="CM340" s="399"/>
      <c r="CN340" s="399"/>
      <c r="CO340" s="578"/>
      <c r="CP340" s="399"/>
      <c r="CQ340" s="578"/>
      <c r="CR340" s="399"/>
      <c r="CS340" s="579"/>
      <c r="CT340" s="399"/>
      <c r="CU340" s="399"/>
      <c r="CV340" s="399"/>
      <c r="CW340" s="399"/>
      <c r="CX340" s="399"/>
      <c r="CY340" s="399"/>
      <c r="CZ340" s="399"/>
      <c r="DA340" s="399"/>
      <c r="DB340" s="399"/>
      <c r="DC340" s="399"/>
      <c r="DD340" s="399"/>
      <c r="DE340" s="1007"/>
      <c r="DF340" s="399"/>
      <c r="DG340" s="399"/>
      <c r="DH340" s="399"/>
      <c r="DI340" s="399"/>
    </row>
    <row r="341" spans="1:113">
      <c r="A341" s="195" t="s">
        <v>291</v>
      </c>
      <c r="B341" s="391"/>
      <c r="C341" s="391"/>
      <c r="D341" s="391"/>
      <c r="E341" s="391"/>
      <c r="F341" s="391"/>
      <c r="G341" s="391"/>
      <c r="H341" s="391"/>
      <c r="I341" s="391"/>
      <c r="J341" s="391"/>
      <c r="K341" s="391"/>
      <c r="L341" s="391"/>
      <c r="M341" s="391"/>
      <c r="N341" s="391"/>
      <c r="O341" s="391"/>
      <c r="P341" s="391"/>
      <c r="Q341" s="391"/>
      <c r="R341" s="391"/>
      <c r="S341" s="391"/>
      <c r="T341" s="391"/>
      <c r="U341" s="391"/>
      <c r="V341" s="391"/>
      <c r="W341" s="391"/>
      <c r="X341" s="391"/>
      <c r="Y341" s="391"/>
      <c r="Z341" s="391"/>
      <c r="AA341" s="391"/>
      <c r="AB341" s="391"/>
      <c r="AD341" s="391"/>
      <c r="AE341" s="391"/>
      <c r="AF341" s="391"/>
      <c r="AG341" s="391"/>
      <c r="AH341" s="391"/>
      <c r="AI341" s="391"/>
      <c r="AJ341" s="391"/>
      <c r="AK341" s="391"/>
      <c r="AL341" s="391"/>
      <c r="AM341" s="391"/>
      <c r="AN341" s="391"/>
      <c r="AO341" s="391"/>
      <c r="AP341" s="391"/>
      <c r="AQ341" s="391"/>
      <c r="AR341" s="391"/>
      <c r="AS341" s="391"/>
      <c r="AT341" s="391"/>
      <c r="AU341" s="391"/>
      <c r="AV341" s="391"/>
      <c r="AW341" s="391"/>
      <c r="AX341" s="391"/>
      <c r="AY341" s="391"/>
      <c r="AZ341" s="391"/>
      <c r="BA341" s="391"/>
      <c r="BB341" s="391"/>
      <c r="BC341" s="391"/>
      <c r="BD341" s="391"/>
      <c r="BE341" s="391"/>
      <c r="BF341" s="391"/>
      <c r="BG341" s="391"/>
      <c r="BH341" s="391"/>
      <c r="BI341" s="391"/>
      <c r="BJ341" s="391"/>
      <c r="BK341" s="391"/>
      <c r="BL341" s="391"/>
      <c r="BM341" s="391"/>
      <c r="BN341" s="391"/>
      <c r="BO341" s="391"/>
      <c r="BP341" s="391"/>
      <c r="BQ341" s="391"/>
      <c r="BR341" s="391"/>
      <c r="BS341" s="391"/>
      <c r="BT341" s="391"/>
      <c r="BU341" s="391"/>
      <c r="BV341" s="391"/>
      <c r="BW341" s="391"/>
      <c r="BX341" s="391"/>
      <c r="BY341" s="391"/>
      <c r="BZ341" s="391"/>
      <c r="CA341" s="391"/>
      <c r="CB341" s="391"/>
      <c r="CC341" s="391"/>
      <c r="CD341" s="391"/>
      <c r="CE341" s="391"/>
      <c r="CF341" s="391"/>
      <c r="CG341" s="391"/>
      <c r="CH341" s="391"/>
      <c r="CI341" s="391"/>
      <c r="CJ341" s="391"/>
      <c r="CK341" s="391"/>
      <c r="CL341" s="391"/>
      <c r="CM341" s="391"/>
      <c r="CN341" s="391"/>
      <c r="CO341" s="391"/>
      <c r="CP341" s="391"/>
      <c r="CQ341" s="391"/>
      <c r="CR341" s="391"/>
      <c r="CS341" s="391"/>
      <c r="CT341" s="391"/>
      <c r="CU341" s="391"/>
      <c r="CV341" s="391"/>
      <c r="CW341" s="391"/>
      <c r="CX341" s="391"/>
      <c r="CY341" s="391"/>
      <c r="CZ341" s="391"/>
      <c r="DA341" s="391"/>
      <c r="DB341" s="391"/>
      <c r="DC341" s="391"/>
      <c r="DD341" s="391"/>
      <c r="DE341" s="391"/>
      <c r="DF341" s="391"/>
      <c r="DG341" s="391"/>
      <c r="DH341" s="391"/>
      <c r="DI341" s="391"/>
    </row>
    <row r="342" spans="1:113">
      <c r="A342" s="131"/>
      <c r="AD342" s="131"/>
      <c r="AE342" s="131"/>
      <c r="AF342" s="131"/>
      <c r="AG342" s="131"/>
      <c r="AH342" s="131"/>
      <c r="AI342" s="131"/>
      <c r="AJ342" s="131"/>
      <c r="AK342" s="131"/>
      <c r="AL342" s="131"/>
      <c r="AM342" s="131"/>
      <c r="AN342" s="131"/>
      <c r="AO342" s="131"/>
      <c r="AP342" s="131"/>
      <c r="AQ342" s="131"/>
      <c r="AR342" s="131"/>
      <c r="AS342" s="131"/>
      <c r="AT342" s="131"/>
      <c r="AU342" s="131"/>
      <c r="AV342" s="131"/>
      <c r="AW342" s="131"/>
      <c r="AX342" s="131"/>
      <c r="AY342" s="131"/>
      <c r="AZ342" s="131"/>
      <c r="BA342" s="131"/>
      <c r="BB342" s="131"/>
      <c r="BC342" s="131"/>
      <c r="BD342" s="131"/>
      <c r="BE342" s="131"/>
      <c r="BF342" s="131"/>
      <c r="BG342" s="131"/>
      <c r="BH342" s="131"/>
      <c r="BI342" s="131"/>
      <c r="BJ342" s="131"/>
      <c r="BK342" s="131"/>
      <c r="BL342" s="131"/>
      <c r="BM342" s="131"/>
      <c r="BN342" s="131"/>
      <c r="BO342" s="131"/>
      <c r="BP342" s="131"/>
      <c r="BQ342" s="131"/>
      <c r="BR342" s="131"/>
      <c r="BS342" s="131"/>
      <c r="BT342" s="131"/>
      <c r="BU342" s="131"/>
      <c r="BV342" s="131"/>
      <c r="BW342" s="131"/>
      <c r="BX342" s="131"/>
      <c r="BY342" s="131"/>
      <c r="BZ342" s="131"/>
      <c r="CA342" s="131"/>
      <c r="CB342" s="131"/>
      <c r="CC342" s="131"/>
      <c r="CD342" s="131"/>
      <c r="CE342" s="131"/>
      <c r="CF342" s="131"/>
      <c r="CG342" s="131"/>
      <c r="CH342" s="71"/>
      <c r="CI342" s="71"/>
      <c r="CJ342" s="71"/>
      <c r="CK342" s="71"/>
      <c r="CL342" s="71"/>
      <c r="CM342" s="71"/>
      <c r="CN342" s="71"/>
      <c r="CO342" s="71"/>
      <c r="CP342" s="509"/>
      <c r="CQ342" s="71"/>
      <c r="CR342" s="71"/>
      <c r="CS342" s="71"/>
      <c r="CT342" s="71"/>
      <c r="CU342" s="71"/>
      <c r="CV342" s="71"/>
      <c r="CW342" s="71"/>
      <c r="CX342" s="71"/>
      <c r="CY342" s="71"/>
      <c r="CZ342" s="71"/>
      <c r="DA342" s="71"/>
      <c r="DB342" s="71"/>
      <c r="DC342" s="71"/>
      <c r="DD342" s="71"/>
      <c r="DE342" s="71"/>
      <c r="DF342" s="71"/>
      <c r="DG342" s="71"/>
      <c r="DH342" s="71"/>
      <c r="DI342" s="71"/>
    </row>
    <row r="343" spans="1:113">
      <c r="A343" s="507" t="s">
        <v>310</v>
      </c>
      <c r="J343" s="508">
        <f>+K343/(1+K344)</f>
        <v>1230.6967984934086</v>
      </c>
      <c r="K343" s="508">
        <f>+SUM(BR343:BU343)</f>
        <v>1307</v>
      </c>
      <c r="L343" s="508">
        <f>+SUM(BV343:BY343)</f>
        <v>1259</v>
      </c>
      <c r="M343" s="508">
        <f>+SUM(BZ343:CC343)</f>
        <v>1246</v>
      </c>
      <c r="N343" s="508">
        <f>+SUM(CD343:CG343)</f>
        <v>1246</v>
      </c>
      <c r="O343" s="508">
        <f>+SUM(CH343:CK343)</f>
        <v>1237</v>
      </c>
      <c r="P343" s="508">
        <f>+SUM(CL343:CO343)</f>
        <v>1198</v>
      </c>
      <c r="Q343" s="508">
        <f>+SUM(CP343:CS343)</f>
        <v>1271</v>
      </c>
      <c r="R343" s="508">
        <f>+SUM(CT343:CW343)</f>
        <v>1325</v>
      </c>
      <c r="S343" s="508">
        <f>+SUM(CX343:DA343)</f>
        <v>1403</v>
      </c>
      <c r="T343" s="808">
        <f>+SUM(DB343:DE343)</f>
        <v>1542</v>
      </c>
      <c r="U343" s="508">
        <f t="shared" ref="U343:AB343" si="723">+T343*(1+U344)</f>
        <v>1619.1000000000001</v>
      </c>
      <c r="V343" s="508">
        <f t="shared" si="723"/>
        <v>1667.6730000000002</v>
      </c>
      <c r="W343" s="508">
        <f t="shared" si="723"/>
        <v>1717.7031900000002</v>
      </c>
      <c r="X343" s="508">
        <f t="shared" si="723"/>
        <v>1760.64576975</v>
      </c>
      <c r="Y343" s="508">
        <f t="shared" si="723"/>
        <v>1804.6619139937497</v>
      </c>
      <c r="Z343" s="508">
        <f t="shared" si="723"/>
        <v>1849.7784618435933</v>
      </c>
      <c r="AA343" s="508">
        <f t="shared" si="723"/>
        <v>1896.022923389683</v>
      </c>
      <c r="AB343" s="508">
        <f t="shared" si="723"/>
        <v>1943.4234964744248</v>
      </c>
      <c r="AD343" s="508"/>
      <c r="AE343" s="508"/>
      <c r="AF343" s="508"/>
      <c r="AG343" s="508"/>
      <c r="AH343" s="508"/>
      <c r="AI343" s="508"/>
      <c r="AJ343" s="508"/>
      <c r="AK343" s="508"/>
      <c r="AL343" s="508"/>
      <c r="AM343" s="508"/>
      <c r="AN343" s="508"/>
      <c r="AO343" s="508"/>
      <c r="AP343" s="508"/>
      <c r="AQ343" s="508"/>
      <c r="AR343" s="508"/>
      <c r="AS343" s="508"/>
      <c r="AT343" s="508"/>
      <c r="AU343" s="508"/>
      <c r="AV343" s="508"/>
      <c r="AW343" s="508"/>
      <c r="AX343" s="508"/>
      <c r="AY343" s="508"/>
      <c r="AZ343" s="508"/>
      <c r="BA343" s="508"/>
      <c r="BB343" s="508"/>
      <c r="BC343" s="508"/>
      <c r="BD343" s="508"/>
      <c r="BE343" s="508"/>
      <c r="BF343" s="508"/>
      <c r="BG343" s="508"/>
      <c r="BH343" s="508"/>
      <c r="BI343" s="508"/>
      <c r="BJ343" s="508"/>
      <c r="BK343" s="508"/>
      <c r="BL343" s="508"/>
      <c r="BM343" s="508"/>
      <c r="BN343" s="508"/>
      <c r="BO343" s="508"/>
      <c r="BP343" s="508"/>
      <c r="BQ343" s="508"/>
      <c r="BR343" s="469">
        <v>312</v>
      </c>
      <c r="BS343" s="469">
        <v>355</v>
      </c>
      <c r="BT343" s="469">
        <v>329</v>
      </c>
      <c r="BU343" s="469">
        <v>311</v>
      </c>
      <c r="BV343" s="469">
        <v>345</v>
      </c>
      <c r="BW343" s="469">
        <v>270</v>
      </c>
      <c r="BX343" s="469">
        <v>341</v>
      </c>
      <c r="BY343" s="469">
        <v>303</v>
      </c>
      <c r="BZ343" s="469">
        <v>282</v>
      </c>
      <c r="CA343" s="469">
        <v>323</v>
      </c>
      <c r="CB343" s="469">
        <v>338</v>
      </c>
      <c r="CC343" s="469">
        <v>303</v>
      </c>
      <c r="CD343" s="469">
        <v>287</v>
      </c>
      <c r="CE343" s="469">
        <v>322</v>
      </c>
      <c r="CF343" s="469">
        <v>351</v>
      </c>
      <c r="CG343" s="469">
        <v>286</v>
      </c>
      <c r="CH343" s="469">
        <v>328</v>
      </c>
      <c r="CI343" s="469">
        <v>324</v>
      </c>
      <c r="CJ343" s="580">
        <v>302</v>
      </c>
      <c r="CK343" s="580">
        <v>283</v>
      </c>
      <c r="CL343" s="580">
        <v>273</v>
      </c>
      <c r="CM343" s="580">
        <v>298</v>
      </c>
      <c r="CN343" s="580">
        <v>320</v>
      </c>
      <c r="CO343" s="581">
        <v>307</v>
      </c>
      <c r="CP343" s="581">
        <v>274</v>
      </c>
      <c r="CQ343" s="580">
        <v>331</v>
      </c>
      <c r="CR343" s="580">
        <v>347</v>
      </c>
      <c r="CS343" s="437">
        <v>319</v>
      </c>
      <c r="CT343" s="684">
        <v>302</v>
      </c>
      <c r="CU343" s="684">
        <v>334</v>
      </c>
      <c r="CV343" s="684">
        <v>351</v>
      </c>
      <c r="CW343" s="437">
        <v>338</v>
      </c>
      <c r="CX343" s="437">
        <v>327</v>
      </c>
      <c r="CY343" s="437">
        <v>359</v>
      </c>
      <c r="CZ343" s="684">
        <v>361</v>
      </c>
      <c r="DA343" s="993">
        <v>356</v>
      </c>
      <c r="DB343" s="993">
        <v>367</v>
      </c>
      <c r="DC343" s="993">
        <v>406</v>
      </c>
      <c r="DD343" s="993">
        <v>385</v>
      </c>
      <c r="DE343" s="993">
        <v>384</v>
      </c>
      <c r="DF343" s="508">
        <f>+DB343*(1+DF344)</f>
        <v>385.35</v>
      </c>
      <c r="DG343" s="508">
        <f>+DC343*(1+DG344)</f>
        <v>426.3</v>
      </c>
      <c r="DH343" s="508">
        <f>+DD343*(1+DH344)</f>
        <v>404.25</v>
      </c>
      <c r="DI343" s="508">
        <f>+U343-SUM(DF343:DH343)</f>
        <v>403.20000000000005</v>
      </c>
    </row>
    <row r="344" spans="1:113">
      <c r="A344" s="938" t="s">
        <v>172</v>
      </c>
      <c r="K344" s="885">
        <v>6.2E-2</v>
      </c>
      <c r="L344" s="374">
        <f t="shared" ref="L344:Q344" si="724">+L343/K343-1</f>
        <v>-3.6725325172149992E-2</v>
      </c>
      <c r="M344" s="374">
        <f t="shared" si="724"/>
        <v>-1.0325655281969826E-2</v>
      </c>
      <c r="N344" s="374">
        <f t="shared" si="724"/>
        <v>0</v>
      </c>
      <c r="O344" s="374">
        <f t="shared" si="724"/>
        <v>-7.2231139646870002E-3</v>
      </c>
      <c r="P344" s="374">
        <f t="shared" si="724"/>
        <v>-3.1527890056588515E-2</v>
      </c>
      <c r="Q344" s="374">
        <f t="shared" si="724"/>
        <v>6.0934891485809661E-2</v>
      </c>
      <c r="R344" s="374">
        <f>+R343/Q343-1</f>
        <v>4.2486231313926037E-2</v>
      </c>
      <c r="S344" s="374">
        <f>+S343/R343-1</f>
        <v>5.8867924528301918E-2</v>
      </c>
      <c r="T344" s="374">
        <f>+T343/S343-1</f>
        <v>9.9073414112615721E-2</v>
      </c>
      <c r="U344" s="345">
        <v>0.05</v>
      </c>
      <c r="V344" s="345">
        <v>0.03</v>
      </c>
      <c r="W344" s="345">
        <v>0.03</v>
      </c>
      <c r="X344" s="345">
        <v>2.5000000000000001E-2</v>
      </c>
      <c r="Y344" s="345">
        <v>2.5000000000000001E-2</v>
      </c>
      <c r="Z344" s="345">
        <v>2.5000000000000001E-2</v>
      </c>
      <c r="AA344" s="345">
        <v>2.5000000000000001E-2</v>
      </c>
      <c r="AB344" s="345">
        <v>2.5000000000000001E-2</v>
      </c>
      <c r="AD344" s="509"/>
      <c r="AE344" s="509"/>
      <c r="AF344" s="509"/>
      <c r="AG344" s="509"/>
      <c r="AH344" s="509"/>
      <c r="AI344" s="509"/>
      <c r="AJ344" s="509"/>
      <c r="AK344" s="509"/>
      <c r="AL344" s="509"/>
      <c r="AM344" s="509"/>
      <c r="AN344" s="509"/>
      <c r="AO344" s="509"/>
      <c r="AP344" s="509"/>
      <c r="AQ344" s="509"/>
      <c r="AR344" s="509"/>
      <c r="AS344" s="509"/>
      <c r="AT344" s="509"/>
      <c r="AU344" s="509"/>
      <c r="AV344" s="509"/>
      <c r="AW344" s="509"/>
      <c r="AX344" s="509"/>
      <c r="AY344" s="509"/>
      <c r="AZ344" s="509"/>
      <c r="BA344" s="509"/>
      <c r="BB344" s="509"/>
      <c r="BC344" s="509"/>
      <c r="BD344" s="509"/>
      <c r="BE344" s="509"/>
      <c r="BF344" s="509"/>
      <c r="BG344" s="509"/>
      <c r="BH344" s="509"/>
      <c r="BI344" s="509"/>
      <c r="BJ344" s="509"/>
      <c r="BK344" s="509"/>
      <c r="BL344" s="509"/>
      <c r="BM344" s="509"/>
      <c r="BN344" s="509"/>
      <c r="BO344" s="509"/>
      <c r="BP344" s="509"/>
      <c r="BQ344" s="509"/>
      <c r="BR344" s="534"/>
      <c r="BS344" s="534"/>
      <c r="BT344" s="534"/>
      <c r="BU344" s="534"/>
      <c r="BV344" s="374">
        <f t="shared" ref="BV344:CJ344" si="725">BV343/BR343-1</f>
        <v>0.10576923076923084</v>
      </c>
      <c r="BW344" s="374">
        <f t="shared" si="725"/>
        <v>-0.23943661971830987</v>
      </c>
      <c r="BX344" s="374">
        <f t="shared" si="725"/>
        <v>3.6474164133738496E-2</v>
      </c>
      <c r="BY344" s="374">
        <f t="shared" si="725"/>
        <v>-2.5723472668810254E-2</v>
      </c>
      <c r="BZ344" s="374">
        <f t="shared" si="725"/>
        <v>-0.18260869565217386</v>
      </c>
      <c r="CA344" s="374">
        <f t="shared" si="725"/>
        <v>0.19629629629629619</v>
      </c>
      <c r="CB344" s="374">
        <f t="shared" si="725"/>
        <v>-8.7976539589442737E-3</v>
      </c>
      <c r="CC344" s="374">
        <f t="shared" si="725"/>
        <v>0</v>
      </c>
      <c r="CD344" s="374">
        <f t="shared" si="725"/>
        <v>1.7730496453900679E-2</v>
      </c>
      <c r="CE344" s="374">
        <f t="shared" si="725"/>
        <v>-3.0959752321981782E-3</v>
      </c>
      <c r="CF344" s="374">
        <f t="shared" si="725"/>
        <v>3.8461538461538547E-2</v>
      </c>
      <c r="CG344" s="374">
        <f t="shared" si="725"/>
        <v>-5.6105610561056118E-2</v>
      </c>
      <c r="CH344" s="374">
        <f t="shared" si="725"/>
        <v>0.14285714285714279</v>
      </c>
      <c r="CI344" s="374">
        <f t="shared" si="725"/>
        <v>6.2111801242235032E-3</v>
      </c>
      <c r="CJ344" s="582">
        <f t="shared" si="725"/>
        <v>-0.13960113960113962</v>
      </c>
      <c r="CK344" s="374">
        <f>+CK343/CG343-1</f>
        <v>-1.0489510489510523E-2</v>
      </c>
      <c r="CL344" s="374">
        <f>CL343/CH343-1</f>
        <v>-0.16768292682926833</v>
      </c>
      <c r="CM344" s="374">
        <f>CM343/CI343-1</f>
        <v>-8.0246913580246937E-2</v>
      </c>
      <c r="CN344" s="374">
        <f>CN343/CJ343-1</f>
        <v>5.9602649006622599E-2</v>
      </c>
      <c r="CO344" s="509">
        <f>+CO343/CK343-1</f>
        <v>8.4805653710247286E-2</v>
      </c>
      <c r="CP344" s="374">
        <f>CP343/CL343-1</f>
        <v>3.66300366300365E-3</v>
      </c>
      <c r="CQ344" s="374">
        <f>CQ343/CM343-1</f>
        <v>0.11073825503355694</v>
      </c>
      <c r="CR344" s="374">
        <f>CR343/CN343-1</f>
        <v>8.4375000000000089E-2</v>
      </c>
      <c r="CS344" s="509">
        <f>+CS343/CO343-1</f>
        <v>3.9087947882736174E-2</v>
      </c>
      <c r="CT344" s="374">
        <f>CT343/CP343-1</f>
        <v>0.10218978102189791</v>
      </c>
      <c r="CU344" s="374">
        <f>CU343/CQ343-1</f>
        <v>9.0634441087613649E-3</v>
      </c>
      <c r="CV344" s="374">
        <f>CV343/CR343-1</f>
        <v>1.1527377521613813E-2</v>
      </c>
      <c r="CW344" s="509">
        <f>+CW343/CS343-1</f>
        <v>5.9561128526645746E-2</v>
      </c>
      <c r="CX344" s="374">
        <f>CX343/CT343-1</f>
        <v>8.2781456953642474E-2</v>
      </c>
      <c r="CY344" s="374">
        <f>CY343/CU343-1</f>
        <v>7.4850299401197695E-2</v>
      </c>
      <c r="CZ344" s="374">
        <f>CZ343/CV343-1</f>
        <v>2.8490028490028463E-2</v>
      </c>
      <c r="DA344" s="509">
        <f>+DA343/CW343-1</f>
        <v>5.3254437869822535E-2</v>
      </c>
      <c r="DB344" s="374">
        <f>DB343/CX343-1</f>
        <v>0.12232415902140681</v>
      </c>
      <c r="DC344" s="374">
        <f>DC343/CY343-1</f>
        <v>0.13091922005571033</v>
      </c>
      <c r="DD344" s="374">
        <f>DD343/CZ343-1</f>
        <v>6.6481994459833826E-2</v>
      </c>
      <c r="DE344" s="509">
        <f>+DE343/DA343-1</f>
        <v>7.8651685393258397E-2</v>
      </c>
      <c r="DF344" s="450">
        <v>0.05</v>
      </c>
      <c r="DG344" s="450">
        <v>0.05</v>
      </c>
      <c r="DH344" s="450">
        <v>0.05</v>
      </c>
      <c r="DI344" s="509">
        <f>+DI343/DE343-1</f>
        <v>5.0000000000000044E-2</v>
      </c>
    </row>
    <row r="345" spans="1:113">
      <c r="A345" s="938"/>
      <c r="AD345" s="509"/>
      <c r="AE345" s="509"/>
      <c r="AF345" s="509"/>
      <c r="AG345" s="509"/>
      <c r="AH345" s="509"/>
      <c r="AI345" s="509"/>
      <c r="AJ345" s="509"/>
      <c r="AK345" s="509"/>
      <c r="AL345" s="509"/>
      <c r="AM345" s="509"/>
      <c r="AN345" s="509"/>
      <c r="AO345" s="509"/>
      <c r="AP345" s="509"/>
      <c r="AQ345" s="509"/>
      <c r="AR345" s="509"/>
      <c r="AS345" s="509"/>
      <c r="AT345" s="509"/>
      <c r="AU345" s="509"/>
      <c r="AV345" s="509"/>
      <c r="AW345" s="509"/>
      <c r="AX345" s="509"/>
      <c r="AY345" s="509"/>
      <c r="AZ345" s="509"/>
      <c r="BA345" s="509"/>
      <c r="BB345" s="509"/>
      <c r="BC345" s="509"/>
      <c r="BD345" s="509"/>
      <c r="BE345" s="509"/>
      <c r="BF345" s="509"/>
      <c r="BG345" s="509"/>
      <c r="BH345" s="509"/>
      <c r="BI345" s="509"/>
      <c r="BJ345" s="509"/>
      <c r="BK345" s="509"/>
      <c r="BL345" s="509"/>
      <c r="BM345" s="509"/>
      <c r="BN345" s="509"/>
      <c r="BO345" s="509"/>
      <c r="BP345" s="509"/>
      <c r="BQ345" s="509"/>
      <c r="BR345" s="534"/>
      <c r="BS345" s="534"/>
      <c r="BT345" s="534"/>
      <c r="BU345" s="534"/>
      <c r="BV345" s="374"/>
      <c r="BW345" s="374"/>
      <c r="BX345" s="374"/>
      <c r="BY345" s="374"/>
      <c r="BZ345" s="374"/>
      <c r="CA345" s="374"/>
      <c r="CB345" s="374"/>
      <c r="CC345" s="374"/>
      <c r="CD345" s="374"/>
      <c r="CE345" s="374"/>
      <c r="CF345" s="374"/>
      <c r="CG345" s="374"/>
      <c r="CH345" s="582"/>
      <c r="CI345" s="582"/>
      <c r="CJ345" s="582"/>
      <c r="CK345" s="582"/>
      <c r="CL345" s="509"/>
      <c r="CM345" s="509"/>
      <c r="CN345" s="509"/>
      <c r="CO345" s="509"/>
      <c r="CP345" s="509"/>
      <c r="CQ345" s="509"/>
      <c r="CR345" s="509"/>
      <c r="CS345" s="509"/>
      <c r="CT345" s="509"/>
      <c r="CU345" s="509"/>
      <c r="CV345" s="509"/>
      <c r="CW345" s="509"/>
      <c r="CX345" s="509"/>
      <c r="CY345" s="509"/>
      <c r="CZ345" s="509"/>
      <c r="DA345" s="509"/>
      <c r="DB345" s="509"/>
      <c r="DC345" s="509"/>
      <c r="DD345" s="509"/>
      <c r="DE345" s="509"/>
      <c r="DF345" s="509"/>
      <c r="DG345" s="509"/>
      <c r="DH345" s="509"/>
      <c r="DI345" s="509"/>
    </row>
    <row r="346" spans="1:113">
      <c r="A346" s="949" t="s">
        <v>606</v>
      </c>
      <c r="J346" s="229">
        <v>360</v>
      </c>
      <c r="K346" s="123">
        <f>IS!K128</f>
        <v>387</v>
      </c>
      <c r="L346" s="123">
        <f>IS!L128</f>
        <v>520</v>
      </c>
      <c r="M346" s="123">
        <f>IS!M128</f>
        <v>560</v>
      </c>
      <c r="N346" s="123">
        <f>IS!N128</f>
        <v>604</v>
      </c>
      <c r="O346" s="41">
        <f>IS!O128</f>
        <v>685</v>
      </c>
      <c r="P346" s="41">
        <f>IS!P128</f>
        <v>637</v>
      </c>
      <c r="Q346" s="41">
        <f>IS!Q128</f>
        <v>641</v>
      </c>
      <c r="R346" s="41">
        <f>IS!R128</f>
        <v>659</v>
      </c>
      <c r="S346" s="41">
        <f>IS!S128</f>
        <v>705</v>
      </c>
      <c r="T346" s="41">
        <f>IS!T128</f>
        <v>807.80300964190064</v>
      </c>
      <c r="U346" s="41">
        <f t="shared" ref="U346:AB346" si="726">+U356*U343</f>
        <v>856.67509172523569</v>
      </c>
      <c r="V346" s="41">
        <f t="shared" si="726"/>
        <v>891.19909792176281</v>
      </c>
      <c r="W346" s="41">
        <f t="shared" si="726"/>
        <v>927.11442156800967</v>
      </c>
      <c r="X346" s="41">
        <f t="shared" si="726"/>
        <v>969.29812774935419</v>
      </c>
      <c r="Y346" s="41">
        <f t="shared" si="726"/>
        <v>1013.4011925619496</v>
      </c>
      <c r="Z346" s="41">
        <f t="shared" si="726"/>
        <v>1059.5109468235182</v>
      </c>
      <c r="AA346" s="41">
        <f t="shared" si="726"/>
        <v>1107.7186949039883</v>
      </c>
      <c r="AB346" s="41">
        <f t="shared" si="726"/>
        <v>1158.1198955221196</v>
      </c>
      <c r="AD346" s="509"/>
      <c r="AE346" s="509"/>
      <c r="AF346" s="509"/>
      <c r="AG346" s="509"/>
      <c r="AH346" s="509"/>
      <c r="AI346" s="509"/>
      <c r="AJ346" s="509"/>
      <c r="AK346" s="509"/>
      <c r="AL346" s="509"/>
      <c r="AM346" s="509"/>
      <c r="AN346" s="509"/>
      <c r="AO346" s="509"/>
      <c r="AP346" s="509"/>
      <c r="AQ346" s="509"/>
      <c r="AR346" s="509"/>
      <c r="AS346" s="509"/>
      <c r="AT346" s="509"/>
      <c r="AU346" s="509"/>
      <c r="AV346" s="509"/>
      <c r="AW346" s="509"/>
      <c r="AX346" s="509"/>
      <c r="AY346" s="509"/>
      <c r="AZ346" s="509"/>
      <c r="BA346" s="509"/>
      <c r="BB346" s="509"/>
      <c r="BC346" s="509"/>
      <c r="BD346" s="509"/>
      <c r="BE346" s="509"/>
      <c r="BF346" s="509"/>
      <c r="BG346" s="509"/>
      <c r="BH346" s="509"/>
      <c r="BI346" s="509"/>
      <c r="BJ346" s="509"/>
      <c r="BK346" s="509"/>
      <c r="BL346" s="509"/>
      <c r="BM346" s="509"/>
      <c r="BN346" s="509"/>
      <c r="BO346" s="509"/>
      <c r="BP346" s="509"/>
      <c r="BQ346" s="509"/>
      <c r="BR346" s="41">
        <f>IS!BR128</f>
        <v>91</v>
      </c>
      <c r="BS346" s="41">
        <f>IS!BS128</f>
        <v>101</v>
      </c>
      <c r="BT346" s="41">
        <f>IS!BT128</f>
        <v>98</v>
      </c>
      <c r="BU346" s="41">
        <f>IS!BU128</f>
        <v>97</v>
      </c>
      <c r="BV346" s="41">
        <f>IS!BV128</f>
        <v>115</v>
      </c>
      <c r="BW346" s="41">
        <f>IS!BW128</f>
        <v>118</v>
      </c>
      <c r="BX346" s="41">
        <f>IS!BX128</f>
        <v>153</v>
      </c>
      <c r="BY346" s="41">
        <f>IS!BY128</f>
        <v>134</v>
      </c>
      <c r="BZ346" s="41">
        <f>IS!BZ128</f>
        <v>135</v>
      </c>
      <c r="CA346" s="41">
        <f>IS!CA128</f>
        <v>155</v>
      </c>
      <c r="CB346" s="41">
        <f>IS!CB128</f>
        <v>147</v>
      </c>
      <c r="CC346" s="41">
        <f>IS!CC128</f>
        <v>123</v>
      </c>
      <c r="CD346" s="41">
        <f>IS!CD128</f>
        <v>132</v>
      </c>
      <c r="CE346" s="41">
        <f>IS!CE128</f>
        <v>171</v>
      </c>
      <c r="CF346" s="41">
        <f>IS!CF128</f>
        <v>169</v>
      </c>
      <c r="CG346" s="41">
        <f>IS!CG128</f>
        <v>132</v>
      </c>
      <c r="CH346" s="41">
        <f>IS!CH128</f>
        <v>178</v>
      </c>
      <c r="CI346" s="41">
        <f>IS!CI128</f>
        <v>179</v>
      </c>
      <c r="CJ346" s="41">
        <f>IS!CJ128</f>
        <v>169</v>
      </c>
      <c r="CK346" s="41">
        <f>IS!CK128</f>
        <v>159</v>
      </c>
      <c r="CL346" s="41">
        <f>IS!CL128</f>
        <v>146</v>
      </c>
      <c r="CM346" s="41">
        <f>IS!CM128</f>
        <v>160</v>
      </c>
      <c r="CN346" s="41">
        <f>IS!CN128</f>
        <v>175</v>
      </c>
      <c r="CO346" s="41">
        <f>IS!CO128</f>
        <v>156</v>
      </c>
      <c r="CP346" s="41">
        <f>IS!CP128</f>
        <v>140</v>
      </c>
      <c r="CQ346" s="41">
        <f>IS!CQ128</f>
        <v>168</v>
      </c>
      <c r="CR346" s="41">
        <f>IS!CR128</f>
        <v>175</v>
      </c>
      <c r="CS346" s="41">
        <f>IS!CS128</f>
        <v>158</v>
      </c>
      <c r="CT346" s="41">
        <f>IS!CT128</f>
        <v>152</v>
      </c>
      <c r="CU346" s="41">
        <f>IS!CU128</f>
        <v>164</v>
      </c>
      <c r="CV346" s="41">
        <f>IS!CV128</f>
        <v>175</v>
      </c>
      <c r="CW346" s="41">
        <f>IS!CW128</f>
        <v>168</v>
      </c>
      <c r="CX346" s="41">
        <f>IS!CX128</f>
        <v>157</v>
      </c>
      <c r="CY346" s="41">
        <f>IS!CY128</f>
        <v>184</v>
      </c>
      <c r="CZ346" s="41">
        <f>IS!CZ128</f>
        <v>183</v>
      </c>
      <c r="DA346" s="41">
        <f>IS!DA128</f>
        <v>181</v>
      </c>
      <c r="DB346" s="41">
        <f>IS!DB128</f>
        <v>187</v>
      </c>
      <c r="DC346" s="41">
        <f>IS!DC128</f>
        <v>209</v>
      </c>
      <c r="DD346" s="41">
        <f>IS!DD128</f>
        <v>211</v>
      </c>
      <c r="DE346" s="41">
        <f>IS!DE128</f>
        <v>200.80300964190064</v>
      </c>
      <c r="DF346" s="41">
        <f>IS!DF128</f>
        <v>198.63937885797668</v>
      </c>
      <c r="DG346" s="41">
        <f>IS!DG128</f>
        <v>217.21975563035019</v>
      </c>
      <c r="DH346" s="41">
        <f>IS!DH128</f>
        <v>224.83555275291826</v>
      </c>
      <c r="DI346" s="41">
        <f>IS!DI128</f>
        <v>215.98040448399058</v>
      </c>
    </row>
    <row r="347" spans="1:113">
      <c r="A347" s="949" t="s">
        <v>607</v>
      </c>
      <c r="J347" s="223">
        <v>57</v>
      </c>
      <c r="K347" s="230">
        <f>3399-3338</f>
        <v>61</v>
      </c>
      <c r="L347" s="223">
        <f>IS!L150</f>
        <v>162</v>
      </c>
      <c r="M347" s="223">
        <f>IS!M150</f>
        <v>212</v>
      </c>
      <c r="N347" s="223">
        <f>IS!N150</f>
        <v>207</v>
      </c>
      <c r="O347" s="223">
        <f>IS!O150</f>
        <v>153</v>
      </c>
      <c r="P347" s="223">
        <f>IS!P150</f>
        <v>98</v>
      </c>
      <c r="Q347" s="223">
        <f>IS!Q150</f>
        <v>58</v>
      </c>
      <c r="R347" s="223">
        <f>IS!R150</f>
        <v>54</v>
      </c>
      <c r="S347" s="223">
        <f>IS!S150</f>
        <v>60</v>
      </c>
      <c r="T347" s="223">
        <f>IS!T150</f>
        <v>60.114000000000033</v>
      </c>
      <c r="U347" s="225">
        <f t="shared" ref="U347:AB347" si="727">+U343*U357</f>
        <v>63.750897000000045</v>
      </c>
      <c r="V347" s="225">
        <f t="shared" si="727"/>
        <v>65.663423910000049</v>
      </c>
      <c r="W347" s="225">
        <f t="shared" si="727"/>
        <v>67.63332662730005</v>
      </c>
      <c r="X347" s="225">
        <f t="shared" si="727"/>
        <v>69.324159792982542</v>
      </c>
      <c r="Y347" s="225">
        <f t="shared" si="727"/>
        <v>71.057263787807088</v>
      </c>
      <c r="Z347" s="225">
        <f t="shared" si="727"/>
        <v>72.833695382502256</v>
      </c>
      <c r="AA347" s="225">
        <f t="shared" si="727"/>
        <v>74.654537767064809</v>
      </c>
      <c r="AB347" s="225">
        <f t="shared" si="727"/>
        <v>76.520901211241423</v>
      </c>
      <c r="AD347" s="509"/>
      <c r="AE347" s="509"/>
      <c r="AF347" s="509"/>
      <c r="AG347" s="509"/>
      <c r="AH347" s="509"/>
      <c r="AI347" s="509"/>
      <c r="AJ347" s="509"/>
      <c r="AK347" s="509"/>
      <c r="AL347" s="509"/>
      <c r="AM347" s="509"/>
      <c r="AN347" s="509"/>
      <c r="AO347" s="509"/>
      <c r="AP347" s="509"/>
      <c r="AQ347" s="509"/>
      <c r="AR347" s="509"/>
      <c r="AS347" s="509"/>
      <c r="AT347" s="509"/>
      <c r="AU347" s="509"/>
      <c r="AV347" s="509"/>
      <c r="AW347" s="509"/>
      <c r="AX347" s="509"/>
      <c r="AY347" s="509"/>
      <c r="AZ347" s="509"/>
      <c r="BA347" s="509"/>
      <c r="BB347" s="509"/>
      <c r="BC347" s="509"/>
      <c r="BD347" s="509"/>
      <c r="BE347" s="509"/>
      <c r="BF347" s="509"/>
      <c r="BG347" s="509"/>
      <c r="BH347" s="509"/>
      <c r="BI347" s="509"/>
      <c r="BJ347" s="509"/>
      <c r="BK347" s="509"/>
      <c r="BL347" s="509"/>
      <c r="BM347" s="509"/>
      <c r="BN347" s="509"/>
      <c r="BO347" s="509"/>
      <c r="BP347" s="509"/>
      <c r="BQ347" s="509"/>
      <c r="BR347" s="223">
        <f>IS!BR150</f>
        <v>15</v>
      </c>
      <c r="BS347" s="223">
        <f>IS!BS150</f>
        <v>16</v>
      </c>
      <c r="BT347" s="223">
        <f>IS!BT150</f>
        <v>14</v>
      </c>
      <c r="BU347" s="223">
        <f>IS!BU150</f>
        <v>16</v>
      </c>
      <c r="BV347" s="223">
        <f>IS!BV150</f>
        <v>16</v>
      </c>
      <c r="BW347" s="223">
        <f>IS!BW150</f>
        <v>44</v>
      </c>
      <c r="BX347" s="223">
        <f>IS!BX150</f>
        <v>54</v>
      </c>
      <c r="BY347" s="223">
        <f>IS!BY150</f>
        <v>48</v>
      </c>
      <c r="BZ347" s="223">
        <f>IS!BZ150</f>
        <v>48</v>
      </c>
      <c r="CA347" s="223">
        <f>IS!CA150</f>
        <v>55</v>
      </c>
      <c r="CB347" s="223">
        <f>IS!CB150</f>
        <v>57</v>
      </c>
      <c r="CC347" s="223">
        <f>IS!CC150</f>
        <v>52</v>
      </c>
      <c r="CD347" s="223">
        <f>IS!CD150</f>
        <v>51</v>
      </c>
      <c r="CE347" s="223">
        <f>IS!CE150</f>
        <v>54</v>
      </c>
      <c r="CF347" s="223">
        <f>IS!CF150</f>
        <v>60</v>
      </c>
      <c r="CG347" s="223">
        <f>IS!CG150</f>
        <v>42</v>
      </c>
      <c r="CH347" s="223">
        <f>IS!CH150</f>
        <v>45</v>
      </c>
      <c r="CI347" s="223">
        <f>IS!CI150</f>
        <v>41</v>
      </c>
      <c r="CJ347" s="223">
        <f>IS!CJ150</f>
        <v>36</v>
      </c>
      <c r="CK347" s="223">
        <f>IS!CK150</f>
        <v>31</v>
      </c>
      <c r="CL347" s="223">
        <f>IS!CL150</f>
        <v>29</v>
      </c>
      <c r="CM347" s="223">
        <f>IS!CM150</f>
        <v>28</v>
      </c>
      <c r="CN347" s="223">
        <f>IS!CN150</f>
        <v>23</v>
      </c>
      <c r="CO347" s="223">
        <f>IS!CO150</f>
        <v>18</v>
      </c>
      <c r="CP347" s="223">
        <f>IS!CP150</f>
        <v>14</v>
      </c>
      <c r="CQ347" s="223">
        <f>IS!CQ150</f>
        <v>15</v>
      </c>
      <c r="CR347" s="223">
        <f>IS!CR150</f>
        <v>15</v>
      </c>
      <c r="CS347" s="223">
        <f>IS!CS150</f>
        <v>14</v>
      </c>
      <c r="CT347" s="223">
        <f>IS!CT150</f>
        <v>15</v>
      </c>
      <c r="CU347" s="223">
        <f>IS!CU150</f>
        <v>15</v>
      </c>
      <c r="CV347" s="223">
        <f>IS!CV150</f>
        <v>12</v>
      </c>
      <c r="CW347" s="223">
        <f>IS!CW150</f>
        <v>12</v>
      </c>
      <c r="CX347" s="223">
        <f>IS!CX150</f>
        <v>12</v>
      </c>
      <c r="CY347" s="223">
        <f>IS!CY150</f>
        <v>17</v>
      </c>
      <c r="CZ347" s="223">
        <f>IS!CZ150</f>
        <v>17</v>
      </c>
      <c r="DA347" s="223">
        <f>IS!DA150</f>
        <v>14</v>
      </c>
      <c r="DB347" s="223">
        <f>IS!DB150</f>
        <v>14</v>
      </c>
      <c r="DC347" s="223">
        <f>IS!DC150</f>
        <v>20</v>
      </c>
      <c r="DD347" s="223">
        <f>IS!DD150</f>
        <v>14</v>
      </c>
      <c r="DE347" s="223">
        <f>IS!DE150</f>
        <v>12.114000000000033</v>
      </c>
      <c r="DF347" s="223">
        <f>IS!DF150</f>
        <v>15.172878857976663</v>
      </c>
      <c r="DG347" s="223">
        <f>IS!DG150</f>
        <v>16.785255630350203</v>
      </c>
      <c r="DH347" s="223">
        <f>IS!DH150</f>
        <v>15.9170527529183</v>
      </c>
      <c r="DI347" s="223">
        <f>IS!DI150</f>
        <v>15.87570975875488</v>
      </c>
    </row>
    <row r="348" spans="1:113">
      <c r="A348" s="950" t="s">
        <v>608</v>
      </c>
      <c r="J348" s="231">
        <f t="shared" ref="J348:R348" si="728">J346-J347</f>
        <v>303</v>
      </c>
      <c r="K348" s="231">
        <f t="shared" si="728"/>
        <v>326</v>
      </c>
      <c r="L348" s="231">
        <f t="shared" si="728"/>
        <v>358</v>
      </c>
      <c r="M348" s="231">
        <f t="shared" si="728"/>
        <v>348</v>
      </c>
      <c r="N348" s="231">
        <f t="shared" si="728"/>
        <v>397</v>
      </c>
      <c r="O348" s="227">
        <f t="shared" si="728"/>
        <v>532</v>
      </c>
      <c r="P348" s="227">
        <f t="shared" si="728"/>
        <v>539</v>
      </c>
      <c r="Q348" s="227">
        <f t="shared" si="728"/>
        <v>583</v>
      </c>
      <c r="R348" s="227">
        <f t="shared" si="728"/>
        <v>605</v>
      </c>
      <c r="S348" s="227">
        <f t="shared" ref="S348:T348" si="729">S346-S347</f>
        <v>645</v>
      </c>
      <c r="T348" s="227">
        <f t="shared" si="729"/>
        <v>747.68900964190061</v>
      </c>
      <c r="U348" s="227">
        <f t="shared" ref="U348:AB348" si="730">+U346-U347</f>
        <v>792.92419472523568</v>
      </c>
      <c r="V348" s="227">
        <f t="shared" si="730"/>
        <v>825.53567401176281</v>
      </c>
      <c r="W348" s="227">
        <f t="shared" si="730"/>
        <v>859.48109494070968</v>
      </c>
      <c r="X348" s="227">
        <f t="shared" si="730"/>
        <v>899.97396795637167</v>
      </c>
      <c r="Y348" s="227">
        <f t="shared" si="730"/>
        <v>942.34392877414257</v>
      </c>
      <c r="Z348" s="227">
        <f t="shared" si="730"/>
        <v>986.67725144101598</v>
      </c>
      <c r="AA348" s="227">
        <f t="shared" si="730"/>
        <v>1033.0641571369235</v>
      </c>
      <c r="AB348" s="227">
        <f t="shared" si="730"/>
        <v>1081.5989943108782</v>
      </c>
      <c r="AD348" s="509"/>
      <c r="AE348" s="509"/>
      <c r="AF348" s="509"/>
      <c r="AG348" s="509"/>
      <c r="AH348" s="509"/>
      <c r="AI348" s="509"/>
      <c r="AJ348" s="509"/>
      <c r="AK348" s="509"/>
      <c r="AL348" s="509"/>
      <c r="AM348" s="509"/>
      <c r="AN348" s="509"/>
      <c r="AO348" s="509"/>
      <c r="AP348" s="509"/>
      <c r="AQ348" s="509"/>
      <c r="AR348" s="509"/>
      <c r="AS348" s="509"/>
      <c r="AT348" s="509"/>
      <c r="AU348" s="509"/>
      <c r="AV348" s="509"/>
      <c r="AW348" s="509"/>
      <c r="AX348" s="509"/>
      <c r="AY348" s="509"/>
      <c r="AZ348" s="509"/>
      <c r="BA348" s="509"/>
      <c r="BB348" s="509"/>
      <c r="BC348" s="509"/>
      <c r="BD348" s="509"/>
      <c r="BE348" s="509"/>
      <c r="BF348" s="509"/>
      <c r="BG348" s="509"/>
      <c r="BH348" s="509"/>
      <c r="BI348" s="509"/>
      <c r="BJ348" s="509"/>
      <c r="BK348" s="509"/>
      <c r="BL348" s="509"/>
      <c r="BM348" s="509"/>
      <c r="BN348" s="509"/>
      <c r="BO348" s="509"/>
      <c r="BP348" s="509"/>
      <c r="BQ348" s="509"/>
      <c r="BR348" s="227">
        <f t="shared" ref="BR348:CS348" si="731">BR346-BR347</f>
        <v>76</v>
      </c>
      <c r="BS348" s="227">
        <f t="shared" si="731"/>
        <v>85</v>
      </c>
      <c r="BT348" s="227">
        <f t="shared" si="731"/>
        <v>84</v>
      </c>
      <c r="BU348" s="227">
        <f t="shared" si="731"/>
        <v>81</v>
      </c>
      <c r="BV348" s="227">
        <f t="shared" si="731"/>
        <v>99</v>
      </c>
      <c r="BW348" s="227">
        <f t="shared" si="731"/>
        <v>74</v>
      </c>
      <c r="BX348" s="227">
        <f t="shared" si="731"/>
        <v>99</v>
      </c>
      <c r="BY348" s="227">
        <f t="shared" si="731"/>
        <v>86</v>
      </c>
      <c r="BZ348" s="227">
        <f t="shared" si="731"/>
        <v>87</v>
      </c>
      <c r="CA348" s="227">
        <f t="shared" si="731"/>
        <v>100</v>
      </c>
      <c r="CB348" s="227">
        <f t="shared" si="731"/>
        <v>90</v>
      </c>
      <c r="CC348" s="227">
        <f t="shared" si="731"/>
        <v>71</v>
      </c>
      <c r="CD348" s="227">
        <f t="shared" si="731"/>
        <v>81</v>
      </c>
      <c r="CE348" s="227">
        <f t="shared" si="731"/>
        <v>117</v>
      </c>
      <c r="CF348" s="227">
        <f t="shared" si="731"/>
        <v>109</v>
      </c>
      <c r="CG348" s="227">
        <f t="shared" si="731"/>
        <v>90</v>
      </c>
      <c r="CH348" s="227">
        <f t="shared" si="731"/>
        <v>133</v>
      </c>
      <c r="CI348" s="227">
        <f t="shared" si="731"/>
        <v>138</v>
      </c>
      <c r="CJ348" s="227">
        <f t="shared" si="731"/>
        <v>133</v>
      </c>
      <c r="CK348" s="227">
        <f t="shared" si="731"/>
        <v>128</v>
      </c>
      <c r="CL348" s="227">
        <f t="shared" si="731"/>
        <v>117</v>
      </c>
      <c r="CM348" s="227">
        <f t="shared" si="731"/>
        <v>132</v>
      </c>
      <c r="CN348" s="227">
        <f t="shared" si="731"/>
        <v>152</v>
      </c>
      <c r="CO348" s="227">
        <f t="shared" si="731"/>
        <v>138</v>
      </c>
      <c r="CP348" s="227">
        <f t="shared" si="731"/>
        <v>126</v>
      </c>
      <c r="CQ348" s="227">
        <f t="shared" si="731"/>
        <v>153</v>
      </c>
      <c r="CR348" s="227">
        <f t="shared" si="731"/>
        <v>160</v>
      </c>
      <c r="CS348" s="227">
        <f t="shared" si="731"/>
        <v>144</v>
      </c>
      <c r="CT348" s="227">
        <f t="shared" ref="CT348:DC348" si="732">CT346-CT347</f>
        <v>137</v>
      </c>
      <c r="CU348" s="227">
        <f t="shared" si="732"/>
        <v>149</v>
      </c>
      <c r="CV348" s="227">
        <f t="shared" si="732"/>
        <v>163</v>
      </c>
      <c r="CW348" s="227">
        <f t="shared" si="732"/>
        <v>156</v>
      </c>
      <c r="CX348" s="227">
        <f t="shared" si="732"/>
        <v>145</v>
      </c>
      <c r="CY348" s="227">
        <f t="shared" si="732"/>
        <v>167</v>
      </c>
      <c r="CZ348" s="227">
        <f t="shared" si="732"/>
        <v>166</v>
      </c>
      <c r="DA348" s="227">
        <f t="shared" si="732"/>
        <v>167</v>
      </c>
      <c r="DB348" s="227">
        <f t="shared" si="732"/>
        <v>173</v>
      </c>
      <c r="DC348" s="227">
        <f t="shared" si="732"/>
        <v>189</v>
      </c>
      <c r="DD348" s="227">
        <f t="shared" ref="DD348:DE348" si="733">DD346-DD347</f>
        <v>197</v>
      </c>
      <c r="DE348" s="227">
        <f t="shared" si="733"/>
        <v>188.68900964190061</v>
      </c>
      <c r="DF348" s="227">
        <f t="shared" ref="DF348:DI348" si="734">DF346-DF347</f>
        <v>183.46650000000002</v>
      </c>
      <c r="DG348" s="227">
        <f t="shared" si="734"/>
        <v>200.43449999999999</v>
      </c>
      <c r="DH348" s="227">
        <f t="shared" si="734"/>
        <v>208.91849999999997</v>
      </c>
      <c r="DI348" s="227">
        <f t="shared" si="734"/>
        <v>200.1046947252357</v>
      </c>
    </row>
    <row r="349" spans="1:113">
      <c r="A349" s="40"/>
      <c r="AD349" s="509"/>
      <c r="AE349" s="509"/>
      <c r="AF349" s="509"/>
      <c r="AG349" s="509"/>
      <c r="AH349" s="509"/>
      <c r="AI349" s="509"/>
      <c r="AJ349" s="509"/>
      <c r="AK349" s="509"/>
      <c r="AL349" s="509"/>
      <c r="AM349" s="509"/>
      <c r="AN349" s="509"/>
      <c r="AO349" s="509"/>
      <c r="AP349" s="509"/>
      <c r="AQ349" s="509"/>
      <c r="AR349" s="509"/>
      <c r="AS349" s="509"/>
      <c r="AT349" s="509"/>
      <c r="AU349" s="509"/>
      <c r="AV349" s="509"/>
      <c r="AW349" s="509"/>
      <c r="AX349" s="509"/>
      <c r="AY349" s="509"/>
      <c r="AZ349" s="509"/>
      <c r="BA349" s="509"/>
      <c r="BB349" s="509"/>
      <c r="BC349" s="509"/>
      <c r="BD349" s="509"/>
      <c r="BE349" s="509"/>
      <c r="BF349" s="509"/>
      <c r="BG349" s="509"/>
      <c r="BH349" s="509"/>
      <c r="BI349" s="509"/>
      <c r="BJ349" s="509"/>
      <c r="BK349" s="509"/>
      <c r="BL349" s="509"/>
      <c r="BM349" s="509"/>
      <c r="BN349" s="509"/>
      <c r="BO349" s="509"/>
      <c r="BP349" s="509"/>
      <c r="BQ349" s="509"/>
      <c r="BR349" s="3"/>
      <c r="BS349" s="3"/>
      <c r="BT349" s="3"/>
      <c r="BU349" s="3"/>
      <c r="BV349" s="3"/>
      <c r="BW349" s="3"/>
      <c r="BX349" s="3"/>
      <c r="BY349" s="3"/>
      <c r="BZ349" s="3"/>
      <c r="CA349" s="3"/>
      <c r="CB349" s="3"/>
      <c r="CC349" s="3"/>
      <c r="CD349" s="3"/>
      <c r="CE349" s="3"/>
      <c r="CF349" s="3"/>
      <c r="CG349" s="3"/>
      <c r="CH349" s="3"/>
      <c r="CI349" s="3"/>
      <c r="CJ349" s="3"/>
      <c r="CK349" s="3"/>
      <c r="CL349" s="3"/>
      <c r="CM349" s="3"/>
      <c r="CN349" s="3"/>
      <c r="CO349" s="3"/>
      <c r="CP349" s="3"/>
      <c r="CQ349" s="3"/>
      <c r="CR349" s="3"/>
      <c r="CS349" s="3"/>
      <c r="CT349" s="3"/>
      <c r="CU349" s="3"/>
      <c r="CV349" s="3"/>
      <c r="CW349" s="3"/>
      <c r="CX349" s="3"/>
      <c r="CY349" s="3"/>
      <c r="CZ349" s="3"/>
      <c r="DA349" s="3"/>
      <c r="DB349" s="3"/>
      <c r="DC349" s="3"/>
      <c r="DD349" s="3"/>
      <c r="DE349" s="3"/>
      <c r="DF349" s="3"/>
      <c r="DG349" s="3"/>
      <c r="DH349" s="3"/>
      <c r="DI349" s="3"/>
    </row>
    <row r="350" spans="1:113">
      <c r="A350" s="951" t="s">
        <v>67</v>
      </c>
      <c r="J350" s="226">
        <f t="shared" ref="J350:R350" si="735">+J343*J359</f>
        <v>121.00000000000001</v>
      </c>
      <c r="K350" s="226">
        <f t="shared" si="735"/>
        <v>144</v>
      </c>
      <c r="L350" s="226">
        <f t="shared" si="735"/>
        <v>173</v>
      </c>
      <c r="M350" s="226">
        <f t="shared" si="735"/>
        <v>178.99999999999997</v>
      </c>
      <c r="N350" s="226">
        <f t="shared" si="735"/>
        <v>230.00000000000003</v>
      </c>
      <c r="O350" s="226">
        <f t="shared" si="735"/>
        <v>306.40570259509514</v>
      </c>
      <c r="P350" s="226">
        <f t="shared" si="735"/>
        <v>304.76104628150637</v>
      </c>
      <c r="Q350" s="226">
        <f t="shared" si="735"/>
        <v>317.95987156207008</v>
      </c>
      <c r="R350" s="226">
        <f t="shared" si="735"/>
        <v>317.02819827981284</v>
      </c>
      <c r="S350" s="226">
        <f t="shared" ref="S350:T350" si="736">+S343*S359</f>
        <v>326.83022408215561</v>
      </c>
      <c r="T350" s="226">
        <f t="shared" si="736"/>
        <v>414.7159236059872</v>
      </c>
      <c r="U350" s="226">
        <f t="shared" ref="U350:AB350" si="737">+U343*U359</f>
        <v>444.16075418201234</v>
      </c>
      <c r="V350" s="226">
        <f t="shared" si="737"/>
        <v>462.06043257554751</v>
      </c>
      <c r="W350" s="226">
        <f t="shared" si="737"/>
        <v>480.68146800834205</v>
      </c>
      <c r="X350" s="226">
        <f t="shared" si="737"/>
        <v>490.23501218500786</v>
      </c>
      <c r="Y350" s="226">
        <f t="shared" si="737"/>
        <v>499.97843305218476</v>
      </c>
      <c r="Z350" s="226">
        <f t="shared" si="737"/>
        <v>509.91550440909685</v>
      </c>
      <c r="AA350" s="226">
        <f t="shared" si="737"/>
        <v>520.05007505922777</v>
      </c>
      <c r="AB350" s="226">
        <f t="shared" si="737"/>
        <v>530.38607030102969</v>
      </c>
      <c r="AD350" s="509"/>
      <c r="AE350" s="509"/>
      <c r="AF350" s="509"/>
      <c r="AG350" s="509"/>
      <c r="AH350" s="509"/>
      <c r="AI350" s="509"/>
      <c r="AJ350" s="509"/>
      <c r="AK350" s="509"/>
      <c r="AL350" s="509"/>
      <c r="AM350" s="509"/>
      <c r="AN350" s="509"/>
      <c r="AO350" s="509"/>
      <c r="AP350" s="509"/>
      <c r="AQ350" s="509"/>
      <c r="AR350" s="509"/>
      <c r="AS350" s="509"/>
      <c r="AT350" s="509"/>
      <c r="AU350" s="509"/>
      <c r="AV350" s="509"/>
      <c r="AW350" s="509"/>
      <c r="AX350" s="509"/>
      <c r="AY350" s="509"/>
      <c r="AZ350" s="509"/>
      <c r="BA350" s="509"/>
      <c r="BB350" s="509"/>
      <c r="BC350" s="509"/>
      <c r="BD350" s="509"/>
      <c r="BE350" s="509"/>
      <c r="BF350" s="509"/>
      <c r="BG350" s="509"/>
      <c r="BH350" s="509"/>
      <c r="BI350" s="509"/>
      <c r="BJ350" s="509"/>
      <c r="BK350" s="509"/>
      <c r="BL350" s="509"/>
      <c r="BM350" s="509"/>
      <c r="BN350" s="509"/>
      <c r="BO350" s="509"/>
      <c r="BP350" s="509"/>
      <c r="BQ350" s="509"/>
      <c r="BR350" s="226">
        <f t="shared" ref="BR350:CS350" si="738">+BR348-BR352</f>
        <v>33</v>
      </c>
      <c r="BS350" s="226">
        <f t="shared" si="738"/>
        <v>34</v>
      </c>
      <c r="BT350" s="226">
        <f t="shared" si="738"/>
        <v>38</v>
      </c>
      <c r="BU350" s="226">
        <f t="shared" si="738"/>
        <v>39</v>
      </c>
      <c r="BV350" s="226">
        <f t="shared" si="738"/>
        <v>42</v>
      </c>
      <c r="BW350" s="226">
        <f t="shared" si="738"/>
        <v>34</v>
      </c>
      <c r="BX350" s="226">
        <f t="shared" si="738"/>
        <v>50</v>
      </c>
      <c r="BY350" s="226">
        <f t="shared" si="738"/>
        <v>47</v>
      </c>
      <c r="BZ350" s="226">
        <f t="shared" si="738"/>
        <v>39</v>
      </c>
      <c r="CA350" s="226">
        <f t="shared" si="738"/>
        <v>44</v>
      </c>
      <c r="CB350" s="226">
        <f t="shared" si="738"/>
        <v>47</v>
      </c>
      <c r="CC350" s="226">
        <f t="shared" si="738"/>
        <v>49</v>
      </c>
      <c r="CD350" s="226">
        <f t="shared" si="738"/>
        <v>59</v>
      </c>
      <c r="CE350" s="226">
        <f t="shared" si="738"/>
        <v>70</v>
      </c>
      <c r="CF350" s="226">
        <f t="shared" si="738"/>
        <v>54</v>
      </c>
      <c r="CG350" s="226">
        <f t="shared" si="738"/>
        <v>47</v>
      </c>
      <c r="CH350" s="226">
        <f t="shared" si="738"/>
        <v>88.717544537226559</v>
      </c>
      <c r="CI350" s="226">
        <f t="shared" si="738"/>
        <v>81.670634957331004</v>
      </c>
      <c r="CJ350" s="226">
        <f t="shared" si="738"/>
        <v>66.986541597700352</v>
      </c>
      <c r="CK350" s="226">
        <f t="shared" si="738"/>
        <v>69.030981502837221</v>
      </c>
      <c r="CL350" s="226">
        <f t="shared" si="738"/>
        <v>78.363145415705048</v>
      </c>
      <c r="CM350" s="226">
        <f t="shared" si="738"/>
        <v>76.063932869623613</v>
      </c>
      <c r="CN350" s="226">
        <f t="shared" si="738"/>
        <v>78.612709198119319</v>
      </c>
      <c r="CO350" s="226">
        <f t="shared" si="738"/>
        <v>71.721258798058443</v>
      </c>
      <c r="CP350" s="226">
        <f t="shared" si="738"/>
        <v>81.479181632623295</v>
      </c>
      <c r="CQ350" s="226">
        <f t="shared" si="738"/>
        <v>86.211735817980298</v>
      </c>
      <c r="CR350" s="226">
        <f t="shared" si="738"/>
        <v>78.334094769488274</v>
      </c>
      <c r="CS350" s="226">
        <f t="shared" si="738"/>
        <v>71.934859341978154</v>
      </c>
      <c r="CT350" s="226">
        <f>+CT348-CT352</f>
        <v>85.834173333616718</v>
      </c>
      <c r="CU350" s="226">
        <f t="shared" ref="CU350:DC350" si="739">+CU348-CU352</f>
        <v>79.192169949380059</v>
      </c>
      <c r="CV350" s="226">
        <f t="shared" si="739"/>
        <v>74.423607153490366</v>
      </c>
      <c r="CW350" s="226">
        <f t="shared" si="739"/>
        <v>77.578247843325698</v>
      </c>
      <c r="CX350" s="226">
        <f t="shared" si="739"/>
        <v>88.76210423482803</v>
      </c>
      <c r="CY350" s="226">
        <f t="shared" si="739"/>
        <v>84.210376719234773</v>
      </c>
      <c r="CZ350" s="226">
        <f t="shared" si="739"/>
        <v>74.376044355112072</v>
      </c>
      <c r="DA350" s="226">
        <f t="shared" si="739"/>
        <v>79.481698772980735</v>
      </c>
      <c r="DB350" s="226">
        <f t="shared" si="739"/>
        <v>99.265919107163199</v>
      </c>
      <c r="DC350" s="226">
        <f t="shared" si="739"/>
        <v>107.38790365183468</v>
      </c>
      <c r="DD350" s="226">
        <f t="shared" ref="DD350:DE350" si="740">+DD348-DD352</f>
        <v>105</v>
      </c>
      <c r="DE350" s="226">
        <f t="shared" si="740"/>
        <v>103.06210084698932</v>
      </c>
      <c r="DF350" s="226">
        <f t="shared" ref="DF350:DI350" si="741">+DF348-DF352</f>
        <v>103.70806898720876</v>
      </c>
      <c r="DG350" s="226">
        <f t="shared" si="741"/>
        <v>112.19351234025427</v>
      </c>
      <c r="DH350" s="226">
        <f t="shared" si="741"/>
        <v>109.69875</v>
      </c>
      <c r="DI350" s="226">
        <f t="shared" si="741"/>
        <v>118.56042285454933</v>
      </c>
    </row>
    <row r="351" spans="1:113">
      <c r="A351" s="40"/>
      <c r="J351" s="228"/>
      <c r="K351" s="224"/>
      <c r="L351" s="224"/>
      <c r="M351" s="224"/>
      <c r="N351" s="232"/>
      <c r="O351" s="39"/>
      <c r="P351" s="39"/>
      <c r="Q351" s="39"/>
      <c r="R351" s="39"/>
      <c r="S351" s="39"/>
      <c r="T351" s="39"/>
      <c r="U351" s="39"/>
      <c r="V351" s="39"/>
      <c r="W351" s="39"/>
      <c r="X351" s="39"/>
      <c r="Y351" s="39"/>
      <c r="Z351" s="39"/>
      <c r="AA351" s="39"/>
      <c r="AB351" s="39"/>
      <c r="AD351" s="509"/>
      <c r="AE351" s="509"/>
      <c r="AF351" s="509"/>
      <c r="AG351" s="509"/>
      <c r="AH351" s="509"/>
      <c r="AI351" s="509"/>
      <c r="AJ351" s="509"/>
      <c r="AK351" s="509"/>
      <c r="AL351" s="509"/>
      <c r="AM351" s="509"/>
      <c r="AN351" s="509"/>
      <c r="AO351" s="509"/>
      <c r="AP351" s="509"/>
      <c r="AQ351" s="509"/>
      <c r="AR351" s="509"/>
      <c r="AS351" s="509"/>
      <c r="AT351" s="509"/>
      <c r="AU351" s="509"/>
      <c r="AV351" s="509"/>
      <c r="AW351" s="509"/>
      <c r="AX351" s="509"/>
      <c r="AY351" s="509"/>
      <c r="AZ351" s="509"/>
      <c r="BA351" s="509"/>
      <c r="BB351" s="509"/>
      <c r="BC351" s="509"/>
      <c r="BD351" s="509"/>
      <c r="BE351" s="509"/>
      <c r="BF351" s="509"/>
      <c r="BG351" s="509"/>
      <c r="BH351" s="509"/>
      <c r="BI351" s="509"/>
      <c r="BJ351" s="509"/>
      <c r="BK351" s="509"/>
      <c r="BL351" s="509"/>
      <c r="BM351" s="509"/>
      <c r="BN351" s="509"/>
      <c r="BO351" s="509"/>
      <c r="BP351" s="509"/>
      <c r="BQ351" s="509"/>
      <c r="BR351" s="39"/>
      <c r="BS351" s="39"/>
      <c r="BT351" s="39"/>
      <c r="BU351" s="39"/>
      <c r="BV351" s="39"/>
      <c r="BW351" s="39"/>
      <c r="BX351" s="39"/>
      <c r="BY351" s="39"/>
      <c r="BZ351" s="39"/>
      <c r="CA351" s="39"/>
      <c r="CB351" s="39"/>
      <c r="CC351" s="39"/>
      <c r="CD351" s="39"/>
      <c r="CE351" s="39"/>
      <c r="CF351" s="39"/>
      <c r="CG351" s="39"/>
      <c r="CH351" s="39"/>
      <c r="CI351" s="39"/>
      <c r="CJ351" s="39"/>
      <c r="CK351" s="39"/>
      <c r="CL351" s="39"/>
      <c r="CM351" s="39"/>
      <c r="CN351" s="39"/>
      <c r="CO351" s="39"/>
      <c r="CP351" s="39"/>
      <c r="CQ351" s="39"/>
      <c r="CR351" s="39"/>
      <c r="CS351" s="39"/>
      <c r="CT351" s="39"/>
      <c r="CU351" s="39"/>
      <c r="CV351" s="39"/>
      <c r="CW351" s="39"/>
      <c r="CX351" s="39"/>
      <c r="CY351" s="39"/>
      <c r="CZ351" s="39"/>
      <c r="DA351" s="39"/>
      <c r="DB351" s="39"/>
      <c r="DC351" s="39"/>
      <c r="DD351" s="39"/>
      <c r="DE351" s="39"/>
      <c r="DF351" s="39"/>
      <c r="DG351" s="39"/>
      <c r="DH351" s="39"/>
      <c r="DI351" s="39"/>
    </row>
    <row r="352" spans="1:113">
      <c r="A352" s="950" t="s">
        <v>592</v>
      </c>
      <c r="J352" s="233">
        <v>182</v>
      </c>
      <c r="K352" s="231">
        <f>IS!K174</f>
        <v>182</v>
      </c>
      <c r="L352" s="231">
        <f>IS!L174</f>
        <v>185</v>
      </c>
      <c r="M352" s="231">
        <f>IS!M174</f>
        <v>169</v>
      </c>
      <c r="N352" s="231">
        <f>IS!N174</f>
        <v>167</v>
      </c>
      <c r="O352" s="231">
        <f>IS!O174</f>
        <v>225.59429740490486</v>
      </c>
      <c r="P352" s="231">
        <f>IS!P174</f>
        <v>234.23895371849358</v>
      </c>
      <c r="Q352" s="231">
        <f>IS!Q174</f>
        <v>265.04012843792998</v>
      </c>
      <c r="R352" s="231">
        <f>IS!R174</f>
        <v>287.97180172018716</v>
      </c>
      <c r="S352" s="231">
        <f>IS!S174</f>
        <v>318.16977591784439</v>
      </c>
      <c r="T352" s="231">
        <f>IS!T174</f>
        <v>332.97308603591341</v>
      </c>
      <c r="U352" s="231">
        <f t="shared" ref="U352:AB352" si="742">+U348-U350</f>
        <v>348.76344054322334</v>
      </c>
      <c r="V352" s="231">
        <f t="shared" si="742"/>
        <v>363.4752414362153</v>
      </c>
      <c r="W352" s="231">
        <f t="shared" si="742"/>
        <v>378.79962693236763</v>
      </c>
      <c r="X352" s="231">
        <f t="shared" si="742"/>
        <v>409.73895577136381</v>
      </c>
      <c r="Y352" s="231">
        <f t="shared" si="742"/>
        <v>442.36549572195781</v>
      </c>
      <c r="Z352" s="231">
        <f t="shared" si="742"/>
        <v>476.76174703191913</v>
      </c>
      <c r="AA352" s="231">
        <f t="shared" si="742"/>
        <v>513.01408207769578</v>
      </c>
      <c r="AB352" s="231">
        <f t="shared" si="742"/>
        <v>551.21292400984851</v>
      </c>
      <c r="AD352" s="509"/>
      <c r="AE352" s="509"/>
      <c r="AF352" s="509"/>
      <c r="AG352" s="509"/>
      <c r="AH352" s="509"/>
      <c r="AI352" s="509"/>
      <c r="AJ352" s="509"/>
      <c r="AK352" s="509"/>
      <c r="AL352" s="509"/>
      <c r="AM352" s="509"/>
      <c r="AN352" s="509"/>
      <c r="AO352" s="509"/>
      <c r="AP352" s="509"/>
      <c r="AQ352" s="509"/>
      <c r="AR352" s="509"/>
      <c r="AS352" s="509"/>
      <c r="AT352" s="509"/>
      <c r="AU352" s="509"/>
      <c r="AV352" s="509"/>
      <c r="AW352" s="509"/>
      <c r="AX352" s="509"/>
      <c r="AY352" s="509"/>
      <c r="AZ352" s="509"/>
      <c r="BA352" s="509"/>
      <c r="BB352" s="509"/>
      <c r="BC352" s="509"/>
      <c r="BD352" s="509"/>
      <c r="BE352" s="509"/>
      <c r="BF352" s="509"/>
      <c r="BG352" s="509"/>
      <c r="BH352" s="509"/>
      <c r="BI352" s="509"/>
      <c r="BJ352" s="509"/>
      <c r="BK352" s="509"/>
      <c r="BL352" s="509"/>
      <c r="BM352" s="509"/>
      <c r="BN352" s="509"/>
      <c r="BO352" s="509"/>
      <c r="BP352" s="509"/>
      <c r="BQ352" s="509"/>
      <c r="BR352" s="231">
        <f>IS!BR174</f>
        <v>43</v>
      </c>
      <c r="BS352" s="231">
        <f>IS!BS174</f>
        <v>51</v>
      </c>
      <c r="BT352" s="231">
        <f>IS!BT174</f>
        <v>46</v>
      </c>
      <c r="BU352" s="231">
        <f>IS!BU174</f>
        <v>42</v>
      </c>
      <c r="BV352" s="231">
        <f>IS!BV174</f>
        <v>57</v>
      </c>
      <c r="BW352" s="231">
        <f>IS!BW174</f>
        <v>40</v>
      </c>
      <c r="BX352" s="231">
        <f>IS!BX174</f>
        <v>49</v>
      </c>
      <c r="BY352" s="231">
        <f>IS!BY174</f>
        <v>39</v>
      </c>
      <c r="BZ352" s="231">
        <f>IS!BZ174</f>
        <v>48</v>
      </c>
      <c r="CA352" s="231">
        <f>IS!CA174</f>
        <v>56</v>
      </c>
      <c r="CB352" s="231">
        <f>IS!CB174</f>
        <v>43</v>
      </c>
      <c r="CC352" s="231">
        <f>IS!CC174</f>
        <v>22</v>
      </c>
      <c r="CD352" s="231">
        <f>IS!CD174</f>
        <v>22</v>
      </c>
      <c r="CE352" s="231">
        <f>IS!CE174</f>
        <v>47</v>
      </c>
      <c r="CF352" s="231">
        <f>IS!CF174</f>
        <v>55</v>
      </c>
      <c r="CG352" s="231">
        <f>IS!CG174</f>
        <v>43</v>
      </c>
      <c r="CH352" s="231">
        <f>IS!CH174</f>
        <v>44.282455462773441</v>
      </c>
      <c r="CI352" s="231">
        <f>IS!CI174</f>
        <v>56.329365042668996</v>
      </c>
      <c r="CJ352" s="231">
        <f>IS!CJ174</f>
        <v>66.013458402299648</v>
      </c>
      <c r="CK352" s="231">
        <f>IS!CK174</f>
        <v>58.969018497162779</v>
      </c>
      <c r="CL352" s="231">
        <f>IS!CL174</f>
        <v>38.636854584294952</v>
      </c>
      <c r="CM352" s="231">
        <f>IS!CM174</f>
        <v>55.936067130376387</v>
      </c>
      <c r="CN352" s="231">
        <f>IS!CN174</f>
        <v>73.387290801880681</v>
      </c>
      <c r="CO352" s="231">
        <f>IS!CO174</f>
        <v>66.278741201941557</v>
      </c>
      <c r="CP352" s="231">
        <f>IS!CP174</f>
        <v>44.520818367376705</v>
      </c>
      <c r="CQ352" s="231">
        <f>IS!CQ174</f>
        <v>66.788264182019702</v>
      </c>
      <c r="CR352" s="231">
        <f>IS!CR174</f>
        <v>81.665905230511726</v>
      </c>
      <c r="CS352" s="231">
        <f>IS!CS174</f>
        <v>72.065140658021846</v>
      </c>
      <c r="CT352" s="231">
        <f>IS!CT174</f>
        <v>51.165826666383282</v>
      </c>
      <c r="CU352" s="231">
        <f>IS!CU174</f>
        <v>69.807830050619941</v>
      </c>
      <c r="CV352" s="231">
        <f>IS!CV174</f>
        <v>88.576392846509634</v>
      </c>
      <c r="CW352" s="231">
        <f>IS!CW174</f>
        <v>78.421752156674302</v>
      </c>
      <c r="CX352" s="231">
        <f>IS!CX174</f>
        <v>56.23789576517197</v>
      </c>
      <c r="CY352" s="231">
        <f>IS!CY174</f>
        <v>82.789623280765227</v>
      </c>
      <c r="CZ352" s="231">
        <f>IS!CZ174</f>
        <v>91.623955644887928</v>
      </c>
      <c r="DA352" s="231">
        <f>IS!DA174</f>
        <v>87.518301227019265</v>
      </c>
      <c r="DB352" s="231">
        <f>IS!DB174</f>
        <v>73.734080892836801</v>
      </c>
      <c r="DC352" s="231">
        <f>IS!DC174</f>
        <v>81.612096348165323</v>
      </c>
      <c r="DD352" s="231">
        <f>IS!DD174</f>
        <v>92</v>
      </c>
      <c r="DE352" s="231">
        <f>IS!DE174</f>
        <v>85.626908794911287</v>
      </c>
      <c r="DF352" s="231">
        <f>IS!DF174</f>
        <v>79.758431012791263</v>
      </c>
      <c r="DG352" s="231">
        <f>IS!DG174</f>
        <v>88.240987659745713</v>
      </c>
      <c r="DH352" s="231">
        <f>IS!DH174</f>
        <v>99.219749999999962</v>
      </c>
      <c r="DI352" s="231">
        <f>IS!DI174</f>
        <v>81.544271870686373</v>
      </c>
    </row>
    <row r="353" spans="1:126">
      <c r="A353" s="952" t="s">
        <v>95</v>
      </c>
      <c r="J353" s="122">
        <f>J352/(IS!J346-IS!J347)</f>
        <v>0.60066006600660071</v>
      </c>
      <c r="K353" s="122">
        <f>K352/(IS!K346-IS!K347)</f>
        <v>0.55828220858895705</v>
      </c>
      <c r="L353" s="122">
        <f>L352/(IS!L346-IS!L347)</f>
        <v>0.51675977653631289</v>
      </c>
      <c r="M353" s="122">
        <f>M352/(IS!M346-IS!M347)</f>
        <v>0.48563218390804597</v>
      </c>
      <c r="N353" s="122">
        <f>N352/(IS!N346-IS!N347)</f>
        <v>0.42065491183879095</v>
      </c>
      <c r="O353" s="122">
        <f>O352/(IS!O346-IS!O347)</f>
        <v>0.42404943121222721</v>
      </c>
      <c r="P353" s="122">
        <f>P352/(IS!P346-IS!P347)</f>
        <v>0.43458061914377288</v>
      </c>
      <c r="Q353" s="122">
        <f>Q352/(IS!Q346-IS!Q347)</f>
        <v>0.45461428548530014</v>
      </c>
      <c r="R353" s="122">
        <f>R352/(IS!R346-IS!R347)</f>
        <v>0.47598644912427629</v>
      </c>
      <c r="S353" s="122">
        <f>S352/(IS!S346-IS!S347)</f>
        <v>0.49328647429123162</v>
      </c>
      <c r="T353" s="122">
        <f>T352/(IS!T346-IS!T347)</f>
        <v>0.4453363386943297</v>
      </c>
      <c r="U353" s="122">
        <f>U352/(IS!U346-IS!U347)</f>
        <v>0.4398446192754617</v>
      </c>
      <c r="V353" s="122">
        <f>V352/(IS!V346-IS!V347)</f>
        <v>0.44029016901217072</v>
      </c>
      <c r="W353" s="122">
        <f>W352/(IS!W346-IS!W347)</f>
        <v>0.44073060962265692</v>
      </c>
      <c r="X353" s="122">
        <f>X352/(IS!X346-IS!X347)</f>
        <v>0.45527867511744169</v>
      </c>
      <c r="Y353" s="122">
        <f>Y352/(IS!Y346-IS!Y347)</f>
        <v>0.46943104551797066</v>
      </c>
      <c r="Z353" s="122">
        <f>Z352/(IS!Z346-IS!Z347)</f>
        <v>0.48319928967210019</v>
      </c>
      <c r="AA353" s="122">
        <f>AA352/(IS!AA346-IS!AA347)</f>
        <v>0.49659460018386864</v>
      </c>
      <c r="AB353" s="122">
        <f>AB352/(IS!AB346-IS!AB347)</f>
        <v>0.50962780744914071</v>
      </c>
      <c r="AD353" s="509"/>
      <c r="AE353" s="509"/>
      <c r="AF353" s="509"/>
      <c r="AG353" s="509"/>
      <c r="AH353" s="509"/>
      <c r="AI353" s="509"/>
      <c r="AJ353" s="509"/>
      <c r="AK353" s="509"/>
      <c r="AL353" s="509"/>
      <c r="AM353" s="509"/>
      <c r="AN353" s="509"/>
      <c r="AO353" s="509"/>
      <c r="AP353" s="509"/>
      <c r="AQ353" s="509"/>
      <c r="AR353" s="509"/>
      <c r="AS353" s="509"/>
      <c r="AT353" s="509"/>
      <c r="AU353" s="509"/>
      <c r="AV353" s="509"/>
      <c r="AW353" s="509"/>
      <c r="AX353" s="509"/>
      <c r="AY353" s="509"/>
      <c r="AZ353" s="509"/>
      <c r="BA353" s="509"/>
      <c r="BB353" s="509"/>
      <c r="BC353" s="509"/>
      <c r="BD353" s="509"/>
      <c r="BE353" s="509"/>
      <c r="BF353" s="509"/>
      <c r="BG353" s="509"/>
      <c r="BH353" s="509"/>
      <c r="BI353" s="509"/>
      <c r="BJ353" s="509"/>
      <c r="BK353" s="509"/>
      <c r="BL353" s="509"/>
      <c r="BM353" s="509"/>
      <c r="BN353" s="509"/>
      <c r="BO353" s="509"/>
      <c r="BP353" s="509"/>
      <c r="BQ353" s="509"/>
      <c r="BR353" s="122">
        <f>BR352/(IS!BR346-IS!BR347)</f>
        <v>0.56578947368421051</v>
      </c>
      <c r="BS353" s="122">
        <f>BS352/(IS!BS346-IS!BS347)</f>
        <v>0.6</v>
      </c>
      <c r="BT353" s="122">
        <f>BT352/(IS!BT346-IS!BT347)</f>
        <v>0.54761904761904767</v>
      </c>
      <c r="BU353" s="122">
        <f>BU352/(IS!BU346-IS!BU347)</f>
        <v>0.51851851851851849</v>
      </c>
      <c r="BV353" s="122">
        <f>BV352/(IS!BV346-IS!BV347)</f>
        <v>0.5757575757575758</v>
      </c>
      <c r="BW353" s="122">
        <f>BW352/(IS!BW346-IS!BW347)</f>
        <v>0.54054054054054057</v>
      </c>
      <c r="BX353" s="122">
        <f>BX352/(IS!BX346-IS!BX347)</f>
        <v>0.49494949494949497</v>
      </c>
      <c r="BY353" s="122">
        <f>BY352/(IS!BY346-IS!BY347)</f>
        <v>0.45348837209302323</v>
      </c>
      <c r="BZ353" s="122">
        <f>BZ352/(IS!BZ346-IS!BZ347)</f>
        <v>0.55172413793103448</v>
      </c>
      <c r="CA353" s="122">
        <f>CA352/(IS!CA346-IS!CA347)</f>
        <v>0.56000000000000005</v>
      </c>
      <c r="CB353" s="122">
        <f>CB352/(IS!CB346-IS!CB347)</f>
        <v>0.4777777777777778</v>
      </c>
      <c r="CC353" s="122">
        <f>CC352/(IS!CC346-IS!CC347)</f>
        <v>0.30985915492957744</v>
      </c>
      <c r="CD353" s="122">
        <f>CD352/(IS!CD346-IS!CD347)</f>
        <v>0.27160493827160492</v>
      </c>
      <c r="CE353" s="122">
        <f>CE352/(IS!CE346-IS!CE347)</f>
        <v>0.40170940170940173</v>
      </c>
      <c r="CF353" s="122">
        <f>CF352/(IS!CF346-IS!CF347)</f>
        <v>0.50458715596330272</v>
      </c>
      <c r="CG353" s="122">
        <f>CG352/(IS!CG346-IS!CG347)</f>
        <v>0.4777777777777778</v>
      </c>
      <c r="CH353" s="122">
        <f>CH352/(IS!CH346-IS!CH347)</f>
        <v>0.33295079295318375</v>
      </c>
      <c r="CI353" s="122">
        <f>CI352/(IS!CI346-IS!CI347)</f>
        <v>0.4081838046570217</v>
      </c>
      <c r="CJ353" s="122">
        <f>CJ352/(IS!CJ346-IS!CJ347)</f>
        <v>0.49634179249849358</v>
      </c>
      <c r="CK353" s="122">
        <f>CK352/(IS!CK346-IS!CK347)</f>
        <v>0.46069545700908421</v>
      </c>
      <c r="CL353" s="122">
        <f>CL352/(IS!CL346-IS!CL347)</f>
        <v>0.33022952636149533</v>
      </c>
      <c r="CM353" s="122">
        <f>CM352/(IS!CM346-IS!CM347)</f>
        <v>0.42375808432103323</v>
      </c>
      <c r="CN353" s="122">
        <f>CN352/(IS!CN346-IS!CN347)</f>
        <v>0.48281112369658341</v>
      </c>
      <c r="CO353" s="122">
        <f>CO352/(IS!CO346-IS!CO347)</f>
        <v>0.48028073334740257</v>
      </c>
      <c r="CP353" s="122">
        <f>CP352/(IS!CP346-IS!CP347)</f>
        <v>0.35333982831251354</v>
      </c>
      <c r="CQ353" s="122">
        <f>CQ352/(IS!CQ346-IS!CQ347)</f>
        <v>0.43652460249686081</v>
      </c>
      <c r="CR353" s="122">
        <f>CR352/(IS!CR346-IS!CR347)</f>
        <v>0.51041190769069833</v>
      </c>
      <c r="CS353" s="122">
        <f>CS352/(IS!CS346-IS!CS347)</f>
        <v>0.50045236568070728</v>
      </c>
      <c r="CT353" s="122">
        <f>CT352/(IS!CT346-IS!CT347)</f>
        <v>0.37347318734586338</v>
      </c>
      <c r="CU353" s="122">
        <f>CU352/(IS!CU346-IS!CU347)</f>
        <v>0.46850892651422782</v>
      </c>
      <c r="CV353" s="122">
        <f>CV352/(IS!CV346-IS!CV347)</f>
        <v>0.54341345304607136</v>
      </c>
      <c r="CW353" s="122">
        <f>CW352/(IS!CW346-IS!CW347)</f>
        <v>0.50270353946586088</v>
      </c>
      <c r="CX353" s="122">
        <f>CX352/(IS!CX346-IS!CX347)</f>
        <v>0.38784755700118601</v>
      </c>
      <c r="CY353" s="122">
        <f>CY352/(IS!CY346-IS!CY347)</f>
        <v>0.49574624719021093</v>
      </c>
      <c r="CZ353" s="122">
        <f>CZ352/(IS!CZ346-IS!CZ347)</f>
        <v>0.55195154002944535</v>
      </c>
      <c r="DA353" s="122">
        <f>DA352/(IS!DA346-IS!DA347)</f>
        <v>0.52406168399412734</v>
      </c>
      <c r="DB353" s="122">
        <f>DB352/(IS!DB346-IS!DB347)</f>
        <v>0.42620856007420116</v>
      </c>
      <c r="DC353" s="122">
        <f>DC352/(IS!DC346-IS!DC347)</f>
        <v>0.43181003358817632</v>
      </c>
      <c r="DD353" s="122">
        <f>DD352/(IS!DD346-IS!DD347)</f>
        <v>0.46700507614213199</v>
      </c>
      <c r="DE353" s="122">
        <f>DE352/(IS!DE346-IS!DE347)</f>
        <v>0.45379913200782857</v>
      </c>
      <c r="DF353" s="122">
        <f>DF352/(IS!DF346-IS!DF347)</f>
        <v>0.43473021512260412</v>
      </c>
      <c r="DG353" s="122">
        <f>DG352/(IS!DG346-IS!DG347)</f>
        <v>0.44024849843587666</v>
      </c>
      <c r="DH353" s="122">
        <f>DH352/(IS!DH346-IS!DH347)</f>
        <v>0.47492084233804083</v>
      </c>
      <c r="DI353" s="122">
        <f>DI352/(IS!DI346-IS!DI347)</f>
        <v>0.40750803964222343</v>
      </c>
    </row>
    <row r="354" spans="1:126">
      <c r="A354" s="952"/>
      <c r="J354" s="122"/>
      <c r="K354" s="122"/>
      <c r="L354" s="122"/>
      <c r="M354" s="122"/>
      <c r="N354" s="122"/>
      <c r="O354" s="122"/>
      <c r="P354" s="122"/>
      <c r="Q354" s="122"/>
      <c r="R354" s="122"/>
      <c r="S354" s="122"/>
      <c r="T354" s="122"/>
      <c r="U354" s="122"/>
      <c r="V354" s="122"/>
      <c r="W354" s="122"/>
      <c r="X354" s="122"/>
      <c r="Y354" s="122"/>
      <c r="Z354" s="122"/>
      <c r="AA354" s="122"/>
      <c r="AB354" s="122"/>
      <c r="AD354" s="509"/>
      <c r="AE354" s="509"/>
      <c r="AF354" s="509"/>
      <c r="AG354" s="509"/>
      <c r="AH354" s="509"/>
      <c r="AI354" s="509"/>
      <c r="AJ354" s="509"/>
      <c r="AK354" s="509"/>
      <c r="AL354" s="509"/>
      <c r="AM354" s="509"/>
      <c r="AN354" s="509"/>
      <c r="AO354" s="509"/>
      <c r="AP354" s="509"/>
      <c r="AQ354" s="509"/>
      <c r="AR354" s="509"/>
      <c r="AS354" s="509"/>
      <c r="AT354" s="509"/>
      <c r="AU354" s="509"/>
      <c r="AV354" s="509"/>
      <c r="AW354" s="509"/>
      <c r="AX354" s="509"/>
      <c r="AY354" s="509"/>
      <c r="AZ354" s="509"/>
      <c r="BA354" s="509"/>
      <c r="BB354" s="509"/>
      <c r="BC354" s="509"/>
      <c r="BD354" s="509"/>
      <c r="BE354" s="509"/>
      <c r="BF354" s="509"/>
      <c r="BG354" s="509"/>
      <c r="BH354" s="509"/>
      <c r="BI354" s="509"/>
      <c r="BJ354" s="509"/>
      <c r="BK354" s="509"/>
      <c r="BL354" s="509"/>
      <c r="BM354" s="509"/>
      <c r="BN354" s="509"/>
      <c r="BO354" s="509"/>
      <c r="BP354" s="509"/>
      <c r="BQ354" s="509"/>
      <c r="BR354" s="534"/>
      <c r="BS354" s="534"/>
      <c r="BT354" s="534"/>
      <c r="BU354" s="534"/>
      <c r="BV354" s="374"/>
      <c r="BW354" s="374"/>
      <c r="BX354" s="374"/>
      <c r="BY354" s="374"/>
      <c r="BZ354" s="374"/>
      <c r="CA354" s="374"/>
      <c r="CB354" s="374"/>
      <c r="CC354" s="374"/>
      <c r="CD354" s="374"/>
      <c r="CE354" s="374"/>
      <c r="CF354" s="374"/>
      <c r="CG354" s="374"/>
      <c r="CH354" s="582"/>
      <c r="CI354" s="582"/>
      <c r="CJ354" s="582"/>
      <c r="CK354" s="582"/>
      <c r="CL354" s="509"/>
      <c r="CM354" s="509"/>
      <c r="CN354" s="509"/>
      <c r="CO354" s="509"/>
      <c r="CP354" s="509"/>
      <c r="CQ354" s="509"/>
      <c r="CR354" s="509"/>
      <c r="CS354" s="509"/>
      <c r="CT354" s="509"/>
      <c r="CU354" s="509"/>
      <c r="CV354" s="509"/>
      <c r="CW354" s="509"/>
      <c r="CX354" s="509"/>
      <c r="CY354" s="509"/>
      <c r="CZ354" s="509"/>
      <c r="DA354" s="509"/>
      <c r="DB354" s="509"/>
      <c r="DC354" s="509"/>
      <c r="DD354" s="509"/>
      <c r="DE354" s="509"/>
      <c r="DF354" s="509"/>
      <c r="DG354" s="509"/>
      <c r="DH354" s="509"/>
      <c r="DI354" s="509"/>
    </row>
    <row r="355" spans="1:126">
      <c r="A355" s="937" t="s">
        <v>244</v>
      </c>
      <c r="AD355" s="509"/>
      <c r="AE355" s="509"/>
      <c r="AF355" s="509"/>
      <c r="AG355" s="509"/>
      <c r="AH355" s="509"/>
      <c r="AI355" s="509"/>
      <c r="AJ355" s="509"/>
      <c r="AK355" s="509"/>
      <c r="AL355" s="509"/>
      <c r="AM355" s="509"/>
      <c r="AN355" s="509"/>
      <c r="AO355" s="509"/>
      <c r="AP355" s="509"/>
      <c r="AQ355" s="509"/>
      <c r="AR355" s="509"/>
      <c r="AS355" s="509"/>
      <c r="AT355" s="509"/>
      <c r="AU355" s="509"/>
      <c r="AV355" s="509"/>
      <c r="AW355" s="509"/>
      <c r="AX355" s="509"/>
      <c r="AY355" s="509"/>
      <c r="AZ355" s="509"/>
      <c r="BA355" s="509"/>
      <c r="BB355" s="509"/>
      <c r="BC355" s="509"/>
      <c r="BD355" s="509"/>
      <c r="BE355" s="509"/>
      <c r="BF355" s="509"/>
      <c r="BG355" s="509"/>
      <c r="BH355" s="509"/>
      <c r="BI355" s="509"/>
      <c r="BJ355" s="509"/>
      <c r="BK355" s="509"/>
      <c r="BL355" s="509"/>
      <c r="BM355" s="509"/>
      <c r="BN355" s="509"/>
      <c r="BO355" s="509"/>
      <c r="BP355" s="509"/>
      <c r="BQ355" s="509"/>
      <c r="BR355" s="534"/>
      <c r="BS355" s="534"/>
      <c r="BT355" s="534"/>
      <c r="BU355" s="534"/>
      <c r="BV355" s="374"/>
      <c r="BW355" s="374"/>
      <c r="BX355" s="374"/>
      <c r="BY355" s="374"/>
      <c r="BZ355" s="374"/>
      <c r="CA355" s="374"/>
      <c r="CB355" s="374"/>
      <c r="CC355" s="374"/>
      <c r="CD355" s="374"/>
      <c r="CE355" s="583"/>
      <c r="CF355" s="374"/>
      <c r="CG355" s="374"/>
      <c r="CH355" s="582"/>
      <c r="CI355" s="583"/>
      <c r="CJ355" s="582"/>
      <c r="CK355" s="582"/>
      <c r="CL355" s="509"/>
      <c r="CM355" s="509"/>
      <c r="CN355" s="509"/>
      <c r="CO355" s="509"/>
      <c r="CP355" s="509"/>
      <c r="CQ355" s="509"/>
      <c r="CR355" s="509"/>
      <c r="CS355" s="509"/>
      <c r="CT355" s="509"/>
      <c r="CU355" s="509"/>
      <c r="CV355" s="509"/>
      <c r="CW355" s="509"/>
      <c r="CX355" s="509"/>
      <c r="CY355" s="509"/>
      <c r="CZ355" s="509"/>
      <c r="DA355" s="509"/>
      <c r="DB355" s="509"/>
      <c r="DC355" s="509"/>
      <c r="DD355" s="509"/>
      <c r="DE355" s="509"/>
      <c r="DF355" s="509"/>
      <c r="DG355" s="509"/>
      <c r="DH355" s="509"/>
      <c r="DI355" s="509"/>
    </row>
    <row r="356" spans="1:126">
      <c r="A356" s="953" t="s">
        <v>488</v>
      </c>
      <c r="J356" s="535">
        <f>+J346/J343</f>
        <v>0.29251721499617445</v>
      </c>
      <c r="K356" s="535">
        <f t="shared" ref="K356:R356" si="743">+K128/K343</f>
        <v>0.29609793420045905</v>
      </c>
      <c r="L356" s="535">
        <f t="shared" si="743"/>
        <v>0.41302621127879269</v>
      </c>
      <c r="M356" s="535">
        <f t="shared" si="743"/>
        <v>0.449438202247191</v>
      </c>
      <c r="N356" s="535">
        <f t="shared" si="743"/>
        <v>0.48475120385232745</v>
      </c>
      <c r="O356" s="535">
        <f t="shared" si="743"/>
        <v>0.55375909458367012</v>
      </c>
      <c r="P356" s="535">
        <f t="shared" si="743"/>
        <v>0.53171953255425708</v>
      </c>
      <c r="Q356" s="535">
        <f t="shared" si="743"/>
        <v>0.50432730133752945</v>
      </c>
      <c r="R356" s="535">
        <f t="shared" si="743"/>
        <v>0.49735849056603776</v>
      </c>
      <c r="S356" s="535">
        <f t="shared" ref="S356:T356" si="744">+S128/S343</f>
        <v>0.5024946543121882</v>
      </c>
      <c r="T356" s="535">
        <f t="shared" si="744"/>
        <v>0.52386706202457889</v>
      </c>
      <c r="U356" s="535">
        <f t="shared" ref="U356:W360" si="745">+U363/5</f>
        <v>0.52910573264482463</v>
      </c>
      <c r="V356" s="535">
        <f t="shared" si="745"/>
        <v>0.53439678997127293</v>
      </c>
      <c r="W356" s="535">
        <f t="shared" si="745"/>
        <v>0.53974075787098563</v>
      </c>
      <c r="X356" s="535">
        <f t="shared" ref="X356:AB360" si="746">+X363/5</f>
        <v>0.55053557302840539</v>
      </c>
      <c r="Y356" s="535">
        <f t="shared" si="746"/>
        <v>0.56154628448897348</v>
      </c>
      <c r="Z356" s="535">
        <f t="shared" si="746"/>
        <v>0.57277721017875294</v>
      </c>
      <c r="AA356" s="535">
        <f t="shared" si="746"/>
        <v>0.58423275438232802</v>
      </c>
      <c r="AB356" s="535">
        <f t="shared" si="746"/>
        <v>0.59591740946997462</v>
      </c>
      <c r="AD356" s="387"/>
      <c r="AE356" s="387"/>
      <c r="AF356" s="387"/>
      <c r="AG356" s="387"/>
      <c r="AH356" s="387"/>
      <c r="AI356" s="387"/>
      <c r="AJ356" s="387"/>
      <c r="AK356" s="387"/>
      <c r="AL356" s="387"/>
      <c r="AM356" s="387"/>
      <c r="AN356" s="387"/>
      <c r="AO356" s="387"/>
      <c r="AP356" s="387"/>
      <c r="AQ356" s="387"/>
      <c r="AR356" s="387"/>
      <c r="AS356" s="387"/>
      <c r="AT356" s="387"/>
      <c r="AU356" s="387"/>
      <c r="AV356" s="387"/>
      <c r="AW356" s="387"/>
      <c r="AX356" s="471"/>
      <c r="AY356" s="471"/>
      <c r="AZ356" s="471"/>
      <c r="BA356" s="471"/>
      <c r="BB356" s="471"/>
      <c r="BC356" s="471"/>
      <c r="BD356" s="471"/>
      <c r="BE356" s="471"/>
      <c r="BF356" s="471"/>
      <c r="BG356" s="387"/>
      <c r="BH356" s="387"/>
      <c r="BI356" s="387"/>
      <c r="BJ356" s="387"/>
      <c r="BK356" s="387"/>
      <c r="BL356" s="387"/>
      <c r="BM356" s="387"/>
      <c r="BN356" s="387"/>
      <c r="BO356" s="387"/>
      <c r="BP356" s="387"/>
      <c r="BQ356" s="387"/>
      <c r="BR356" s="535">
        <f t="shared" ref="BR356:CK356" si="747">BR128/BR343</f>
        <v>0.29166666666666669</v>
      </c>
      <c r="BS356" s="535">
        <f t="shared" si="747"/>
        <v>0.28450704225352114</v>
      </c>
      <c r="BT356" s="535">
        <f t="shared" si="747"/>
        <v>0.2978723404255319</v>
      </c>
      <c r="BU356" s="535">
        <f t="shared" si="747"/>
        <v>0.31189710610932475</v>
      </c>
      <c r="BV356" s="535">
        <f t="shared" si="747"/>
        <v>0.33333333333333331</v>
      </c>
      <c r="BW356" s="535">
        <f t="shared" si="747"/>
        <v>0.43703703703703706</v>
      </c>
      <c r="BX356" s="535">
        <f t="shared" si="747"/>
        <v>0.44868035190615835</v>
      </c>
      <c r="BY356" s="535">
        <f t="shared" si="747"/>
        <v>0.44224422442244227</v>
      </c>
      <c r="BZ356" s="535">
        <f t="shared" si="747"/>
        <v>0.47872340425531917</v>
      </c>
      <c r="CA356" s="535">
        <f t="shared" si="747"/>
        <v>0.47987616099071206</v>
      </c>
      <c r="CB356" s="535">
        <f t="shared" si="747"/>
        <v>0.4349112426035503</v>
      </c>
      <c r="CC356" s="535">
        <f t="shared" si="747"/>
        <v>0.40594059405940597</v>
      </c>
      <c r="CD356" s="535">
        <f t="shared" si="747"/>
        <v>0.45993031358885017</v>
      </c>
      <c r="CE356" s="535">
        <f t="shared" si="747"/>
        <v>0.53105590062111796</v>
      </c>
      <c r="CF356" s="535">
        <f t="shared" si="747"/>
        <v>0.48148148148148145</v>
      </c>
      <c r="CG356" s="535">
        <f t="shared" si="747"/>
        <v>0.46153846153846156</v>
      </c>
      <c r="CH356" s="535">
        <f t="shared" si="747"/>
        <v>0.54268292682926833</v>
      </c>
      <c r="CI356" s="584">
        <f t="shared" si="747"/>
        <v>0.55246913580246915</v>
      </c>
      <c r="CJ356" s="584">
        <f t="shared" si="747"/>
        <v>0.55960264900662249</v>
      </c>
      <c r="CK356" s="584">
        <f t="shared" si="747"/>
        <v>0.56183745583038869</v>
      </c>
      <c r="CL356" s="535">
        <f>+CL128/CL343</f>
        <v>0.53479853479853479</v>
      </c>
      <c r="CM356" s="535">
        <f>+CM128/CM343</f>
        <v>0.53691275167785235</v>
      </c>
      <c r="CN356" s="535">
        <f>+CN128/CN343</f>
        <v>0.546875</v>
      </c>
      <c r="CO356" s="584">
        <f>CO128/CO343</f>
        <v>0.50814332247557004</v>
      </c>
      <c r="CP356" s="535">
        <f t="shared" ref="CP356:CY356" si="748">+CP128/CP343</f>
        <v>0.51094890510948909</v>
      </c>
      <c r="CQ356" s="535">
        <f t="shared" si="748"/>
        <v>0.50755287009063443</v>
      </c>
      <c r="CR356" s="535">
        <f t="shared" si="748"/>
        <v>0.50432276657060515</v>
      </c>
      <c r="CS356" s="535">
        <f t="shared" si="748"/>
        <v>0.4952978056426332</v>
      </c>
      <c r="CT356" s="535">
        <f t="shared" si="748"/>
        <v>0.50331125827814571</v>
      </c>
      <c r="CU356" s="535">
        <f t="shared" si="748"/>
        <v>0.49101796407185627</v>
      </c>
      <c r="CV356" s="535">
        <f t="shared" si="748"/>
        <v>0.4985754985754986</v>
      </c>
      <c r="CW356" s="535">
        <f t="shared" si="748"/>
        <v>0.49704142011834318</v>
      </c>
      <c r="CX356" s="535">
        <f t="shared" si="748"/>
        <v>0.4801223241590214</v>
      </c>
      <c r="CY356" s="535">
        <f t="shared" si="748"/>
        <v>0.51253481894150421</v>
      </c>
      <c r="CZ356" s="535">
        <f t="shared" ref="CZ356:DE356" si="749">+CZ128/CZ343</f>
        <v>0.50692520775623273</v>
      </c>
      <c r="DA356" s="535">
        <f t="shared" si="749"/>
        <v>0.5084269662921348</v>
      </c>
      <c r="DB356" s="535">
        <f t="shared" si="749"/>
        <v>0.50953678474114439</v>
      </c>
      <c r="DC356" s="535">
        <f t="shared" si="749"/>
        <v>0.51477832512315269</v>
      </c>
      <c r="DD356" s="535">
        <f t="shared" si="749"/>
        <v>0.54805194805194801</v>
      </c>
      <c r="DE356" s="535">
        <f t="shared" si="749"/>
        <v>0.52292450427578296</v>
      </c>
      <c r="DF356" s="535">
        <f t="shared" ref="DF356:DI356" si="750">+DF128/DF343</f>
        <v>0.51547782238997453</v>
      </c>
      <c r="DG356" s="535">
        <f t="shared" si="750"/>
        <v>0.50954669394874541</v>
      </c>
      <c r="DH356" s="535">
        <f t="shared" si="750"/>
        <v>0.55617947496083675</v>
      </c>
      <c r="DI356" s="535">
        <f t="shared" si="750"/>
        <v>0.53566568572418294</v>
      </c>
    </row>
    <row r="357" spans="1:126">
      <c r="A357" s="911" t="s">
        <v>489</v>
      </c>
      <c r="J357" s="459">
        <f>+K357</f>
        <v>4.6671767406273906E-2</v>
      </c>
      <c r="K357" s="459">
        <f t="shared" ref="K357:R357" si="751">(K128-K162)/K343</f>
        <v>4.6671767406273906E-2</v>
      </c>
      <c r="L357" s="459">
        <f t="shared" si="751"/>
        <v>0.12867355043685463</v>
      </c>
      <c r="M357" s="459">
        <f t="shared" si="751"/>
        <v>0.17014446227929375</v>
      </c>
      <c r="N357" s="459">
        <f t="shared" si="751"/>
        <v>0.16613162118780098</v>
      </c>
      <c r="O357" s="459">
        <f t="shared" si="751"/>
        <v>0.12368633791430882</v>
      </c>
      <c r="P357" s="459">
        <f t="shared" si="751"/>
        <v>8.1803005008347252E-2</v>
      </c>
      <c r="Q357" s="459">
        <f t="shared" si="751"/>
        <v>4.5633359559402044E-2</v>
      </c>
      <c r="R357" s="459">
        <f t="shared" si="751"/>
        <v>4.0754716981132075E-2</v>
      </c>
      <c r="S357" s="459">
        <f t="shared" ref="S357:T357" si="752">(S128-S162)/S343</f>
        <v>4.2765502494654314E-2</v>
      </c>
      <c r="T357" s="459">
        <f t="shared" si="752"/>
        <v>3.898443579766539E-2</v>
      </c>
      <c r="U357" s="535">
        <f t="shared" si="745"/>
        <v>3.9374280155642045E-2</v>
      </c>
      <c r="V357" s="535">
        <f t="shared" si="745"/>
        <v>3.9374280155642045E-2</v>
      </c>
      <c r="W357" s="535">
        <f t="shared" si="745"/>
        <v>3.9374280155642045E-2</v>
      </c>
      <c r="X357" s="535">
        <f t="shared" si="746"/>
        <v>3.9374280155642045E-2</v>
      </c>
      <c r="Y357" s="535">
        <f t="shared" si="746"/>
        <v>3.9374280155642045E-2</v>
      </c>
      <c r="Z357" s="535">
        <f t="shared" si="746"/>
        <v>3.9374280155642045E-2</v>
      </c>
      <c r="AA357" s="535">
        <f t="shared" si="746"/>
        <v>3.9374280155642045E-2</v>
      </c>
      <c r="AB357" s="535">
        <f t="shared" si="746"/>
        <v>3.9374280155642045E-2</v>
      </c>
      <c r="AD357" s="373"/>
      <c r="AE357" s="373"/>
      <c r="AF357" s="373"/>
      <c r="AG357" s="373"/>
      <c r="AH357" s="373"/>
      <c r="AI357" s="373"/>
      <c r="AJ357" s="373"/>
      <c r="AK357" s="373"/>
      <c r="AL357" s="373"/>
      <c r="AM357" s="373"/>
      <c r="AN357" s="373"/>
      <c r="AO357" s="373"/>
      <c r="AP357" s="373"/>
      <c r="AQ357" s="373"/>
      <c r="AR357" s="373"/>
      <c r="AS357" s="373"/>
      <c r="AT357" s="373"/>
      <c r="AU357" s="373"/>
      <c r="AV357" s="373"/>
      <c r="AW357" s="373"/>
      <c r="AX357" s="373"/>
      <c r="AY357" s="373"/>
      <c r="AZ357" s="373"/>
      <c r="BA357" s="373"/>
      <c r="BB357" s="373"/>
      <c r="BC357" s="373"/>
      <c r="BD357" s="373"/>
      <c r="BE357" s="373"/>
      <c r="BF357" s="373"/>
      <c r="BG357" s="373"/>
      <c r="BH357" s="373"/>
      <c r="BI357" s="373"/>
      <c r="BJ357" s="373"/>
      <c r="BK357" s="373"/>
      <c r="BL357" s="373"/>
      <c r="BM357" s="373"/>
      <c r="BN357" s="373"/>
      <c r="BO357" s="373"/>
      <c r="BP357" s="373"/>
      <c r="BQ357" s="373"/>
      <c r="BR357" s="459">
        <f t="shared" ref="BR357:CB357" si="753">(BR128-BR162)/BR343</f>
        <v>4.807692307692308E-2</v>
      </c>
      <c r="BS357" s="459">
        <f t="shared" si="753"/>
        <v>4.507042253521127E-2</v>
      </c>
      <c r="BT357" s="459">
        <f t="shared" si="753"/>
        <v>4.2553191489361701E-2</v>
      </c>
      <c r="BU357" s="459">
        <f t="shared" si="753"/>
        <v>5.1446945337620578E-2</v>
      </c>
      <c r="BV357" s="459">
        <f t="shared" si="753"/>
        <v>4.6376811594202899E-2</v>
      </c>
      <c r="BW357" s="459">
        <f t="shared" si="753"/>
        <v>0.16296296296296298</v>
      </c>
      <c r="BX357" s="459">
        <f t="shared" si="753"/>
        <v>0.15835777126099707</v>
      </c>
      <c r="BY357" s="459">
        <f t="shared" si="753"/>
        <v>0.15841584158415842</v>
      </c>
      <c r="BZ357" s="459">
        <f t="shared" si="753"/>
        <v>0.1702127659574468</v>
      </c>
      <c r="CA357" s="459">
        <f t="shared" si="753"/>
        <v>0.17027863777089783</v>
      </c>
      <c r="CB357" s="459">
        <f t="shared" si="753"/>
        <v>0.16863905325443787</v>
      </c>
      <c r="CC357" s="459">
        <f>CC150/CC343</f>
        <v>0.17161716171617161</v>
      </c>
      <c r="CD357" s="459">
        <f t="shared" ref="CD357:CJ357" si="754">(CD128-CD162)/CD343</f>
        <v>0.17770034843205576</v>
      </c>
      <c r="CE357" s="459">
        <f t="shared" si="754"/>
        <v>0.16770186335403728</v>
      </c>
      <c r="CF357" s="459">
        <f t="shared" si="754"/>
        <v>0.17094017094017094</v>
      </c>
      <c r="CG357" s="459">
        <f t="shared" si="754"/>
        <v>0.14685314685314685</v>
      </c>
      <c r="CH357" s="459">
        <f t="shared" si="754"/>
        <v>0.13719512195121952</v>
      </c>
      <c r="CI357" s="459">
        <f t="shared" si="754"/>
        <v>0.12654320987654322</v>
      </c>
      <c r="CJ357" s="373">
        <f t="shared" si="754"/>
        <v>0.11920529801324503</v>
      </c>
      <c r="CK357" s="459">
        <f>CK150/CK343</f>
        <v>0.10954063604240283</v>
      </c>
      <c r="CL357" s="459">
        <f>(CL128-CL162)/CL343</f>
        <v>0.10622710622710622</v>
      </c>
      <c r="CM357" s="459">
        <f>(CM128-CM162)/CM343</f>
        <v>9.3959731543624164E-2</v>
      </c>
      <c r="CN357" s="459">
        <f>(CN128-CN162)/CN343</f>
        <v>7.1874999999999994E-2</v>
      </c>
      <c r="CO357" s="459">
        <f>CO150/CO343</f>
        <v>5.8631921824104233E-2</v>
      </c>
      <c r="CP357" s="459">
        <f t="shared" ref="CP357:CV357" si="755">(CP128-CP162)/CP343</f>
        <v>5.1094890510948905E-2</v>
      </c>
      <c r="CQ357" s="459">
        <f t="shared" si="755"/>
        <v>4.5317220543806644E-2</v>
      </c>
      <c r="CR357" s="459">
        <f t="shared" si="755"/>
        <v>4.3227665706051875E-2</v>
      </c>
      <c r="CS357" s="459">
        <f t="shared" si="755"/>
        <v>4.3887147335423198E-2</v>
      </c>
      <c r="CT357" s="459">
        <f t="shared" si="755"/>
        <v>4.9668874172185427E-2</v>
      </c>
      <c r="CU357" s="459">
        <f t="shared" si="755"/>
        <v>4.4910179640718563E-2</v>
      </c>
      <c r="CV357" s="459">
        <f t="shared" si="755"/>
        <v>3.4188034188034191E-2</v>
      </c>
      <c r="CW357" s="535">
        <f>+CW150/CW343</f>
        <v>3.5502958579881658E-2</v>
      </c>
      <c r="CX357" s="459">
        <f t="shared" ref="CX357:DC357" si="756">(CX128-CX162)/CX343</f>
        <v>3.669724770642202E-2</v>
      </c>
      <c r="CY357" s="459">
        <f t="shared" si="756"/>
        <v>4.7353760445682451E-2</v>
      </c>
      <c r="CZ357" s="459">
        <f t="shared" si="756"/>
        <v>4.7091412742382273E-2</v>
      </c>
      <c r="DA357" s="459">
        <f t="shared" si="756"/>
        <v>3.9325842696629212E-2</v>
      </c>
      <c r="DB357" s="459">
        <f t="shared" si="756"/>
        <v>3.8147138964577658E-2</v>
      </c>
      <c r="DC357" s="459">
        <f t="shared" si="756"/>
        <v>4.9261083743842367E-2</v>
      </c>
      <c r="DD357" s="459">
        <f t="shared" ref="DD357:DE357" si="757">(DD128-DD162)/DD343</f>
        <v>3.6363636363636362E-2</v>
      </c>
      <c r="DE357" s="459">
        <f t="shared" si="757"/>
        <v>3.1546875000000085E-2</v>
      </c>
      <c r="DF357" s="372">
        <f>U357</f>
        <v>3.9374280155642045E-2</v>
      </c>
      <c r="DG357" s="372">
        <f>(U357*4-DF357)/3</f>
        <v>3.9374280155642045E-2</v>
      </c>
      <c r="DH357" s="372">
        <f>(U357*4-DG357-DF357)/2</f>
        <v>3.9374280155642052E-2</v>
      </c>
      <c r="DI357" s="535">
        <f>+DI150/DI343</f>
        <v>3.9374280155642059E-2</v>
      </c>
    </row>
    <row r="358" spans="1:126">
      <c r="A358" s="953" t="s">
        <v>369</v>
      </c>
      <c r="J358" s="459">
        <f>J348/J343</f>
        <v>0.24620198928844686</v>
      </c>
      <c r="K358" s="459">
        <f t="shared" ref="K358:R358" si="758">K162/K343</f>
        <v>0.24942616679418517</v>
      </c>
      <c r="L358" s="459">
        <f t="shared" si="758"/>
        <v>0.28435266084193805</v>
      </c>
      <c r="M358" s="459">
        <f t="shared" si="758"/>
        <v>0.27929373996789725</v>
      </c>
      <c r="N358" s="459">
        <f t="shared" si="758"/>
        <v>0.3186195826645265</v>
      </c>
      <c r="O358" s="459">
        <f t="shared" si="758"/>
        <v>0.43007275666936134</v>
      </c>
      <c r="P358" s="459">
        <f t="shared" si="758"/>
        <v>0.44991652754590983</v>
      </c>
      <c r="Q358" s="459">
        <f t="shared" si="758"/>
        <v>0.45869394177812745</v>
      </c>
      <c r="R358" s="459">
        <f t="shared" si="758"/>
        <v>0.45660377358490567</v>
      </c>
      <c r="S358" s="459">
        <f t="shared" ref="S358:T358" si="759">S162/S343</f>
        <v>0.45972915181753388</v>
      </c>
      <c r="T358" s="459">
        <f t="shared" si="759"/>
        <v>0.48488262622691347</v>
      </c>
      <c r="U358" s="535">
        <f t="shared" si="745"/>
        <v>0.48973145248918259</v>
      </c>
      <c r="V358" s="535">
        <f t="shared" si="745"/>
        <v>0.49502250981563084</v>
      </c>
      <c r="W358" s="535">
        <f t="shared" si="745"/>
        <v>0.50036647771534359</v>
      </c>
      <c r="X358" s="535">
        <f t="shared" si="746"/>
        <v>0.51116129287276324</v>
      </c>
      <c r="Y358" s="535">
        <f t="shared" si="746"/>
        <v>0.52217200433333144</v>
      </c>
      <c r="Z358" s="535">
        <f t="shared" si="746"/>
        <v>0.5334029300231109</v>
      </c>
      <c r="AA358" s="535">
        <f t="shared" si="746"/>
        <v>0.54485847422668587</v>
      </c>
      <c r="AB358" s="535">
        <f t="shared" si="746"/>
        <v>0.55654312931433247</v>
      </c>
      <c r="AD358" s="387"/>
      <c r="AE358" s="387"/>
      <c r="AF358" s="387"/>
      <c r="AG358" s="387"/>
      <c r="AH358" s="387"/>
      <c r="AI358" s="387"/>
      <c r="AJ358" s="387"/>
      <c r="AK358" s="387"/>
      <c r="AL358" s="387"/>
      <c r="AM358" s="387"/>
      <c r="AN358" s="387"/>
      <c r="AO358" s="387"/>
      <c r="AP358" s="387"/>
      <c r="AQ358" s="387"/>
      <c r="AR358" s="387"/>
      <c r="AS358" s="387"/>
      <c r="AT358" s="387"/>
      <c r="AU358" s="387"/>
      <c r="AV358" s="387"/>
      <c r="AW358" s="387"/>
      <c r="AX358" s="471"/>
      <c r="AY358" s="471"/>
      <c r="AZ358" s="471"/>
      <c r="BA358" s="471"/>
      <c r="BB358" s="471"/>
      <c r="BC358" s="471"/>
      <c r="BD358" s="471"/>
      <c r="BE358" s="471"/>
      <c r="BF358" s="471"/>
      <c r="BG358" s="387"/>
      <c r="BH358" s="387"/>
      <c r="BI358" s="387"/>
      <c r="BJ358" s="387"/>
      <c r="BK358" s="387"/>
      <c r="BL358" s="387"/>
      <c r="BM358" s="387"/>
      <c r="BN358" s="387"/>
      <c r="BO358" s="387"/>
      <c r="BP358" s="387"/>
      <c r="BQ358" s="387"/>
      <c r="BR358" s="459">
        <f t="shared" ref="BR358:CV358" si="760">BR162/BR343</f>
        <v>0.24358974358974358</v>
      </c>
      <c r="BS358" s="459">
        <f t="shared" si="760"/>
        <v>0.23943661971830985</v>
      </c>
      <c r="BT358" s="459">
        <f t="shared" si="760"/>
        <v>0.25531914893617019</v>
      </c>
      <c r="BU358" s="459">
        <f t="shared" si="760"/>
        <v>0.26045016077170419</v>
      </c>
      <c r="BV358" s="459">
        <f t="shared" si="760"/>
        <v>0.28695652173913044</v>
      </c>
      <c r="BW358" s="459">
        <f t="shared" si="760"/>
        <v>0.27407407407407408</v>
      </c>
      <c r="BX358" s="459">
        <f t="shared" si="760"/>
        <v>0.29032258064516131</v>
      </c>
      <c r="BY358" s="459">
        <f t="shared" si="760"/>
        <v>0.28382838283828382</v>
      </c>
      <c r="BZ358" s="459">
        <f t="shared" si="760"/>
        <v>0.30851063829787234</v>
      </c>
      <c r="CA358" s="459">
        <f t="shared" si="760"/>
        <v>0.30959752321981426</v>
      </c>
      <c r="CB358" s="459">
        <f t="shared" si="760"/>
        <v>0.26627218934911245</v>
      </c>
      <c r="CC358" s="459">
        <f t="shared" si="760"/>
        <v>0.23432343234323433</v>
      </c>
      <c r="CD358" s="459">
        <f t="shared" si="760"/>
        <v>0.28222996515679444</v>
      </c>
      <c r="CE358" s="459">
        <f t="shared" si="760"/>
        <v>0.36335403726708076</v>
      </c>
      <c r="CF358" s="459">
        <f t="shared" si="760"/>
        <v>0.31054131054131057</v>
      </c>
      <c r="CG358" s="459">
        <f t="shared" si="760"/>
        <v>0.31468531468531469</v>
      </c>
      <c r="CH358" s="459">
        <f t="shared" si="760"/>
        <v>0.40548780487804881</v>
      </c>
      <c r="CI358" s="459">
        <f t="shared" si="760"/>
        <v>0.42592592592592593</v>
      </c>
      <c r="CJ358" s="373">
        <f t="shared" si="760"/>
        <v>0.44039735099337746</v>
      </c>
      <c r="CK358" s="459">
        <f t="shared" si="760"/>
        <v>0.45229681978798586</v>
      </c>
      <c r="CL358" s="459">
        <f t="shared" si="760"/>
        <v>0.42857142857142855</v>
      </c>
      <c r="CM358" s="459">
        <f t="shared" si="760"/>
        <v>0.44295302013422821</v>
      </c>
      <c r="CN358" s="459">
        <f t="shared" si="760"/>
        <v>0.47499999999999998</v>
      </c>
      <c r="CO358" s="459">
        <f t="shared" si="760"/>
        <v>0.44951140065146578</v>
      </c>
      <c r="CP358" s="459">
        <f t="shared" si="760"/>
        <v>0.45985401459854014</v>
      </c>
      <c r="CQ358" s="459">
        <f t="shared" si="760"/>
        <v>0.46223564954682778</v>
      </c>
      <c r="CR358" s="459">
        <f t="shared" si="760"/>
        <v>0.4610951008645533</v>
      </c>
      <c r="CS358" s="459">
        <f t="shared" si="760"/>
        <v>0.45141065830721006</v>
      </c>
      <c r="CT358" s="459">
        <f t="shared" si="760"/>
        <v>0.45364238410596025</v>
      </c>
      <c r="CU358" s="459">
        <f t="shared" si="760"/>
        <v>0.44610778443113774</v>
      </c>
      <c r="CV358" s="459">
        <f t="shared" si="760"/>
        <v>0.46438746438746437</v>
      </c>
      <c r="CW358" s="372">
        <f>+CW162/CW343</f>
        <v>0.46153846153846156</v>
      </c>
      <c r="CX358" s="459">
        <f t="shared" ref="CX358:DB358" si="761">CX162/CX343</f>
        <v>0.44342507645259938</v>
      </c>
      <c r="CY358" s="459">
        <f t="shared" si="761"/>
        <v>0.46518105849582175</v>
      </c>
      <c r="CZ358" s="459">
        <f t="shared" si="761"/>
        <v>0.45983379501385041</v>
      </c>
      <c r="DA358" s="459">
        <f t="shared" si="761"/>
        <v>0.4691011235955056</v>
      </c>
      <c r="DB358" s="459">
        <f t="shared" si="761"/>
        <v>0.47138964577656678</v>
      </c>
      <c r="DC358" s="459">
        <f>DC162/DC343</f>
        <v>0.46551724137931033</v>
      </c>
      <c r="DD358" s="459">
        <f>DD162/DD343</f>
        <v>0.51168831168831164</v>
      </c>
      <c r="DE358" s="459">
        <f>DE162/DE343</f>
        <v>0.49137762927578282</v>
      </c>
      <c r="DF358" s="372">
        <f>+DB358*(1+DF373)</f>
        <v>0.47610354223433243</v>
      </c>
      <c r="DG358" s="372">
        <f t="shared" ref="DG358:DG359" si="762">+DC358*(1+DG373)</f>
        <v>0.47017241379310343</v>
      </c>
      <c r="DH358" s="372">
        <f t="shared" ref="DH358:DH359" si="763">+DD358*(1+DH373)</f>
        <v>0.51680519480519471</v>
      </c>
      <c r="DI358" s="372">
        <f>+DI162/DI343</f>
        <v>0.49629140556854096</v>
      </c>
    </row>
    <row r="359" spans="1:126">
      <c r="A359" s="953" t="s">
        <v>370</v>
      </c>
      <c r="J359" s="459">
        <f t="shared" ref="J359:R359" si="764">J358-J360</f>
        <v>9.831828615149199E-2</v>
      </c>
      <c r="K359" s="459">
        <f t="shared" si="764"/>
        <v>0.11017597551644989</v>
      </c>
      <c r="L359" s="459">
        <f t="shared" si="764"/>
        <v>0.13741064336775219</v>
      </c>
      <c r="M359" s="459">
        <f t="shared" si="764"/>
        <v>0.1436597110754414</v>
      </c>
      <c r="N359" s="459">
        <f t="shared" si="764"/>
        <v>0.18459069020866775</v>
      </c>
      <c r="O359" s="459">
        <f t="shared" si="764"/>
        <v>0.24770064882384407</v>
      </c>
      <c r="P359" s="459">
        <f t="shared" si="764"/>
        <v>0.25439152444199198</v>
      </c>
      <c r="Q359" s="459">
        <f t="shared" si="764"/>
        <v>0.25016512318022821</v>
      </c>
      <c r="R359" s="459">
        <f t="shared" si="764"/>
        <v>0.23926656473948141</v>
      </c>
      <c r="S359" s="459">
        <f t="shared" ref="S359:T359" si="765">S358-S360</f>
        <v>0.23295097938856424</v>
      </c>
      <c r="T359" s="459">
        <f t="shared" si="765"/>
        <v>0.26894677276652867</v>
      </c>
      <c r="U359" s="535">
        <f t="shared" si="745"/>
        <v>0.27432570822185925</v>
      </c>
      <c r="V359" s="535">
        <f t="shared" si="745"/>
        <v>0.27706896530407787</v>
      </c>
      <c r="W359" s="535">
        <f t="shared" si="745"/>
        <v>0.27983965495711866</v>
      </c>
      <c r="X359" s="535">
        <f t="shared" si="746"/>
        <v>0.27844045668233308</v>
      </c>
      <c r="Y359" s="535">
        <f t="shared" si="746"/>
        <v>0.27704825439892139</v>
      </c>
      <c r="Z359" s="535">
        <f t="shared" si="746"/>
        <v>0.27566301312692676</v>
      </c>
      <c r="AA359" s="535">
        <f t="shared" si="746"/>
        <v>0.27428469806129219</v>
      </c>
      <c r="AB359" s="535">
        <f t="shared" si="746"/>
        <v>0.27291327457098569</v>
      </c>
      <c r="AD359" s="373"/>
      <c r="AE359" s="373"/>
      <c r="AF359" s="373"/>
      <c r="AG359" s="373"/>
      <c r="AH359" s="373"/>
      <c r="AI359" s="373"/>
      <c r="AJ359" s="373"/>
      <c r="AK359" s="373"/>
      <c r="AL359" s="373"/>
      <c r="AM359" s="373"/>
      <c r="AN359" s="373"/>
      <c r="AO359" s="373"/>
      <c r="AP359" s="373"/>
      <c r="AQ359" s="373"/>
      <c r="AR359" s="373"/>
      <c r="AS359" s="373"/>
      <c r="AT359" s="373"/>
      <c r="AU359" s="373"/>
      <c r="AV359" s="373"/>
      <c r="AW359" s="373"/>
      <c r="AX359" s="373"/>
      <c r="AY359" s="373"/>
      <c r="AZ359" s="373"/>
      <c r="BA359" s="373"/>
      <c r="BB359" s="373"/>
      <c r="BC359" s="373"/>
      <c r="BD359" s="373"/>
      <c r="BE359" s="373"/>
      <c r="BF359" s="373"/>
      <c r="BG359" s="373"/>
      <c r="BH359" s="373"/>
      <c r="BI359" s="373"/>
      <c r="BJ359" s="373"/>
      <c r="BK359" s="373"/>
      <c r="BL359" s="373"/>
      <c r="BM359" s="373"/>
      <c r="BN359" s="373"/>
      <c r="BO359" s="373"/>
      <c r="BP359" s="373"/>
      <c r="BQ359" s="373"/>
      <c r="BR359" s="459">
        <f t="shared" ref="BR359:CP359" si="766">BR358-BR360</f>
        <v>0.10576923076923075</v>
      </c>
      <c r="BS359" s="459">
        <f t="shared" si="766"/>
        <v>9.5774647887323927E-2</v>
      </c>
      <c r="BT359" s="459">
        <f t="shared" si="766"/>
        <v>0.11550151975683889</v>
      </c>
      <c r="BU359" s="459">
        <f t="shared" si="766"/>
        <v>0.12540192926045016</v>
      </c>
      <c r="BV359" s="459">
        <f t="shared" si="766"/>
        <v>0.12173913043478263</v>
      </c>
      <c r="BW359" s="459">
        <f t="shared" si="766"/>
        <v>0.12592592592592594</v>
      </c>
      <c r="BX359" s="459">
        <f t="shared" si="766"/>
        <v>0.1466275659824047</v>
      </c>
      <c r="BY359" s="459">
        <f t="shared" si="766"/>
        <v>0.15511551155115511</v>
      </c>
      <c r="BZ359" s="459">
        <f t="shared" si="766"/>
        <v>0.13829787234042554</v>
      </c>
      <c r="CA359" s="459">
        <f t="shared" si="766"/>
        <v>0.13622291021671828</v>
      </c>
      <c r="CB359" s="459">
        <f t="shared" si="766"/>
        <v>0.13905325443786984</v>
      </c>
      <c r="CC359" s="459">
        <f t="shared" si="766"/>
        <v>0.16171617161716173</v>
      </c>
      <c r="CD359" s="459">
        <f t="shared" si="766"/>
        <v>0.20557491289198609</v>
      </c>
      <c r="CE359" s="459">
        <f t="shared" si="766"/>
        <v>0.21739130434782611</v>
      </c>
      <c r="CF359" s="459">
        <f t="shared" si="766"/>
        <v>0.15384615384615388</v>
      </c>
      <c r="CG359" s="459">
        <f t="shared" si="766"/>
        <v>0.16433566433566435</v>
      </c>
      <c r="CH359" s="459">
        <f t="shared" si="766"/>
        <v>0.2704803187110566</v>
      </c>
      <c r="CI359" s="459">
        <f t="shared" si="766"/>
        <v>0.25206986097941669</v>
      </c>
      <c r="CJ359" s="377">
        <f t="shared" si="766"/>
        <v>0.22180974038973625</v>
      </c>
      <c r="CK359" s="459">
        <f t="shared" si="766"/>
        <v>0.24392572969200432</v>
      </c>
      <c r="CL359" s="459">
        <f t="shared" si="766"/>
        <v>0.28704448870221627</v>
      </c>
      <c r="CM359" s="459">
        <f t="shared" si="766"/>
        <v>0.2552480968779316</v>
      </c>
      <c r="CN359" s="459">
        <f t="shared" si="766"/>
        <v>0.24566471624412284</v>
      </c>
      <c r="CO359" s="459">
        <f t="shared" si="766"/>
        <v>0.23361973549856169</v>
      </c>
      <c r="CP359" s="459">
        <f t="shared" si="766"/>
        <v>0.2973692760314719</v>
      </c>
      <c r="CQ359" s="459">
        <f t="shared" ref="CQ359:CV359" si="767">CQ358-CQ360</f>
        <v>0.26045841636852052</v>
      </c>
      <c r="CR359" s="459">
        <f t="shared" si="767"/>
        <v>0.2257466708054417</v>
      </c>
      <c r="CS359" s="459">
        <f t="shared" si="767"/>
        <v>0.22550112646388137</v>
      </c>
      <c r="CT359" s="459">
        <f t="shared" si="767"/>
        <v>0.28421911699873081</v>
      </c>
      <c r="CU359" s="459">
        <f t="shared" si="767"/>
        <v>0.23710230523766487</v>
      </c>
      <c r="CV359" s="459">
        <f t="shared" si="767"/>
        <v>0.21203306881336287</v>
      </c>
      <c r="CW359" s="373">
        <f>+CW358-CW360</f>
        <v>0.22952144332344884</v>
      </c>
      <c r="CX359" s="459">
        <f t="shared" ref="CX359:DC359" si="768">CX358-CX360</f>
        <v>0.27144374383739456</v>
      </c>
      <c r="CY359" s="459">
        <f t="shared" si="768"/>
        <v>0.23456929448254815</v>
      </c>
      <c r="CZ359" s="459">
        <f t="shared" si="768"/>
        <v>0.20602782369837136</v>
      </c>
      <c r="DA359" s="459">
        <f t="shared" si="768"/>
        <v>0.22326319880050766</v>
      </c>
      <c r="DB359" s="459">
        <f t="shared" si="768"/>
        <v>0.27047934361624848</v>
      </c>
      <c r="DC359" s="459">
        <f t="shared" si="768"/>
        <v>0.26450222574343518</v>
      </c>
      <c r="DD359" s="459">
        <f t="shared" ref="DD359:DE359" si="769">DD358-DD360</f>
        <v>0.27272727272727271</v>
      </c>
      <c r="DE359" s="459">
        <f t="shared" si="769"/>
        <v>0.26839088762236801</v>
      </c>
      <c r="DF359" s="372">
        <f>+DB359*(1+DF374)</f>
        <v>0.26912694689816724</v>
      </c>
      <c r="DG359" s="372">
        <f t="shared" si="762"/>
        <v>0.26317971461471801</v>
      </c>
      <c r="DH359" s="372">
        <f t="shared" si="763"/>
        <v>0.27136363636363636</v>
      </c>
      <c r="DI359" s="373">
        <f>+DI358-DI360</f>
        <v>0.29404866779402117</v>
      </c>
    </row>
    <row r="360" spans="1:126" s="300" customFormat="1">
      <c r="A360" s="911" t="s">
        <v>490</v>
      </c>
      <c r="B360" s="15"/>
      <c r="C360" s="15"/>
      <c r="D360" s="15"/>
      <c r="E360" s="15"/>
      <c r="F360" s="15"/>
      <c r="G360" s="15"/>
      <c r="H360" s="15"/>
      <c r="I360" s="15"/>
      <c r="J360" s="310">
        <f>J352/J343</f>
        <v>0.14788370313695487</v>
      </c>
      <c r="K360" s="310">
        <f t="shared" ref="K360:R360" si="770">K174/K343</f>
        <v>0.13925019127773527</v>
      </c>
      <c r="L360" s="310">
        <f t="shared" si="770"/>
        <v>0.14694201747418587</v>
      </c>
      <c r="M360" s="310">
        <f t="shared" si="770"/>
        <v>0.13563402889245585</v>
      </c>
      <c r="N360" s="310">
        <f t="shared" si="770"/>
        <v>0.13402889245585875</v>
      </c>
      <c r="O360" s="310">
        <f t="shared" si="770"/>
        <v>0.18237210784551727</v>
      </c>
      <c r="P360" s="310">
        <f t="shared" si="770"/>
        <v>0.19552500310391785</v>
      </c>
      <c r="Q360" s="310">
        <f t="shared" si="770"/>
        <v>0.20852881859789926</v>
      </c>
      <c r="R360" s="310">
        <f t="shared" si="770"/>
        <v>0.21733720884542426</v>
      </c>
      <c r="S360" s="310">
        <f t="shared" ref="S360:T360" si="771">S174/S343</f>
        <v>0.22677817242896964</v>
      </c>
      <c r="T360" s="310">
        <f t="shared" si="771"/>
        <v>0.21593585346038482</v>
      </c>
      <c r="U360" s="586">
        <f t="shared" si="745"/>
        <v>0.21540574426732331</v>
      </c>
      <c r="V360" s="586">
        <f t="shared" si="745"/>
        <v>0.21795354451155297</v>
      </c>
      <c r="W360" s="586">
        <f t="shared" si="745"/>
        <v>0.22052682275822488</v>
      </c>
      <c r="X360" s="586">
        <f t="shared" si="746"/>
        <v>0.23272083619043019</v>
      </c>
      <c r="Y360" s="586">
        <f t="shared" si="746"/>
        <v>0.24512374993441002</v>
      </c>
      <c r="Z360" s="586">
        <f t="shared" si="746"/>
        <v>0.25773991689618408</v>
      </c>
      <c r="AA360" s="586">
        <f t="shared" si="746"/>
        <v>0.27057377616539374</v>
      </c>
      <c r="AB360" s="586">
        <f t="shared" si="746"/>
        <v>0.28362985474334679</v>
      </c>
      <c r="AC360" s="15"/>
      <c r="AD360" s="743"/>
      <c r="AE360" s="743"/>
      <c r="AF360" s="743"/>
      <c r="AG360" s="743"/>
      <c r="AH360" s="743"/>
      <c r="AI360" s="743"/>
      <c r="AJ360" s="743"/>
      <c r="AK360" s="743"/>
      <c r="AL360" s="743"/>
      <c r="AM360" s="743"/>
      <c r="AN360" s="743"/>
      <c r="AO360" s="743"/>
      <c r="AP360" s="743"/>
      <c r="AQ360" s="743"/>
      <c r="AR360" s="743"/>
      <c r="AS360" s="743"/>
      <c r="AT360" s="743"/>
      <c r="AU360" s="743"/>
      <c r="AV360" s="743"/>
      <c r="AW360" s="743"/>
      <c r="AX360" s="743"/>
      <c r="AY360" s="743"/>
      <c r="AZ360" s="743"/>
      <c r="BA360" s="743"/>
      <c r="BB360" s="743"/>
      <c r="BC360" s="743"/>
      <c r="BD360" s="743"/>
      <c r="BE360" s="743"/>
      <c r="BF360" s="743"/>
      <c r="BG360" s="743"/>
      <c r="BH360" s="743"/>
      <c r="BI360" s="743"/>
      <c r="BJ360" s="743"/>
      <c r="BK360" s="743"/>
      <c r="BL360" s="743"/>
      <c r="BM360" s="743"/>
      <c r="BN360" s="743"/>
      <c r="BO360" s="743"/>
      <c r="BP360" s="743"/>
      <c r="BQ360" s="743"/>
      <c r="BR360" s="310">
        <f t="shared" ref="BR360:CV360" si="772">BR174/BR343</f>
        <v>0.13782051282051283</v>
      </c>
      <c r="BS360" s="310">
        <f t="shared" si="772"/>
        <v>0.14366197183098592</v>
      </c>
      <c r="BT360" s="310">
        <f t="shared" si="772"/>
        <v>0.1398176291793313</v>
      </c>
      <c r="BU360" s="310">
        <f t="shared" si="772"/>
        <v>0.13504823151125403</v>
      </c>
      <c r="BV360" s="310">
        <f t="shared" si="772"/>
        <v>0.16521739130434782</v>
      </c>
      <c r="BW360" s="310">
        <f t="shared" si="772"/>
        <v>0.14814814814814814</v>
      </c>
      <c r="BX360" s="310">
        <f t="shared" si="772"/>
        <v>0.14369501466275661</v>
      </c>
      <c r="BY360" s="310">
        <f t="shared" si="772"/>
        <v>0.12871287128712872</v>
      </c>
      <c r="BZ360" s="310">
        <f t="shared" si="772"/>
        <v>0.1702127659574468</v>
      </c>
      <c r="CA360" s="310">
        <f t="shared" si="772"/>
        <v>0.17337461300309598</v>
      </c>
      <c r="CB360" s="310">
        <f t="shared" si="772"/>
        <v>0.12721893491124261</v>
      </c>
      <c r="CC360" s="310">
        <f t="shared" si="772"/>
        <v>7.2607260726072612E-2</v>
      </c>
      <c r="CD360" s="310">
        <f t="shared" si="772"/>
        <v>7.6655052264808357E-2</v>
      </c>
      <c r="CE360" s="310">
        <f t="shared" si="772"/>
        <v>0.14596273291925466</v>
      </c>
      <c r="CF360" s="310">
        <f t="shared" si="772"/>
        <v>0.15669515669515668</v>
      </c>
      <c r="CG360" s="310">
        <f t="shared" si="772"/>
        <v>0.15034965034965034</v>
      </c>
      <c r="CH360" s="310">
        <f t="shared" si="772"/>
        <v>0.13500748616699221</v>
      </c>
      <c r="CI360" s="310">
        <f t="shared" si="772"/>
        <v>0.17385606494650924</v>
      </c>
      <c r="CJ360" s="743">
        <f t="shared" si="772"/>
        <v>0.21858761060364121</v>
      </c>
      <c r="CK360" s="310">
        <f t="shared" si="772"/>
        <v>0.20837109009598154</v>
      </c>
      <c r="CL360" s="310">
        <f t="shared" si="772"/>
        <v>0.14152693986921228</v>
      </c>
      <c r="CM360" s="310">
        <f t="shared" si="772"/>
        <v>0.18770492325629659</v>
      </c>
      <c r="CN360" s="310">
        <f t="shared" si="772"/>
        <v>0.22933528375587714</v>
      </c>
      <c r="CO360" s="310">
        <f t="shared" si="772"/>
        <v>0.21589166515290409</v>
      </c>
      <c r="CP360" s="310">
        <f t="shared" si="772"/>
        <v>0.16248473856706827</v>
      </c>
      <c r="CQ360" s="310">
        <f t="shared" si="772"/>
        <v>0.20177723317830726</v>
      </c>
      <c r="CR360" s="310">
        <f t="shared" si="772"/>
        <v>0.2353484300591116</v>
      </c>
      <c r="CS360" s="310">
        <f t="shared" si="772"/>
        <v>0.22590953184332868</v>
      </c>
      <c r="CT360" s="310">
        <f t="shared" si="772"/>
        <v>0.16942326710722941</v>
      </c>
      <c r="CU360" s="310">
        <f t="shared" si="772"/>
        <v>0.20900547919347287</v>
      </c>
      <c r="CV360" s="310">
        <f t="shared" si="772"/>
        <v>0.2523543955741015</v>
      </c>
      <c r="CW360" s="743">
        <f>+CW174/CW343</f>
        <v>0.23201701821501272</v>
      </c>
      <c r="CX360" s="310">
        <f t="shared" ref="CX360:DC360" si="773">CX174/CX343</f>
        <v>0.17198133261520479</v>
      </c>
      <c r="CY360" s="310">
        <f t="shared" si="773"/>
        <v>0.2306117640132736</v>
      </c>
      <c r="CZ360" s="310">
        <f t="shared" si="773"/>
        <v>0.25380597131547905</v>
      </c>
      <c r="DA360" s="310">
        <f t="shared" si="773"/>
        <v>0.24583792479499794</v>
      </c>
      <c r="DB360" s="310">
        <f t="shared" si="773"/>
        <v>0.20091030216031827</v>
      </c>
      <c r="DC360" s="310">
        <f t="shared" si="773"/>
        <v>0.20101501563587518</v>
      </c>
      <c r="DD360" s="310">
        <f t="shared" ref="DD360:DE360" si="774">DD174/DD343</f>
        <v>0.23896103896103896</v>
      </c>
      <c r="DE360" s="310">
        <f t="shared" si="774"/>
        <v>0.22298674165341481</v>
      </c>
      <c r="DF360" s="743">
        <f>+DF358-DF359</f>
        <v>0.20697659533616519</v>
      </c>
      <c r="DG360" s="743">
        <f>+DG358-DG359</f>
        <v>0.20699269917838542</v>
      </c>
      <c r="DH360" s="743">
        <f>+DH358-DH359</f>
        <v>0.24544155844155835</v>
      </c>
      <c r="DI360" s="743">
        <f>+DI174/DI343</f>
        <v>0.20224273777451976</v>
      </c>
      <c r="DJ360" s="15"/>
      <c r="DQ360"/>
      <c r="DR360"/>
      <c r="DS360"/>
      <c r="DT360"/>
      <c r="DU360"/>
      <c r="DV360"/>
    </row>
    <row r="361" spans="1:126">
      <c r="A361" s="743"/>
      <c r="I361" s="15"/>
      <c r="J361" s="15"/>
      <c r="K361" s="15"/>
      <c r="L361" s="15"/>
      <c r="M361" s="15"/>
      <c r="N361" s="15"/>
      <c r="O361" s="15"/>
      <c r="P361" s="15"/>
      <c r="Q361" s="15"/>
      <c r="AD361" s="373"/>
      <c r="AE361" s="373"/>
      <c r="AF361" s="373"/>
      <c r="AG361" s="373"/>
      <c r="AH361" s="373"/>
      <c r="AI361" s="373"/>
      <c r="AJ361" s="373"/>
      <c r="AK361" s="373"/>
      <c r="AL361" s="373"/>
      <c r="AM361" s="373"/>
      <c r="AN361" s="373"/>
      <c r="AO361" s="373"/>
      <c r="AP361" s="373"/>
      <c r="AQ361" s="373"/>
      <c r="AR361" s="373"/>
      <c r="AS361" s="373"/>
      <c r="AT361" s="373"/>
      <c r="AU361" s="373"/>
      <c r="AV361" s="373"/>
      <c r="AW361" s="373"/>
      <c r="AX361" s="373"/>
      <c r="AY361" s="373"/>
      <c r="AZ361" s="373"/>
      <c r="BA361" s="373"/>
      <c r="BB361" s="373"/>
      <c r="BC361" s="373"/>
      <c r="BD361" s="373"/>
      <c r="BE361" s="373"/>
      <c r="BF361" s="373"/>
      <c r="BG361" s="373"/>
      <c r="BH361" s="373"/>
      <c r="BI361" s="373"/>
      <c r="BJ361" s="373"/>
      <c r="BK361" s="373"/>
      <c r="BL361" s="373"/>
      <c r="BM361" s="373"/>
      <c r="BN361" s="373"/>
      <c r="BO361" s="373"/>
      <c r="BP361" s="373"/>
      <c r="BQ361" s="373"/>
      <c r="BR361" s="373"/>
      <c r="BS361" s="373"/>
      <c r="BT361" s="373"/>
      <c r="BU361" s="373"/>
      <c r="BV361" s="373"/>
      <c r="BW361" s="373"/>
      <c r="BX361" s="373"/>
      <c r="BY361" s="373"/>
      <c r="BZ361" s="373"/>
      <c r="CA361" s="373"/>
      <c r="CB361" s="373"/>
      <c r="CC361" s="373"/>
      <c r="CD361" s="373"/>
      <c r="CE361" s="373"/>
      <c r="CF361" s="373"/>
      <c r="CG361" s="373"/>
      <c r="CH361" s="373"/>
      <c r="CI361" s="373"/>
      <c r="CJ361" s="373"/>
      <c r="CK361" s="373"/>
      <c r="CL361" s="373"/>
      <c r="CM361" s="373"/>
      <c r="CN361" s="373"/>
      <c r="CO361" s="373"/>
      <c r="CP361" s="373"/>
      <c r="CQ361" s="373"/>
      <c r="CR361" s="373"/>
      <c r="CS361" s="373"/>
      <c r="CT361" s="373"/>
      <c r="CU361" s="373"/>
      <c r="CV361" s="373"/>
      <c r="CW361" s="373"/>
      <c r="CX361" s="373"/>
      <c r="CY361" s="373"/>
      <c r="CZ361" s="373"/>
      <c r="DA361" s="373"/>
      <c r="DB361" s="373"/>
      <c r="DC361" s="373"/>
      <c r="DD361" s="373"/>
      <c r="DE361" s="373"/>
      <c r="DF361" s="373"/>
      <c r="DG361" s="373"/>
      <c r="DH361" s="373"/>
      <c r="DI361" s="373"/>
    </row>
    <row r="362" spans="1:126">
      <c r="A362" s="954" t="s">
        <v>245</v>
      </c>
      <c r="I362" s="15"/>
      <c r="J362" s="15"/>
      <c r="K362" s="15"/>
      <c r="L362" s="15"/>
      <c r="M362" s="15"/>
      <c r="N362" s="15"/>
      <c r="O362" s="15"/>
      <c r="P362" s="15"/>
      <c r="Q362" s="15"/>
      <c r="AD362" s="373"/>
      <c r="AE362" s="373"/>
      <c r="AF362" s="373"/>
      <c r="AG362" s="373"/>
      <c r="AH362" s="373"/>
      <c r="AI362" s="373"/>
      <c r="AJ362" s="373"/>
      <c r="AK362" s="373"/>
      <c r="AL362" s="373"/>
      <c r="AM362" s="373"/>
      <c r="AN362" s="373"/>
      <c r="AO362" s="373"/>
      <c r="AP362" s="373"/>
      <c r="AQ362" s="373"/>
      <c r="AR362" s="373"/>
      <c r="AS362" s="373"/>
      <c r="AT362" s="373"/>
      <c r="AU362" s="373"/>
      <c r="AV362" s="373"/>
      <c r="AW362" s="373"/>
      <c r="AX362" s="373"/>
      <c r="AY362" s="373"/>
      <c r="AZ362" s="373"/>
      <c r="BA362" s="373"/>
      <c r="BB362" s="373"/>
      <c r="BC362" s="373"/>
      <c r="BD362" s="373"/>
      <c r="BE362" s="373"/>
      <c r="BF362" s="373"/>
      <c r="BG362" s="373"/>
      <c r="BH362" s="373"/>
      <c r="BI362" s="373"/>
      <c r="BJ362" s="373"/>
      <c r="BK362" s="373"/>
      <c r="BL362" s="373"/>
      <c r="BM362" s="373"/>
      <c r="BN362" s="373"/>
      <c r="BO362" s="373"/>
      <c r="BP362" s="373"/>
      <c r="BQ362" s="373"/>
      <c r="BR362" s="373"/>
      <c r="BS362" s="373"/>
      <c r="BT362" s="373"/>
      <c r="BU362" s="373"/>
      <c r="BV362" s="373"/>
      <c r="BW362" s="373"/>
      <c r="BX362" s="373"/>
      <c r="BY362" s="373"/>
      <c r="BZ362" s="373"/>
      <c r="CA362" s="373"/>
      <c r="CB362" s="373"/>
      <c r="CC362" s="373"/>
      <c r="CD362" s="373"/>
      <c r="CE362" s="373"/>
      <c r="CF362" s="373"/>
      <c r="CG362" s="373"/>
      <c r="CH362" s="585"/>
      <c r="CI362" s="585"/>
      <c r="CJ362" s="585"/>
      <c r="CK362" s="585"/>
      <c r="CL362" s="373"/>
      <c r="CM362" s="373"/>
      <c r="CN362" s="373"/>
      <c r="CO362" s="373"/>
      <c r="CP362" s="373"/>
      <c r="CQ362" s="373"/>
      <c r="CR362" s="373"/>
      <c r="CS362" s="373"/>
      <c r="CT362" s="373"/>
      <c r="CU362" s="373"/>
      <c r="CV362" s="373"/>
      <c r="CW362" s="373"/>
      <c r="CX362" s="373"/>
      <c r="CY362" s="373"/>
      <c r="CZ362" s="373"/>
      <c r="DA362" s="373"/>
      <c r="DB362" s="373"/>
      <c r="DC362" s="373"/>
      <c r="DD362" s="373"/>
      <c r="DE362" s="373"/>
      <c r="DF362" s="373"/>
      <c r="DG362" s="373"/>
      <c r="DH362" s="373"/>
      <c r="DI362" s="373"/>
    </row>
    <row r="363" spans="1:126">
      <c r="A363" s="953" t="s">
        <v>488</v>
      </c>
      <c r="J363" s="586">
        <f t="shared" ref="J363:R363" si="775">J356*5</f>
        <v>1.4625860749808721</v>
      </c>
      <c r="K363" s="586">
        <f t="shared" si="775"/>
        <v>1.4804896710022952</v>
      </c>
      <c r="L363" s="586">
        <f t="shared" si="775"/>
        <v>2.0651310563939633</v>
      </c>
      <c r="M363" s="586">
        <f t="shared" si="775"/>
        <v>2.2471910112359552</v>
      </c>
      <c r="N363" s="586">
        <f t="shared" si="775"/>
        <v>2.4237560192616372</v>
      </c>
      <c r="O363" s="586">
        <f t="shared" si="775"/>
        <v>2.7687954729183506</v>
      </c>
      <c r="P363" s="586">
        <f t="shared" si="775"/>
        <v>2.6585976627712853</v>
      </c>
      <c r="Q363" s="586">
        <f t="shared" si="775"/>
        <v>2.5216365066876474</v>
      </c>
      <c r="R363" s="586">
        <f t="shared" si="775"/>
        <v>2.4867924528301888</v>
      </c>
      <c r="S363" s="586">
        <f t="shared" ref="S363:T363" si="776">S356*5</f>
        <v>2.5124732715609408</v>
      </c>
      <c r="T363" s="586">
        <f t="shared" si="776"/>
        <v>2.6193353101228944</v>
      </c>
      <c r="U363" s="586">
        <f t="shared" ref="U363:W366" si="777">+T363*(1+U371)</f>
        <v>2.6455286632241233</v>
      </c>
      <c r="V363" s="586">
        <f t="shared" si="777"/>
        <v>2.6719839498563647</v>
      </c>
      <c r="W363" s="586">
        <f t="shared" si="777"/>
        <v>2.6987037893549282</v>
      </c>
      <c r="X363" s="586">
        <f t="shared" ref="X363:AB364" si="778">+W363*(1+X371)</f>
        <v>2.7526778651420267</v>
      </c>
      <c r="Y363" s="586">
        <f t="shared" si="778"/>
        <v>2.8077314224448675</v>
      </c>
      <c r="Z363" s="586">
        <f t="shared" si="778"/>
        <v>2.8638860508937647</v>
      </c>
      <c r="AA363" s="586">
        <f t="shared" si="778"/>
        <v>2.9211637719116399</v>
      </c>
      <c r="AB363" s="586">
        <f t="shared" si="778"/>
        <v>2.9795870473498729</v>
      </c>
      <c r="AD363" s="387"/>
      <c r="AE363" s="387"/>
      <c r="AF363" s="387"/>
      <c r="AG363" s="387"/>
      <c r="AH363" s="387"/>
      <c r="AI363" s="387"/>
      <c r="AJ363" s="387"/>
      <c r="AK363" s="387"/>
      <c r="AL363" s="387"/>
      <c r="AM363" s="387"/>
      <c r="AN363" s="387"/>
      <c r="AO363" s="387"/>
      <c r="AP363" s="387"/>
      <c r="AQ363" s="387"/>
      <c r="AR363" s="387"/>
      <c r="AS363" s="387"/>
      <c r="AT363" s="387"/>
      <c r="AU363" s="387"/>
      <c r="AV363" s="387"/>
      <c r="AW363" s="387"/>
      <c r="AX363" s="471"/>
      <c r="AY363" s="471"/>
      <c r="AZ363" s="471"/>
      <c r="BA363" s="471"/>
      <c r="BB363" s="471"/>
      <c r="BC363" s="471"/>
      <c r="BD363" s="471"/>
      <c r="BE363" s="471"/>
      <c r="BF363" s="471"/>
      <c r="BG363" s="387"/>
      <c r="BH363" s="387"/>
      <c r="BI363" s="387"/>
      <c r="BJ363" s="387"/>
      <c r="BK363" s="387"/>
      <c r="BL363" s="387"/>
      <c r="BM363" s="387"/>
      <c r="BN363" s="387"/>
      <c r="BO363" s="387"/>
      <c r="BP363" s="387"/>
      <c r="BQ363" s="387"/>
      <c r="BR363" s="535">
        <f>BR356*5</f>
        <v>1.4583333333333335</v>
      </c>
      <c r="BS363" s="535">
        <f t="shared" ref="BS363:CF365" si="779">BS356*5</f>
        <v>1.4225352112676057</v>
      </c>
      <c r="BT363" s="535">
        <f t="shared" si="779"/>
        <v>1.4893617021276595</v>
      </c>
      <c r="BU363" s="535">
        <f t="shared" si="779"/>
        <v>1.5594855305466238</v>
      </c>
      <c r="BV363" s="535">
        <f t="shared" si="779"/>
        <v>1.6666666666666665</v>
      </c>
      <c r="BW363" s="535">
        <f t="shared" si="779"/>
        <v>2.1851851851851851</v>
      </c>
      <c r="BX363" s="535">
        <f t="shared" si="779"/>
        <v>2.2434017595307916</v>
      </c>
      <c r="BY363" s="535">
        <f t="shared" si="779"/>
        <v>2.2112211221122111</v>
      </c>
      <c r="BZ363" s="535">
        <f t="shared" si="779"/>
        <v>2.3936170212765959</v>
      </c>
      <c r="CA363" s="535">
        <f t="shared" si="779"/>
        <v>2.3993808049535605</v>
      </c>
      <c r="CB363" s="535">
        <f t="shared" si="779"/>
        <v>2.1745562130177514</v>
      </c>
      <c r="CC363" s="535">
        <f t="shared" si="779"/>
        <v>2.0297029702970297</v>
      </c>
      <c r="CD363" s="535">
        <f t="shared" si="779"/>
        <v>2.2996515679442506</v>
      </c>
      <c r="CE363" s="535">
        <f t="shared" si="779"/>
        <v>2.6552795031055898</v>
      </c>
      <c r="CF363" s="535">
        <f t="shared" si="779"/>
        <v>2.4074074074074074</v>
      </c>
      <c r="CG363" s="535">
        <f>CG356*5</f>
        <v>2.3076923076923079</v>
      </c>
      <c r="CH363" s="586">
        <f>CH356*5</f>
        <v>2.7134146341463419</v>
      </c>
      <c r="CI363" s="586">
        <f t="shared" ref="CH363:CR367" si="780">CI356*5</f>
        <v>2.7623456790123457</v>
      </c>
      <c r="CJ363" s="586">
        <f t="shared" si="780"/>
        <v>2.7980132450331126</v>
      </c>
      <c r="CK363" s="586">
        <f t="shared" si="780"/>
        <v>2.8091872791519434</v>
      </c>
      <c r="CL363" s="586">
        <f t="shared" si="780"/>
        <v>2.6739926739926738</v>
      </c>
      <c r="CM363" s="586">
        <f t="shared" si="780"/>
        <v>2.6845637583892619</v>
      </c>
      <c r="CN363" s="586">
        <f t="shared" si="780"/>
        <v>2.734375</v>
      </c>
      <c r="CO363" s="586">
        <f t="shared" si="780"/>
        <v>2.5407166123778504</v>
      </c>
      <c r="CP363" s="586">
        <f t="shared" si="780"/>
        <v>2.5547445255474455</v>
      </c>
      <c r="CQ363" s="586">
        <f t="shared" si="780"/>
        <v>2.5377643504531724</v>
      </c>
      <c r="CR363" s="586">
        <f t="shared" si="780"/>
        <v>2.521613832853026</v>
      </c>
      <c r="CS363" s="586">
        <f>CS356*5</f>
        <v>2.476489028213166</v>
      </c>
      <c r="CT363" s="586">
        <f t="shared" ref="CT363:CU367" si="781">CT356*5</f>
        <v>2.5165562913907285</v>
      </c>
      <c r="CU363" s="586">
        <f t="shared" si="781"/>
        <v>2.4550898203592815</v>
      </c>
      <c r="CV363" s="586">
        <f t="shared" ref="CV363:CY363" si="782">CV356*5</f>
        <v>2.4928774928774931</v>
      </c>
      <c r="CW363" s="586">
        <f t="shared" si="782"/>
        <v>2.4852071005917158</v>
      </c>
      <c r="CX363" s="586">
        <f t="shared" si="782"/>
        <v>2.4006116207951069</v>
      </c>
      <c r="CY363" s="586">
        <f t="shared" si="782"/>
        <v>2.5626740947075213</v>
      </c>
      <c r="CZ363" s="586">
        <f t="shared" ref="CZ363:DA367" si="783">CZ356*5</f>
        <v>2.5346260387811634</v>
      </c>
      <c r="DA363" s="586">
        <f t="shared" si="783"/>
        <v>2.542134831460674</v>
      </c>
      <c r="DB363" s="586">
        <f t="shared" ref="DB363:DC363" si="784">DB356*5</f>
        <v>2.5476839237057218</v>
      </c>
      <c r="DC363" s="586">
        <f t="shared" si="784"/>
        <v>2.5738916256157633</v>
      </c>
      <c r="DD363" s="586">
        <f t="shared" ref="DD363:DE363" si="785">DD356*5</f>
        <v>2.7402597402597402</v>
      </c>
      <c r="DE363" s="586">
        <f t="shared" si="785"/>
        <v>2.6146225213789149</v>
      </c>
      <c r="DF363" s="586">
        <f t="shared" ref="DF363:DI363" si="786">DF356*5</f>
        <v>2.5773891119498726</v>
      </c>
      <c r="DG363" s="586">
        <f t="shared" si="786"/>
        <v>2.5477334697437271</v>
      </c>
      <c r="DH363" s="586">
        <f t="shared" si="786"/>
        <v>2.7808973748041836</v>
      </c>
      <c r="DI363" s="586">
        <f t="shared" si="786"/>
        <v>2.6783284286209148</v>
      </c>
    </row>
    <row r="364" spans="1:126">
      <c r="A364" s="911" t="s">
        <v>489</v>
      </c>
      <c r="J364" s="310">
        <f t="shared" ref="J364:R364" si="787">J357*5</f>
        <v>0.23335883703136953</v>
      </c>
      <c r="K364" s="310">
        <f t="shared" si="787"/>
        <v>0.23335883703136953</v>
      </c>
      <c r="L364" s="310">
        <f t="shared" si="787"/>
        <v>0.64336775218427311</v>
      </c>
      <c r="M364" s="310">
        <f t="shared" si="787"/>
        <v>0.85072231139646881</v>
      </c>
      <c r="N364" s="310">
        <f t="shared" si="787"/>
        <v>0.83065810593900491</v>
      </c>
      <c r="O364" s="310">
        <f t="shared" si="787"/>
        <v>0.61843168957154404</v>
      </c>
      <c r="P364" s="310">
        <f t="shared" si="787"/>
        <v>0.40901502504173626</v>
      </c>
      <c r="Q364" s="310">
        <f t="shared" si="787"/>
        <v>0.22816679779701021</v>
      </c>
      <c r="R364" s="310">
        <f t="shared" si="787"/>
        <v>0.20377358490566039</v>
      </c>
      <c r="S364" s="310">
        <f t="shared" ref="S364:T364" si="788">S357*5</f>
        <v>0.21382751247327159</v>
      </c>
      <c r="T364" s="310">
        <f t="shared" si="788"/>
        <v>0.19492217898832695</v>
      </c>
      <c r="U364" s="310">
        <f t="shared" si="777"/>
        <v>0.19687140077821022</v>
      </c>
      <c r="V364" s="310">
        <f t="shared" si="777"/>
        <v>0.19687140077821022</v>
      </c>
      <c r="W364" s="310">
        <f t="shared" si="777"/>
        <v>0.19687140077821022</v>
      </c>
      <c r="X364" s="310">
        <f t="shared" si="778"/>
        <v>0.19687140077821022</v>
      </c>
      <c r="Y364" s="310">
        <f t="shared" si="778"/>
        <v>0.19687140077821022</v>
      </c>
      <c r="Z364" s="310">
        <f t="shared" si="778"/>
        <v>0.19687140077821022</v>
      </c>
      <c r="AA364" s="310">
        <f t="shared" si="778"/>
        <v>0.19687140077821022</v>
      </c>
      <c r="AB364" s="310">
        <f t="shared" si="778"/>
        <v>0.19687140077821022</v>
      </c>
      <c r="AD364" s="373"/>
      <c r="AE364" s="373"/>
      <c r="AF364" s="373"/>
      <c r="AG364" s="373"/>
      <c r="AH364" s="373"/>
      <c r="AI364" s="373"/>
      <c r="AJ364" s="373"/>
      <c r="AK364" s="373"/>
      <c r="AL364" s="373"/>
      <c r="AM364" s="373"/>
      <c r="AN364" s="373"/>
      <c r="AO364" s="373"/>
      <c r="AP364" s="373"/>
      <c r="AQ364" s="373"/>
      <c r="AR364" s="373"/>
      <c r="AS364" s="373"/>
      <c r="AT364" s="373"/>
      <c r="AU364" s="373"/>
      <c r="AV364" s="373"/>
      <c r="AW364" s="373"/>
      <c r="AX364" s="373"/>
      <c r="AY364" s="373"/>
      <c r="AZ364" s="373"/>
      <c r="BA364" s="373"/>
      <c r="BB364" s="373"/>
      <c r="BC364" s="373"/>
      <c r="BD364" s="373"/>
      <c r="BE364" s="373"/>
      <c r="BF364" s="373"/>
      <c r="BG364" s="373"/>
      <c r="BH364" s="373"/>
      <c r="BI364" s="373"/>
      <c r="BJ364" s="373"/>
      <c r="BK364" s="373"/>
      <c r="BL364" s="373"/>
      <c r="BM364" s="373"/>
      <c r="BN364" s="373"/>
      <c r="BO364" s="373"/>
      <c r="BP364" s="373"/>
      <c r="BQ364" s="373"/>
      <c r="BR364" s="459">
        <f>BR357*5</f>
        <v>0.24038461538461539</v>
      </c>
      <c r="BS364" s="459">
        <f t="shared" si="779"/>
        <v>0.22535211267605634</v>
      </c>
      <c r="BT364" s="459">
        <f t="shared" si="779"/>
        <v>0.21276595744680851</v>
      </c>
      <c r="BU364" s="459">
        <f t="shared" si="779"/>
        <v>0.25723472668810288</v>
      </c>
      <c r="BV364" s="459">
        <f t="shared" si="779"/>
        <v>0.2318840579710145</v>
      </c>
      <c r="BW364" s="459">
        <f t="shared" si="779"/>
        <v>0.81481481481481488</v>
      </c>
      <c r="BX364" s="459">
        <f t="shared" si="779"/>
        <v>0.7917888563049853</v>
      </c>
      <c r="BY364" s="459">
        <f t="shared" si="779"/>
        <v>0.79207920792079212</v>
      </c>
      <c r="BZ364" s="459">
        <f t="shared" si="779"/>
        <v>0.85106382978723405</v>
      </c>
      <c r="CA364" s="459">
        <f t="shared" si="779"/>
        <v>0.85139318885448911</v>
      </c>
      <c r="CB364" s="459">
        <f t="shared" si="779"/>
        <v>0.84319526627218933</v>
      </c>
      <c r="CC364" s="459">
        <f t="shared" si="779"/>
        <v>0.85808580858085803</v>
      </c>
      <c r="CD364" s="459">
        <f t="shared" si="779"/>
        <v>0.88850174216027877</v>
      </c>
      <c r="CE364" s="459">
        <f t="shared" si="779"/>
        <v>0.83850931677018636</v>
      </c>
      <c r="CF364" s="459">
        <f t="shared" si="779"/>
        <v>0.85470085470085477</v>
      </c>
      <c r="CG364" s="459">
        <f>CG357*5</f>
        <v>0.73426573426573427</v>
      </c>
      <c r="CH364" s="310">
        <f t="shared" si="780"/>
        <v>0.68597560975609762</v>
      </c>
      <c r="CI364" s="310">
        <f t="shared" si="780"/>
        <v>0.63271604938271608</v>
      </c>
      <c r="CJ364" s="310">
        <f t="shared" si="780"/>
        <v>0.5960264900662251</v>
      </c>
      <c r="CK364" s="310">
        <f t="shared" si="780"/>
        <v>0.54770318021201414</v>
      </c>
      <c r="CL364" s="310">
        <f t="shared" si="780"/>
        <v>0.53113553113553114</v>
      </c>
      <c r="CM364" s="310">
        <f t="shared" si="780"/>
        <v>0.46979865771812079</v>
      </c>
      <c r="CN364" s="310">
        <f>CN357*5</f>
        <v>0.359375</v>
      </c>
      <c r="CO364" s="310">
        <f t="shared" si="780"/>
        <v>0.29315960912052119</v>
      </c>
      <c r="CP364" s="310">
        <f t="shared" si="780"/>
        <v>0.25547445255474455</v>
      </c>
      <c r="CQ364" s="310">
        <f t="shared" si="780"/>
        <v>0.22658610271903323</v>
      </c>
      <c r="CR364" s="310">
        <f t="shared" si="780"/>
        <v>0.21613832853025938</v>
      </c>
      <c r="CS364" s="310">
        <f>CS357*5</f>
        <v>0.21943573667711599</v>
      </c>
      <c r="CT364" s="310">
        <f t="shared" si="781"/>
        <v>0.24834437086092714</v>
      </c>
      <c r="CU364" s="310">
        <f t="shared" si="781"/>
        <v>0.22455089820359281</v>
      </c>
      <c r="CV364" s="310">
        <f>CV357*5</f>
        <v>0.17094017094017094</v>
      </c>
      <c r="CW364" s="310">
        <f t="shared" ref="CW364:CX367" si="789">CW357*5</f>
        <v>0.1775147928994083</v>
      </c>
      <c r="CX364" s="310">
        <f t="shared" si="789"/>
        <v>0.1834862385321101</v>
      </c>
      <c r="CY364" s="310">
        <f t="shared" ref="CY364:CY367" si="790">CY357*5</f>
        <v>0.23676880222841226</v>
      </c>
      <c r="CZ364" s="310">
        <f t="shared" si="783"/>
        <v>0.23545706371191136</v>
      </c>
      <c r="DA364" s="310">
        <f t="shared" si="783"/>
        <v>0.19662921348314605</v>
      </c>
      <c r="DB364" s="310">
        <f t="shared" ref="DB364:DC364" si="791">DB357*5</f>
        <v>0.1907356948228883</v>
      </c>
      <c r="DC364" s="310">
        <f t="shared" si="791"/>
        <v>0.24630541871921183</v>
      </c>
      <c r="DD364" s="310">
        <f t="shared" ref="DD364:DE364" si="792">DD357*5</f>
        <v>0.18181818181818182</v>
      </c>
      <c r="DE364" s="310">
        <f t="shared" si="792"/>
        <v>0.15773437500000043</v>
      </c>
      <c r="DF364" s="310">
        <f t="shared" ref="DF364:DI364" si="793">DF357*5</f>
        <v>0.19687140077821022</v>
      </c>
      <c r="DG364" s="310">
        <f t="shared" si="793"/>
        <v>0.19687140077821022</v>
      </c>
      <c r="DH364" s="310">
        <f t="shared" si="793"/>
        <v>0.19687140077821025</v>
      </c>
      <c r="DI364" s="310">
        <f t="shared" si="793"/>
        <v>0.1968714007782103</v>
      </c>
    </row>
    <row r="365" spans="1:126">
      <c r="A365" s="953" t="s">
        <v>369</v>
      </c>
      <c r="J365" s="310">
        <f t="shared" ref="J365:R365" si="794">J358*5</f>
        <v>1.2310099464422344</v>
      </c>
      <c r="K365" s="310">
        <f t="shared" si="794"/>
        <v>1.2471308339709259</v>
      </c>
      <c r="L365" s="310">
        <f t="shared" si="794"/>
        <v>1.4217633042096902</v>
      </c>
      <c r="M365" s="310">
        <f t="shared" si="794"/>
        <v>1.3964686998394862</v>
      </c>
      <c r="N365" s="310">
        <f t="shared" si="794"/>
        <v>1.5930979133226324</v>
      </c>
      <c r="O365" s="310">
        <f t="shared" si="794"/>
        <v>2.1503637833468066</v>
      </c>
      <c r="P365" s="310">
        <f t="shared" si="794"/>
        <v>2.2495826377295494</v>
      </c>
      <c r="Q365" s="310">
        <f t="shared" si="794"/>
        <v>2.2934697088906373</v>
      </c>
      <c r="R365" s="310">
        <f t="shared" si="794"/>
        <v>2.2830188679245285</v>
      </c>
      <c r="S365" s="310">
        <f t="shared" ref="S365:T365" si="795">S358*5</f>
        <v>2.2986457590876692</v>
      </c>
      <c r="T365" s="310">
        <f t="shared" si="795"/>
        <v>2.4244131311345676</v>
      </c>
      <c r="U365" s="310">
        <f t="shared" ref="U365:AB365" si="796">+U363-U364</f>
        <v>2.4486572624459129</v>
      </c>
      <c r="V365" s="310">
        <f t="shared" si="796"/>
        <v>2.4751125490781543</v>
      </c>
      <c r="W365" s="310">
        <f t="shared" si="796"/>
        <v>2.5018323885767177</v>
      </c>
      <c r="X365" s="310">
        <f t="shared" si="796"/>
        <v>2.5558064643638163</v>
      </c>
      <c r="Y365" s="310">
        <f t="shared" si="796"/>
        <v>2.6108600216666571</v>
      </c>
      <c r="Z365" s="310">
        <f t="shared" si="796"/>
        <v>2.6670146501155543</v>
      </c>
      <c r="AA365" s="310">
        <f t="shared" si="796"/>
        <v>2.7242923711334295</v>
      </c>
      <c r="AB365" s="310">
        <f t="shared" si="796"/>
        <v>2.7827156465716625</v>
      </c>
      <c r="AD365" s="387"/>
      <c r="AE365" s="387"/>
      <c r="AF365" s="387"/>
      <c r="AG365" s="387"/>
      <c r="AH365" s="387"/>
      <c r="AI365" s="387"/>
      <c r="AJ365" s="387"/>
      <c r="AK365" s="387"/>
      <c r="AL365" s="387"/>
      <c r="AM365" s="387"/>
      <c r="AN365" s="387"/>
      <c r="AO365" s="387"/>
      <c r="AP365" s="387"/>
      <c r="AQ365" s="387"/>
      <c r="AR365" s="387"/>
      <c r="AS365" s="387"/>
      <c r="AT365" s="387"/>
      <c r="AU365" s="387"/>
      <c r="AV365" s="387"/>
      <c r="AW365" s="387"/>
      <c r="AX365" s="471"/>
      <c r="AY365" s="471"/>
      <c r="AZ365" s="471"/>
      <c r="BA365" s="471"/>
      <c r="BB365" s="471"/>
      <c r="BC365" s="471"/>
      <c r="BD365" s="471"/>
      <c r="BE365" s="471"/>
      <c r="BF365" s="471"/>
      <c r="BG365" s="387"/>
      <c r="BH365" s="387"/>
      <c r="BI365" s="387"/>
      <c r="BJ365" s="387"/>
      <c r="BK365" s="387"/>
      <c r="BL365" s="387"/>
      <c r="BM365" s="387"/>
      <c r="BN365" s="387"/>
      <c r="BO365" s="387"/>
      <c r="BP365" s="387"/>
      <c r="BQ365" s="387"/>
      <c r="BR365" s="459">
        <f t="shared" ref="BR365:BY365" si="797">BR358*5</f>
        <v>1.2179487179487178</v>
      </c>
      <c r="BS365" s="459">
        <f t="shared" si="797"/>
        <v>1.1971830985915493</v>
      </c>
      <c r="BT365" s="459">
        <f t="shared" si="797"/>
        <v>1.2765957446808509</v>
      </c>
      <c r="BU365" s="459">
        <f t="shared" si="797"/>
        <v>1.302250803858521</v>
      </c>
      <c r="BV365" s="459">
        <f t="shared" si="797"/>
        <v>1.4347826086956523</v>
      </c>
      <c r="BW365" s="459">
        <f t="shared" si="797"/>
        <v>1.3703703703703705</v>
      </c>
      <c r="BX365" s="459">
        <f t="shared" si="797"/>
        <v>1.4516129032258065</v>
      </c>
      <c r="BY365" s="459">
        <f t="shared" si="797"/>
        <v>1.4191419141914192</v>
      </c>
      <c r="BZ365" s="459">
        <f t="shared" si="779"/>
        <v>1.5425531914893618</v>
      </c>
      <c r="CA365" s="459">
        <f t="shared" si="779"/>
        <v>1.5479876160990713</v>
      </c>
      <c r="CB365" s="459">
        <f t="shared" si="779"/>
        <v>1.3313609467455623</v>
      </c>
      <c r="CC365" s="459">
        <f t="shared" si="779"/>
        <v>1.1716171617161717</v>
      </c>
      <c r="CD365" s="459">
        <f t="shared" si="779"/>
        <v>1.4111498257839723</v>
      </c>
      <c r="CE365" s="459">
        <f t="shared" si="779"/>
        <v>1.8167701863354038</v>
      </c>
      <c r="CF365" s="459">
        <f t="shared" si="779"/>
        <v>1.5527065527065529</v>
      </c>
      <c r="CG365" s="459">
        <f>CG358*5</f>
        <v>1.5734265734265733</v>
      </c>
      <c r="CH365" s="310">
        <f>CH358*5</f>
        <v>2.0274390243902438</v>
      </c>
      <c r="CI365" s="310">
        <f t="shared" si="780"/>
        <v>2.1296296296296298</v>
      </c>
      <c r="CJ365" s="310">
        <f t="shared" si="780"/>
        <v>2.2019867549668874</v>
      </c>
      <c r="CK365" s="310">
        <f t="shared" si="780"/>
        <v>2.2614840989399294</v>
      </c>
      <c r="CL365" s="310">
        <f t="shared" si="780"/>
        <v>2.1428571428571428</v>
      </c>
      <c r="CM365" s="310">
        <f t="shared" si="780"/>
        <v>2.2147651006711411</v>
      </c>
      <c r="CN365" s="310">
        <f>CN358*5</f>
        <v>2.375</v>
      </c>
      <c r="CO365" s="310">
        <f t="shared" si="780"/>
        <v>2.2475570032573291</v>
      </c>
      <c r="CP365" s="310">
        <f t="shared" si="780"/>
        <v>2.2992700729927007</v>
      </c>
      <c r="CQ365" s="310">
        <f t="shared" si="780"/>
        <v>2.3111782477341389</v>
      </c>
      <c r="CR365" s="310">
        <f t="shared" si="780"/>
        <v>2.3054755043227666</v>
      </c>
      <c r="CS365" s="310">
        <f>CS358*5</f>
        <v>2.2570532915360504</v>
      </c>
      <c r="CT365" s="310">
        <f t="shared" si="781"/>
        <v>2.2682119205298013</v>
      </c>
      <c r="CU365" s="310">
        <f t="shared" si="781"/>
        <v>2.2305389221556888</v>
      </c>
      <c r="CV365" s="310">
        <f>CV358*5</f>
        <v>2.3219373219373218</v>
      </c>
      <c r="CW365" s="310">
        <f t="shared" si="789"/>
        <v>2.3076923076923079</v>
      </c>
      <c r="CX365" s="310">
        <f t="shared" si="789"/>
        <v>2.217125382262997</v>
      </c>
      <c r="CY365" s="310">
        <f t="shared" si="790"/>
        <v>2.3259052924791086</v>
      </c>
      <c r="CZ365" s="310">
        <f t="shared" si="783"/>
        <v>2.2991689750692519</v>
      </c>
      <c r="DA365" s="310">
        <f t="shared" si="783"/>
        <v>2.345505617977528</v>
      </c>
      <c r="DB365" s="310">
        <f t="shared" ref="DB365" si="798">DB358*5</f>
        <v>2.3569482288828341</v>
      </c>
      <c r="DC365" s="310">
        <f>DC358*5</f>
        <v>2.3275862068965516</v>
      </c>
      <c r="DD365" s="310">
        <f>DD358*5</f>
        <v>2.5584415584415581</v>
      </c>
      <c r="DE365" s="310">
        <f>DE358*5</f>
        <v>2.4568881463789141</v>
      </c>
      <c r="DF365" s="310">
        <f t="shared" ref="DF365:DI365" si="799">DF358*5</f>
        <v>2.3805177111716622</v>
      </c>
      <c r="DG365" s="310">
        <f t="shared" si="799"/>
        <v>2.3508620689655171</v>
      </c>
      <c r="DH365" s="310">
        <f t="shared" si="799"/>
        <v>2.5840259740259737</v>
      </c>
      <c r="DI365" s="310">
        <f t="shared" si="799"/>
        <v>2.4814570278427048</v>
      </c>
    </row>
    <row r="366" spans="1:126">
      <c r="A366" s="953" t="s">
        <v>370</v>
      </c>
      <c r="J366" s="310">
        <f t="shared" ref="J366:R366" si="800">J359*5</f>
        <v>0.49159143075745992</v>
      </c>
      <c r="K366" s="310">
        <f t="shared" si="800"/>
        <v>0.55087987758224943</v>
      </c>
      <c r="L366" s="310">
        <f t="shared" si="800"/>
        <v>0.68705321683876097</v>
      </c>
      <c r="M366" s="310">
        <f t="shared" si="800"/>
        <v>0.71829855537720699</v>
      </c>
      <c r="N366" s="310">
        <f t="shared" si="800"/>
        <v>0.92295345104333881</v>
      </c>
      <c r="O366" s="310">
        <f t="shared" si="800"/>
        <v>1.2385032441192203</v>
      </c>
      <c r="P366" s="310">
        <f t="shared" si="800"/>
        <v>1.27195762220996</v>
      </c>
      <c r="Q366" s="310">
        <f t="shared" si="800"/>
        <v>1.2508256159011411</v>
      </c>
      <c r="R366" s="310">
        <f t="shared" si="800"/>
        <v>1.1963328236974071</v>
      </c>
      <c r="S366" s="310">
        <f t="shared" ref="S366:T366" si="801">S359*5</f>
        <v>1.1647548969428212</v>
      </c>
      <c r="T366" s="310">
        <f t="shared" si="801"/>
        <v>1.3447338638326434</v>
      </c>
      <c r="U366" s="310">
        <f t="shared" si="777"/>
        <v>1.3716285411092963</v>
      </c>
      <c r="V366" s="310">
        <f t="shared" si="777"/>
        <v>1.3853448265203894</v>
      </c>
      <c r="W366" s="310">
        <f t="shared" si="777"/>
        <v>1.3991982747855933</v>
      </c>
      <c r="X366" s="310">
        <f>+W366*(1+X374)</f>
        <v>1.3922022834116654</v>
      </c>
      <c r="Y366" s="310">
        <f>+X366*(1+Y374)</f>
        <v>1.385241271994607</v>
      </c>
      <c r="Z366" s="310">
        <f>+Y366*(1+Z374)</f>
        <v>1.3783150656346339</v>
      </c>
      <c r="AA366" s="310">
        <f>+Z366*(1+AA374)</f>
        <v>1.3714234903064608</v>
      </c>
      <c r="AB366" s="310">
        <f>+AA366*(1+AB374)</f>
        <v>1.3645663728549284</v>
      </c>
      <c r="AD366" s="387"/>
      <c r="AE366" s="387"/>
      <c r="AF366" s="387"/>
      <c r="AG366" s="387"/>
      <c r="AH366" s="387"/>
      <c r="AI366" s="387"/>
      <c r="AJ366" s="387"/>
      <c r="AK366" s="387"/>
      <c r="AL366" s="387"/>
      <c r="AM366" s="387"/>
      <c r="AN366" s="387"/>
      <c r="AO366" s="387"/>
      <c r="AP366" s="387"/>
      <c r="AQ366" s="387"/>
      <c r="AR366" s="387"/>
      <c r="AS366" s="387"/>
      <c r="AT366" s="387"/>
      <c r="AU366" s="387"/>
      <c r="AV366" s="387"/>
      <c r="AW366" s="387"/>
      <c r="AX366" s="471"/>
      <c r="AY366" s="471"/>
      <c r="AZ366" s="471"/>
      <c r="BA366" s="471"/>
      <c r="BB366" s="471"/>
      <c r="BC366" s="471"/>
      <c r="BD366" s="471"/>
      <c r="BE366" s="471"/>
      <c r="BF366" s="471"/>
      <c r="BG366" s="387"/>
      <c r="BH366" s="387"/>
      <c r="BI366" s="387"/>
      <c r="BJ366" s="387"/>
      <c r="BK366" s="387"/>
      <c r="BL366" s="387"/>
      <c r="BM366" s="387"/>
      <c r="BN366" s="387"/>
      <c r="BO366" s="387"/>
      <c r="BP366" s="387"/>
      <c r="BQ366" s="387"/>
      <c r="BR366" s="459">
        <f t="shared" ref="BR366:CG366" si="802">BR365-BR367</f>
        <v>0.52884615384615374</v>
      </c>
      <c r="BS366" s="459">
        <f t="shared" si="802"/>
        <v>0.47887323943661964</v>
      </c>
      <c r="BT366" s="459">
        <f t="shared" si="802"/>
        <v>0.57750759878419444</v>
      </c>
      <c r="BU366" s="459">
        <f t="shared" si="802"/>
        <v>0.62700964630225087</v>
      </c>
      <c r="BV366" s="459">
        <f t="shared" si="802"/>
        <v>0.6086956521739133</v>
      </c>
      <c r="BW366" s="459">
        <f t="shared" si="802"/>
        <v>0.62962962962962976</v>
      </c>
      <c r="BX366" s="459">
        <f t="shared" si="802"/>
        <v>0.73313782991202348</v>
      </c>
      <c r="BY366" s="459">
        <f t="shared" si="802"/>
        <v>0.77557755775577564</v>
      </c>
      <c r="BZ366" s="459">
        <f t="shared" si="802"/>
        <v>0.69148936170212771</v>
      </c>
      <c r="CA366" s="459">
        <f t="shared" si="802"/>
        <v>0.68111455108359142</v>
      </c>
      <c r="CB366" s="459">
        <f t="shared" si="802"/>
        <v>0.69526627218934922</v>
      </c>
      <c r="CC366" s="459">
        <f t="shared" si="802"/>
        <v>0.80858085808580871</v>
      </c>
      <c r="CD366" s="459">
        <f t="shared" si="802"/>
        <v>1.0278745644599305</v>
      </c>
      <c r="CE366" s="459">
        <f t="shared" si="802"/>
        <v>1.0869565217391304</v>
      </c>
      <c r="CF366" s="459">
        <f t="shared" si="802"/>
        <v>0.7692307692307695</v>
      </c>
      <c r="CG366" s="459">
        <f t="shared" si="802"/>
        <v>0.82167832167832167</v>
      </c>
      <c r="CH366" s="310">
        <f>CH365-CH367</f>
        <v>1.3524015935552827</v>
      </c>
      <c r="CI366" s="310">
        <f>CI365-CI367</f>
        <v>1.2603493048970835</v>
      </c>
      <c r="CJ366" s="310">
        <f>CJ365-CJ367</f>
        <v>1.1090487019486814</v>
      </c>
      <c r="CK366" s="310">
        <f>CK365-CK367</f>
        <v>1.2196286484600218</v>
      </c>
      <c r="CL366" s="310">
        <f t="shared" si="780"/>
        <v>1.4352224435110814</v>
      </c>
      <c r="CM366" s="310">
        <f t="shared" si="780"/>
        <v>1.276240484389658</v>
      </c>
      <c r="CN366" s="310">
        <f>CN359*5</f>
        <v>1.2283235812206141</v>
      </c>
      <c r="CO366" s="310">
        <f t="shared" si="780"/>
        <v>1.1680986774928084</v>
      </c>
      <c r="CP366" s="310">
        <f t="shared" si="780"/>
        <v>1.4868463801573595</v>
      </c>
      <c r="CQ366" s="310">
        <f t="shared" si="780"/>
        <v>1.3022920818426025</v>
      </c>
      <c r="CR366" s="310">
        <f t="shared" si="780"/>
        <v>1.1287333540272084</v>
      </c>
      <c r="CS366" s="310">
        <f>CS359*5</f>
        <v>1.1275056323194068</v>
      </c>
      <c r="CT366" s="310">
        <f t="shared" si="781"/>
        <v>1.4210955849936542</v>
      </c>
      <c r="CU366" s="310">
        <f t="shared" si="781"/>
        <v>1.1855115261883244</v>
      </c>
      <c r="CV366" s="310">
        <f>CV359*5</f>
        <v>1.0601653440668144</v>
      </c>
      <c r="CW366" s="310">
        <f t="shared" si="789"/>
        <v>1.1476072166172442</v>
      </c>
      <c r="CX366" s="310">
        <f t="shared" si="789"/>
        <v>1.3572187191869727</v>
      </c>
      <c r="CY366" s="310">
        <f t="shared" si="790"/>
        <v>1.1728464724127408</v>
      </c>
      <c r="CZ366" s="310">
        <f t="shared" si="783"/>
        <v>1.0301391184918569</v>
      </c>
      <c r="DA366" s="310">
        <f t="shared" si="783"/>
        <v>1.1163159940025382</v>
      </c>
      <c r="DB366" s="310">
        <f t="shared" ref="DB366:DC366" si="803">DB359*5</f>
        <v>1.3523967180812424</v>
      </c>
      <c r="DC366" s="310">
        <f t="shared" si="803"/>
        <v>1.322511128717176</v>
      </c>
      <c r="DD366" s="310">
        <f t="shared" ref="DD366:DE366" si="804">DD359*5</f>
        <v>1.3636363636363635</v>
      </c>
      <c r="DE366" s="310">
        <f t="shared" si="804"/>
        <v>1.34195443811184</v>
      </c>
      <c r="DF366" s="310">
        <f t="shared" ref="DF366:DI366" si="805">DF359*5</f>
        <v>1.3456347344908361</v>
      </c>
      <c r="DG366" s="310">
        <f t="shared" si="805"/>
        <v>1.3158985730735901</v>
      </c>
      <c r="DH366" s="310">
        <f t="shared" si="805"/>
        <v>1.3568181818181819</v>
      </c>
      <c r="DI366" s="310">
        <f t="shared" si="805"/>
        <v>1.4702433389701057</v>
      </c>
    </row>
    <row r="367" spans="1:126">
      <c r="A367" s="911" t="s">
        <v>490</v>
      </c>
      <c r="J367" s="310">
        <f t="shared" ref="J367:R367" si="806">J360*5</f>
        <v>0.73941851568477435</v>
      </c>
      <c r="K367" s="310">
        <f t="shared" si="806"/>
        <v>0.6962509563886764</v>
      </c>
      <c r="L367" s="310">
        <f t="shared" si="806"/>
        <v>0.73471008737092935</v>
      </c>
      <c r="M367" s="310">
        <f t="shared" si="806"/>
        <v>0.67817014446227919</v>
      </c>
      <c r="N367" s="310">
        <f t="shared" si="806"/>
        <v>0.67014446227929381</v>
      </c>
      <c r="O367" s="310">
        <f t="shared" si="806"/>
        <v>0.91186053922758636</v>
      </c>
      <c r="P367" s="310">
        <f t="shared" si="806"/>
        <v>0.97762501551958925</v>
      </c>
      <c r="Q367" s="310">
        <f t="shared" si="806"/>
        <v>1.0426440929894962</v>
      </c>
      <c r="R367" s="310">
        <f t="shared" si="806"/>
        <v>1.0866860442271213</v>
      </c>
      <c r="S367" s="310">
        <f t="shared" ref="S367:T367" si="807">S360*5</f>
        <v>1.1338908621448482</v>
      </c>
      <c r="T367" s="310">
        <f t="shared" si="807"/>
        <v>1.0796792673019242</v>
      </c>
      <c r="U367" s="310">
        <f t="shared" ref="U367:AB367" si="808">+U365-U366</f>
        <v>1.0770287213366165</v>
      </c>
      <c r="V367" s="310">
        <f t="shared" si="808"/>
        <v>1.0897677225577649</v>
      </c>
      <c r="W367" s="310">
        <f t="shared" si="808"/>
        <v>1.1026341137911244</v>
      </c>
      <c r="X367" s="310">
        <f t="shared" si="808"/>
        <v>1.1636041809521509</v>
      </c>
      <c r="Y367" s="310">
        <f t="shared" si="808"/>
        <v>1.2256187496720501</v>
      </c>
      <c r="Z367" s="310">
        <f t="shared" si="808"/>
        <v>1.2886995844809204</v>
      </c>
      <c r="AA367" s="310">
        <f t="shared" si="808"/>
        <v>1.3528688808269687</v>
      </c>
      <c r="AB367" s="310">
        <f t="shared" si="808"/>
        <v>1.418149273716734</v>
      </c>
      <c r="AD367" s="373"/>
      <c r="AE367" s="373"/>
      <c r="AF367" s="373"/>
      <c r="AG367" s="373"/>
      <c r="AH367" s="373"/>
      <c r="AI367" s="373"/>
      <c r="AJ367" s="373"/>
      <c r="AK367" s="373"/>
      <c r="AL367" s="373"/>
      <c r="AM367" s="373"/>
      <c r="AN367" s="373"/>
      <c r="AO367" s="373"/>
      <c r="AP367" s="373"/>
      <c r="AQ367" s="373"/>
      <c r="AR367" s="373"/>
      <c r="AS367" s="373"/>
      <c r="AT367" s="373"/>
      <c r="AU367" s="373"/>
      <c r="AV367" s="373"/>
      <c r="AW367" s="373"/>
      <c r="AX367" s="373"/>
      <c r="AY367" s="373"/>
      <c r="AZ367" s="373"/>
      <c r="BA367" s="373"/>
      <c r="BB367" s="373"/>
      <c r="BC367" s="373"/>
      <c r="BD367" s="373"/>
      <c r="BE367" s="373"/>
      <c r="BF367" s="373"/>
      <c r="BG367" s="373"/>
      <c r="BH367" s="373"/>
      <c r="BI367" s="373"/>
      <c r="BJ367" s="373"/>
      <c r="BK367" s="373"/>
      <c r="BL367" s="373"/>
      <c r="BM367" s="373"/>
      <c r="BN367" s="373"/>
      <c r="BO367" s="373"/>
      <c r="BP367" s="373"/>
      <c r="BQ367" s="373"/>
      <c r="BR367" s="459">
        <f t="shared" ref="BR367:BY367" si="809">BR360*5</f>
        <v>0.6891025641025641</v>
      </c>
      <c r="BS367" s="459">
        <f t="shared" si="809"/>
        <v>0.71830985915492962</v>
      </c>
      <c r="BT367" s="459">
        <f t="shared" si="809"/>
        <v>0.69908814589665647</v>
      </c>
      <c r="BU367" s="459">
        <f t="shared" si="809"/>
        <v>0.67524115755627012</v>
      </c>
      <c r="BV367" s="459">
        <f t="shared" si="809"/>
        <v>0.82608695652173902</v>
      </c>
      <c r="BW367" s="459">
        <f t="shared" si="809"/>
        <v>0.7407407407407407</v>
      </c>
      <c r="BX367" s="459">
        <f t="shared" si="809"/>
        <v>0.71847507331378302</v>
      </c>
      <c r="BY367" s="459">
        <f t="shared" si="809"/>
        <v>0.64356435643564358</v>
      </c>
      <c r="BZ367" s="459">
        <f>BZ360*5</f>
        <v>0.85106382978723405</v>
      </c>
      <c r="CA367" s="459">
        <f>CA360*5</f>
        <v>0.86687306501547989</v>
      </c>
      <c r="CB367" s="459">
        <f>CB360*5</f>
        <v>0.63609467455621305</v>
      </c>
      <c r="CC367" s="459">
        <f>CC360*5</f>
        <v>0.36303630363036304</v>
      </c>
      <c r="CD367" s="459">
        <f t="shared" ref="CD367:CK367" si="810">CD360*5</f>
        <v>0.38327526132404177</v>
      </c>
      <c r="CE367" s="459">
        <f t="shared" si="810"/>
        <v>0.72981366459627328</v>
      </c>
      <c r="CF367" s="459">
        <f t="shared" si="810"/>
        <v>0.78347578347578339</v>
      </c>
      <c r="CG367" s="459">
        <f t="shared" si="810"/>
        <v>0.75174825174825166</v>
      </c>
      <c r="CH367" s="310">
        <f t="shared" si="810"/>
        <v>0.67503743083496104</v>
      </c>
      <c r="CI367" s="310">
        <f t="shared" si="810"/>
        <v>0.86928032473254624</v>
      </c>
      <c r="CJ367" s="310">
        <f t="shared" si="810"/>
        <v>1.092938053018206</v>
      </c>
      <c r="CK367" s="310">
        <f t="shared" si="810"/>
        <v>1.0418554504799076</v>
      </c>
      <c r="CL367" s="310">
        <f t="shared" si="780"/>
        <v>0.70763469934606138</v>
      </c>
      <c r="CM367" s="310">
        <f t="shared" si="780"/>
        <v>0.93852461628148298</v>
      </c>
      <c r="CN367" s="310">
        <f>CN360*5</f>
        <v>1.1466764187793856</v>
      </c>
      <c r="CO367" s="310">
        <f t="shared" si="780"/>
        <v>1.0794583257645205</v>
      </c>
      <c r="CP367" s="310">
        <f t="shared" si="780"/>
        <v>0.81242369283534133</v>
      </c>
      <c r="CQ367" s="310">
        <f t="shared" si="780"/>
        <v>1.0088861658915362</v>
      </c>
      <c r="CR367" s="310">
        <f t="shared" si="780"/>
        <v>1.176742150295558</v>
      </c>
      <c r="CS367" s="310">
        <f>CS360*5</f>
        <v>1.1295476592166434</v>
      </c>
      <c r="CT367" s="310">
        <f t="shared" si="781"/>
        <v>0.84711633553614707</v>
      </c>
      <c r="CU367" s="310">
        <f t="shared" si="781"/>
        <v>1.0450273959673644</v>
      </c>
      <c r="CV367" s="310">
        <f>CV360*5</f>
        <v>1.2617719778705074</v>
      </c>
      <c r="CW367" s="310">
        <f t="shared" si="789"/>
        <v>1.1600850910750635</v>
      </c>
      <c r="CX367" s="310">
        <f t="shared" si="789"/>
        <v>0.85990666307602392</v>
      </c>
      <c r="CY367" s="310">
        <f t="shared" si="790"/>
        <v>1.1530588200663681</v>
      </c>
      <c r="CZ367" s="310">
        <f t="shared" si="783"/>
        <v>1.2690298565773952</v>
      </c>
      <c r="DA367" s="310">
        <f t="shared" si="783"/>
        <v>1.2291896239749898</v>
      </c>
      <c r="DB367" s="310">
        <f t="shared" ref="DB367:DC367" si="811">DB360*5</f>
        <v>1.0045515108015914</v>
      </c>
      <c r="DC367" s="310">
        <f t="shared" si="811"/>
        <v>1.0050750781793758</v>
      </c>
      <c r="DD367" s="310">
        <f t="shared" ref="DD367:DE367" si="812">DD360*5</f>
        <v>1.1948051948051948</v>
      </c>
      <c r="DE367" s="310">
        <f t="shared" si="812"/>
        <v>1.1149337082670741</v>
      </c>
      <c r="DF367" s="310">
        <f t="shared" ref="DF367:DI367" si="813">DF360*5</f>
        <v>1.0348829766808261</v>
      </c>
      <c r="DG367" s="310">
        <f t="shared" si="813"/>
        <v>1.0349634958919272</v>
      </c>
      <c r="DH367" s="310">
        <f t="shared" si="813"/>
        <v>1.2272077922077917</v>
      </c>
      <c r="DI367" s="310">
        <f t="shared" si="813"/>
        <v>1.0112136888725989</v>
      </c>
    </row>
    <row r="368" spans="1:126">
      <c r="A368" s="911" t="s">
        <v>411</v>
      </c>
      <c r="J368" s="302">
        <f t="shared" ref="J368:W368" si="814">J367/J365</f>
        <v>0.6006600660066006</v>
      </c>
      <c r="K368" s="302">
        <f t="shared" si="814"/>
        <v>0.55828220858895705</v>
      </c>
      <c r="L368" s="302">
        <f t="shared" si="814"/>
        <v>0.51675977653631289</v>
      </c>
      <c r="M368" s="302">
        <f t="shared" si="814"/>
        <v>0.48563218390804597</v>
      </c>
      <c r="N368" s="302">
        <f t="shared" si="814"/>
        <v>0.420654911838791</v>
      </c>
      <c r="O368" s="302">
        <f t="shared" si="814"/>
        <v>0.42404943121222721</v>
      </c>
      <c r="P368" s="302">
        <f t="shared" si="814"/>
        <v>0.43458061914377288</v>
      </c>
      <c r="Q368" s="302">
        <f t="shared" si="814"/>
        <v>0.45461428548530008</v>
      </c>
      <c r="R368" s="302">
        <f t="shared" si="814"/>
        <v>0.47598644912427623</v>
      </c>
      <c r="S368" s="302">
        <f t="shared" ref="S368:T368" si="815">S367/S365</f>
        <v>0.49328647429123168</v>
      </c>
      <c r="T368" s="302">
        <f t="shared" si="815"/>
        <v>0.4453363386943297</v>
      </c>
      <c r="U368" s="302">
        <f t="shared" si="814"/>
        <v>0.43984461927546159</v>
      </c>
      <c r="V368" s="302">
        <f t="shared" si="814"/>
        <v>0.44029016901217055</v>
      </c>
      <c r="W368" s="302">
        <f t="shared" si="814"/>
        <v>0.44073060962265681</v>
      </c>
      <c r="X368" s="302">
        <f>X367/X365</f>
        <v>0.45527867511744158</v>
      </c>
      <c r="Y368" s="302">
        <f>Y367/Y365</f>
        <v>0.46943104551797055</v>
      </c>
      <c r="Z368" s="302">
        <f>Z367/Z365</f>
        <v>0.48319928967210007</v>
      </c>
      <c r="AA368" s="302">
        <f>AA367/AA365</f>
        <v>0.49659460018386853</v>
      </c>
      <c r="AB368" s="302">
        <f>AB367/AB365</f>
        <v>0.5096278074491406</v>
      </c>
      <c r="AD368" s="373"/>
      <c r="AE368" s="373"/>
      <c r="AF368" s="373"/>
      <c r="AG368" s="373"/>
      <c r="AH368" s="373"/>
      <c r="AI368" s="373"/>
      <c r="AJ368" s="373"/>
      <c r="AK368" s="373"/>
      <c r="AL368" s="373"/>
      <c r="AM368" s="373"/>
      <c r="AN368" s="373"/>
      <c r="AO368" s="373"/>
      <c r="AP368" s="373"/>
      <c r="AQ368" s="373"/>
      <c r="AR368" s="373"/>
      <c r="AS368" s="373"/>
      <c r="AT368" s="373"/>
      <c r="AU368" s="373"/>
      <c r="AV368" s="373"/>
      <c r="AW368" s="373"/>
      <c r="AX368" s="373"/>
      <c r="AY368" s="373"/>
      <c r="AZ368" s="373"/>
      <c r="BA368" s="373"/>
      <c r="BB368" s="373"/>
      <c r="BC368" s="373"/>
      <c r="BD368" s="373"/>
      <c r="BE368" s="373"/>
      <c r="BF368" s="373"/>
      <c r="BG368" s="373"/>
      <c r="BH368" s="373"/>
      <c r="BI368" s="373"/>
      <c r="BJ368" s="373"/>
      <c r="BK368" s="373"/>
      <c r="BL368" s="373"/>
      <c r="BM368" s="373"/>
      <c r="BN368" s="373"/>
      <c r="BO368" s="373"/>
      <c r="BP368" s="373"/>
      <c r="BQ368" s="373"/>
      <c r="BR368" s="412">
        <f>BR367/BR365</f>
        <v>0.56578947368421062</v>
      </c>
      <c r="BS368" s="412">
        <f t="shared" ref="BS368:CY368" si="816">BS367/BS365</f>
        <v>0.60000000000000009</v>
      </c>
      <c r="BT368" s="412">
        <f t="shared" si="816"/>
        <v>0.54761904761904767</v>
      </c>
      <c r="BU368" s="412">
        <f t="shared" si="816"/>
        <v>0.51851851851851849</v>
      </c>
      <c r="BV368" s="412">
        <f t="shared" si="816"/>
        <v>0.57575757575757558</v>
      </c>
      <c r="BW368" s="412">
        <f t="shared" si="816"/>
        <v>0.54054054054054046</v>
      </c>
      <c r="BX368" s="412">
        <f t="shared" si="816"/>
        <v>0.49494949494949497</v>
      </c>
      <c r="BY368" s="412">
        <f t="shared" si="816"/>
        <v>0.45348837209302323</v>
      </c>
      <c r="BZ368" s="412">
        <f t="shared" si="816"/>
        <v>0.55172413793103448</v>
      </c>
      <c r="CA368" s="412">
        <f t="shared" si="816"/>
        <v>0.55999999999999994</v>
      </c>
      <c r="CB368" s="412">
        <f t="shared" si="816"/>
        <v>0.47777777777777775</v>
      </c>
      <c r="CC368" s="412">
        <f t="shared" si="816"/>
        <v>0.30985915492957744</v>
      </c>
      <c r="CD368" s="412">
        <f t="shared" si="816"/>
        <v>0.27160493827160487</v>
      </c>
      <c r="CE368" s="412">
        <f t="shared" si="816"/>
        <v>0.40170940170940167</v>
      </c>
      <c r="CF368" s="412">
        <f t="shared" si="816"/>
        <v>0.50458715596330261</v>
      </c>
      <c r="CG368" s="412">
        <f t="shared" si="816"/>
        <v>0.47777777777777775</v>
      </c>
      <c r="CH368" s="302">
        <f t="shared" si="816"/>
        <v>0.33295079295318381</v>
      </c>
      <c r="CI368" s="302">
        <f t="shared" si="816"/>
        <v>0.4081838046570217</v>
      </c>
      <c r="CJ368" s="302">
        <f t="shared" si="816"/>
        <v>0.49634179249849353</v>
      </c>
      <c r="CK368" s="302">
        <f t="shared" si="816"/>
        <v>0.4606954570090841</v>
      </c>
      <c r="CL368" s="302">
        <f t="shared" si="816"/>
        <v>0.33022952636149533</v>
      </c>
      <c r="CM368" s="302">
        <f t="shared" si="816"/>
        <v>0.42375808432103318</v>
      </c>
      <c r="CN368" s="302">
        <f t="shared" si="816"/>
        <v>0.48281112369658341</v>
      </c>
      <c r="CO368" s="302">
        <f t="shared" si="816"/>
        <v>0.48028073334740257</v>
      </c>
      <c r="CP368" s="302">
        <f t="shared" si="816"/>
        <v>0.35333982831251354</v>
      </c>
      <c r="CQ368" s="302">
        <f t="shared" si="816"/>
        <v>0.43652460249686076</v>
      </c>
      <c r="CR368" s="302">
        <f>CR367/CR365</f>
        <v>0.51041190769069822</v>
      </c>
      <c r="CS368" s="302">
        <f>CS367/CS365</f>
        <v>0.50045236568070717</v>
      </c>
      <c r="CT368" s="302">
        <f>CT367/CT365</f>
        <v>0.37347318734586338</v>
      </c>
      <c r="CU368" s="302">
        <f>CU367/CU365</f>
        <v>0.46850892651422776</v>
      </c>
      <c r="CV368" s="302">
        <f>CV367/CV365</f>
        <v>0.54341345304607136</v>
      </c>
      <c r="CW368" s="302">
        <f t="shared" si="816"/>
        <v>0.50270353946586077</v>
      </c>
      <c r="CX368" s="302">
        <f t="shared" si="816"/>
        <v>0.38784755700118595</v>
      </c>
      <c r="CY368" s="302">
        <f t="shared" si="816"/>
        <v>0.49574624719021093</v>
      </c>
      <c r="CZ368" s="302">
        <f t="shared" ref="CZ368" si="817">CZ367/CZ365</f>
        <v>0.55195154002944546</v>
      </c>
      <c r="DA368" s="302">
        <f t="shared" ref="DA368:DB368" si="818">DA367/DA365</f>
        <v>0.52406168399412745</v>
      </c>
      <c r="DB368" s="302">
        <f t="shared" si="818"/>
        <v>0.42620856007420116</v>
      </c>
      <c r="DC368" s="302">
        <f t="shared" ref="DC368:DD368" si="819">DC367/DC365</f>
        <v>0.43181003358817627</v>
      </c>
      <c r="DD368" s="302">
        <f t="shared" si="819"/>
        <v>0.46700507614213205</v>
      </c>
      <c r="DE368" s="302">
        <f t="shared" ref="DE368" si="820">DE367/DE365</f>
        <v>0.45379913200782857</v>
      </c>
      <c r="DF368" s="302">
        <f t="shared" ref="DF368:DI368" si="821">DF367/DF365</f>
        <v>0.43473021512260418</v>
      </c>
      <c r="DG368" s="302">
        <f t="shared" si="821"/>
        <v>0.44024849843587666</v>
      </c>
      <c r="DH368" s="302">
        <f t="shared" si="821"/>
        <v>0.47492084233804077</v>
      </c>
      <c r="DI368" s="302">
        <f t="shared" si="821"/>
        <v>0.40750803964222343</v>
      </c>
    </row>
    <row r="369" spans="1:113">
      <c r="A369" s="743"/>
      <c r="AD369" s="373"/>
      <c r="AE369" s="373"/>
      <c r="AF369" s="373"/>
      <c r="AG369" s="373"/>
      <c r="AH369" s="373"/>
      <c r="AI369" s="373"/>
      <c r="AJ369" s="373"/>
      <c r="AK369" s="373"/>
      <c r="AL369" s="373"/>
      <c r="AM369" s="373"/>
      <c r="AN369" s="373"/>
      <c r="AO369" s="373"/>
      <c r="AP369" s="373"/>
      <c r="AQ369" s="373"/>
      <c r="AR369" s="373"/>
      <c r="AS369" s="373"/>
      <c r="AT369" s="373"/>
      <c r="AU369" s="373"/>
      <c r="AV369" s="373"/>
      <c r="AW369" s="373"/>
      <c r="AX369" s="373"/>
      <c r="AY369" s="373"/>
      <c r="AZ369" s="373"/>
      <c r="BA369" s="373"/>
      <c r="BB369" s="373"/>
      <c r="BC369" s="373"/>
      <c r="BD369" s="373"/>
      <c r="BE369" s="373"/>
      <c r="BF369" s="373"/>
      <c r="BG369" s="373"/>
      <c r="BH369" s="373"/>
      <c r="BI369" s="373"/>
      <c r="BJ369" s="373"/>
      <c r="BK369" s="373"/>
      <c r="BL369" s="373"/>
      <c r="BM369" s="373"/>
      <c r="BN369" s="373"/>
      <c r="BO369" s="373"/>
      <c r="BP369" s="373"/>
      <c r="BQ369" s="373"/>
      <c r="BR369" s="510"/>
      <c r="BS369" s="510"/>
      <c r="BT369" s="510"/>
      <c r="BU369" s="510"/>
      <c r="BV369" s="510"/>
      <c r="BW369" s="510"/>
      <c r="BX369" s="510"/>
      <c r="BY369" s="510"/>
      <c r="BZ369" s="510"/>
      <c r="CA369" s="510"/>
      <c r="CB369" s="510"/>
      <c r="CC369" s="510"/>
      <c r="CD369" s="510"/>
      <c r="CE369" s="510"/>
      <c r="CF369" s="510"/>
      <c r="CG369" s="510"/>
      <c r="CH369" s="585"/>
      <c r="CI369" s="585"/>
      <c r="CJ369" s="585"/>
      <c r="CK369" s="585"/>
      <c r="CL369" s="373"/>
      <c r="CM369" s="373"/>
      <c r="CN369" s="373"/>
      <c r="CO369" s="373"/>
      <c r="CP369" s="373"/>
      <c r="CQ369" s="373"/>
      <c r="CR369" s="373"/>
      <c r="CS369" s="373"/>
      <c r="CT369" s="373"/>
      <c r="CU369" s="373"/>
      <c r="CV369" s="373"/>
      <c r="CW369" s="373"/>
      <c r="CX369" s="373"/>
      <c r="CY369" s="373"/>
      <c r="CZ369" s="373"/>
      <c r="DA369" s="373"/>
      <c r="DB369" s="373"/>
      <c r="DC369" s="373"/>
      <c r="DD369" s="373"/>
      <c r="DE369" s="373"/>
      <c r="DF369" s="373"/>
      <c r="DG369" s="373"/>
      <c r="DH369" s="373"/>
      <c r="DI369" s="373"/>
    </row>
    <row r="370" spans="1:113">
      <c r="A370" s="954" t="s">
        <v>371</v>
      </c>
      <c r="AD370" s="373"/>
      <c r="AE370" s="373"/>
      <c r="AF370" s="373"/>
      <c r="AG370" s="373"/>
      <c r="AH370" s="373"/>
      <c r="AI370" s="373"/>
      <c r="AJ370" s="373"/>
      <c r="AK370" s="373"/>
      <c r="AL370" s="373"/>
      <c r="AM370" s="373"/>
      <c r="AN370" s="373"/>
      <c r="AO370" s="373"/>
      <c r="AP370" s="373"/>
      <c r="AQ370" s="373"/>
      <c r="AR370" s="373"/>
      <c r="AS370" s="373"/>
      <c r="AT370" s="373"/>
      <c r="AU370" s="373"/>
      <c r="AV370" s="373"/>
      <c r="AW370" s="373"/>
      <c r="AX370" s="373"/>
      <c r="AY370" s="373"/>
      <c r="AZ370" s="373"/>
      <c r="BA370" s="373"/>
      <c r="BB370" s="373"/>
      <c r="BC370" s="373"/>
      <c r="BD370" s="373"/>
      <c r="BE370" s="373"/>
      <c r="BF370" s="373"/>
      <c r="BG370" s="373"/>
      <c r="BH370" s="373"/>
      <c r="BI370" s="373"/>
      <c r="BJ370" s="373"/>
      <c r="BK370" s="373"/>
      <c r="BL370" s="373"/>
      <c r="BM370" s="373"/>
      <c r="BN370" s="373"/>
      <c r="BO370" s="373"/>
      <c r="BP370" s="373"/>
      <c r="BQ370" s="373"/>
      <c r="BR370" s="373"/>
      <c r="BS370" s="373"/>
      <c r="BT370" s="373"/>
      <c r="BU370" s="373"/>
      <c r="BV370" s="373"/>
      <c r="BW370" s="373"/>
      <c r="BX370" s="373"/>
      <c r="BY370" s="373"/>
      <c r="BZ370" s="373"/>
      <c r="CA370" s="373"/>
      <c r="CB370" s="373"/>
      <c r="CC370" s="373"/>
      <c r="CD370" s="373"/>
      <c r="CE370" s="373"/>
      <c r="CF370" s="373"/>
      <c r="CG370" s="373"/>
      <c r="CH370" s="585"/>
      <c r="CI370" s="585"/>
      <c r="CJ370" s="585"/>
      <c r="CK370" s="585"/>
      <c r="CL370" s="373"/>
      <c r="CM370" s="373"/>
      <c r="CN370" s="373"/>
      <c r="CO370" s="373"/>
      <c r="CP370" s="373"/>
      <c r="CQ370" s="373"/>
      <c r="CR370" s="373"/>
      <c r="CS370" s="373"/>
      <c r="CT370" s="373"/>
      <c r="CU370" s="373"/>
      <c r="CV370" s="373"/>
      <c r="CW370" s="373"/>
      <c r="CX370" s="373"/>
      <c r="CY370" s="373"/>
      <c r="CZ370" s="373"/>
      <c r="DA370" s="373"/>
      <c r="DB370" s="373"/>
      <c r="DC370" s="373"/>
      <c r="DD370" s="373"/>
      <c r="DE370" s="373"/>
      <c r="DF370" s="373"/>
      <c r="DG370" s="373"/>
      <c r="DH370" s="373"/>
      <c r="DI370" s="373"/>
    </row>
    <row r="371" spans="1:113">
      <c r="A371" s="953" t="s">
        <v>488</v>
      </c>
      <c r="K371" s="374">
        <f t="shared" ref="K371:Q371" si="822">+K363/J363-1</f>
        <v>1.2241054613935987E-2</v>
      </c>
      <c r="L371" s="374">
        <f t="shared" si="822"/>
        <v>0.39489730785886845</v>
      </c>
      <c r="M371" s="374">
        <f t="shared" si="822"/>
        <v>8.8159031979256897E-2</v>
      </c>
      <c r="N371" s="374">
        <f t="shared" si="822"/>
        <v>7.8571428571428514E-2</v>
      </c>
      <c r="O371" s="374">
        <f t="shared" si="822"/>
        <v>0.14235733750207458</v>
      </c>
      <c r="P371" s="374">
        <f t="shared" si="822"/>
        <v>-3.9799909825378066E-2</v>
      </c>
      <c r="Q371" s="374">
        <f t="shared" si="822"/>
        <v>-5.1516315537895818E-2</v>
      </c>
      <c r="R371" s="375">
        <f>+R363/Q363-1</f>
        <v>-1.3818031966561617E-2</v>
      </c>
      <c r="S371" s="375">
        <f>+S363/R363-1</f>
        <v>1.0326884618587773E-2</v>
      </c>
      <c r="T371" s="375">
        <f>+T363/S363-1</f>
        <v>4.2532607121254173E-2</v>
      </c>
      <c r="U371" s="886">
        <v>0.01</v>
      </c>
      <c r="V371" s="886">
        <v>0.01</v>
      </c>
      <c r="W371" s="886">
        <v>0.01</v>
      </c>
      <c r="X371" s="886">
        <v>0.02</v>
      </c>
      <c r="Y371" s="886">
        <v>0.02</v>
      </c>
      <c r="Z371" s="886">
        <v>0.02</v>
      </c>
      <c r="AA371" s="886">
        <v>0.02</v>
      </c>
      <c r="AB371" s="886">
        <v>0.02</v>
      </c>
      <c r="AD371" s="387"/>
      <c r="AE371" s="387"/>
      <c r="AF371" s="387"/>
      <c r="AG371" s="387"/>
      <c r="AH371" s="387"/>
      <c r="AI371" s="387"/>
      <c r="AJ371" s="387"/>
      <c r="AK371" s="387"/>
      <c r="AL371" s="387"/>
      <c r="AM371" s="387"/>
      <c r="AN371" s="387"/>
      <c r="AO371" s="387"/>
      <c r="AP371" s="387"/>
      <c r="AQ371" s="387"/>
      <c r="AR371" s="387"/>
      <c r="AS371" s="387"/>
      <c r="AT371" s="387"/>
      <c r="AU371" s="387"/>
      <c r="AV371" s="387"/>
      <c r="AW371" s="387"/>
      <c r="AX371" s="471"/>
      <c r="AY371" s="471"/>
      <c r="AZ371" s="471"/>
      <c r="BA371" s="471"/>
      <c r="BB371" s="471"/>
      <c r="BC371" s="471"/>
      <c r="BD371" s="471"/>
      <c r="BE371" s="471"/>
      <c r="BF371" s="471"/>
      <c r="BG371" s="387"/>
      <c r="BH371" s="387"/>
      <c r="BI371" s="387"/>
      <c r="BJ371" s="387"/>
      <c r="BK371" s="387"/>
      <c r="BL371" s="387"/>
      <c r="BM371" s="387"/>
      <c r="BN371" s="387"/>
      <c r="BO371" s="387"/>
      <c r="BP371" s="387"/>
      <c r="BQ371" s="387"/>
      <c r="BR371" s="535"/>
      <c r="BS371" s="374"/>
      <c r="BT371" s="374"/>
      <c r="BU371" s="374"/>
      <c r="BV371" s="374">
        <f t="shared" ref="BV371:CE375" si="823">BV363/BR363-1</f>
        <v>0.14285714285714257</v>
      </c>
      <c r="BW371" s="374">
        <f t="shared" si="823"/>
        <v>0.53612027869453605</v>
      </c>
      <c r="BX371" s="374">
        <f t="shared" si="823"/>
        <v>0.50628403854210302</v>
      </c>
      <c r="BY371" s="374">
        <f t="shared" si="823"/>
        <v>0.41791704943690244</v>
      </c>
      <c r="BZ371" s="374">
        <f t="shared" si="823"/>
        <v>0.43617021276595769</v>
      </c>
      <c r="CA371" s="374">
        <f t="shared" si="823"/>
        <v>9.8021724300781932E-2</v>
      </c>
      <c r="CB371" s="374">
        <f t="shared" si="823"/>
        <v>-3.0688014850910772E-2</v>
      </c>
      <c r="CC371" s="374">
        <f t="shared" si="823"/>
        <v>-8.2089552238805874E-2</v>
      </c>
      <c r="CD371" s="374">
        <f t="shared" si="823"/>
        <v>-3.9256678281068713E-2</v>
      </c>
      <c r="CE371" s="374">
        <f t="shared" si="823"/>
        <v>0.10665197355239409</v>
      </c>
      <c r="CF371" s="374">
        <f t="shared" ref="CF371:CO375" si="824">CF363/CB363-1</f>
        <v>0.10707986898463107</v>
      </c>
      <c r="CG371" s="374">
        <f t="shared" si="824"/>
        <v>0.13696060037523461</v>
      </c>
      <c r="CH371" s="374">
        <f t="shared" si="824"/>
        <v>0.17992424242424265</v>
      </c>
      <c r="CI371" s="374">
        <f t="shared" si="824"/>
        <v>4.032199841166717E-2</v>
      </c>
      <c r="CJ371" s="374">
        <f t="shared" si="824"/>
        <v>0.16225165562913912</v>
      </c>
      <c r="CK371" s="374">
        <f t="shared" si="824"/>
        <v>0.2173144876325086</v>
      </c>
      <c r="CL371" s="374">
        <f t="shared" si="824"/>
        <v>-1.4528542618430507E-2</v>
      </c>
      <c r="CM371" s="374">
        <f t="shared" si="824"/>
        <v>-2.8157924337295137E-2</v>
      </c>
      <c r="CN371" s="374">
        <f t="shared" si="824"/>
        <v>-2.2744082840236657E-2</v>
      </c>
      <c r="CO371" s="374">
        <f t="shared" si="824"/>
        <v>-9.5568803392538815E-2</v>
      </c>
      <c r="CP371" s="374">
        <f t="shared" ref="CP371:DE375" si="825">CP363/CL363-1</f>
        <v>-4.4595540445955262E-2</v>
      </c>
      <c r="CQ371" s="374">
        <f t="shared" si="825"/>
        <v>-5.4682779456193376E-2</v>
      </c>
      <c r="CR371" s="374">
        <f t="shared" si="825"/>
        <v>-7.7809798270893404E-2</v>
      </c>
      <c r="CS371" s="374">
        <f t="shared" si="825"/>
        <v>-2.5279318382766869E-2</v>
      </c>
      <c r="CT371" s="374">
        <f t="shared" si="825"/>
        <v>-1.4947965941343511E-2</v>
      </c>
      <c r="CU371" s="374">
        <f t="shared" si="825"/>
        <v>-3.2577701739378462E-2</v>
      </c>
      <c r="CV371" s="374">
        <f t="shared" si="825"/>
        <v>-1.1396011396011319E-2</v>
      </c>
      <c r="CW371" s="374">
        <f t="shared" si="825"/>
        <v>3.5203355553889981E-3</v>
      </c>
      <c r="CX371" s="374">
        <f t="shared" si="825"/>
        <v>-4.607275068404959E-2</v>
      </c>
      <c r="CY371" s="374">
        <f t="shared" si="825"/>
        <v>4.3820911746722091E-2</v>
      </c>
      <c r="CZ371" s="374">
        <f t="shared" si="825"/>
        <v>1.6747130985357961E-2</v>
      </c>
      <c r="DA371" s="374">
        <f t="shared" si="825"/>
        <v>2.2906634563937933E-2</v>
      </c>
      <c r="DB371" s="374">
        <f t="shared" si="825"/>
        <v>6.126451344174666E-2</v>
      </c>
      <c r="DC371" s="374">
        <f t="shared" si="825"/>
        <v>4.3772756478901442E-3</v>
      </c>
      <c r="DD371" s="374">
        <f t="shared" si="825"/>
        <v>8.1129799162586114E-2</v>
      </c>
      <c r="DE371" s="374">
        <f t="shared" si="825"/>
        <v>2.8514494597672746E-2</v>
      </c>
      <c r="DF371" s="374">
        <f t="shared" ref="DF371:DF372" si="826">DF363/DB363-1</f>
        <v>1.1659683514014363E-2</v>
      </c>
      <c r="DG371" s="374">
        <f t="shared" ref="DG371:DG372" si="827">DG363/DC363-1</f>
        <v>-1.0162881611528007E-2</v>
      </c>
      <c r="DH371" s="374">
        <f t="shared" ref="DH371:DH372" si="828">DH363/DD363-1</f>
        <v>1.4829847677356067E-2</v>
      </c>
      <c r="DI371" s="374">
        <f t="shared" ref="DI371:DI375" si="829">DI363/DE363-1</f>
        <v>2.4365240764621765E-2</v>
      </c>
    </row>
    <row r="372" spans="1:113">
      <c r="A372" s="911" t="s">
        <v>489</v>
      </c>
      <c r="K372" s="374">
        <f t="shared" ref="K372:T372" si="830">+K364/J364-1</f>
        <v>0</v>
      </c>
      <c r="L372" s="374">
        <f t="shared" si="830"/>
        <v>1.7569890232945737</v>
      </c>
      <c r="M372" s="374">
        <f t="shared" si="830"/>
        <v>0.32229554326932641</v>
      </c>
      <c r="N372" s="374">
        <f t="shared" si="830"/>
        <v>-2.3584905660377409E-2</v>
      </c>
      <c r="O372" s="374">
        <f t="shared" si="830"/>
        <v>-0.25549189835155195</v>
      </c>
      <c r="P372" s="374">
        <f t="shared" si="830"/>
        <v>-0.33862537780832969</v>
      </c>
      <c r="Q372" s="374">
        <f t="shared" si="830"/>
        <v>-0.44215546171261588</v>
      </c>
      <c r="R372" s="375">
        <f t="shared" si="830"/>
        <v>-0.10690956408588148</v>
      </c>
      <c r="S372" s="375">
        <f t="shared" si="830"/>
        <v>4.9338718618832766E-2</v>
      </c>
      <c r="T372" s="375">
        <f t="shared" si="830"/>
        <v>-8.8413942931257705E-2</v>
      </c>
      <c r="U372" s="886">
        <v>0.01</v>
      </c>
      <c r="V372" s="886">
        <v>0</v>
      </c>
      <c r="W372" s="886">
        <v>0</v>
      </c>
      <c r="X372" s="886">
        <v>0</v>
      </c>
      <c r="Y372" s="886">
        <v>0</v>
      </c>
      <c r="Z372" s="886">
        <v>0</v>
      </c>
      <c r="AA372" s="886">
        <v>0</v>
      </c>
      <c r="AB372" s="886">
        <v>0</v>
      </c>
      <c r="AD372" s="373"/>
      <c r="AE372" s="373"/>
      <c r="AF372" s="373"/>
      <c r="AG372" s="373"/>
      <c r="AH372" s="373"/>
      <c r="AI372" s="373"/>
      <c r="AJ372" s="373"/>
      <c r="AK372" s="373"/>
      <c r="AL372" s="373"/>
      <c r="AM372" s="373"/>
      <c r="AN372" s="373"/>
      <c r="AO372" s="373"/>
      <c r="AP372" s="373"/>
      <c r="AQ372" s="373"/>
      <c r="AR372" s="373"/>
      <c r="AS372" s="373"/>
      <c r="AT372" s="373"/>
      <c r="AU372" s="373"/>
      <c r="AV372" s="373"/>
      <c r="AW372" s="373"/>
      <c r="AX372" s="373"/>
      <c r="AY372" s="373"/>
      <c r="AZ372" s="373"/>
      <c r="BA372" s="373"/>
      <c r="BB372" s="373"/>
      <c r="BC372" s="373"/>
      <c r="BD372" s="373"/>
      <c r="BE372" s="373"/>
      <c r="BF372" s="373"/>
      <c r="BG372" s="373"/>
      <c r="BH372" s="373"/>
      <c r="BI372" s="373"/>
      <c r="BJ372" s="373"/>
      <c r="BK372" s="373"/>
      <c r="BL372" s="373"/>
      <c r="BM372" s="373"/>
      <c r="BN372" s="373"/>
      <c r="BO372" s="373"/>
      <c r="BP372" s="373"/>
      <c r="BQ372" s="373"/>
      <c r="BR372" s="459"/>
      <c r="BS372" s="374"/>
      <c r="BT372" s="374"/>
      <c r="BU372" s="374"/>
      <c r="BV372" s="374">
        <f t="shared" si="823"/>
        <v>-3.5362318840579721E-2</v>
      </c>
      <c r="BW372" s="374">
        <f t="shared" si="823"/>
        <v>2.6157407407407409</v>
      </c>
      <c r="BX372" s="374">
        <f t="shared" si="823"/>
        <v>2.7214076246334309</v>
      </c>
      <c r="BY372" s="374">
        <f t="shared" si="823"/>
        <v>2.0792079207920797</v>
      </c>
      <c r="BZ372" s="374">
        <f t="shared" si="823"/>
        <v>2.6702127659574466</v>
      </c>
      <c r="CA372" s="374">
        <f t="shared" si="823"/>
        <v>4.4891640866872917E-2</v>
      </c>
      <c r="CB372" s="374">
        <f t="shared" si="823"/>
        <v>6.4924391847468899E-2</v>
      </c>
      <c r="CC372" s="374">
        <f t="shared" si="823"/>
        <v>8.3333333333333259E-2</v>
      </c>
      <c r="CD372" s="374">
        <f t="shared" si="823"/>
        <v>4.3989547038327581E-2</v>
      </c>
      <c r="CE372" s="374">
        <f t="shared" si="823"/>
        <v>-1.5132693393562824E-2</v>
      </c>
      <c r="CF372" s="374">
        <f t="shared" si="824"/>
        <v>1.3645224171540127E-2</v>
      </c>
      <c r="CG372" s="374">
        <f t="shared" si="824"/>
        <v>-0.14429800968262496</v>
      </c>
      <c r="CH372" s="374">
        <f t="shared" si="824"/>
        <v>-0.2279411764705882</v>
      </c>
      <c r="CI372" s="374">
        <f t="shared" si="824"/>
        <v>-0.24542752629172382</v>
      </c>
      <c r="CJ372" s="374">
        <f t="shared" si="824"/>
        <v>-0.3026490066225167</v>
      </c>
      <c r="CK372" s="374">
        <f t="shared" si="824"/>
        <v>-0.25408043075887599</v>
      </c>
      <c r="CL372" s="374">
        <f t="shared" si="824"/>
        <v>-0.22572242572242573</v>
      </c>
      <c r="CM372" s="374">
        <f t="shared" si="824"/>
        <v>-0.25748895072843347</v>
      </c>
      <c r="CN372" s="374">
        <f t="shared" si="824"/>
        <v>-0.39704861111111101</v>
      </c>
      <c r="CO372" s="374">
        <f t="shared" si="824"/>
        <v>-0.46474729431543549</v>
      </c>
      <c r="CP372" s="374">
        <f t="shared" si="825"/>
        <v>-0.51900327208658448</v>
      </c>
      <c r="CQ372" s="374">
        <f t="shared" si="825"/>
        <v>-0.51769529564091499</v>
      </c>
      <c r="CR372" s="374">
        <f t="shared" si="825"/>
        <v>-0.39857160756797394</v>
      </c>
      <c r="CS372" s="374">
        <f t="shared" si="825"/>
        <v>-0.25148032044583768</v>
      </c>
      <c r="CT372" s="374">
        <f t="shared" si="825"/>
        <v>-2.7909176915799527E-2</v>
      </c>
      <c r="CU372" s="374">
        <f t="shared" si="825"/>
        <v>-8.9820359281437279E-3</v>
      </c>
      <c r="CV372" s="374">
        <f t="shared" si="825"/>
        <v>-0.20911680911680919</v>
      </c>
      <c r="CW372" s="374">
        <f t="shared" si="825"/>
        <v>-0.19103972950126791</v>
      </c>
      <c r="CX372" s="374">
        <f t="shared" si="825"/>
        <v>-0.26116207951070325</v>
      </c>
      <c r="CY372" s="374">
        <f t="shared" si="825"/>
        <v>5.441039925719604E-2</v>
      </c>
      <c r="CZ372" s="374">
        <f t="shared" si="825"/>
        <v>0.37742382271468133</v>
      </c>
      <c r="DA372" s="374">
        <f t="shared" si="825"/>
        <v>0.10767790262172272</v>
      </c>
      <c r="DB372" s="374">
        <f t="shared" si="825"/>
        <v>3.9509536784741117E-2</v>
      </c>
      <c r="DC372" s="374">
        <f t="shared" si="825"/>
        <v>4.0278180237612204E-2</v>
      </c>
      <c r="DD372" s="374">
        <f t="shared" si="825"/>
        <v>-0.22780748663101602</v>
      </c>
      <c r="DE372" s="374">
        <f t="shared" si="825"/>
        <v>-0.19780803571428351</v>
      </c>
      <c r="DF372" s="374">
        <f t="shared" si="826"/>
        <v>3.2168629794330661E-2</v>
      </c>
      <c r="DG372" s="374">
        <f t="shared" si="827"/>
        <v>-0.20070211284046657</v>
      </c>
      <c r="DH372" s="374">
        <f t="shared" si="828"/>
        <v>8.2792704280156393E-2</v>
      </c>
      <c r="DI372" s="374">
        <f t="shared" si="829"/>
        <v>0.24811982662758059</v>
      </c>
    </row>
    <row r="373" spans="1:113">
      <c r="A373" s="953" t="s">
        <v>369</v>
      </c>
      <c r="K373" s="374">
        <f t="shared" ref="K373:W373" si="831">+K365/J365-1</f>
        <v>1.3095659848470609E-2</v>
      </c>
      <c r="L373" s="374">
        <f t="shared" si="831"/>
        <v>0.1400273856454386</v>
      </c>
      <c r="M373" s="374">
        <f t="shared" si="831"/>
        <v>-1.7791009442506667E-2</v>
      </c>
      <c r="N373" s="374">
        <f t="shared" si="831"/>
        <v>0.14080459770114961</v>
      </c>
      <c r="O373" s="374">
        <f t="shared" si="831"/>
        <v>0.34980013806051447</v>
      </c>
      <c r="P373" s="374">
        <f t="shared" si="831"/>
        <v>4.6140497320094953E-2</v>
      </c>
      <c r="Q373" s="374">
        <f t="shared" si="831"/>
        <v>1.9508983766598709E-2</v>
      </c>
      <c r="R373" s="375">
        <f t="shared" si="831"/>
        <v>-4.5567817728728865E-3</v>
      </c>
      <c r="S373" s="375">
        <f t="shared" si="831"/>
        <v>6.8448366251774306E-3</v>
      </c>
      <c r="T373" s="375">
        <f t="shared" si="831"/>
        <v>5.4713681544743764E-2</v>
      </c>
      <c r="U373" s="375">
        <f t="shared" si="831"/>
        <v>9.9999999999997868E-3</v>
      </c>
      <c r="V373" s="375">
        <f t="shared" si="831"/>
        <v>1.0803997373571184E-2</v>
      </c>
      <c r="W373" s="375">
        <f t="shared" si="831"/>
        <v>1.0795403832652095E-2</v>
      </c>
      <c r="X373" s="375">
        <f>+X365/W365-1</f>
        <v>2.1573817668018913E-2</v>
      </c>
      <c r="Y373" s="375">
        <f>+Y365/X365-1</f>
        <v>2.1540581444825735E-2</v>
      </c>
      <c r="Z373" s="375">
        <f>+Z365/Y365-1</f>
        <v>2.1508096176312996E-2</v>
      </c>
      <c r="AA373" s="375">
        <f>+AA365/Z365-1</f>
        <v>2.1476342852257524E-2</v>
      </c>
      <c r="AB373" s="375">
        <f>+AB365/AA365-1</f>
        <v>2.1445303028883922E-2</v>
      </c>
      <c r="AD373" s="387"/>
      <c r="AE373" s="387"/>
      <c r="AF373" s="387"/>
      <c r="AG373" s="387"/>
      <c r="AH373" s="387"/>
      <c r="AI373" s="387"/>
      <c r="AJ373" s="387"/>
      <c r="AK373" s="387"/>
      <c r="AL373" s="387"/>
      <c r="AM373" s="387"/>
      <c r="AN373" s="387"/>
      <c r="AO373" s="387"/>
      <c r="AP373" s="387"/>
      <c r="AQ373" s="387"/>
      <c r="AR373" s="387"/>
      <c r="AS373" s="387"/>
      <c r="AT373" s="387"/>
      <c r="AU373" s="387"/>
      <c r="AV373" s="387"/>
      <c r="AW373" s="387"/>
      <c r="AX373" s="471"/>
      <c r="AY373" s="471"/>
      <c r="AZ373" s="471"/>
      <c r="BA373" s="471"/>
      <c r="BB373" s="471"/>
      <c r="BC373" s="471"/>
      <c r="BD373" s="471"/>
      <c r="BE373" s="471"/>
      <c r="BF373" s="471"/>
      <c r="BG373" s="387"/>
      <c r="BH373" s="387"/>
      <c r="BI373" s="387"/>
      <c r="BJ373" s="387"/>
      <c r="BK373" s="387"/>
      <c r="BL373" s="387"/>
      <c r="BM373" s="387"/>
      <c r="BN373" s="387"/>
      <c r="BO373" s="387"/>
      <c r="BP373" s="387"/>
      <c r="BQ373" s="387"/>
      <c r="BR373" s="459"/>
      <c r="BS373" s="374"/>
      <c r="BT373" s="374"/>
      <c r="BU373" s="374"/>
      <c r="BV373" s="374">
        <f t="shared" si="823"/>
        <v>0.1780320366132726</v>
      </c>
      <c r="BW373" s="374">
        <f t="shared" si="823"/>
        <v>0.1446623093681918</v>
      </c>
      <c r="BX373" s="374">
        <f t="shared" si="823"/>
        <v>0.13709677419354849</v>
      </c>
      <c r="BY373" s="374">
        <f t="shared" si="823"/>
        <v>8.9760827934645349E-2</v>
      </c>
      <c r="BZ373" s="374">
        <f t="shared" si="823"/>
        <v>7.5112830431979249E-2</v>
      </c>
      <c r="CA373" s="374">
        <f t="shared" si="823"/>
        <v>0.12961258472094395</v>
      </c>
      <c r="CB373" s="374">
        <f t="shared" si="823"/>
        <v>-8.2840236686390512E-2</v>
      </c>
      <c r="CC373" s="374">
        <f t="shared" si="823"/>
        <v>-0.17441860465116277</v>
      </c>
      <c r="CD373" s="374">
        <f t="shared" si="823"/>
        <v>-8.5185630181424887E-2</v>
      </c>
      <c r="CE373" s="374">
        <f t="shared" si="823"/>
        <v>0.17363354037267076</v>
      </c>
      <c r="CF373" s="374">
        <f t="shared" si="824"/>
        <v>0.16625514403292185</v>
      </c>
      <c r="CG373" s="374">
        <f t="shared" si="824"/>
        <v>0.34295282182606113</v>
      </c>
      <c r="CH373" s="374">
        <f t="shared" si="824"/>
        <v>0.43672839506172823</v>
      </c>
      <c r="CI373" s="374">
        <f t="shared" si="824"/>
        <v>0.17220639442861674</v>
      </c>
      <c r="CJ373" s="374">
        <f t="shared" si="824"/>
        <v>0.41816027705206871</v>
      </c>
      <c r="CK373" s="374">
        <f t="shared" si="824"/>
        <v>0.437298782881822</v>
      </c>
      <c r="CL373" s="374">
        <f t="shared" si="824"/>
        <v>5.6928034371643399E-2</v>
      </c>
      <c r="CM373" s="374">
        <f t="shared" si="824"/>
        <v>3.9976655967318253E-2</v>
      </c>
      <c r="CN373" s="374">
        <f t="shared" si="824"/>
        <v>7.8571428571428514E-2</v>
      </c>
      <c r="CO373" s="374">
        <f t="shared" si="824"/>
        <v>-6.1583876221498191E-3</v>
      </c>
      <c r="CP373" s="374">
        <f t="shared" si="825"/>
        <v>7.2992700729926918E-2</v>
      </c>
      <c r="CQ373" s="374">
        <f t="shared" si="825"/>
        <v>4.3531996704202047E-2</v>
      </c>
      <c r="CR373" s="374">
        <f t="shared" si="825"/>
        <v>-2.9273471864098233E-2</v>
      </c>
      <c r="CS373" s="374">
        <f t="shared" si="825"/>
        <v>4.2251601471992029E-3</v>
      </c>
      <c r="CT373" s="374">
        <f t="shared" si="825"/>
        <v>-1.3507831388626101E-2</v>
      </c>
      <c r="CU373" s="374">
        <f t="shared" si="825"/>
        <v>-3.4891002309107133E-2</v>
      </c>
      <c r="CV373" s="374">
        <f t="shared" si="825"/>
        <v>7.140313390313402E-3</v>
      </c>
      <c r="CW373" s="374">
        <f t="shared" si="825"/>
        <v>2.2435897435897356E-2</v>
      </c>
      <c r="CX373" s="374">
        <f t="shared" si="825"/>
        <v>-2.2522824170182254E-2</v>
      </c>
      <c r="CY373" s="374">
        <f t="shared" si="825"/>
        <v>4.2754855957076732E-2</v>
      </c>
      <c r="CZ373" s="374">
        <f t="shared" si="825"/>
        <v>-9.8057542953282617E-3</v>
      </c>
      <c r="DA373" s="374">
        <f t="shared" si="825"/>
        <v>1.6385767790262129E-2</v>
      </c>
      <c r="DB373" s="374">
        <f t="shared" si="825"/>
        <v>6.3064925303016217E-2</v>
      </c>
      <c r="DC373" s="374">
        <f t="shared" si="825"/>
        <v>7.2269254594248267E-4</v>
      </c>
      <c r="DD373" s="374">
        <f t="shared" si="825"/>
        <v>0.11276795493662961</v>
      </c>
      <c r="DE373" s="374">
        <f t="shared" si="825"/>
        <v>4.7487640851369362E-2</v>
      </c>
      <c r="DF373" s="1051">
        <v>0.01</v>
      </c>
      <c r="DG373" s="1051">
        <v>0.01</v>
      </c>
      <c r="DH373" s="1051">
        <v>0.01</v>
      </c>
      <c r="DI373" s="374">
        <f t="shared" si="829"/>
        <v>1.0000000000000675E-2</v>
      </c>
    </row>
    <row r="374" spans="1:113">
      <c r="A374" s="953" t="s">
        <v>370</v>
      </c>
      <c r="K374" s="374">
        <f t="shared" ref="K374:T374" si="832">+K366/J366-1</f>
        <v>0.1206051267684547</v>
      </c>
      <c r="L374" s="374">
        <f t="shared" si="832"/>
        <v>0.24719243667813973</v>
      </c>
      <c r="M374" s="374">
        <f t="shared" si="832"/>
        <v>4.5477319329368271E-2</v>
      </c>
      <c r="N374" s="374">
        <f t="shared" si="832"/>
        <v>0.28491620111731875</v>
      </c>
      <c r="O374" s="374">
        <f t="shared" si="832"/>
        <v>0.34189134101960716</v>
      </c>
      <c r="P374" s="374">
        <f t="shared" si="832"/>
        <v>2.7011942237205266E-2</v>
      </c>
      <c r="Q374" s="374">
        <f t="shared" si="832"/>
        <v>-1.6613766009046071E-2</v>
      </c>
      <c r="R374" s="375">
        <f t="shared" si="832"/>
        <v>-4.3565459094372039E-2</v>
      </c>
      <c r="S374" s="375">
        <f t="shared" si="832"/>
        <v>-2.6395603404904211E-2</v>
      </c>
      <c r="T374" s="375">
        <f t="shared" si="832"/>
        <v>0.15452089307563344</v>
      </c>
      <c r="U374" s="886">
        <v>0.02</v>
      </c>
      <c r="V374" s="886">
        <v>0.01</v>
      </c>
      <c r="W374" s="886">
        <v>0.01</v>
      </c>
      <c r="X374" s="886">
        <v>-5.0000000000000001E-3</v>
      </c>
      <c r="Y374" s="886">
        <v>-5.0000000000000001E-3</v>
      </c>
      <c r="Z374" s="886">
        <v>-5.0000000000000001E-3</v>
      </c>
      <c r="AA374" s="886">
        <v>-5.0000000000000001E-3</v>
      </c>
      <c r="AB374" s="886">
        <v>-5.0000000000000001E-3</v>
      </c>
      <c r="AD374" s="387"/>
      <c r="AE374" s="387"/>
      <c r="AF374" s="387"/>
      <c r="AG374" s="387"/>
      <c r="AH374" s="387"/>
      <c r="AI374" s="387"/>
      <c r="AJ374" s="387"/>
      <c r="AK374" s="387"/>
      <c r="AL374" s="387"/>
      <c r="AM374" s="387"/>
      <c r="AN374" s="387"/>
      <c r="AO374" s="387"/>
      <c r="AP374" s="387"/>
      <c r="AQ374" s="387"/>
      <c r="AR374" s="387"/>
      <c r="AS374" s="387"/>
      <c r="AT374" s="387"/>
      <c r="AU374" s="387"/>
      <c r="AV374" s="387"/>
      <c r="AW374" s="387"/>
      <c r="AX374" s="471"/>
      <c r="AY374" s="471"/>
      <c r="AZ374" s="471"/>
      <c r="BA374" s="471"/>
      <c r="BB374" s="471"/>
      <c r="BC374" s="471"/>
      <c r="BD374" s="471"/>
      <c r="BE374" s="471"/>
      <c r="BF374" s="471"/>
      <c r="BG374" s="387"/>
      <c r="BH374" s="387"/>
      <c r="BI374" s="387"/>
      <c r="BJ374" s="387"/>
      <c r="BK374" s="387"/>
      <c r="BL374" s="387"/>
      <c r="BM374" s="387"/>
      <c r="BN374" s="387"/>
      <c r="BO374" s="387"/>
      <c r="BP374" s="387"/>
      <c r="BQ374" s="387"/>
      <c r="BR374" s="459"/>
      <c r="BS374" s="374"/>
      <c r="BT374" s="374"/>
      <c r="BU374" s="374"/>
      <c r="BV374" s="374">
        <f t="shared" si="823"/>
        <v>0.1509881422924908</v>
      </c>
      <c r="BW374" s="374">
        <f t="shared" si="823"/>
        <v>0.31481481481481532</v>
      </c>
      <c r="BX374" s="374">
        <f t="shared" si="823"/>
        <v>0.26948603179503028</v>
      </c>
      <c r="BY374" s="374">
        <f t="shared" si="823"/>
        <v>0.23694677160023692</v>
      </c>
      <c r="BZ374" s="374">
        <f t="shared" si="823"/>
        <v>0.1360182370820664</v>
      </c>
      <c r="CA374" s="374">
        <f t="shared" si="823"/>
        <v>8.1770169368056811E-2</v>
      </c>
      <c r="CB374" s="374">
        <f t="shared" si="823"/>
        <v>-5.165680473372769E-2</v>
      </c>
      <c r="CC374" s="374">
        <f t="shared" si="823"/>
        <v>4.2553191489361764E-2</v>
      </c>
      <c r="CD374" s="374">
        <f t="shared" si="823"/>
        <v>0.48646475475743789</v>
      </c>
      <c r="CE374" s="374">
        <f t="shared" si="823"/>
        <v>0.59584980237154128</v>
      </c>
      <c r="CF374" s="374">
        <f t="shared" si="824"/>
        <v>0.10638297872340452</v>
      </c>
      <c r="CG374" s="374">
        <f t="shared" si="824"/>
        <v>1.6198087626658975E-2</v>
      </c>
      <c r="CH374" s="374">
        <f t="shared" si="824"/>
        <v>0.31572629610293568</v>
      </c>
      <c r="CI374" s="374">
        <f t="shared" si="824"/>
        <v>0.15952136050531696</v>
      </c>
      <c r="CJ374" s="374">
        <f t="shared" si="824"/>
        <v>0.44176331253328538</v>
      </c>
      <c r="CK374" s="374">
        <f t="shared" si="824"/>
        <v>0.48431401472155855</v>
      </c>
      <c r="CL374" s="374">
        <f t="shared" si="824"/>
        <v>6.1239834639704727E-2</v>
      </c>
      <c r="CM374" s="374">
        <f t="shared" si="824"/>
        <v>1.2608551796576828E-2</v>
      </c>
      <c r="CN374" s="374">
        <f t="shared" si="824"/>
        <v>0.10754701670211397</v>
      </c>
      <c r="CO374" s="374">
        <f t="shared" si="824"/>
        <v>-4.2250541615497794E-2</v>
      </c>
      <c r="CP374" s="374">
        <f t="shared" si="825"/>
        <v>3.5969293038636607E-2</v>
      </c>
      <c r="CQ374" s="374">
        <f t="shared" si="825"/>
        <v>2.0412765283341683E-2</v>
      </c>
      <c r="CR374" s="374">
        <f t="shared" si="825"/>
        <v>-8.1078169234885644E-2</v>
      </c>
      <c r="CS374" s="374">
        <f t="shared" si="825"/>
        <v>-3.4751383556507309E-2</v>
      </c>
      <c r="CT374" s="374">
        <f t="shared" si="825"/>
        <v>-4.4221646594550412E-2</v>
      </c>
      <c r="CU374" s="374">
        <f t="shared" si="825"/>
        <v>-8.9673090455288818E-2</v>
      </c>
      <c r="CV374" s="374">
        <f t="shared" si="825"/>
        <v>-6.0747748541097102E-2</v>
      </c>
      <c r="CW374" s="374">
        <f t="shared" si="825"/>
        <v>1.7828367080070517E-2</v>
      </c>
      <c r="CX374" s="374">
        <f t="shared" si="825"/>
        <v>-4.4949028398372448E-2</v>
      </c>
      <c r="CY374" s="374">
        <f t="shared" si="825"/>
        <v>-1.0683197502351249E-2</v>
      </c>
      <c r="CZ374" s="374">
        <f t="shared" si="825"/>
        <v>-2.8322210061853426E-2</v>
      </c>
      <c r="DA374" s="374">
        <f t="shared" si="825"/>
        <v>-2.7266491672073845E-2</v>
      </c>
      <c r="DB374" s="374">
        <f t="shared" si="825"/>
        <v>-3.5528548476098099E-3</v>
      </c>
      <c r="DC374" s="374">
        <f t="shared" si="825"/>
        <v>0.12760805427205679</v>
      </c>
      <c r="DD374" s="374">
        <f t="shared" si="825"/>
        <v>0.32374000672137648</v>
      </c>
      <c r="DE374" s="374">
        <f t="shared" si="825"/>
        <v>0.20212775354071355</v>
      </c>
      <c r="DF374" s="1051">
        <v>-5.0000000000000001E-3</v>
      </c>
      <c r="DG374" s="1051">
        <v>-5.0000000000000001E-3</v>
      </c>
      <c r="DH374" s="1051">
        <v>-5.0000000000000001E-3</v>
      </c>
      <c r="DI374" s="374">
        <f t="shared" si="829"/>
        <v>9.5598551794926045E-2</v>
      </c>
    </row>
    <row r="375" spans="1:113">
      <c r="A375" s="911" t="s">
        <v>490</v>
      </c>
      <c r="K375" s="685">
        <f t="shared" ref="K375:W375" si="833">+K367/J367-1</f>
        <v>-5.8380414312617757E-2</v>
      </c>
      <c r="L375" s="685">
        <f t="shared" si="833"/>
        <v>5.5237455158027027E-2</v>
      </c>
      <c r="M375" s="685">
        <f t="shared" si="833"/>
        <v>-7.6955446618368173E-2</v>
      </c>
      <c r="N375" s="685">
        <f t="shared" si="833"/>
        <v>-1.1834319526626946E-2</v>
      </c>
      <c r="O375" s="685">
        <f t="shared" si="833"/>
        <v>0.36069249326655384</v>
      </c>
      <c r="P375" s="685">
        <f t="shared" si="833"/>
        <v>7.2121199967387861E-2</v>
      </c>
      <c r="Q375" s="685">
        <f t="shared" si="833"/>
        <v>6.6507174466429397E-2</v>
      </c>
      <c r="R375" s="682">
        <f t="shared" si="833"/>
        <v>4.2240637561516303E-2</v>
      </c>
      <c r="S375" s="682">
        <f t="shared" si="833"/>
        <v>4.3439241875329548E-2</v>
      </c>
      <c r="T375" s="682">
        <f t="shared" si="833"/>
        <v>-4.7810240520307468E-2</v>
      </c>
      <c r="U375" s="682">
        <f t="shared" si="833"/>
        <v>-2.4549382817466991E-3</v>
      </c>
      <c r="V375" s="682">
        <f t="shared" si="833"/>
        <v>1.182791226341573E-2</v>
      </c>
      <c r="W375" s="682">
        <f t="shared" si="833"/>
        <v>1.1806544612241954E-2</v>
      </c>
      <c r="X375" s="682">
        <f>+X367/W367-1</f>
        <v>5.5294921858889845E-2</v>
      </c>
      <c r="Y375" s="682">
        <f>+Y367/X367-1</f>
        <v>5.3295243979919471E-2</v>
      </c>
      <c r="Z375" s="682">
        <f>+Z367/Y367-1</f>
        <v>5.146856216564033E-2</v>
      </c>
      <c r="AA375" s="682">
        <f>+AA367/Z367-1</f>
        <v>4.9793836452500573E-2</v>
      </c>
      <c r="AB375" s="682">
        <f>+AB367/AA367-1</f>
        <v>4.825330363860636E-2</v>
      </c>
      <c r="AD375" s="373"/>
      <c r="AE375" s="373"/>
      <c r="AF375" s="373"/>
      <c r="AG375" s="373"/>
      <c r="AH375" s="373"/>
      <c r="AI375" s="373"/>
      <c r="AJ375" s="373"/>
      <c r="AK375" s="373"/>
      <c r="AL375" s="373"/>
      <c r="AM375" s="373"/>
      <c r="AN375" s="373"/>
      <c r="AO375" s="373"/>
      <c r="AP375" s="373"/>
      <c r="AQ375" s="373"/>
      <c r="AR375" s="373"/>
      <c r="AS375" s="373"/>
      <c r="AT375" s="373"/>
      <c r="AU375" s="373"/>
      <c r="AV375" s="373"/>
      <c r="AW375" s="373"/>
      <c r="AX375" s="373"/>
      <c r="AY375" s="373"/>
      <c r="AZ375" s="373"/>
      <c r="BA375" s="373"/>
      <c r="BB375" s="373"/>
      <c r="BC375" s="373"/>
      <c r="BD375" s="373"/>
      <c r="BE375" s="373"/>
      <c r="BF375" s="373"/>
      <c r="BG375" s="373"/>
      <c r="BH375" s="373"/>
      <c r="BI375" s="373"/>
      <c r="BJ375" s="373"/>
      <c r="BK375" s="373"/>
      <c r="BL375" s="373"/>
      <c r="BM375" s="373"/>
      <c r="BN375" s="373"/>
      <c r="BO375" s="373"/>
      <c r="BP375" s="373"/>
      <c r="BQ375" s="373"/>
      <c r="BR375" s="459"/>
      <c r="BS375" s="374"/>
      <c r="BT375" s="374"/>
      <c r="BU375" s="374"/>
      <c r="BV375" s="374">
        <f t="shared" si="823"/>
        <v>0.1987866531850353</v>
      </c>
      <c r="BW375" s="374">
        <f t="shared" si="823"/>
        <v>3.1227305737109523E-2</v>
      </c>
      <c r="BX375" s="374">
        <f t="shared" si="823"/>
        <v>2.7731735305367877E-2</v>
      </c>
      <c r="BY375" s="374">
        <f t="shared" si="823"/>
        <v>-4.6911834040546885E-2</v>
      </c>
      <c r="BZ375" s="374">
        <f t="shared" si="823"/>
        <v>3.0235162374020241E-2</v>
      </c>
      <c r="CA375" s="374">
        <f t="shared" si="823"/>
        <v>0.17027863777089802</v>
      </c>
      <c r="CB375" s="374">
        <f t="shared" si="823"/>
        <v>-0.11466006520951577</v>
      </c>
      <c r="CC375" s="374">
        <f t="shared" si="823"/>
        <v>-0.4358974358974359</v>
      </c>
      <c r="CD375" s="374">
        <f t="shared" si="823"/>
        <v>-0.54965156794425085</v>
      </c>
      <c r="CE375" s="374">
        <f t="shared" si="823"/>
        <v>-0.15810780834072757</v>
      </c>
      <c r="CF375" s="374">
        <f t="shared" si="824"/>
        <v>0.23169681309216172</v>
      </c>
      <c r="CG375" s="374">
        <f t="shared" si="824"/>
        <v>1.0707247298156388</v>
      </c>
      <c r="CH375" s="374">
        <f t="shared" si="824"/>
        <v>0.76123402408758034</v>
      </c>
      <c r="CI375" s="374">
        <f t="shared" si="824"/>
        <v>0.19109899814416975</v>
      </c>
      <c r="CJ375" s="374">
        <f t="shared" si="824"/>
        <v>0.39498638767051042</v>
      </c>
      <c r="CK375" s="374">
        <f t="shared" si="824"/>
        <v>0.38591004110350502</v>
      </c>
      <c r="CL375" s="374">
        <f t="shared" si="824"/>
        <v>4.8289571840157697E-2</v>
      </c>
      <c r="CM375" s="374">
        <f t="shared" si="824"/>
        <v>7.9657033040798852E-2</v>
      </c>
      <c r="CN375" s="374">
        <f t="shared" si="824"/>
        <v>4.9168720599285898E-2</v>
      </c>
      <c r="CO375" s="374">
        <f t="shared" si="824"/>
        <v>3.6092219191531827E-2</v>
      </c>
      <c r="CP375" s="374">
        <f t="shared" si="825"/>
        <v>0.14808345829580927</v>
      </c>
      <c r="CQ375" s="374">
        <f t="shared" si="825"/>
        <v>7.4970382651050604E-2</v>
      </c>
      <c r="CR375" s="374">
        <f t="shared" si="825"/>
        <v>2.6219891700726361E-2</v>
      </c>
      <c r="CS375" s="374">
        <f t="shared" si="825"/>
        <v>4.6402285532095355E-2</v>
      </c>
      <c r="CT375" s="685">
        <f t="shared" si="825"/>
        <v>4.2702647653872772E-2</v>
      </c>
      <c r="CU375" s="685">
        <f t="shared" si="825"/>
        <v>3.5822901827472942E-2</v>
      </c>
      <c r="CV375" s="685">
        <f t="shared" si="825"/>
        <v>7.2258674131450817E-2</v>
      </c>
      <c r="CW375" s="374">
        <f t="shared" si="825"/>
        <v>2.7035098173368244E-2</v>
      </c>
      <c r="CX375" s="685">
        <f t="shared" si="825"/>
        <v>1.5098667093678131E-2</v>
      </c>
      <c r="CY375" s="685">
        <f t="shared" si="825"/>
        <v>0.10337664305824323</v>
      </c>
      <c r="CZ375" s="685">
        <f t="shared" si="825"/>
        <v>5.7521317909887681E-3</v>
      </c>
      <c r="DA375" s="685">
        <f t="shared" si="825"/>
        <v>5.9568503579238596E-2</v>
      </c>
      <c r="DB375" s="685">
        <f t="shared" si="825"/>
        <v>0.16820993944639251</v>
      </c>
      <c r="DC375" s="685">
        <f t="shared" si="825"/>
        <v>-0.12834014996604814</v>
      </c>
      <c r="DD375" s="685">
        <f t="shared" si="825"/>
        <v>-5.8489295100106031E-2</v>
      </c>
      <c r="DE375" s="685">
        <f t="shared" si="825"/>
        <v>-9.2952229240620743E-2</v>
      </c>
      <c r="DF375" s="374">
        <f t="shared" ref="DF375" si="834">DF367/DB367-1</f>
        <v>3.0194037391901629E-2</v>
      </c>
      <c r="DG375" s="374">
        <f t="shared" ref="DG375" si="835">DG367/DC367-1</f>
        <v>2.9737497587436046E-2</v>
      </c>
      <c r="DH375" s="374">
        <f t="shared" ref="DH375" si="836">DH367/DD367-1</f>
        <v>2.7119565217391006E-2</v>
      </c>
      <c r="DI375" s="374">
        <f t="shared" si="829"/>
        <v>-9.3027969847360503E-2</v>
      </c>
    </row>
    <row r="376" spans="1:113">
      <c r="CH376" s="409"/>
      <c r="CI376" s="409"/>
      <c r="CJ376" s="409"/>
      <c r="CK376" s="409"/>
      <c r="CP376" s="404"/>
      <c r="CT376" s="409"/>
    </row>
    <row r="377" spans="1:113">
      <c r="A377" s="954" t="s">
        <v>21</v>
      </c>
      <c r="AD377" s="373"/>
      <c r="AE377" s="373"/>
      <c r="AF377" s="373"/>
      <c r="AG377" s="373"/>
      <c r="AH377" s="373"/>
      <c r="AI377" s="373"/>
      <c r="AJ377" s="373"/>
      <c r="AK377" s="373"/>
      <c r="AL377" s="373"/>
      <c r="AM377" s="373"/>
      <c r="AN377" s="373"/>
      <c r="AO377" s="373"/>
      <c r="AP377" s="373"/>
      <c r="AQ377" s="373"/>
      <c r="AR377" s="373"/>
      <c r="AS377" s="373"/>
      <c r="AT377" s="373"/>
      <c r="AU377" s="373"/>
      <c r="AV377" s="373"/>
      <c r="AW377" s="373"/>
      <c r="AX377" s="373"/>
      <c r="AY377" s="373"/>
      <c r="AZ377" s="373"/>
      <c r="BA377" s="373"/>
      <c r="BB377" s="373"/>
      <c r="BC377" s="373"/>
      <c r="BD377" s="373"/>
      <c r="BE377" s="373"/>
      <c r="BF377" s="373"/>
      <c r="BG377" s="373"/>
      <c r="BH377" s="373"/>
      <c r="BI377" s="373"/>
      <c r="BJ377" s="373"/>
      <c r="BK377" s="373"/>
      <c r="BL377" s="373"/>
      <c r="BM377" s="373"/>
      <c r="BN377" s="373"/>
      <c r="BO377" s="373"/>
      <c r="BP377" s="373"/>
      <c r="BQ377" s="373"/>
      <c r="BR377" s="373"/>
      <c r="BS377" s="373"/>
      <c r="BT377" s="373"/>
      <c r="BU377" s="373"/>
      <c r="BV377" s="373"/>
      <c r="BW377" s="373"/>
      <c r="BX377" s="373"/>
      <c r="BY377" s="373"/>
      <c r="BZ377" s="373"/>
      <c r="CA377" s="373"/>
      <c r="CB377" s="373"/>
      <c r="CC377" s="373"/>
      <c r="CD377" s="373"/>
      <c r="CE377" s="373"/>
      <c r="CF377" s="373"/>
      <c r="CG377" s="373"/>
      <c r="CH377" s="585"/>
      <c r="CI377" s="585"/>
      <c r="CJ377" s="585"/>
      <c r="CK377" s="585"/>
      <c r="CL377" s="373"/>
      <c r="CM377" s="373"/>
      <c r="CN377" s="373"/>
      <c r="CO377" s="373"/>
      <c r="CP377" s="373"/>
      <c r="CQ377" s="373"/>
      <c r="CR377" s="373"/>
      <c r="CS377" s="373"/>
      <c r="CT377" s="585"/>
      <c r="CU377" s="373"/>
      <c r="CV377" s="373"/>
      <c r="CW377" s="373"/>
      <c r="CX377" s="373"/>
      <c r="CY377" s="373"/>
      <c r="CZ377" s="373"/>
      <c r="DA377" s="373"/>
      <c r="DB377" s="373"/>
      <c r="DC377" s="373"/>
      <c r="DD377" s="373"/>
      <c r="DE377" s="373"/>
      <c r="DF377" s="373"/>
      <c r="DG377" s="373"/>
      <c r="DH377" s="373"/>
      <c r="DI377" s="373"/>
    </row>
    <row r="378" spans="1:113">
      <c r="A378" s="955" t="s">
        <v>372</v>
      </c>
      <c r="AD378" s="412"/>
      <c r="AE378" s="412"/>
      <c r="AF378" s="412"/>
      <c r="AG378" s="412"/>
      <c r="AH378" s="412"/>
      <c r="AI378" s="412"/>
      <c r="AJ378" s="412"/>
      <c r="AK378" s="412"/>
      <c r="AL378" s="412"/>
      <c r="AM378" s="412"/>
      <c r="AN378" s="412"/>
      <c r="AO378" s="412"/>
      <c r="AP378" s="412"/>
      <c r="AQ378" s="412"/>
      <c r="AR378" s="412"/>
      <c r="AS378" s="412"/>
      <c r="AT378" s="412"/>
      <c r="AU378" s="412"/>
      <c r="AV378" s="412"/>
      <c r="AW378" s="412"/>
      <c r="AX378" s="412"/>
      <c r="AY378" s="412"/>
      <c r="AZ378" s="412"/>
      <c r="BA378" s="412"/>
      <c r="BB378" s="412"/>
      <c r="BC378" s="412"/>
      <c r="BD378" s="412"/>
      <c r="BE378" s="412"/>
      <c r="BF378" s="412"/>
      <c r="BG378" s="412"/>
      <c r="BH378" s="412"/>
      <c r="BI378" s="412"/>
      <c r="BJ378" s="412"/>
      <c r="BK378" s="412"/>
      <c r="BL378" s="412"/>
      <c r="BM378" s="412"/>
      <c r="BN378" s="412"/>
      <c r="BO378" s="412"/>
      <c r="BP378" s="412"/>
      <c r="BQ378" s="412"/>
      <c r="BR378" s="412">
        <f>BV378-0.009</f>
        <v>0.27</v>
      </c>
      <c r="BS378" s="412">
        <v>0.27700000000000002</v>
      </c>
      <c r="BT378" s="412">
        <v>0.30199999999999999</v>
      </c>
      <c r="BU378" s="412"/>
      <c r="BV378" s="412">
        <v>0.27900000000000003</v>
      </c>
      <c r="BW378" s="412">
        <v>0.30399999999999999</v>
      </c>
      <c r="BX378" s="412">
        <v>0.309</v>
      </c>
      <c r="BY378" s="412">
        <v>0.30599999999999999</v>
      </c>
      <c r="BZ378" s="412">
        <v>0.28199999999999997</v>
      </c>
      <c r="CA378" s="412">
        <v>0.27900000000000003</v>
      </c>
      <c r="CB378" s="412">
        <v>0.29099999999999998</v>
      </c>
      <c r="CC378" s="412">
        <v>0.29099999999999998</v>
      </c>
      <c r="CD378" s="562">
        <v>0.28899999999999998</v>
      </c>
      <c r="CE378" s="562">
        <v>0.28799999999999998</v>
      </c>
      <c r="CF378" s="562">
        <v>0.29199999999999998</v>
      </c>
      <c r="CG378" s="562">
        <v>0.308</v>
      </c>
      <c r="CH378" s="562">
        <v>0.307</v>
      </c>
      <c r="CI378" s="562">
        <v>0.29799999999999999</v>
      </c>
      <c r="CJ378" s="562">
        <v>0.29899999999999999</v>
      </c>
      <c r="CK378" s="587">
        <v>0.29699999999999999</v>
      </c>
      <c r="CL378" s="562">
        <v>0.28399999999999997</v>
      </c>
      <c r="CM378" s="562">
        <v>0.29799999999999999</v>
      </c>
      <c r="CN378" s="562">
        <v>0.29199999999999998</v>
      </c>
      <c r="CO378" s="587">
        <v>0.28999999999999998</v>
      </c>
      <c r="CP378" s="587">
        <v>0.28199999999999997</v>
      </c>
      <c r="CQ378" s="562">
        <v>0.28999999999999998</v>
      </c>
      <c r="CR378" s="562">
        <v>0.28899999999999998</v>
      </c>
      <c r="CS378" s="438">
        <v>0.28399999999999997</v>
      </c>
      <c r="CT378" s="689">
        <v>0.27100000000000002</v>
      </c>
      <c r="CU378" s="689">
        <v>0.27500000000000002</v>
      </c>
      <c r="CV378" s="689">
        <v>0.28100000000000003</v>
      </c>
      <c r="CW378" s="412">
        <v>0.27</v>
      </c>
      <c r="CX378" s="438">
        <v>0.25900000000000001</v>
      </c>
      <c r="CY378" s="438">
        <v>0.26300000000000001</v>
      </c>
      <c r="CZ378" s="438">
        <v>0.26800000000000002</v>
      </c>
      <c r="DA378" s="990">
        <v>0.26400000000000001</v>
      </c>
      <c r="DB378" s="990"/>
      <c r="DC378" s="990"/>
      <c r="DD378" s="990"/>
      <c r="DE378" s="990"/>
      <c r="DF378" s="412"/>
      <c r="DG378" s="412"/>
      <c r="DH378" s="412"/>
      <c r="DI378" s="412"/>
    </row>
    <row r="379" spans="1:113">
      <c r="A379" s="955" t="s">
        <v>365</v>
      </c>
      <c r="AD379" s="412"/>
      <c r="AE379" s="412"/>
      <c r="AF379" s="412"/>
      <c r="AG379" s="412"/>
      <c r="AH379" s="412"/>
      <c r="AI379" s="412"/>
      <c r="AJ379" s="412"/>
      <c r="AK379" s="412"/>
      <c r="AL379" s="412"/>
      <c r="AM379" s="412"/>
      <c r="AN379" s="412"/>
      <c r="AO379" s="412"/>
      <c r="AP379" s="412"/>
      <c r="AQ379" s="412"/>
      <c r="AR379" s="412"/>
      <c r="AS379" s="412"/>
      <c r="AT379" s="412"/>
      <c r="AU379" s="412"/>
      <c r="AV379" s="412"/>
      <c r="AW379" s="412"/>
      <c r="AX379" s="412"/>
      <c r="AY379" s="412"/>
      <c r="AZ379" s="412"/>
      <c r="BA379" s="412"/>
      <c r="BB379" s="412"/>
      <c r="BC379" s="412"/>
      <c r="BD379" s="412"/>
      <c r="BE379" s="412"/>
      <c r="BF379" s="412"/>
      <c r="BG379" s="412"/>
      <c r="BH379" s="412"/>
      <c r="BI379" s="412"/>
      <c r="BJ379" s="412"/>
      <c r="BK379" s="412"/>
      <c r="BL379" s="412"/>
      <c r="BM379" s="412"/>
      <c r="BN379" s="412"/>
      <c r="BO379" s="412"/>
      <c r="BP379" s="412"/>
      <c r="BQ379" s="412"/>
      <c r="BR379" s="412">
        <f>BR380-BR378</f>
        <v>6.9999999999999507E-3</v>
      </c>
      <c r="BS379" s="412">
        <f>BS380-BS378</f>
        <v>6.9999999999999507E-3</v>
      </c>
      <c r="BT379" s="412">
        <f>BT380-BT378</f>
        <v>6.0000000000000053E-3</v>
      </c>
      <c r="BU379" s="412"/>
      <c r="BV379" s="412">
        <f t="shared" ref="BV379:CB379" si="837">BV380-BV378</f>
        <v>5.9999999999999498E-3</v>
      </c>
      <c r="BW379" s="412">
        <f t="shared" si="837"/>
        <v>6.0000000000000053E-3</v>
      </c>
      <c r="BX379" s="412">
        <f t="shared" si="837"/>
        <v>5.0000000000000044E-3</v>
      </c>
      <c r="BY379" s="412">
        <f t="shared" si="837"/>
        <v>5.0000000000000044E-3</v>
      </c>
      <c r="BZ379" s="412">
        <f t="shared" si="837"/>
        <v>4.0000000000000036E-3</v>
      </c>
      <c r="CA379" s="412">
        <f t="shared" si="837"/>
        <v>3.999999999999948E-3</v>
      </c>
      <c r="CB379" s="412">
        <f t="shared" si="837"/>
        <v>3.0000000000000027E-3</v>
      </c>
      <c r="CC379" s="412">
        <v>3.0000000000000001E-3</v>
      </c>
      <c r="CD379" s="562">
        <f>CD380-CD378</f>
        <v>2.0000000000000018E-3</v>
      </c>
      <c r="CE379" s="562">
        <f>CE380-CE378</f>
        <v>3.0000000000000027E-3</v>
      </c>
      <c r="CF379" s="562">
        <v>3.0000000000000001E-3</v>
      </c>
      <c r="CG379" s="562">
        <v>3.0000000000000001E-3</v>
      </c>
      <c r="CH379" s="562">
        <f>CH380-CH378</f>
        <v>2.0000000000000018E-3</v>
      </c>
      <c r="CI379" s="562">
        <f>+CI380-CI378</f>
        <v>3.0000000000000027E-3</v>
      </c>
      <c r="CJ379" s="562">
        <v>2E-3</v>
      </c>
      <c r="CK379" s="587">
        <v>3.0000000000000001E-3</v>
      </c>
      <c r="CL379" s="562">
        <v>2E-3</v>
      </c>
      <c r="CM379" s="562">
        <v>2E-3</v>
      </c>
      <c r="CN379" s="562">
        <v>2E-3</v>
      </c>
      <c r="CO379" s="587">
        <v>4.0000000000000001E-3</v>
      </c>
      <c r="CP379" s="587">
        <v>2E-3</v>
      </c>
      <c r="CQ379" s="562">
        <v>4.0000000000000001E-3</v>
      </c>
      <c r="CR379" s="562">
        <v>4.0000000000000001E-3</v>
      </c>
      <c r="CS379" s="438">
        <v>4.0000000000000001E-3</v>
      </c>
      <c r="CT379" s="689">
        <v>3.0000000000000001E-3</v>
      </c>
      <c r="CU379" s="689">
        <v>3.0000000000000001E-3</v>
      </c>
      <c r="CV379" s="689">
        <v>5.0000000000000001E-3</v>
      </c>
      <c r="CW379" s="412">
        <v>4.0000000000000001E-3</v>
      </c>
      <c r="CX379" s="438">
        <v>5.0000000000000001E-3</v>
      </c>
      <c r="CY379" s="438">
        <v>4.0000000000000001E-3</v>
      </c>
      <c r="CZ379" s="438">
        <v>3.0000000000000001E-3</v>
      </c>
      <c r="DA379" s="990">
        <v>2E-3</v>
      </c>
      <c r="DB379" s="990"/>
      <c r="DC379" s="990"/>
      <c r="DD379" s="990"/>
      <c r="DE379" s="990"/>
      <c r="DF379" s="412"/>
      <c r="DG379" s="412"/>
      <c r="DH379" s="412"/>
      <c r="DI379" s="412"/>
    </row>
    <row r="380" spans="1:113">
      <c r="A380" s="955" t="s">
        <v>406</v>
      </c>
      <c r="AD380" s="412"/>
      <c r="AE380" s="412"/>
      <c r="AF380" s="412"/>
      <c r="AG380" s="412"/>
      <c r="AH380" s="412"/>
      <c r="AI380" s="412"/>
      <c r="AJ380" s="412"/>
      <c r="AK380" s="412"/>
      <c r="AL380" s="412"/>
      <c r="AM380" s="412"/>
      <c r="AN380" s="412"/>
      <c r="AO380" s="412"/>
      <c r="AP380" s="412"/>
      <c r="AQ380" s="412"/>
      <c r="AR380" s="412"/>
      <c r="AS380" s="412"/>
      <c r="AT380" s="412"/>
      <c r="AU380" s="412"/>
      <c r="AV380" s="412"/>
      <c r="AW380" s="412"/>
      <c r="AX380" s="412"/>
      <c r="AY380" s="412"/>
      <c r="AZ380" s="412"/>
      <c r="BA380" s="412"/>
      <c r="BB380" s="412"/>
      <c r="BC380" s="412"/>
      <c r="BD380" s="412"/>
      <c r="BE380" s="412"/>
      <c r="BF380" s="412"/>
      <c r="BG380" s="412"/>
      <c r="BH380" s="412"/>
      <c r="BI380" s="412"/>
      <c r="BJ380" s="412"/>
      <c r="BK380" s="412"/>
      <c r="BL380" s="412"/>
      <c r="BM380" s="412"/>
      <c r="BN380" s="412"/>
      <c r="BO380" s="412"/>
      <c r="BP380" s="412"/>
      <c r="BQ380" s="412"/>
      <c r="BR380" s="412">
        <f>BV380-0.008</f>
        <v>0.27699999999999997</v>
      </c>
      <c r="BS380" s="412">
        <v>0.28399999999999997</v>
      </c>
      <c r="BT380" s="412">
        <v>0.308</v>
      </c>
      <c r="BU380" s="412"/>
      <c r="BV380" s="412">
        <v>0.28499999999999998</v>
      </c>
      <c r="BW380" s="412">
        <v>0.31</v>
      </c>
      <c r="BX380" s="412">
        <v>0.314</v>
      </c>
      <c r="BY380" s="412">
        <v>0.311</v>
      </c>
      <c r="BZ380" s="412">
        <v>0.28599999999999998</v>
      </c>
      <c r="CA380" s="412">
        <v>0.28299999999999997</v>
      </c>
      <c r="CB380" s="412">
        <v>0.29399999999999998</v>
      </c>
      <c r="CC380" s="412">
        <v>0.29399999999999998</v>
      </c>
      <c r="CD380" s="562">
        <v>0.29099999999999998</v>
      </c>
      <c r="CE380" s="562">
        <v>0.29099999999999998</v>
      </c>
      <c r="CF380" s="562">
        <v>0.29499999999999998</v>
      </c>
      <c r="CG380" s="562">
        <v>0.311</v>
      </c>
      <c r="CH380" s="562">
        <v>0.309</v>
      </c>
      <c r="CI380" s="562">
        <v>0.30099999999999999</v>
      </c>
      <c r="CJ380" s="562">
        <v>0.30099999999999999</v>
      </c>
      <c r="CK380" s="587">
        <v>0.3</v>
      </c>
      <c r="CL380" s="562">
        <v>0.28599999999999998</v>
      </c>
      <c r="CM380" s="562">
        <v>0.3</v>
      </c>
      <c r="CN380" s="562">
        <v>0.29399999999999998</v>
      </c>
      <c r="CO380" s="587">
        <v>0.29399999999999998</v>
      </c>
      <c r="CP380" s="588">
        <f t="shared" ref="CP380:DC380" si="838">+CP379+CP378</f>
        <v>0.28399999999999997</v>
      </c>
      <c r="CQ380" s="412">
        <f t="shared" si="838"/>
        <v>0.29399999999999998</v>
      </c>
      <c r="CR380" s="412">
        <f t="shared" si="838"/>
        <v>0.29299999999999998</v>
      </c>
      <c r="CS380" s="412">
        <f t="shared" si="838"/>
        <v>0.28799999999999998</v>
      </c>
      <c r="CT380" s="588">
        <f t="shared" si="838"/>
        <v>0.27400000000000002</v>
      </c>
      <c r="CU380" s="588">
        <f t="shared" si="838"/>
        <v>0.27800000000000002</v>
      </c>
      <c r="CV380" s="588">
        <f t="shared" si="838"/>
        <v>0.28600000000000003</v>
      </c>
      <c r="CW380" s="412">
        <f t="shared" si="838"/>
        <v>0.27400000000000002</v>
      </c>
      <c r="CX380" s="412">
        <f t="shared" si="838"/>
        <v>0.26400000000000001</v>
      </c>
      <c r="CY380" s="412">
        <f t="shared" si="838"/>
        <v>0.26700000000000002</v>
      </c>
      <c r="CZ380" s="412">
        <f t="shared" si="838"/>
        <v>0.27100000000000002</v>
      </c>
      <c r="DA380" s="991">
        <f t="shared" si="838"/>
        <v>0.26600000000000001</v>
      </c>
      <c r="DB380" s="991">
        <f t="shared" si="838"/>
        <v>0</v>
      </c>
      <c r="DC380" s="991">
        <f t="shared" si="838"/>
        <v>0</v>
      </c>
      <c r="DD380" s="991">
        <f t="shared" ref="DD380:DE380" si="839">+DD379+DD378</f>
        <v>0</v>
      </c>
      <c r="DE380" s="991">
        <f t="shared" si="839"/>
        <v>0</v>
      </c>
      <c r="DF380" s="412"/>
      <c r="DG380" s="412"/>
      <c r="DH380" s="412"/>
      <c r="DI380" s="412"/>
    </row>
    <row r="381" spans="1:113">
      <c r="A381" s="955"/>
      <c r="AD381" s="412"/>
      <c r="AE381" s="412"/>
      <c r="AF381" s="412"/>
      <c r="AG381" s="412"/>
      <c r="AH381" s="412"/>
      <c r="AI381" s="412"/>
      <c r="AJ381" s="412"/>
      <c r="AK381" s="412"/>
      <c r="AL381" s="412"/>
      <c r="AM381" s="412"/>
      <c r="AN381" s="412"/>
      <c r="AO381" s="412"/>
      <c r="AP381" s="412"/>
      <c r="AQ381" s="412"/>
      <c r="AR381" s="412"/>
      <c r="AS381" s="412"/>
      <c r="AT381" s="412"/>
      <c r="AU381" s="412"/>
      <c r="AV381" s="412"/>
      <c r="AW381" s="412"/>
      <c r="AX381" s="412"/>
      <c r="AY381" s="412"/>
      <c r="AZ381" s="412"/>
      <c r="BA381" s="412"/>
      <c r="BB381" s="412"/>
      <c r="BC381" s="412"/>
      <c r="BD381" s="412"/>
      <c r="BE381" s="412"/>
      <c r="BF381" s="412"/>
      <c r="BG381" s="412"/>
      <c r="BH381" s="412"/>
      <c r="BI381" s="412"/>
      <c r="BJ381" s="412"/>
      <c r="BK381" s="412"/>
      <c r="BL381" s="412"/>
      <c r="BM381" s="412"/>
      <c r="BN381" s="412"/>
      <c r="BO381" s="412"/>
      <c r="BP381" s="412"/>
      <c r="BQ381" s="412"/>
      <c r="BR381" s="412"/>
      <c r="BS381" s="412"/>
      <c r="BT381" s="412"/>
      <c r="BU381" s="412"/>
      <c r="BV381" s="412"/>
      <c r="BW381" s="412"/>
      <c r="BX381" s="412"/>
      <c r="BY381" s="412"/>
      <c r="BZ381" s="412"/>
      <c r="CA381" s="412"/>
      <c r="CB381" s="412"/>
      <c r="CC381" s="412"/>
      <c r="CD381" s="412"/>
      <c r="CE381" s="412"/>
      <c r="CF381" s="412"/>
      <c r="CG381" s="412"/>
      <c r="CH381" s="588"/>
      <c r="CI381" s="588"/>
      <c r="CJ381" s="588"/>
      <c r="CK381" s="588"/>
      <c r="CL381" s="412"/>
      <c r="CM381" s="412"/>
      <c r="CN381" s="412"/>
      <c r="CO381" s="412"/>
      <c r="CP381" s="412"/>
      <c r="CQ381" s="412"/>
      <c r="CR381" s="412"/>
      <c r="CS381" s="412"/>
      <c r="CT381" s="412"/>
      <c r="CU381" s="412"/>
      <c r="CV381" s="412"/>
      <c r="CW381" s="412"/>
      <c r="CX381" s="412"/>
      <c r="CY381" s="412"/>
      <c r="CZ381" s="412"/>
      <c r="DA381" s="412"/>
      <c r="DB381" s="412"/>
      <c r="DC381" s="412"/>
      <c r="DD381" s="412"/>
      <c r="DE381" s="412"/>
      <c r="DF381" s="412"/>
      <c r="DG381" s="412"/>
      <c r="DH381" s="412"/>
      <c r="DI381" s="412"/>
    </row>
    <row r="382" spans="1:113">
      <c r="A382" s="195" t="s">
        <v>480</v>
      </c>
      <c r="B382" s="195"/>
      <c r="C382" s="195"/>
      <c r="D382" s="195"/>
      <c r="E382" s="195"/>
      <c r="F382" s="195"/>
      <c r="G382" s="195"/>
      <c r="H382" s="195"/>
      <c r="I382" s="195"/>
      <c r="J382" s="195"/>
      <c r="K382" s="195"/>
      <c r="L382" s="195"/>
      <c r="M382" s="195"/>
      <c r="N382" s="195"/>
      <c r="O382" s="195"/>
      <c r="P382" s="195"/>
      <c r="Q382" s="195"/>
      <c r="R382" s="195"/>
      <c r="S382" s="195"/>
      <c r="T382" s="195"/>
      <c r="U382" s="195"/>
      <c r="V382" s="195"/>
      <c r="W382" s="195"/>
      <c r="X382" s="195"/>
      <c r="Y382" s="195"/>
      <c r="Z382" s="195"/>
      <c r="AA382" s="195"/>
      <c r="AB382" s="195"/>
      <c r="AD382" s="195"/>
      <c r="AE382" s="195"/>
      <c r="AF382" s="195"/>
      <c r="AG382" s="195"/>
      <c r="AH382" s="195"/>
      <c r="AI382" s="195"/>
      <c r="AJ382" s="195"/>
      <c r="AK382" s="195"/>
      <c r="AL382" s="195"/>
      <c r="AM382" s="195"/>
      <c r="AN382" s="195"/>
      <c r="AO382" s="195"/>
      <c r="AP382" s="195"/>
      <c r="AQ382" s="195"/>
      <c r="AR382" s="195"/>
      <c r="AS382" s="195"/>
      <c r="AT382" s="195"/>
      <c r="AU382" s="195"/>
      <c r="AV382" s="195"/>
      <c r="AW382" s="195"/>
      <c r="AX382" s="195"/>
      <c r="AY382" s="195"/>
      <c r="AZ382" s="195"/>
      <c r="BA382" s="195"/>
      <c r="BB382" s="195"/>
      <c r="BC382" s="195"/>
      <c r="BD382" s="195"/>
      <c r="BE382" s="195"/>
      <c r="BF382" s="195"/>
      <c r="BG382" s="195"/>
      <c r="BH382" s="195"/>
      <c r="BI382" s="195"/>
      <c r="BJ382" s="195"/>
      <c r="BK382" s="195"/>
      <c r="BL382" s="195"/>
      <c r="BM382" s="195"/>
      <c r="BN382" s="195"/>
      <c r="BO382" s="195"/>
      <c r="BP382" s="195"/>
      <c r="BQ382" s="195"/>
      <c r="BR382" s="195"/>
      <c r="BS382" s="195"/>
      <c r="BT382" s="195"/>
      <c r="BU382" s="195"/>
      <c r="BV382" s="195"/>
      <c r="BW382" s="195"/>
      <c r="BX382" s="195"/>
      <c r="BY382" s="195"/>
      <c r="BZ382" s="195"/>
      <c r="CA382" s="195"/>
      <c r="CB382" s="195"/>
      <c r="CC382" s="195"/>
      <c r="CD382" s="195"/>
      <c r="CE382" s="195"/>
      <c r="CF382" s="195"/>
      <c r="CG382" s="195"/>
      <c r="CH382" s="195"/>
      <c r="CI382" s="195"/>
      <c r="CJ382" s="195"/>
      <c r="CK382" s="195"/>
      <c r="CL382" s="195"/>
      <c r="CM382" s="195"/>
      <c r="CN382" s="195"/>
      <c r="CO382" s="195"/>
      <c r="CP382" s="195"/>
      <c r="CQ382" s="195"/>
      <c r="CR382" s="195"/>
      <c r="CS382" s="195"/>
      <c r="CT382" s="195"/>
      <c r="CU382" s="195"/>
      <c r="CV382" s="195"/>
      <c r="CW382" s="195"/>
      <c r="CX382" s="195"/>
      <c r="CY382" s="195"/>
      <c r="CZ382" s="195"/>
      <c r="DA382" s="195"/>
      <c r="DB382" s="195"/>
      <c r="DC382" s="195"/>
      <c r="DD382" s="195"/>
      <c r="DE382" s="195"/>
      <c r="DF382" s="195"/>
      <c r="DG382" s="195"/>
      <c r="DH382" s="195"/>
      <c r="DI382" s="195"/>
    </row>
    <row r="383" spans="1:113">
      <c r="A383" s="34"/>
      <c r="AD383" s="70"/>
      <c r="AE383" s="70"/>
      <c r="AF383" s="70"/>
      <c r="AG383" s="70"/>
      <c r="AH383" s="70"/>
      <c r="AI383" s="70"/>
      <c r="AJ383" s="70"/>
      <c r="AK383" s="70"/>
      <c r="AL383" s="70"/>
      <c r="AM383" s="70"/>
      <c r="AN383" s="70"/>
      <c r="AO383" s="70"/>
      <c r="AP383" s="70"/>
      <c r="AQ383" s="70"/>
      <c r="AR383" s="70"/>
      <c r="AS383" s="70"/>
      <c r="AT383" s="70"/>
      <c r="AU383" s="70"/>
      <c r="AV383" s="70"/>
      <c r="AW383" s="70"/>
      <c r="AX383" s="394"/>
      <c r="AY383" s="394"/>
      <c r="AZ383" s="394"/>
      <c r="BA383" s="394"/>
      <c r="BB383" s="394"/>
      <c r="BC383" s="394"/>
      <c r="BD383" s="394"/>
      <c r="BE383" s="394"/>
      <c r="BF383" s="404"/>
      <c r="BG383" s="404"/>
      <c r="BH383" s="404"/>
      <c r="BI383" s="404"/>
      <c r="BJ383" s="404"/>
      <c r="BK383" s="404"/>
      <c r="BL383" s="404"/>
      <c r="BM383" s="404"/>
      <c r="BN383" s="404"/>
      <c r="BO383" s="404"/>
      <c r="BP383" s="404"/>
      <c r="BQ383" s="404"/>
      <c r="BR383" s="404"/>
      <c r="BS383" s="404"/>
      <c r="BT383" s="404"/>
      <c r="BU383" s="404"/>
      <c r="BV383" s="404"/>
      <c r="BW383" s="404"/>
      <c r="BX383" s="404"/>
      <c r="BY383" s="404"/>
      <c r="BZ383" s="404"/>
      <c r="CA383" s="404"/>
      <c r="CB383" s="404"/>
      <c r="CC383" s="404"/>
      <c r="CD383" s="404"/>
      <c r="CE383" s="404"/>
      <c r="CF383" s="404"/>
      <c r="CG383" s="404"/>
      <c r="CH383" s="404"/>
      <c r="CI383" s="404"/>
      <c r="CJ383" s="404"/>
      <c r="CK383" s="404"/>
      <c r="CL383" s="404"/>
      <c r="CM383" s="404"/>
      <c r="CN383" s="404"/>
      <c r="CO383" s="404"/>
      <c r="CP383" s="404"/>
      <c r="CQ383" s="404"/>
      <c r="CR383" s="404"/>
      <c r="CS383" s="404"/>
      <c r="CT383" s="404"/>
      <c r="CU383" s="409"/>
      <c r="CV383" s="409"/>
      <c r="CW383" s="404"/>
      <c r="CX383" s="404"/>
      <c r="CY383" s="404"/>
      <c r="CZ383" s="404"/>
      <c r="DA383" s="994"/>
      <c r="DB383" s="404"/>
      <c r="DC383" s="404"/>
      <c r="DD383" s="404"/>
      <c r="DE383" s="404"/>
      <c r="DF383" s="404"/>
      <c r="DG383" s="404"/>
      <c r="DH383" s="404"/>
      <c r="DI383" s="404"/>
    </row>
    <row r="384" spans="1:113">
      <c r="A384" s="432" t="s">
        <v>342</v>
      </c>
      <c r="AD384" s="432"/>
      <c r="AE384" s="432"/>
      <c r="AF384" s="432"/>
      <c r="AG384" s="432"/>
      <c r="AH384" s="432"/>
      <c r="AI384" s="432"/>
      <c r="AJ384" s="432"/>
      <c r="AK384" s="432"/>
      <c r="AL384" s="432"/>
      <c r="AM384" s="432"/>
      <c r="AN384" s="432"/>
      <c r="AO384" s="432"/>
      <c r="AP384" s="432"/>
      <c r="AQ384" s="432"/>
      <c r="AR384" s="432"/>
      <c r="AS384" s="432"/>
      <c r="AT384" s="432"/>
      <c r="AU384" s="432"/>
      <c r="AV384" s="432"/>
      <c r="AW384" s="432"/>
      <c r="AX384" s="432"/>
      <c r="AY384" s="432"/>
      <c r="AZ384" s="432"/>
      <c r="BA384" s="432"/>
      <c r="BB384" s="432"/>
      <c r="BC384" s="432"/>
      <c r="BD384" s="432"/>
      <c r="BE384" s="432"/>
      <c r="BF384" s="432"/>
      <c r="BG384" s="432"/>
      <c r="BH384" s="432"/>
      <c r="BI384" s="432"/>
      <c r="BJ384" s="432"/>
      <c r="BK384" s="432"/>
      <c r="BL384" s="432"/>
      <c r="BM384" s="432"/>
      <c r="BN384" s="589"/>
      <c r="BO384" s="589"/>
      <c r="BP384" s="589"/>
      <c r="BQ384" s="589"/>
      <c r="BR384" s="589"/>
      <c r="BS384" s="589"/>
      <c r="BT384" s="589"/>
      <c r="BU384" s="589"/>
      <c r="BV384" s="589"/>
      <c r="BW384" s="589"/>
      <c r="BX384" s="589"/>
      <c r="BY384" s="589"/>
      <c r="BZ384" s="590"/>
      <c r="CA384" s="590"/>
      <c r="CB384" s="590"/>
      <c r="CC384" s="590"/>
      <c r="CD384" s="590"/>
      <c r="CE384" s="590"/>
      <c r="CF384" s="590"/>
      <c r="CG384" s="590"/>
      <c r="CH384" s="590"/>
      <c r="CI384" s="590"/>
      <c r="CJ384" s="590"/>
      <c r="CK384" s="591"/>
      <c r="CL384" s="590"/>
      <c r="CM384" s="590"/>
      <c r="CN384" s="590"/>
      <c r="CO384" s="590"/>
      <c r="CP384" s="590"/>
      <c r="CQ384" s="590"/>
      <c r="CR384" s="590"/>
      <c r="CS384" s="590"/>
      <c r="CT384" s="590"/>
      <c r="CU384" s="708"/>
      <c r="CV384" s="708"/>
      <c r="CW384" s="591"/>
      <c r="CX384" s="590"/>
      <c r="CY384" s="590"/>
      <c r="CZ384" s="590"/>
      <c r="DA384" s="995"/>
      <c r="DB384" s="590"/>
      <c r="DC384" s="590"/>
      <c r="DD384" s="590"/>
      <c r="DE384" s="590"/>
      <c r="DF384" s="590">
        <f>DF385/CU385-1</f>
        <v>-3.5052631578947335E-2</v>
      </c>
      <c r="DG384" s="590">
        <f>DG385/CY385-1</f>
        <v>1.4226709499770562E-2</v>
      </c>
      <c r="DH384" s="590">
        <f>DH385/CZ385-1</f>
        <v>-7.7356746765250284E-3</v>
      </c>
      <c r="DI384" s="590">
        <f>DI385/DA385-1</f>
        <v>-3.6931018301267216E-3</v>
      </c>
    </row>
    <row r="385" spans="1:113">
      <c r="A385" s="416" t="s">
        <v>79</v>
      </c>
      <c r="B385" s="812">
        <v>634.4</v>
      </c>
      <c r="C385" s="812">
        <v>633</v>
      </c>
      <c r="D385" s="812">
        <v>648.70000000000005</v>
      </c>
      <c r="E385" s="812">
        <f>635.8</f>
        <v>635.79999999999995</v>
      </c>
      <c r="F385" s="813" t="e">
        <v>#REF!</v>
      </c>
      <c r="G385" s="813">
        <v>641.29999999999995</v>
      </c>
      <c r="H385" s="813">
        <v>625.29999999999995</v>
      </c>
      <c r="I385" s="813">
        <v>632.69999999999993</v>
      </c>
      <c r="J385" s="813">
        <v>659.1</v>
      </c>
      <c r="K385" s="813">
        <v>659</v>
      </c>
      <c r="L385" s="515">
        <f>SUM(BS385:BV385)</f>
        <v>650.6</v>
      </c>
      <c r="M385" s="515">
        <f>SUM(BW385:BZ385)</f>
        <v>678.5</v>
      </c>
      <c r="N385" s="515">
        <f>SUM(CA385:CD385)</f>
        <v>722</v>
      </c>
      <c r="O385" s="515">
        <f>SUM(CE385:CH385)</f>
        <v>720.80000000000007</v>
      </c>
      <c r="P385" s="515">
        <f>SUM(CI385:CL385)</f>
        <v>769.09999999999991</v>
      </c>
      <c r="Q385" s="515">
        <f>SUM(CM385:CP385)</f>
        <v>797.9</v>
      </c>
      <c r="R385" s="813">
        <f>+SUM(CT385:CW385)</f>
        <v>813.5</v>
      </c>
      <c r="S385" s="813">
        <f>+SUM(CX385:DA385)</f>
        <v>853.5</v>
      </c>
      <c r="T385" s="808">
        <f>+SUM(DB385:DE385)</f>
        <v>841.3</v>
      </c>
      <c r="U385" s="813">
        <f t="shared" ref="U385:AB385" si="840">T385*(1+U386)</f>
        <v>849.71299999999997</v>
      </c>
      <c r="V385" s="813">
        <f t="shared" si="840"/>
        <v>858.21012999999994</v>
      </c>
      <c r="W385" s="813">
        <f t="shared" si="840"/>
        <v>866.79223129999991</v>
      </c>
      <c r="X385" s="813">
        <f t="shared" si="840"/>
        <v>892.79599823899991</v>
      </c>
      <c r="Y385" s="813">
        <f t="shared" si="840"/>
        <v>919.57987818616994</v>
      </c>
      <c r="Z385" s="813">
        <f t="shared" si="840"/>
        <v>947.16727453175508</v>
      </c>
      <c r="AA385" s="813">
        <f t="shared" si="840"/>
        <v>975.58229276770771</v>
      </c>
      <c r="AB385" s="813">
        <f t="shared" si="840"/>
        <v>1004.849761550739</v>
      </c>
      <c r="AD385" s="416"/>
      <c r="AE385" s="416"/>
      <c r="AF385" s="416"/>
      <c r="AG385" s="416"/>
      <c r="AH385" s="416"/>
      <c r="AI385" s="416"/>
      <c r="AJ385" s="416"/>
      <c r="AK385" s="416"/>
      <c r="AL385" s="416"/>
      <c r="AM385" s="416"/>
      <c r="AN385" s="416"/>
      <c r="AO385" s="416"/>
      <c r="AP385" s="416"/>
      <c r="AQ385" s="416"/>
      <c r="AR385" s="416"/>
      <c r="AS385" s="416"/>
      <c r="AT385" s="416"/>
      <c r="AU385" s="416"/>
      <c r="AV385" s="416"/>
      <c r="AW385" s="416"/>
      <c r="AX385" s="416"/>
      <c r="AY385" s="416"/>
      <c r="AZ385" s="416"/>
      <c r="BA385" s="416"/>
      <c r="BB385" s="416"/>
      <c r="BC385" s="416"/>
      <c r="BD385" s="416"/>
      <c r="BE385" s="416"/>
      <c r="BF385" s="416"/>
      <c r="BG385" s="416"/>
      <c r="BH385" s="416"/>
      <c r="BI385" s="416"/>
      <c r="BJ385" s="416"/>
      <c r="BK385" s="416"/>
      <c r="BL385" s="416"/>
      <c r="BM385" s="416"/>
      <c r="BN385" s="592">
        <v>155.19999999999999</v>
      </c>
      <c r="BO385" s="592">
        <v>169.9</v>
      </c>
      <c r="BP385" s="592">
        <v>165.2</v>
      </c>
      <c r="BQ385" s="592">
        <v>168.8</v>
      </c>
      <c r="BR385" s="592">
        <v>159.9</v>
      </c>
      <c r="BS385" s="592">
        <v>172</v>
      </c>
      <c r="BT385" s="592">
        <v>164.9</v>
      </c>
      <c r="BU385" s="592">
        <v>162.20000000000005</v>
      </c>
      <c r="BV385" s="593">
        <v>151.5</v>
      </c>
      <c r="BW385" s="593">
        <v>166.1</v>
      </c>
      <c r="BX385" s="593">
        <v>158</v>
      </c>
      <c r="BY385" s="593">
        <v>168.3</v>
      </c>
      <c r="BZ385" s="593">
        <v>186.1</v>
      </c>
      <c r="CA385" s="593">
        <v>181.9</v>
      </c>
      <c r="CB385" s="593">
        <v>183.9</v>
      </c>
      <c r="CC385" s="593">
        <v>172.5</v>
      </c>
      <c r="CD385" s="593">
        <v>183.7</v>
      </c>
      <c r="CE385" s="593">
        <v>178.1</v>
      </c>
      <c r="CF385" s="593">
        <v>183.5</v>
      </c>
      <c r="CG385" s="593">
        <v>189.3</v>
      </c>
      <c r="CH385" s="593">
        <v>169.9</v>
      </c>
      <c r="CI385" s="593">
        <v>191.7</v>
      </c>
      <c r="CJ385" s="594">
        <v>194.3</v>
      </c>
      <c r="CK385" s="594">
        <v>207.4</v>
      </c>
      <c r="CL385" s="594">
        <v>175.7</v>
      </c>
      <c r="CM385" s="595">
        <v>200.5</v>
      </c>
      <c r="CN385" s="593">
        <v>212.8</v>
      </c>
      <c r="CO385" s="595">
        <v>198.5</v>
      </c>
      <c r="CP385" s="595">
        <v>186.1</v>
      </c>
      <c r="CQ385" s="594">
        <v>203.8</v>
      </c>
      <c r="CR385" s="594">
        <v>203</v>
      </c>
      <c r="CS385" s="439">
        <v>200.4</v>
      </c>
      <c r="CT385" s="686">
        <v>191.1</v>
      </c>
      <c r="CU385" s="686">
        <v>209</v>
      </c>
      <c r="CV385" s="686">
        <v>204.9</v>
      </c>
      <c r="CW385" s="439">
        <v>208.5</v>
      </c>
      <c r="CX385" s="722">
        <v>206.1</v>
      </c>
      <c r="CY385" s="722">
        <v>217.9</v>
      </c>
      <c r="CZ385" s="686">
        <v>216.4</v>
      </c>
      <c r="DA385" s="996">
        <v>213.1</v>
      </c>
      <c r="DB385" s="996">
        <v>195.8</v>
      </c>
      <c r="DC385" s="996">
        <v>221</v>
      </c>
      <c r="DD385" s="996">
        <v>212.6</v>
      </c>
      <c r="DE385" s="996">
        <v>211.9</v>
      </c>
      <c r="DF385" s="592">
        <f>+DB385*(1+DF386)</f>
        <v>201.67400000000001</v>
      </c>
      <c r="DG385" s="592">
        <f>+DC385*(1+DG386)</f>
        <v>221</v>
      </c>
      <c r="DH385" s="592">
        <f>+DD385*(1+DH386)</f>
        <v>214.726</v>
      </c>
      <c r="DI385" s="592">
        <f>+U385-SUM(DF385:DH385)</f>
        <v>212.31299999999999</v>
      </c>
    </row>
    <row r="386" spans="1:113">
      <c r="A386" s="758" t="s">
        <v>271</v>
      </c>
      <c r="B386" s="417"/>
      <c r="C386" s="418">
        <f t="shared" ref="C386:T386" si="841">(C385/B385-1)</f>
        <v>-2.2068095838587709E-3</v>
      </c>
      <c r="D386" s="418">
        <f t="shared" si="841"/>
        <v>2.4802527646129668E-2</v>
      </c>
      <c r="E386" s="418">
        <f t="shared" si="841"/>
        <v>-1.9885925697549101E-2</v>
      </c>
      <c r="F386" s="418" t="e">
        <f t="shared" si="841"/>
        <v>#REF!</v>
      </c>
      <c r="G386" s="418" t="e">
        <f t="shared" si="841"/>
        <v>#REF!</v>
      </c>
      <c r="H386" s="418">
        <f t="shared" si="841"/>
        <v>-2.4949321690316495E-2</v>
      </c>
      <c r="I386" s="418">
        <f t="shared" si="841"/>
        <v>1.1834319526627279E-2</v>
      </c>
      <c r="J386" s="418">
        <f t="shared" si="841"/>
        <v>4.1725936462778668E-2</v>
      </c>
      <c r="K386" s="418">
        <f t="shared" si="841"/>
        <v>-1.5172204521318733E-4</v>
      </c>
      <c r="L386" s="418">
        <f t="shared" si="841"/>
        <v>-1.2746585735963545E-2</v>
      </c>
      <c r="M386" s="418">
        <f t="shared" si="841"/>
        <v>4.2883492161082115E-2</v>
      </c>
      <c r="N386" s="418">
        <f t="shared" si="841"/>
        <v>6.4112011790714796E-2</v>
      </c>
      <c r="O386" s="418">
        <f t="shared" si="841"/>
        <v>-1.6620498614957624E-3</v>
      </c>
      <c r="P386" s="418">
        <f t="shared" si="841"/>
        <v>6.7008879023307211E-2</v>
      </c>
      <c r="Q386" s="418">
        <f t="shared" si="841"/>
        <v>3.7446365882199961E-2</v>
      </c>
      <c r="R386" s="418">
        <f t="shared" si="841"/>
        <v>1.955132222082967E-2</v>
      </c>
      <c r="S386" s="418">
        <f t="shared" si="841"/>
        <v>4.9170251997541436E-2</v>
      </c>
      <c r="T386" s="418">
        <f t="shared" si="841"/>
        <v>-1.4294083186877637E-2</v>
      </c>
      <c r="U386" s="419">
        <v>0.01</v>
      </c>
      <c r="V386" s="419">
        <v>0.01</v>
      </c>
      <c r="W386" s="419">
        <v>0.01</v>
      </c>
      <c r="X386" s="419">
        <v>0.03</v>
      </c>
      <c r="Y386" s="419">
        <v>0.03</v>
      </c>
      <c r="Z386" s="419">
        <v>0.03</v>
      </c>
      <c r="AA386" s="419">
        <v>0.03</v>
      </c>
      <c r="AB386" s="419">
        <v>0.03</v>
      </c>
      <c r="AD386" s="758"/>
      <c r="AE386" s="758"/>
      <c r="AF386" s="758"/>
      <c r="AG386" s="758"/>
      <c r="AH386" s="758"/>
      <c r="AI386" s="758"/>
      <c r="AJ386" s="758"/>
      <c r="AK386" s="758"/>
      <c r="AL386" s="758"/>
      <c r="AM386" s="758"/>
      <c r="AN386" s="758"/>
      <c r="AO386" s="758"/>
      <c r="AP386" s="758"/>
      <c r="AQ386" s="758"/>
      <c r="AR386" s="758"/>
      <c r="AS386" s="758"/>
      <c r="AT386" s="758"/>
      <c r="AU386" s="758"/>
      <c r="AV386" s="758"/>
      <c r="AW386" s="758"/>
      <c r="AX386" s="758"/>
      <c r="AY386" s="758"/>
      <c r="AZ386" s="758"/>
      <c r="BA386" s="758"/>
      <c r="BB386" s="758"/>
      <c r="BC386" s="758"/>
      <c r="BD386" s="758"/>
      <c r="BE386" s="758"/>
      <c r="BF386" s="758"/>
      <c r="BG386" s="758"/>
      <c r="BH386" s="758"/>
      <c r="BI386" s="758"/>
      <c r="BJ386" s="758"/>
      <c r="BK386" s="758"/>
      <c r="BL386" s="758"/>
      <c r="BM386" s="758"/>
      <c r="BN386" s="590">
        <v>2.3071852340144972E-2</v>
      </c>
      <c r="BO386" s="590">
        <v>2.5347012673506475E-2</v>
      </c>
      <c r="BP386" s="590">
        <v>4.6231792273590866E-2</v>
      </c>
      <c r="BQ386" s="590">
        <v>7.2426937738246489E-2</v>
      </c>
      <c r="BR386" s="590">
        <f t="shared" ref="BR386:CJ386" si="842">BR385/BN385-1</f>
        <v>3.028350515463929E-2</v>
      </c>
      <c r="BS386" s="590">
        <f t="shared" si="842"/>
        <v>1.2360211889346662E-2</v>
      </c>
      <c r="BT386" s="590">
        <f t="shared" si="842"/>
        <v>-1.815980629539804E-3</v>
      </c>
      <c r="BU386" s="590">
        <f t="shared" si="842"/>
        <v>-3.9099526066350476E-2</v>
      </c>
      <c r="BV386" s="590">
        <f t="shared" si="842"/>
        <v>-5.2532833020637937E-2</v>
      </c>
      <c r="BW386" s="590">
        <f t="shared" si="842"/>
        <v>-3.4302325581395343E-2</v>
      </c>
      <c r="BX386" s="590">
        <f t="shared" si="842"/>
        <v>-4.1843541540327545E-2</v>
      </c>
      <c r="BY386" s="590">
        <f t="shared" si="842"/>
        <v>3.7607891491985068E-2</v>
      </c>
      <c r="BZ386" s="590">
        <f t="shared" si="842"/>
        <v>0.22838283828382844</v>
      </c>
      <c r="CA386" s="590">
        <f t="shared" si="842"/>
        <v>9.5123419626730987E-2</v>
      </c>
      <c r="CB386" s="590">
        <f t="shared" si="842"/>
        <v>0.16392405063291138</v>
      </c>
      <c r="CC386" s="590">
        <f t="shared" si="842"/>
        <v>2.4955436720142554E-2</v>
      </c>
      <c r="CD386" s="590">
        <f t="shared" si="842"/>
        <v>-1.2896292315959235E-2</v>
      </c>
      <c r="CE386" s="590">
        <f t="shared" si="842"/>
        <v>-2.0890599230346418E-2</v>
      </c>
      <c r="CF386" s="590">
        <f t="shared" si="842"/>
        <v>-2.175095160413254E-3</v>
      </c>
      <c r="CG386" s="590">
        <f t="shared" si="842"/>
        <v>9.7391304347826058E-2</v>
      </c>
      <c r="CH386" s="591">
        <f t="shared" si="842"/>
        <v>-7.5122482308110916E-2</v>
      </c>
      <c r="CI386" s="590">
        <f t="shared" si="842"/>
        <v>7.6361594609769767E-2</v>
      </c>
      <c r="CJ386" s="591">
        <f t="shared" si="842"/>
        <v>5.8855585831062651E-2</v>
      </c>
      <c r="CK386" s="591">
        <f>+CK385/CG385-1</f>
        <v>9.561542525092448E-2</v>
      </c>
      <c r="CL386" s="591">
        <f>CL385/CH385-1</f>
        <v>3.4137728075338325E-2</v>
      </c>
      <c r="CM386" s="591">
        <f>CM385/CI385-1</f>
        <v>4.5905059989567176E-2</v>
      </c>
      <c r="CN386" s="591">
        <f>CN385/CJ385-1</f>
        <v>9.5213587236232522E-2</v>
      </c>
      <c r="CO386" s="591">
        <f>+CO385/CK385-1</f>
        <v>-4.2912246865959514E-2</v>
      </c>
      <c r="CP386" s="591">
        <f>CP385/CL385-1</f>
        <v>5.9191804211724541E-2</v>
      </c>
      <c r="CQ386" s="591">
        <f>CQ385/CM385-1</f>
        <v>1.6458852867830442E-2</v>
      </c>
      <c r="CR386" s="591">
        <f>CR385/CN385-1</f>
        <v>-4.6052631578947456E-2</v>
      </c>
      <c r="CS386" s="591">
        <f>+CS385/CO385-1</f>
        <v>9.5717884130983588E-3</v>
      </c>
      <c r="CT386" s="591">
        <f>CT385/CP385-1</f>
        <v>2.6867275658248202E-2</v>
      </c>
      <c r="CU386" s="708">
        <f>CU385/CQ385-1</f>
        <v>2.5515210991167825E-2</v>
      </c>
      <c r="CV386" s="708">
        <f>CV385/CR385-1</f>
        <v>9.3596059113301155E-3</v>
      </c>
      <c r="CW386" s="591">
        <f>+CW385/CS385-1</f>
        <v>4.041916167664672E-2</v>
      </c>
      <c r="CX386" s="708">
        <f>CX385/CT385-1</f>
        <v>7.8492935635792849E-2</v>
      </c>
      <c r="CY386" s="708">
        <f>CY385/CU385-1</f>
        <v>4.2583732057416279E-2</v>
      </c>
      <c r="CZ386" s="708">
        <f>CZ385/CV385-1</f>
        <v>5.6124938994631446E-2</v>
      </c>
      <c r="DA386" s="995">
        <f>+DA385/CW385-1</f>
        <v>2.2062350119903984E-2</v>
      </c>
      <c r="DB386" s="995">
        <f>+DB385/CX385-1</f>
        <v>-4.9975739932071717E-2</v>
      </c>
      <c r="DC386" s="995">
        <f>+DC385/CY385-1</f>
        <v>1.4226709499770562E-2</v>
      </c>
      <c r="DD386" s="995">
        <f>+DD385/CZ385-1</f>
        <v>-1.756007393715342E-2</v>
      </c>
      <c r="DE386" s="591">
        <f>+DE385/DA385-1</f>
        <v>-5.6311590802439193E-3</v>
      </c>
      <c r="DF386" s="450">
        <v>0.03</v>
      </c>
      <c r="DG386" s="450">
        <v>0</v>
      </c>
      <c r="DH386" s="450">
        <v>0.01</v>
      </c>
      <c r="DI386" s="591">
        <f>+DI385/DE385-1</f>
        <v>1.9490325625293181E-3</v>
      </c>
    </row>
    <row r="387" spans="1:113">
      <c r="A387" s="416"/>
      <c r="AD387" s="416"/>
      <c r="AE387" s="416"/>
      <c r="AF387" s="416"/>
      <c r="AG387" s="416"/>
      <c r="AH387" s="416"/>
      <c r="AI387" s="416"/>
      <c r="AJ387" s="416"/>
      <c r="AK387" s="416"/>
      <c r="AL387" s="416"/>
      <c r="AM387" s="416"/>
      <c r="AN387" s="416"/>
      <c r="AO387" s="416"/>
      <c r="AP387" s="416"/>
      <c r="AQ387" s="416"/>
      <c r="AR387" s="416"/>
      <c r="AS387" s="416"/>
      <c r="AT387" s="416"/>
      <c r="AU387" s="416"/>
      <c r="AV387" s="416"/>
      <c r="AW387" s="416"/>
      <c r="AX387" s="416"/>
      <c r="AY387" s="416"/>
      <c r="AZ387" s="416"/>
      <c r="BA387" s="416"/>
      <c r="BB387" s="416"/>
      <c r="BC387" s="416"/>
      <c r="BD387" s="416"/>
      <c r="BE387" s="416"/>
      <c r="BF387" s="416"/>
      <c r="BG387" s="416"/>
      <c r="BH387" s="416"/>
      <c r="BI387" s="416"/>
      <c r="BJ387" s="416"/>
      <c r="BK387" s="416"/>
      <c r="BL387" s="416"/>
      <c r="BM387" s="416"/>
      <c r="BN387" s="620"/>
      <c r="BO387" s="620"/>
      <c r="BP387" s="620"/>
      <c r="BQ387" s="620"/>
      <c r="BR387" s="620"/>
      <c r="BS387" s="620"/>
      <c r="BT387" s="620"/>
      <c r="BU387" s="620"/>
      <c r="BV387" s="620"/>
      <c r="BW387" s="620"/>
      <c r="BX387" s="620"/>
      <c r="BY387" s="620"/>
      <c r="BZ387" s="620"/>
      <c r="CA387" s="620"/>
      <c r="CB387" s="620"/>
      <c r="CC387" s="620"/>
      <c r="CD387" s="620"/>
      <c r="CE387" s="620"/>
      <c r="CF387" s="620"/>
      <c r="CG387" s="620"/>
      <c r="CH387" s="302"/>
      <c r="CI387" s="620"/>
      <c r="CJ387" s="302"/>
      <c r="CK387" s="302"/>
      <c r="CL387" s="620"/>
      <c r="CM387" s="620"/>
      <c r="CN387" s="620"/>
      <c r="CO387" s="620"/>
      <c r="CP387" s="620"/>
      <c r="CQ387" s="620"/>
      <c r="CR387" s="620"/>
      <c r="CS387" s="620"/>
      <c r="CT387" s="620"/>
      <c r="CU387" s="814"/>
      <c r="CV387" s="814"/>
      <c r="CW387" s="620"/>
      <c r="CX387" s="620"/>
      <c r="CY387" s="620"/>
      <c r="CZ387" s="620"/>
      <c r="DA387" s="997"/>
      <c r="DB387" s="997"/>
      <c r="DC387" s="620"/>
      <c r="DD387" s="620"/>
      <c r="DE387" s="620"/>
      <c r="DF387" s="620"/>
      <c r="DG387" s="620"/>
      <c r="DH387" s="620"/>
      <c r="DI387" s="620"/>
    </row>
    <row r="388" spans="1:113">
      <c r="A388" s="758" t="s">
        <v>366</v>
      </c>
      <c r="S388" s="816">
        <v>0.05</v>
      </c>
      <c r="AD388" s="758"/>
      <c r="AE388" s="758"/>
      <c r="AF388" s="758"/>
      <c r="AG388" s="758"/>
      <c r="AH388" s="758"/>
      <c r="AI388" s="758"/>
      <c r="AJ388" s="758"/>
      <c r="AK388" s="758"/>
      <c r="AL388" s="758"/>
      <c r="AM388" s="758"/>
      <c r="AN388" s="758"/>
      <c r="AO388" s="758"/>
      <c r="AP388" s="758"/>
      <c r="AQ388" s="758"/>
      <c r="AR388" s="758"/>
      <c r="AS388" s="758"/>
      <c r="AT388" s="758"/>
      <c r="AU388" s="758"/>
      <c r="AV388" s="758"/>
      <c r="AW388" s="758"/>
      <c r="AX388" s="758"/>
      <c r="AY388" s="758"/>
      <c r="AZ388" s="758"/>
      <c r="BA388" s="758"/>
      <c r="BB388" s="758"/>
      <c r="BC388" s="758"/>
      <c r="BD388" s="758"/>
      <c r="BE388" s="758"/>
      <c r="BF388" s="758"/>
      <c r="BG388" s="758"/>
      <c r="BH388" s="758"/>
      <c r="BI388" s="758"/>
      <c r="BJ388" s="758"/>
      <c r="BK388" s="758"/>
      <c r="BL388" s="758"/>
      <c r="BM388" s="758"/>
      <c r="BN388" s="815"/>
      <c r="BO388" s="815"/>
      <c r="BP388" s="815"/>
      <c r="BQ388" s="815"/>
      <c r="BR388" s="815"/>
      <c r="BS388" s="815"/>
      <c r="BT388" s="815"/>
      <c r="BU388" s="815"/>
      <c r="BV388" s="815">
        <v>0</v>
      </c>
      <c r="BW388" s="815">
        <v>0</v>
      </c>
      <c r="BX388" s="815">
        <v>0</v>
      </c>
      <c r="BY388" s="815">
        <v>0.02</v>
      </c>
      <c r="BZ388" s="815">
        <v>0.05</v>
      </c>
      <c r="CA388" s="815">
        <v>0.09</v>
      </c>
      <c r="CB388" s="815">
        <v>0.1</v>
      </c>
      <c r="CC388" s="815">
        <v>7.0000000000000007E-2</v>
      </c>
      <c r="CD388" s="815">
        <v>0.06</v>
      </c>
      <c r="CE388" s="815">
        <f>4%*2-CD388</f>
        <v>2.0000000000000004E-2</v>
      </c>
      <c r="CF388" s="815">
        <v>0.05</v>
      </c>
      <c r="CG388" s="815">
        <v>0.06</v>
      </c>
      <c r="CH388" s="450"/>
      <c r="CI388" s="815"/>
      <c r="CJ388" s="450"/>
      <c r="CK388" s="450"/>
      <c r="CL388" s="815"/>
      <c r="CM388" s="815"/>
      <c r="CN388" s="815"/>
      <c r="CO388" s="815">
        <v>0.05</v>
      </c>
      <c r="CP388" s="815">
        <v>0.04</v>
      </c>
      <c r="CQ388" s="815">
        <v>3.5000000000000003E-2</v>
      </c>
      <c r="CR388" s="816">
        <v>2.5000000000000001E-2</v>
      </c>
      <c r="CS388" s="817">
        <v>2.5000000000000001E-2</v>
      </c>
      <c r="CT388" s="816">
        <v>0.04</v>
      </c>
      <c r="CU388" s="816">
        <v>2.5000000000000001E-2</v>
      </c>
      <c r="CV388" s="816">
        <v>1.4999999999999999E-2</v>
      </c>
      <c r="CW388" s="817">
        <v>0.03</v>
      </c>
      <c r="CX388" s="450">
        <v>0.03</v>
      </c>
      <c r="CY388" s="815">
        <v>0.05</v>
      </c>
      <c r="CZ388" s="815">
        <v>0.06</v>
      </c>
      <c r="DA388" s="998">
        <v>4.4999999999999998E-2</v>
      </c>
      <c r="DB388" s="998"/>
      <c r="DC388" s="998"/>
      <c r="DD388" s="998"/>
      <c r="DE388" s="815"/>
      <c r="DF388" s="815"/>
      <c r="DG388" s="815"/>
      <c r="DH388" s="815"/>
      <c r="DI388" s="815"/>
    </row>
    <row r="389" spans="1:113">
      <c r="A389" s="818" t="s">
        <v>550</v>
      </c>
      <c r="AD389" s="818"/>
      <c r="AE389" s="818"/>
      <c r="AF389" s="818"/>
      <c r="AG389" s="818"/>
      <c r="AH389" s="818"/>
      <c r="AI389" s="818"/>
      <c r="AJ389" s="818"/>
      <c r="AK389" s="818"/>
      <c r="AL389" s="818"/>
      <c r="AM389" s="818"/>
      <c r="AN389" s="818"/>
      <c r="AO389" s="818"/>
      <c r="AP389" s="818"/>
      <c r="AQ389" s="818"/>
      <c r="AR389" s="818"/>
      <c r="AS389" s="818"/>
      <c r="AT389" s="818"/>
      <c r="AU389" s="818"/>
      <c r="AV389" s="818"/>
      <c r="AW389" s="818"/>
      <c r="AX389" s="818"/>
      <c r="AY389" s="818"/>
      <c r="AZ389" s="818"/>
      <c r="BA389" s="818"/>
      <c r="BB389" s="818"/>
      <c r="BC389" s="818"/>
      <c r="BD389" s="818"/>
      <c r="BE389" s="818"/>
      <c r="BF389" s="818"/>
      <c r="BG389" s="818"/>
      <c r="BH389" s="818"/>
      <c r="BI389" s="818"/>
      <c r="BJ389" s="818"/>
      <c r="BK389" s="818"/>
      <c r="BL389" s="818"/>
      <c r="BM389" s="818"/>
      <c r="BN389" s="815"/>
      <c r="BO389" s="815"/>
      <c r="BP389" s="815"/>
      <c r="BQ389" s="815"/>
      <c r="BR389" s="815"/>
      <c r="BS389" s="815"/>
      <c r="BT389" s="815"/>
      <c r="BU389" s="815"/>
      <c r="BV389" s="819" t="s">
        <v>551</v>
      </c>
      <c r="BW389" s="819" t="s">
        <v>551</v>
      </c>
      <c r="BX389" s="820">
        <v>7.0000000000000007E-2</v>
      </c>
      <c r="BY389" s="815">
        <v>7.0000000000000007E-2</v>
      </c>
      <c r="BZ389" s="815">
        <v>7.0000000000000007E-2</v>
      </c>
      <c r="CA389" s="815">
        <v>7.0000000000000007E-2</v>
      </c>
      <c r="CB389" s="815">
        <v>7.0000000000000007E-2</v>
      </c>
      <c r="CC389" s="815">
        <v>0.06</v>
      </c>
      <c r="CD389" s="815">
        <v>7.0000000000000007E-2</v>
      </c>
      <c r="CE389" s="815">
        <f>5%*2-CD389</f>
        <v>0.03</v>
      </c>
      <c r="CF389" s="815">
        <v>0.05</v>
      </c>
      <c r="CG389" s="815">
        <v>0.05</v>
      </c>
      <c r="CH389" s="450"/>
      <c r="CI389" s="815"/>
      <c r="CJ389" s="450"/>
      <c r="CK389" s="450"/>
      <c r="CL389" s="815"/>
      <c r="CM389" s="815"/>
      <c r="CN389" s="815"/>
      <c r="CO389" s="815">
        <v>5.5E-2</v>
      </c>
      <c r="CP389" s="815"/>
      <c r="CQ389" s="815"/>
      <c r="CR389" s="815"/>
      <c r="CS389" s="450"/>
      <c r="CT389" s="815">
        <v>0.04</v>
      </c>
      <c r="CU389" s="816">
        <v>2.5000000000000001E-2</v>
      </c>
      <c r="CV389" s="816">
        <v>2.5000000000000001E-2</v>
      </c>
      <c r="CW389" s="815">
        <v>2.5000000000000001E-2</v>
      </c>
      <c r="CX389" s="450">
        <f>2.5%*2-CW389</f>
        <v>2.5000000000000001E-2</v>
      </c>
      <c r="CY389" s="815"/>
      <c r="CZ389" s="815">
        <v>0.03</v>
      </c>
      <c r="DA389" s="998">
        <f>2.5%*2-CZ389</f>
        <v>2.0000000000000004E-2</v>
      </c>
      <c r="DB389" s="998"/>
      <c r="DC389" s="998">
        <v>0.01</v>
      </c>
      <c r="DD389" s="998">
        <v>-0.03</v>
      </c>
      <c r="DE389" s="998">
        <v>-0.01</v>
      </c>
      <c r="DF389" s="815"/>
      <c r="DG389" s="815"/>
      <c r="DH389" s="815"/>
      <c r="DI389" s="815"/>
    </row>
    <row r="390" spans="1:113">
      <c r="A390" s="416"/>
      <c r="AD390" s="416"/>
      <c r="AE390" s="416"/>
      <c r="AF390" s="416"/>
      <c r="AG390" s="416"/>
      <c r="AH390" s="416"/>
      <c r="AI390" s="416"/>
      <c r="AJ390" s="416"/>
      <c r="AK390" s="416"/>
      <c r="AL390" s="416"/>
      <c r="AM390" s="416"/>
      <c r="AN390" s="416"/>
      <c r="AO390" s="416"/>
      <c r="AP390" s="416"/>
      <c r="AQ390" s="416"/>
      <c r="AR390" s="416"/>
      <c r="AS390" s="416"/>
      <c r="AT390" s="416"/>
      <c r="AU390" s="416"/>
      <c r="AV390" s="416"/>
      <c r="AW390" s="416"/>
      <c r="AX390" s="416"/>
      <c r="AY390" s="416"/>
      <c r="AZ390" s="416"/>
      <c r="BA390" s="416"/>
      <c r="BB390" s="416"/>
      <c r="BC390" s="416"/>
      <c r="BD390" s="416"/>
      <c r="BE390" s="416"/>
      <c r="BF390" s="416"/>
      <c r="BG390" s="416"/>
      <c r="BH390" s="416"/>
      <c r="BI390" s="416"/>
      <c r="BJ390" s="416"/>
      <c r="BK390" s="416"/>
      <c r="BL390" s="416"/>
      <c r="BM390" s="416"/>
      <c r="BN390" s="596"/>
      <c r="BO390" s="596"/>
      <c r="BP390" s="596"/>
      <c r="BQ390" s="596"/>
      <c r="BR390" s="596"/>
      <c r="BS390" s="596"/>
      <c r="BT390" s="596"/>
      <c r="BU390" s="596"/>
      <c r="BV390" s="596"/>
      <c r="BW390" s="596"/>
      <c r="BX390" s="596"/>
      <c r="BY390" s="596"/>
      <c r="BZ390" s="596"/>
      <c r="CA390" s="596"/>
      <c r="CB390" s="596"/>
      <c r="CC390" s="596"/>
      <c r="CD390" s="596"/>
      <c r="CE390" s="596"/>
      <c r="CF390" s="596"/>
      <c r="CG390" s="596"/>
      <c r="CH390" s="597"/>
      <c r="CI390" s="596"/>
      <c r="CJ390" s="597"/>
      <c r="CK390" s="597"/>
      <c r="CL390" s="596"/>
      <c r="CM390" s="596"/>
      <c r="CN390" s="596"/>
      <c r="CO390" s="596"/>
      <c r="CP390" s="596"/>
      <c r="CQ390" s="597"/>
      <c r="CR390" s="596"/>
      <c r="CS390" s="597"/>
      <c r="CT390" s="596"/>
      <c r="CU390" s="709"/>
      <c r="CV390" s="917">
        <f>+IS!CY58</f>
        <v>1954</v>
      </c>
      <c r="CW390" s="596"/>
      <c r="CX390" s="596"/>
      <c r="CY390" s="596"/>
      <c r="CZ390" s="596"/>
      <c r="DA390" s="999"/>
      <c r="DB390" s="999"/>
      <c r="DC390" s="596"/>
      <c r="DD390" s="596"/>
      <c r="DE390" s="999"/>
      <c r="DF390" s="596"/>
      <c r="DG390" s="596"/>
      <c r="DH390" s="596"/>
      <c r="DI390" s="596"/>
    </row>
    <row r="391" spans="1:113">
      <c r="A391" s="416" t="s">
        <v>143</v>
      </c>
      <c r="Q391" s="6">
        <f>+SUM(CP391:CS391)</f>
        <v>448.6</v>
      </c>
      <c r="R391" s="6">
        <f>+SUM(CT391:CW391)</f>
        <v>474.7</v>
      </c>
      <c r="S391" s="6">
        <f>+SUM(CX391:DA391)</f>
        <v>525.1</v>
      </c>
      <c r="AD391" s="416"/>
      <c r="AE391" s="416"/>
      <c r="AF391" s="416"/>
      <c r="AG391" s="416"/>
      <c r="AH391" s="416"/>
      <c r="AI391" s="416"/>
      <c r="AJ391" s="416"/>
      <c r="AK391" s="416"/>
      <c r="AL391" s="416"/>
      <c r="AM391" s="416"/>
      <c r="AN391" s="416"/>
      <c r="AO391" s="416"/>
      <c r="AP391" s="416"/>
      <c r="AQ391" s="416"/>
      <c r="AR391" s="416"/>
      <c r="AS391" s="416"/>
      <c r="AT391" s="416"/>
      <c r="AU391" s="416"/>
      <c r="AV391" s="416"/>
      <c r="AW391" s="416"/>
      <c r="AX391" s="416"/>
      <c r="AY391" s="416"/>
      <c r="AZ391" s="416"/>
      <c r="BA391" s="416"/>
      <c r="BB391" s="416"/>
      <c r="BC391" s="416"/>
      <c r="BD391" s="416"/>
      <c r="BE391" s="416"/>
      <c r="BF391" s="416"/>
      <c r="BG391" s="416"/>
      <c r="BH391" s="416"/>
      <c r="BI391" s="416"/>
      <c r="BJ391" s="416"/>
      <c r="BK391" s="416"/>
      <c r="BL391" s="416"/>
      <c r="BM391" s="416"/>
      <c r="BN391" s="596"/>
      <c r="BO391" s="596"/>
      <c r="BP391" s="596"/>
      <c r="BQ391" s="596"/>
      <c r="BR391" s="596">
        <v>68.5</v>
      </c>
      <c r="BS391" s="596">
        <v>71.7</v>
      </c>
      <c r="BT391" s="598">
        <v>69</v>
      </c>
      <c r="BU391" s="598">
        <v>67.7</v>
      </c>
      <c r="BV391" s="596">
        <v>63.8</v>
      </c>
      <c r="BW391" s="596">
        <v>71.099999999999994</v>
      </c>
      <c r="BX391" s="599">
        <v>67.8</v>
      </c>
      <c r="BY391" s="599">
        <v>77.900000000000006</v>
      </c>
      <c r="BZ391" s="599">
        <v>83.8</v>
      </c>
      <c r="CA391" s="599">
        <v>80.2</v>
      </c>
      <c r="CB391" s="599">
        <v>80.900000000000006</v>
      </c>
      <c r="CC391" s="599">
        <v>82.6</v>
      </c>
      <c r="CD391" s="600">
        <v>81.400000000000006</v>
      </c>
      <c r="CE391" s="600">
        <v>87.1</v>
      </c>
      <c r="CF391" s="600">
        <v>90</v>
      </c>
      <c r="CG391" s="600">
        <v>95.7</v>
      </c>
      <c r="CH391" s="600">
        <v>85.6</v>
      </c>
      <c r="CI391" s="600">
        <v>98.1</v>
      </c>
      <c r="CJ391" s="601">
        <v>100.9</v>
      </c>
      <c r="CK391" s="601">
        <v>107.6</v>
      </c>
      <c r="CL391" s="600">
        <v>93.5</v>
      </c>
      <c r="CM391" s="602">
        <v>106.7</v>
      </c>
      <c r="CN391" s="600">
        <v>116.4</v>
      </c>
      <c r="CO391" s="602">
        <v>109.5</v>
      </c>
      <c r="CP391" s="602">
        <v>103.9</v>
      </c>
      <c r="CQ391" s="601">
        <v>115</v>
      </c>
      <c r="CR391" s="601">
        <v>115.8</v>
      </c>
      <c r="CS391" s="440">
        <v>113.9</v>
      </c>
      <c r="CT391" s="687">
        <v>110.1</v>
      </c>
      <c r="CU391" s="687">
        <v>121.2</v>
      </c>
      <c r="CV391" s="602">
        <v>120.2</v>
      </c>
      <c r="CW391" s="440">
        <v>123.2</v>
      </c>
      <c r="CX391" s="600">
        <v>124.8</v>
      </c>
      <c r="CY391" s="600">
        <v>134</v>
      </c>
      <c r="CZ391" s="602">
        <v>133.5</v>
      </c>
      <c r="DA391" s="602">
        <v>132.80000000000001</v>
      </c>
      <c r="DB391" s="1065">
        <v>124.5</v>
      </c>
      <c r="DC391" s="1065">
        <v>137.5</v>
      </c>
      <c r="DD391" s="1065">
        <v>134.1</v>
      </c>
      <c r="DE391" s="1065">
        <v>135.5</v>
      </c>
      <c r="DF391" s="600"/>
      <c r="DG391" s="600"/>
      <c r="DH391" s="600"/>
      <c r="DI391" s="599"/>
    </row>
    <row r="392" spans="1:113">
      <c r="A392" s="603" t="s">
        <v>596</v>
      </c>
      <c r="Q392" s="11"/>
      <c r="R392" s="11">
        <f>+R391/Q391-1</f>
        <v>5.8181007579134913E-2</v>
      </c>
      <c r="S392" s="11">
        <f>+S391/R391-1</f>
        <v>0.10617231935959559</v>
      </c>
      <c r="AD392" s="603"/>
      <c r="AE392" s="603"/>
      <c r="AF392" s="603"/>
      <c r="AG392" s="603"/>
      <c r="AH392" s="603"/>
      <c r="AI392" s="603"/>
      <c r="AJ392" s="603"/>
      <c r="AK392" s="603"/>
      <c r="AL392" s="603"/>
      <c r="AM392" s="603"/>
      <c r="AN392" s="603"/>
      <c r="AO392" s="603"/>
      <c r="AP392" s="603"/>
      <c r="AQ392" s="603"/>
      <c r="AR392" s="603"/>
      <c r="AS392" s="603"/>
      <c r="AT392" s="603"/>
      <c r="AU392" s="603"/>
      <c r="AV392" s="603"/>
      <c r="AW392" s="603"/>
      <c r="AX392" s="603"/>
      <c r="AY392" s="603"/>
      <c r="AZ392" s="603"/>
      <c r="BA392" s="603"/>
      <c r="BB392" s="603"/>
      <c r="BC392" s="603"/>
      <c r="BD392" s="603"/>
      <c r="BE392" s="603"/>
      <c r="BF392" s="603"/>
      <c r="BG392" s="603"/>
      <c r="BH392" s="603"/>
      <c r="BI392" s="603"/>
      <c r="BJ392" s="603"/>
      <c r="BK392" s="603"/>
      <c r="BL392" s="603"/>
      <c r="BM392" s="603"/>
      <c r="BN392" s="604"/>
      <c r="BO392" s="604"/>
      <c r="BP392" s="604"/>
      <c r="BQ392" s="604"/>
      <c r="BR392" s="604"/>
      <c r="BS392" s="604"/>
      <c r="BT392" s="605"/>
      <c r="BU392" s="605"/>
      <c r="BV392" s="606">
        <f t="shared" ref="BV392:DE392" si="843">BV391/BR391-1</f>
        <v>-6.8613138686131392E-2</v>
      </c>
      <c r="BW392" s="604">
        <f t="shared" si="843"/>
        <v>-8.3682008368202165E-3</v>
      </c>
      <c r="BX392" s="607">
        <f t="shared" si="843"/>
        <v>-1.7391304347826098E-2</v>
      </c>
      <c r="BY392" s="607">
        <f t="shared" si="843"/>
        <v>0.15066469719350084</v>
      </c>
      <c r="BZ392" s="607">
        <f t="shared" si="843"/>
        <v>0.31347962382445149</v>
      </c>
      <c r="CA392" s="607">
        <f t="shared" si="843"/>
        <v>0.12798874824191286</v>
      </c>
      <c r="CB392" s="607">
        <f t="shared" si="843"/>
        <v>0.19321533923303846</v>
      </c>
      <c r="CC392" s="607">
        <f t="shared" si="843"/>
        <v>6.0333761232349126E-2</v>
      </c>
      <c r="CD392" s="607">
        <f t="shared" si="843"/>
        <v>-2.8639618138424749E-2</v>
      </c>
      <c r="CE392" s="607">
        <f t="shared" si="843"/>
        <v>8.6034912718204293E-2</v>
      </c>
      <c r="CF392" s="607">
        <f t="shared" si="843"/>
        <v>0.11248454882571068</v>
      </c>
      <c r="CG392" s="607">
        <f t="shared" si="843"/>
        <v>0.15859564164648932</v>
      </c>
      <c r="CH392" s="607">
        <f t="shared" si="843"/>
        <v>5.1597051597051413E-2</v>
      </c>
      <c r="CI392" s="607">
        <f t="shared" si="843"/>
        <v>0.12629161882893225</v>
      </c>
      <c r="CJ392" s="608">
        <f t="shared" si="843"/>
        <v>0.12111111111111117</v>
      </c>
      <c r="CK392" s="608">
        <f t="shared" si="843"/>
        <v>0.12434691745036552</v>
      </c>
      <c r="CL392" s="607">
        <f t="shared" si="843"/>
        <v>9.2289719626168276E-2</v>
      </c>
      <c r="CM392" s="607">
        <f t="shared" si="843"/>
        <v>8.7665647298674987E-2</v>
      </c>
      <c r="CN392" s="607">
        <f t="shared" si="843"/>
        <v>0.15361744301288405</v>
      </c>
      <c r="CO392" s="607">
        <f t="shared" si="843"/>
        <v>1.7657992565055736E-2</v>
      </c>
      <c r="CP392" s="607">
        <f t="shared" si="843"/>
        <v>0.11122994652406426</v>
      </c>
      <c r="CQ392" s="608">
        <f t="shared" si="843"/>
        <v>7.7788191190252931E-2</v>
      </c>
      <c r="CR392" s="608">
        <f t="shared" si="843"/>
        <v>-5.1546391752578247E-3</v>
      </c>
      <c r="CS392" s="608">
        <f t="shared" si="843"/>
        <v>4.0182648401826615E-2</v>
      </c>
      <c r="CT392" s="688">
        <f t="shared" si="843"/>
        <v>5.9672762271414603E-2</v>
      </c>
      <c r="CU392" s="688">
        <f t="shared" si="843"/>
        <v>5.3913043478260869E-2</v>
      </c>
      <c r="CV392" s="688">
        <f t="shared" si="843"/>
        <v>3.7996545768566481E-2</v>
      </c>
      <c r="CW392" s="608">
        <f t="shared" si="843"/>
        <v>8.1650570676031542E-2</v>
      </c>
      <c r="CX392" s="688">
        <f t="shared" si="843"/>
        <v>0.13351498637602188</v>
      </c>
      <c r="CY392" s="688">
        <f t="shared" si="843"/>
        <v>0.10561056105610556</v>
      </c>
      <c r="CZ392" s="688">
        <f t="shared" si="843"/>
        <v>0.11064891846921787</v>
      </c>
      <c r="DA392" s="1000">
        <f t="shared" si="843"/>
        <v>7.7922077922077948E-2</v>
      </c>
      <c r="DB392" s="1000">
        <f t="shared" si="843"/>
        <v>-2.4038461538461453E-3</v>
      </c>
      <c r="DC392" s="1000">
        <f t="shared" si="843"/>
        <v>2.6119402985074647E-2</v>
      </c>
      <c r="DD392" s="1000">
        <f t="shared" si="843"/>
        <v>4.4943820224718767E-3</v>
      </c>
      <c r="DE392" s="1000">
        <f t="shared" si="843"/>
        <v>2.0331325301204739E-2</v>
      </c>
      <c r="DF392" s="607"/>
      <c r="DG392" s="607"/>
      <c r="DH392" s="607"/>
      <c r="DI392" s="607"/>
    </row>
    <row r="393" spans="1:113">
      <c r="A393" s="416" t="s">
        <v>144</v>
      </c>
      <c r="Q393" s="6">
        <f>+SUM(CP393:CS393)</f>
        <v>269.60000000000002</v>
      </c>
      <c r="R393" s="6">
        <f>+SUM(CT393:CW393)</f>
        <v>267.89999999999998</v>
      </c>
      <c r="S393" s="6">
        <f>+SUM(CX393:DA393)</f>
        <v>260.90000000000003</v>
      </c>
      <c r="AD393" s="416"/>
      <c r="AE393" s="416"/>
      <c r="AF393" s="416"/>
      <c r="AG393" s="416"/>
      <c r="AH393" s="416"/>
      <c r="AI393" s="416"/>
      <c r="AJ393" s="416"/>
      <c r="AK393" s="416"/>
      <c r="AL393" s="416"/>
      <c r="AM393" s="416"/>
      <c r="AN393" s="416"/>
      <c r="AO393" s="416"/>
      <c r="AP393" s="416"/>
      <c r="AQ393" s="416"/>
      <c r="AR393" s="416"/>
      <c r="AS393" s="416"/>
      <c r="AT393" s="416"/>
      <c r="AU393" s="416"/>
      <c r="AV393" s="416"/>
      <c r="AW393" s="416"/>
      <c r="AX393" s="416"/>
      <c r="AY393" s="416"/>
      <c r="AZ393" s="416"/>
      <c r="BA393" s="416"/>
      <c r="BB393" s="416"/>
      <c r="BC393" s="416"/>
      <c r="BD393" s="416"/>
      <c r="BE393" s="416"/>
      <c r="BF393" s="416"/>
      <c r="BG393" s="416"/>
      <c r="BH393" s="416"/>
      <c r="BI393" s="416"/>
      <c r="BJ393" s="416"/>
      <c r="BK393" s="416"/>
      <c r="BL393" s="416"/>
      <c r="BM393" s="416"/>
      <c r="BN393" s="596"/>
      <c r="BO393" s="596"/>
      <c r="BP393" s="596"/>
      <c r="BQ393" s="596"/>
      <c r="BR393" s="596">
        <v>65.8</v>
      </c>
      <c r="BS393" s="596">
        <v>71.400000000000006</v>
      </c>
      <c r="BT393" s="599">
        <v>68.2</v>
      </c>
      <c r="BU393" s="599">
        <v>66.400000000000006</v>
      </c>
      <c r="BV393" s="596">
        <v>61.5</v>
      </c>
      <c r="BW393" s="596">
        <v>70.3</v>
      </c>
      <c r="BX393" s="599">
        <v>66.900000000000006</v>
      </c>
      <c r="BY393" s="599">
        <v>66.7</v>
      </c>
      <c r="BZ393" s="599">
        <v>67.7</v>
      </c>
      <c r="CA393" s="599">
        <v>71.2</v>
      </c>
      <c r="CB393" s="599">
        <v>69.8</v>
      </c>
      <c r="CC393" s="599">
        <v>65.7</v>
      </c>
      <c r="CD393" s="609">
        <v>76</v>
      </c>
      <c r="CE393" s="609">
        <v>68</v>
      </c>
      <c r="CF393" s="609">
        <v>70.900000000000006</v>
      </c>
      <c r="CG393" s="609">
        <v>71.900000000000006</v>
      </c>
      <c r="CH393" s="609">
        <v>64.599999999999994</v>
      </c>
      <c r="CI393" s="609">
        <v>72.5</v>
      </c>
      <c r="CJ393" s="601">
        <v>72.900000000000006</v>
      </c>
      <c r="CK393" s="601">
        <v>78.400000000000006</v>
      </c>
      <c r="CL393" s="609">
        <v>64.400000000000006</v>
      </c>
      <c r="CM393" s="602">
        <v>73.8</v>
      </c>
      <c r="CN393" s="600">
        <v>75.599999999999994</v>
      </c>
      <c r="CO393" s="610">
        <v>70</v>
      </c>
      <c r="CP393" s="602">
        <v>64</v>
      </c>
      <c r="CQ393" s="601">
        <v>69.3</v>
      </c>
      <c r="CR393" s="601">
        <v>68.3</v>
      </c>
      <c r="CS393" s="440">
        <v>68</v>
      </c>
      <c r="CT393" s="721">
        <v>64</v>
      </c>
      <c r="CU393" s="602">
        <v>69.400000000000006</v>
      </c>
      <c r="CV393" s="602">
        <v>67.099999999999994</v>
      </c>
      <c r="CW393" s="440">
        <v>67.400000000000006</v>
      </c>
      <c r="CX393" s="600">
        <v>64.5</v>
      </c>
      <c r="CY393" s="600">
        <v>66.599999999999994</v>
      </c>
      <c r="CZ393" s="602">
        <v>66.2</v>
      </c>
      <c r="DA393" s="602">
        <v>63.6</v>
      </c>
      <c r="DB393" s="1065">
        <v>55.6</v>
      </c>
      <c r="DC393" s="1065">
        <v>65.8</v>
      </c>
      <c r="DD393" s="1065">
        <v>61.6</v>
      </c>
      <c r="DE393" s="1065">
        <v>58.9</v>
      </c>
      <c r="DF393" s="600"/>
      <c r="DG393" s="600"/>
      <c r="DH393" s="600"/>
      <c r="DI393" s="599"/>
    </row>
    <row r="394" spans="1:113">
      <c r="A394" s="603" t="s">
        <v>596</v>
      </c>
      <c r="Q394" s="11"/>
      <c r="R394" s="11">
        <f>+R393/Q393-1</f>
        <v>-6.3056379821959663E-3</v>
      </c>
      <c r="S394" s="11">
        <f>+S393/R393-1</f>
        <v>-2.6129152668906142E-2</v>
      </c>
      <c r="AD394" s="603"/>
      <c r="AE394" s="603"/>
      <c r="AF394" s="603"/>
      <c r="AG394" s="603"/>
      <c r="AH394" s="603"/>
      <c r="AI394" s="603"/>
      <c r="AJ394" s="603"/>
      <c r="AK394" s="603"/>
      <c r="AL394" s="603"/>
      <c r="AM394" s="603"/>
      <c r="AN394" s="603"/>
      <c r="AO394" s="603"/>
      <c r="AP394" s="603"/>
      <c r="AQ394" s="603"/>
      <c r="AR394" s="603"/>
      <c r="AS394" s="603"/>
      <c r="AT394" s="603"/>
      <c r="AU394" s="603"/>
      <c r="AV394" s="603"/>
      <c r="AW394" s="603"/>
      <c r="AX394" s="603"/>
      <c r="AY394" s="603"/>
      <c r="AZ394" s="603"/>
      <c r="BA394" s="603"/>
      <c r="BB394" s="603"/>
      <c r="BC394" s="603"/>
      <c r="BD394" s="603"/>
      <c r="BE394" s="603"/>
      <c r="BF394" s="603"/>
      <c r="BG394" s="603"/>
      <c r="BH394" s="603"/>
      <c r="BI394" s="603"/>
      <c r="BJ394" s="603"/>
      <c r="BK394" s="603"/>
      <c r="BL394" s="603"/>
      <c r="BM394" s="603"/>
      <c r="BN394" s="604"/>
      <c r="BO394" s="604"/>
      <c r="BP394" s="604"/>
      <c r="BQ394" s="604"/>
      <c r="BR394" s="604"/>
      <c r="BS394" s="604"/>
      <c r="BT394" s="604"/>
      <c r="BU394" s="604"/>
      <c r="BV394" s="606">
        <f t="shared" ref="BV394:DE394" si="844">BV393/BR393-1</f>
        <v>-6.534954407294824E-2</v>
      </c>
      <c r="BW394" s="604">
        <f t="shared" si="844"/>
        <v>-1.5406162464986162E-2</v>
      </c>
      <c r="BX394" s="607">
        <f t="shared" si="844"/>
        <v>-1.9061583577712593E-2</v>
      </c>
      <c r="BY394" s="607">
        <f t="shared" si="844"/>
        <v>4.5180722891566827E-3</v>
      </c>
      <c r="BZ394" s="607">
        <f t="shared" si="844"/>
        <v>0.10081300813008132</v>
      </c>
      <c r="CA394" s="607">
        <f t="shared" si="844"/>
        <v>1.2802275960170695E-2</v>
      </c>
      <c r="CB394" s="607">
        <f t="shared" si="844"/>
        <v>4.334828101644228E-2</v>
      </c>
      <c r="CC394" s="607">
        <f t="shared" si="844"/>
        <v>-1.4992503748125885E-2</v>
      </c>
      <c r="CD394" s="607">
        <f t="shared" si="844"/>
        <v>0.12259970457902503</v>
      </c>
      <c r="CE394" s="607">
        <f t="shared" si="844"/>
        <v>-4.49438202247191E-2</v>
      </c>
      <c r="CF394" s="607">
        <f t="shared" si="844"/>
        <v>1.5759312320916985E-2</v>
      </c>
      <c r="CG394" s="607">
        <f t="shared" si="844"/>
        <v>9.4368340943683515E-2</v>
      </c>
      <c r="CH394" s="608">
        <f t="shared" si="844"/>
        <v>-0.15000000000000002</v>
      </c>
      <c r="CI394" s="607">
        <f t="shared" si="844"/>
        <v>6.6176470588235281E-2</v>
      </c>
      <c r="CJ394" s="607">
        <f t="shared" si="844"/>
        <v>2.8208744710860323E-2</v>
      </c>
      <c r="CK394" s="607">
        <f t="shared" si="844"/>
        <v>9.0403337969402031E-2</v>
      </c>
      <c r="CL394" s="608">
        <f t="shared" si="844"/>
        <v>-3.0959752321979561E-3</v>
      </c>
      <c r="CM394" s="608">
        <f t="shared" si="844"/>
        <v>1.7931034482758568E-2</v>
      </c>
      <c r="CN394" s="608">
        <f t="shared" si="844"/>
        <v>3.7037037037036979E-2</v>
      </c>
      <c r="CO394" s="608">
        <f t="shared" si="844"/>
        <v>-0.10714285714285721</v>
      </c>
      <c r="CP394" s="608">
        <f t="shared" si="844"/>
        <v>-6.2111801242237252E-3</v>
      </c>
      <c r="CQ394" s="608">
        <f t="shared" si="844"/>
        <v>-6.0975609756097615E-2</v>
      </c>
      <c r="CR394" s="608">
        <f t="shared" si="844"/>
        <v>-9.6560846560846514E-2</v>
      </c>
      <c r="CS394" s="608">
        <f t="shared" si="844"/>
        <v>-2.8571428571428581E-2</v>
      </c>
      <c r="CT394" s="688">
        <f t="shared" si="844"/>
        <v>0</v>
      </c>
      <c r="CU394" s="688">
        <f t="shared" si="844"/>
        <v>1.4430014430015792E-3</v>
      </c>
      <c r="CV394" s="688">
        <f t="shared" si="844"/>
        <v>-1.7569546120058566E-2</v>
      </c>
      <c r="CW394" s="688">
        <f t="shared" si="844"/>
        <v>-8.8235294117646745E-3</v>
      </c>
      <c r="CX394" s="688">
        <f t="shared" si="844"/>
        <v>7.8125E-3</v>
      </c>
      <c r="CY394" s="688">
        <f t="shared" si="844"/>
        <v>-4.0345821325648568E-2</v>
      </c>
      <c r="CZ394" s="688">
        <f t="shared" si="844"/>
        <v>-1.3412816691505069E-2</v>
      </c>
      <c r="DA394" s="1000">
        <f t="shared" si="844"/>
        <v>-5.6379821958457033E-2</v>
      </c>
      <c r="DB394" s="1000">
        <f t="shared" si="844"/>
        <v>-0.13798449612403096</v>
      </c>
      <c r="DC394" s="1000">
        <f t="shared" si="844"/>
        <v>-1.2012012012011963E-2</v>
      </c>
      <c r="DD394" s="1000">
        <f t="shared" si="844"/>
        <v>-6.9486404833836835E-2</v>
      </c>
      <c r="DE394" s="1000">
        <f t="shared" si="844"/>
        <v>-7.3899371069182429E-2</v>
      </c>
      <c r="DF394" s="608"/>
      <c r="DG394" s="608"/>
      <c r="DH394" s="608"/>
      <c r="DI394" s="604"/>
    </row>
    <row r="395" spans="1:113">
      <c r="A395" s="611"/>
      <c r="AD395" s="611"/>
      <c r="AE395" s="611"/>
      <c r="AF395" s="611"/>
      <c r="AG395" s="611"/>
      <c r="AH395" s="611"/>
      <c r="AI395" s="611"/>
      <c r="AJ395" s="611"/>
      <c r="AK395" s="611"/>
      <c r="AL395" s="611"/>
      <c r="AM395" s="611"/>
      <c r="AN395" s="611"/>
      <c r="AO395" s="611"/>
      <c r="AP395" s="611"/>
      <c r="AQ395" s="611"/>
      <c r="AR395" s="611"/>
      <c r="AS395" s="611"/>
      <c r="AT395" s="611"/>
      <c r="AU395" s="611"/>
      <c r="AV395" s="611"/>
      <c r="AW395" s="611"/>
      <c r="AX395" s="611"/>
      <c r="AY395" s="611"/>
      <c r="AZ395" s="611"/>
      <c r="BA395" s="611"/>
      <c r="BB395" s="611"/>
      <c r="BC395" s="611"/>
      <c r="BD395" s="611"/>
      <c r="BE395" s="611"/>
      <c r="BF395" s="611"/>
      <c r="BG395" s="611"/>
      <c r="BH395" s="611"/>
      <c r="BI395" s="611"/>
      <c r="BJ395" s="611"/>
      <c r="BK395" s="611"/>
      <c r="BL395" s="611"/>
      <c r="BM395" s="611"/>
      <c r="BN395" s="596"/>
      <c r="BO395" s="596"/>
      <c r="BP395" s="596"/>
      <c r="BQ395" s="596"/>
      <c r="BR395" s="596"/>
      <c r="BS395" s="596"/>
      <c r="BT395" s="596"/>
      <c r="BU395" s="596"/>
      <c r="BV395" s="596"/>
      <c r="BW395" s="596"/>
      <c r="BX395" s="596"/>
      <c r="BY395" s="596"/>
      <c r="BZ395" s="596"/>
      <c r="CA395" s="596"/>
      <c r="CB395" s="596"/>
      <c r="CC395" s="596"/>
      <c r="CD395" s="596"/>
      <c r="CE395" s="596"/>
      <c r="CF395" s="596"/>
      <c r="CG395" s="596"/>
      <c r="CH395" s="597"/>
      <c r="CI395" s="596"/>
      <c r="CJ395" s="596"/>
      <c r="CK395" s="596"/>
      <c r="CL395" s="596"/>
      <c r="CM395" s="596"/>
      <c r="CN395" s="596"/>
      <c r="CO395" s="596"/>
      <c r="CP395" s="596"/>
      <c r="CQ395" s="596"/>
      <c r="CR395" s="597"/>
      <c r="CS395" s="597"/>
      <c r="CT395" s="597"/>
      <c r="CU395" s="596"/>
      <c r="CV395" s="596"/>
      <c r="CW395" s="596"/>
      <c r="CX395" s="596"/>
      <c r="CY395" s="596"/>
      <c r="CZ395" s="596"/>
      <c r="DA395" s="999"/>
      <c r="DB395" s="999"/>
      <c r="DC395" s="596"/>
      <c r="DD395" s="596"/>
      <c r="DE395" s="596"/>
      <c r="DF395" s="596"/>
      <c r="DG395" s="596"/>
      <c r="DH395" s="596"/>
      <c r="DI395" s="596"/>
    </row>
    <row r="396" spans="1:113">
      <c r="A396" s="612" t="s">
        <v>348</v>
      </c>
      <c r="B396" s="821">
        <v>619.36</v>
      </c>
      <c r="C396" s="821">
        <v>599.4</v>
      </c>
      <c r="D396" s="821">
        <v>605.70000000000005</v>
      </c>
      <c r="E396" s="821">
        <v>586.29999999999995</v>
      </c>
      <c r="F396" s="821">
        <v>577</v>
      </c>
      <c r="G396" s="821">
        <v>570.1</v>
      </c>
      <c r="H396" s="821">
        <v>540.9</v>
      </c>
      <c r="I396" s="821">
        <v>541.4</v>
      </c>
      <c r="J396" s="821">
        <v>556.9</v>
      </c>
      <c r="K396" s="821">
        <v>549</v>
      </c>
      <c r="L396" s="515">
        <f>SUM(BS396:BV396)</f>
        <v>540</v>
      </c>
      <c r="M396" s="515">
        <f>SUM(BW396:BZ396)</f>
        <v>572.20000000000005</v>
      </c>
      <c r="N396" s="515">
        <f>SUM(CA396:CD396)</f>
        <v>607.80000000000007</v>
      </c>
      <c r="O396" s="515">
        <f>SUM(CE396:CH396)</f>
        <v>633.79999999999995</v>
      </c>
      <c r="P396" s="515">
        <f>SUM(CI396:CL396)</f>
        <v>688.3</v>
      </c>
      <c r="Q396" s="515">
        <f>SUM(CM396:CP396)</f>
        <v>719.9</v>
      </c>
      <c r="R396" s="821">
        <f>+SUM(CT396:CW396)</f>
        <v>742.6</v>
      </c>
      <c r="S396" s="813">
        <f>+SUM(CX396:DA396)</f>
        <v>785.99999999999989</v>
      </c>
      <c r="T396" s="808">
        <f>+SUM(DB396:DE396)</f>
        <v>773.49999999999989</v>
      </c>
      <c r="U396" s="821">
        <f t="shared" ref="U396:AB396" si="845">U385*U397</f>
        <v>785.48356499999989</v>
      </c>
      <c r="V396" s="821">
        <f t="shared" si="845"/>
        <v>797.6294512999998</v>
      </c>
      <c r="W396" s="821">
        <f t="shared" si="845"/>
        <v>809.93970696949987</v>
      </c>
      <c r="X396" s="821">
        <f t="shared" si="845"/>
        <v>838.70187816977977</v>
      </c>
      <c r="Y396" s="821">
        <f t="shared" si="845"/>
        <v>868.46083390580407</v>
      </c>
      <c r="Z396" s="821">
        <f t="shared" si="845"/>
        <v>899.25049529563705</v>
      </c>
      <c r="AA396" s="821">
        <f t="shared" si="845"/>
        <v>931.10592161834472</v>
      </c>
      <c r="AB396" s="821">
        <f t="shared" si="845"/>
        <v>964.06334807464873</v>
      </c>
      <c r="AD396" s="612"/>
      <c r="AE396" s="612"/>
      <c r="AF396" s="612"/>
      <c r="AG396" s="612"/>
      <c r="AH396" s="612"/>
      <c r="AI396" s="612"/>
      <c r="AJ396" s="612"/>
      <c r="AK396" s="612"/>
      <c r="AL396" s="612"/>
      <c r="AM396" s="612"/>
      <c r="AN396" s="612"/>
      <c r="AO396" s="612"/>
      <c r="AP396" s="612"/>
      <c r="AQ396" s="612"/>
      <c r="AR396" s="612"/>
      <c r="AS396" s="612"/>
      <c r="AT396" s="612"/>
      <c r="AU396" s="612"/>
      <c r="AV396" s="612"/>
      <c r="AW396" s="612"/>
      <c r="AX396" s="612"/>
      <c r="AY396" s="612"/>
      <c r="AZ396" s="612"/>
      <c r="BA396" s="612"/>
      <c r="BB396" s="612"/>
      <c r="BC396" s="612"/>
      <c r="BD396" s="612"/>
      <c r="BE396" s="612"/>
      <c r="BF396" s="612"/>
      <c r="BG396" s="612"/>
      <c r="BH396" s="612"/>
      <c r="BI396" s="612"/>
      <c r="BJ396" s="612"/>
      <c r="BK396" s="612"/>
      <c r="BL396" s="612"/>
      <c r="BM396" s="612"/>
      <c r="BN396" s="592">
        <v>131.80000000000001</v>
      </c>
      <c r="BO396" s="592">
        <v>144.1</v>
      </c>
      <c r="BP396" s="592">
        <v>139</v>
      </c>
      <c r="BQ396" s="592">
        <v>142</v>
      </c>
      <c r="BR396" s="592">
        <f>SUM(BR391:BR393)</f>
        <v>134.30000000000001</v>
      </c>
      <c r="BS396" s="592">
        <f>SUM(BS391:BS393)</f>
        <v>143.10000000000002</v>
      </c>
      <c r="BT396" s="592">
        <v>137.30000000000001</v>
      </c>
      <c r="BU396" s="592">
        <f>K396-SUM(BR396:BT396)</f>
        <v>134.29999999999995</v>
      </c>
      <c r="BV396" s="592">
        <f t="shared" ref="BV396:CY396" si="846">BV393+BV391</f>
        <v>125.3</v>
      </c>
      <c r="BW396" s="592">
        <f t="shared" si="846"/>
        <v>141.39999999999998</v>
      </c>
      <c r="BX396" s="592">
        <f t="shared" si="846"/>
        <v>134.69999999999999</v>
      </c>
      <c r="BY396" s="592">
        <f t="shared" si="846"/>
        <v>144.60000000000002</v>
      </c>
      <c r="BZ396" s="592">
        <f t="shared" si="846"/>
        <v>151.5</v>
      </c>
      <c r="CA396" s="592">
        <f t="shared" si="846"/>
        <v>151.4</v>
      </c>
      <c r="CB396" s="592">
        <f t="shared" si="846"/>
        <v>150.69999999999999</v>
      </c>
      <c r="CC396" s="592">
        <f t="shared" si="846"/>
        <v>148.30000000000001</v>
      </c>
      <c r="CD396" s="592">
        <f t="shared" si="846"/>
        <v>157.4</v>
      </c>
      <c r="CE396" s="592">
        <f t="shared" si="846"/>
        <v>155.1</v>
      </c>
      <c r="CF396" s="592">
        <f t="shared" si="846"/>
        <v>160.9</v>
      </c>
      <c r="CG396" s="592">
        <f t="shared" si="846"/>
        <v>167.60000000000002</v>
      </c>
      <c r="CH396" s="613">
        <f t="shared" si="846"/>
        <v>150.19999999999999</v>
      </c>
      <c r="CI396" s="592">
        <f t="shared" si="846"/>
        <v>170.6</v>
      </c>
      <c r="CJ396" s="592">
        <f t="shared" si="846"/>
        <v>173.8</v>
      </c>
      <c r="CK396" s="592">
        <f t="shared" si="846"/>
        <v>186</v>
      </c>
      <c r="CL396" s="613">
        <f t="shared" si="846"/>
        <v>157.9</v>
      </c>
      <c r="CM396" s="613">
        <f t="shared" si="846"/>
        <v>180.5</v>
      </c>
      <c r="CN396" s="613">
        <f t="shared" si="846"/>
        <v>192</v>
      </c>
      <c r="CO396" s="613">
        <f t="shared" si="846"/>
        <v>179.5</v>
      </c>
      <c r="CP396" s="613">
        <f t="shared" si="846"/>
        <v>167.9</v>
      </c>
      <c r="CQ396" s="613">
        <f t="shared" si="846"/>
        <v>184.3</v>
      </c>
      <c r="CR396" s="613">
        <f t="shared" si="846"/>
        <v>184.1</v>
      </c>
      <c r="CS396" s="613">
        <f t="shared" si="846"/>
        <v>181.9</v>
      </c>
      <c r="CT396" s="613">
        <f t="shared" si="846"/>
        <v>174.1</v>
      </c>
      <c r="CU396" s="613">
        <f t="shared" si="846"/>
        <v>190.60000000000002</v>
      </c>
      <c r="CV396" s="613">
        <f t="shared" si="846"/>
        <v>187.3</v>
      </c>
      <c r="CW396" s="717">
        <f t="shared" si="846"/>
        <v>190.60000000000002</v>
      </c>
      <c r="CX396" s="613">
        <f t="shared" si="846"/>
        <v>189.3</v>
      </c>
      <c r="CY396" s="613">
        <f t="shared" si="846"/>
        <v>200.6</v>
      </c>
      <c r="CZ396" s="613">
        <f t="shared" ref="CZ396:DE396" si="847">CZ393+CZ391</f>
        <v>199.7</v>
      </c>
      <c r="DA396" s="1001">
        <f t="shared" si="847"/>
        <v>196.4</v>
      </c>
      <c r="DB396" s="1001">
        <f t="shared" si="847"/>
        <v>180.1</v>
      </c>
      <c r="DC396" s="1001">
        <f t="shared" si="847"/>
        <v>203.3</v>
      </c>
      <c r="DD396" s="1001">
        <f t="shared" si="847"/>
        <v>195.7</v>
      </c>
      <c r="DE396" s="1001">
        <f t="shared" si="847"/>
        <v>194.4</v>
      </c>
      <c r="DF396" s="592">
        <f>+DF397*DF385</f>
        <v>186.42955031617731</v>
      </c>
      <c r="DG396" s="592">
        <f>+DG397*DG385</f>
        <v>204.29470640675143</v>
      </c>
      <c r="DH396" s="592">
        <f>+DH397*DH385</f>
        <v>198.49495532984668</v>
      </c>
      <c r="DI396" s="592">
        <f>+U396-SUM(DF396:DH396)</f>
        <v>196.26435294722444</v>
      </c>
    </row>
    <row r="397" spans="1:113">
      <c r="A397" s="416" t="s">
        <v>176</v>
      </c>
      <c r="B397" s="418">
        <f t="shared" ref="B397:T397" si="848">B396/B385</f>
        <v>0.97629255989911734</v>
      </c>
      <c r="C397" s="418">
        <f t="shared" si="848"/>
        <v>0.94691943127962086</v>
      </c>
      <c r="D397" s="418">
        <f t="shared" si="848"/>
        <v>0.93371358100817015</v>
      </c>
      <c r="E397" s="418">
        <f t="shared" si="848"/>
        <v>0.92214532871972321</v>
      </c>
      <c r="F397" s="418" t="e">
        <f t="shared" si="848"/>
        <v>#REF!</v>
      </c>
      <c r="G397" s="418">
        <f t="shared" si="848"/>
        <v>0.88897551847809142</v>
      </c>
      <c r="H397" s="418">
        <f t="shared" si="848"/>
        <v>0.86502478810171124</v>
      </c>
      <c r="I397" s="418">
        <f t="shared" si="848"/>
        <v>0.85569780306622423</v>
      </c>
      <c r="J397" s="418">
        <f t="shared" si="848"/>
        <v>0.84494006979214076</v>
      </c>
      <c r="K397" s="418">
        <f t="shared" si="848"/>
        <v>0.83308042488619116</v>
      </c>
      <c r="L397" s="418">
        <f t="shared" si="848"/>
        <v>0.83000307408545959</v>
      </c>
      <c r="M397" s="418">
        <f t="shared" si="848"/>
        <v>0.84333087693441422</v>
      </c>
      <c r="N397" s="418">
        <f t="shared" si="848"/>
        <v>0.84182825484764556</v>
      </c>
      <c r="O397" s="418">
        <f t="shared" si="848"/>
        <v>0.87930077691453923</v>
      </c>
      <c r="P397" s="418">
        <f t="shared" si="848"/>
        <v>0.89494214016382789</v>
      </c>
      <c r="Q397" s="418">
        <f t="shared" si="848"/>
        <v>0.90224338889585165</v>
      </c>
      <c r="R397" s="418">
        <f t="shared" si="848"/>
        <v>0.91284572833435773</v>
      </c>
      <c r="S397" s="418">
        <f t="shared" si="848"/>
        <v>0.92091388400702978</v>
      </c>
      <c r="T397" s="418">
        <f t="shared" si="848"/>
        <v>0.91941043622964447</v>
      </c>
      <c r="U397" s="419">
        <f t="shared" ref="U397:AB397" si="849">T397+0.005</f>
        <v>0.92441043622964447</v>
      </c>
      <c r="V397" s="419">
        <f t="shared" si="849"/>
        <v>0.92941043622964448</v>
      </c>
      <c r="W397" s="419">
        <f t="shared" si="849"/>
        <v>0.93441043622964448</v>
      </c>
      <c r="X397" s="419">
        <f t="shared" si="849"/>
        <v>0.93941043622964449</v>
      </c>
      <c r="Y397" s="419">
        <f t="shared" si="849"/>
        <v>0.94441043622964449</v>
      </c>
      <c r="Z397" s="419">
        <f t="shared" si="849"/>
        <v>0.94941043622964449</v>
      </c>
      <c r="AA397" s="419">
        <f t="shared" si="849"/>
        <v>0.9544104362296445</v>
      </c>
      <c r="AB397" s="419">
        <f t="shared" si="849"/>
        <v>0.9594104362296445</v>
      </c>
      <c r="AD397" s="416"/>
      <c r="AE397" s="416"/>
      <c r="AF397" s="416"/>
      <c r="AG397" s="416"/>
      <c r="AH397" s="416"/>
      <c r="AI397" s="416"/>
      <c r="AJ397" s="416"/>
      <c r="AK397" s="416"/>
      <c r="AL397" s="416"/>
      <c r="AM397" s="416"/>
      <c r="AN397" s="416"/>
      <c r="AO397" s="416"/>
      <c r="AP397" s="416"/>
      <c r="AQ397" s="416"/>
      <c r="AR397" s="416"/>
      <c r="AS397" s="416"/>
      <c r="AT397" s="416"/>
      <c r="AU397" s="416"/>
      <c r="AV397" s="416"/>
      <c r="AW397" s="416"/>
      <c r="AX397" s="416"/>
      <c r="AY397" s="416"/>
      <c r="AZ397" s="416"/>
      <c r="BA397" s="416"/>
      <c r="BB397" s="416"/>
      <c r="BC397" s="416"/>
      <c r="BD397" s="416"/>
      <c r="BE397" s="416"/>
      <c r="BF397" s="416"/>
      <c r="BG397" s="416"/>
      <c r="BH397" s="416"/>
      <c r="BI397" s="416"/>
      <c r="BJ397" s="416"/>
      <c r="BK397" s="416"/>
      <c r="BL397" s="416"/>
      <c r="BM397" s="416"/>
      <c r="BN397" s="620">
        <f t="shared" ref="BN397:BU397" si="850">BN396/BN385</f>
        <v>0.84922680412371143</v>
      </c>
      <c r="BO397" s="620">
        <f t="shared" si="850"/>
        <v>0.84814596821659793</v>
      </c>
      <c r="BP397" s="620">
        <f t="shared" si="850"/>
        <v>0.84140435835351091</v>
      </c>
      <c r="BQ397" s="620">
        <f t="shared" si="850"/>
        <v>0.84123222748815163</v>
      </c>
      <c r="BR397" s="620">
        <f t="shared" si="850"/>
        <v>0.83989993746091307</v>
      </c>
      <c r="BS397" s="620">
        <f t="shared" si="850"/>
        <v>0.83197674418604661</v>
      </c>
      <c r="BT397" s="620">
        <f t="shared" si="850"/>
        <v>0.83262583383869015</v>
      </c>
      <c r="BU397" s="620">
        <f t="shared" si="850"/>
        <v>0.827990135635018</v>
      </c>
      <c r="BV397" s="620">
        <f t="shared" ref="BV397:CJ397" si="851">BV396/BV385</f>
        <v>0.82706270627062706</v>
      </c>
      <c r="BW397" s="620">
        <f t="shared" si="851"/>
        <v>0.85129440096327502</v>
      </c>
      <c r="BX397" s="620">
        <f t="shared" si="851"/>
        <v>0.85253164556962013</v>
      </c>
      <c r="BY397" s="620">
        <f t="shared" si="851"/>
        <v>0.85918003565062395</v>
      </c>
      <c r="BZ397" s="620">
        <f t="shared" si="851"/>
        <v>0.81407845244492216</v>
      </c>
      <c r="CA397" s="620">
        <f t="shared" si="851"/>
        <v>0.83232545354590437</v>
      </c>
      <c r="CB397" s="620">
        <f t="shared" si="851"/>
        <v>0.8194671016856987</v>
      </c>
      <c r="CC397" s="620">
        <f t="shared" si="851"/>
        <v>0.85971014492753628</v>
      </c>
      <c r="CD397" s="620">
        <f t="shared" si="851"/>
        <v>0.85683179096352757</v>
      </c>
      <c r="CE397" s="620">
        <f t="shared" si="851"/>
        <v>0.87085906793935985</v>
      </c>
      <c r="CF397" s="620">
        <f t="shared" si="851"/>
        <v>0.87683923705722078</v>
      </c>
      <c r="CG397" s="620">
        <f t="shared" si="851"/>
        <v>0.88536714210248291</v>
      </c>
      <c r="CH397" s="302">
        <f t="shared" si="851"/>
        <v>0.88404944084755732</v>
      </c>
      <c r="CI397" s="620">
        <f t="shared" si="851"/>
        <v>0.88993218570683363</v>
      </c>
      <c r="CJ397" s="620">
        <f t="shared" si="851"/>
        <v>0.894493051981472</v>
      </c>
      <c r="CK397" s="620">
        <f t="shared" ref="CK397:CY397" si="852">+CK396/CK385</f>
        <v>0.89681774349083898</v>
      </c>
      <c r="CL397" s="620">
        <f t="shared" si="852"/>
        <v>0.89869095048377923</v>
      </c>
      <c r="CM397" s="620">
        <f t="shared" si="852"/>
        <v>0.90024937655860349</v>
      </c>
      <c r="CN397" s="620">
        <f t="shared" si="852"/>
        <v>0.90225563909774431</v>
      </c>
      <c r="CO397" s="620">
        <f t="shared" si="852"/>
        <v>0.90428211586901763</v>
      </c>
      <c r="CP397" s="620">
        <f t="shared" si="852"/>
        <v>0.90220311660397645</v>
      </c>
      <c r="CQ397" s="620">
        <f t="shared" si="852"/>
        <v>0.90431795878312071</v>
      </c>
      <c r="CR397" s="620">
        <f t="shared" si="852"/>
        <v>0.90689655172413786</v>
      </c>
      <c r="CS397" s="302">
        <f t="shared" si="852"/>
        <v>0.9076846307385229</v>
      </c>
      <c r="CT397" s="302">
        <f t="shared" si="852"/>
        <v>0.91104133961276823</v>
      </c>
      <c r="CU397" s="302">
        <f t="shared" si="852"/>
        <v>0.91196172248803842</v>
      </c>
      <c r="CV397" s="302">
        <f t="shared" si="852"/>
        <v>0.91410444119082479</v>
      </c>
      <c r="CW397" s="814">
        <f t="shared" si="852"/>
        <v>0.91414868105515601</v>
      </c>
      <c r="CX397" s="302">
        <f t="shared" si="852"/>
        <v>0.918486171761281</v>
      </c>
      <c r="CY397" s="302">
        <f t="shared" si="852"/>
        <v>0.92060578246902247</v>
      </c>
      <c r="CZ397" s="302">
        <f t="shared" ref="CZ397:DD397" si="853">+CZ396/CZ385</f>
        <v>0.92282809611829941</v>
      </c>
      <c r="DA397" s="997">
        <f t="shared" si="853"/>
        <v>0.92163303613327086</v>
      </c>
      <c r="DB397" s="997">
        <f t="shared" si="853"/>
        <v>0.91981613891726244</v>
      </c>
      <c r="DC397" s="997">
        <f t="shared" si="853"/>
        <v>0.9199095022624435</v>
      </c>
      <c r="DD397" s="997">
        <f t="shared" si="853"/>
        <v>0.92050799623706492</v>
      </c>
      <c r="DE397" s="997">
        <f t="shared" ref="DE397" si="854">+DE396/DE385</f>
        <v>0.91741387446908917</v>
      </c>
      <c r="DF397" s="620">
        <f>U397</f>
        <v>0.92441043622964447</v>
      </c>
      <c r="DG397" s="620">
        <f>(U397*4-DF397)/3</f>
        <v>0.92441043622964447</v>
      </c>
      <c r="DH397" s="620">
        <f>(U397*4-DG397-DF397)/2</f>
        <v>0.92441043622964458</v>
      </c>
      <c r="DI397" s="620">
        <f>+DI396/DI385</f>
        <v>0.92441043622964425</v>
      </c>
    </row>
    <row r="398" spans="1:113">
      <c r="A398" s="612" t="s">
        <v>175</v>
      </c>
      <c r="B398" s="418"/>
      <c r="C398" s="418"/>
      <c r="D398" s="418"/>
      <c r="E398" s="418"/>
      <c r="F398" s="418"/>
      <c r="G398" s="418"/>
      <c r="H398" s="418"/>
      <c r="I398" s="418"/>
      <c r="J398" s="418"/>
      <c r="K398" s="418"/>
      <c r="L398" s="418"/>
      <c r="M398" s="418"/>
      <c r="N398" s="418"/>
      <c r="O398" s="418"/>
      <c r="P398" s="418"/>
      <c r="Q398" s="418"/>
      <c r="R398" s="418"/>
      <c r="S398" s="418"/>
      <c r="T398" s="418"/>
      <c r="U398" s="418"/>
      <c r="V398" s="418"/>
      <c r="W398" s="418"/>
      <c r="X398" s="418"/>
      <c r="Y398" s="418"/>
      <c r="Z398" s="418"/>
      <c r="AA398" s="418"/>
      <c r="AB398" s="418"/>
      <c r="AD398" s="612"/>
      <c r="AE398" s="612"/>
      <c r="AF398" s="612"/>
      <c r="AG398" s="612"/>
      <c r="AH398" s="612"/>
      <c r="AI398" s="612"/>
      <c r="AJ398" s="612"/>
      <c r="AK398" s="612"/>
      <c r="AL398" s="612"/>
      <c r="AM398" s="612"/>
      <c r="AN398" s="612"/>
      <c r="AO398" s="612"/>
      <c r="AP398" s="612"/>
      <c r="AQ398" s="612"/>
      <c r="AR398" s="612"/>
      <c r="AS398" s="612"/>
      <c r="AT398" s="612"/>
      <c r="AU398" s="612"/>
      <c r="AV398" s="612"/>
      <c r="AW398" s="612"/>
      <c r="AX398" s="612"/>
      <c r="AY398" s="612"/>
      <c r="AZ398" s="612"/>
      <c r="BA398" s="612"/>
      <c r="BB398" s="612"/>
      <c r="BC398" s="612"/>
      <c r="BD398" s="612"/>
      <c r="BE398" s="612"/>
      <c r="BF398" s="612"/>
      <c r="BG398" s="612"/>
      <c r="BH398" s="612"/>
      <c r="BI398" s="612"/>
      <c r="BJ398" s="612"/>
      <c r="BK398" s="612"/>
      <c r="BL398" s="612"/>
      <c r="BM398" s="612"/>
      <c r="BN398" s="592">
        <f t="shared" ref="BN398:BY398" si="855">BN385-BN396</f>
        <v>23.399999999999977</v>
      </c>
      <c r="BO398" s="592">
        <f t="shared" si="855"/>
        <v>25.800000000000011</v>
      </c>
      <c r="BP398" s="592">
        <f t="shared" si="855"/>
        <v>26.199999999999989</v>
      </c>
      <c r="BQ398" s="592">
        <f t="shared" si="855"/>
        <v>26.800000000000011</v>
      </c>
      <c r="BR398" s="592">
        <f t="shared" si="855"/>
        <v>25.599999999999994</v>
      </c>
      <c r="BS398" s="592">
        <f t="shared" si="855"/>
        <v>28.899999999999977</v>
      </c>
      <c r="BT398" s="592">
        <f t="shared" si="855"/>
        <v>27.599999999999994</v>
      </c>
      <c r="BU398" s="592">
        <f t="shared" si="855"/>
        <v>27.900000000000091</v>
      </c>
      <c r="BV398" s="592">
        <f t="shared" si="855"/>
        <v>26.200000000000003</v>
      </c>
      <c r="BW398" s="592">
        <f t="shared" si="855"/>
        <v>24.700000000000017</v>
      </c>
      <c r="BX398" s="592">
        <f t="shared" si="855"/>
        <v>23.300000000000011</v>
      </c>
      <c r="BY398" s="592">
        <f t="shared" si="855"/>
        <v>23.699999999999989</v>
      </c>
      <c r="BZ398" s="592">
        <f t="shared" ref="BZ398:CG398" si="856">BZ385-BZ396</f>
        <v>34.599999999999994</v>
      </c>
      <c r="CA398" s="592">
        <f t="shared" si="856"/>
        <v>30.5</v>
      </c>
      <c r="CB398" s="592">
        <f t="shared" si="856"/>
        <v>33.200000000000017</v>
      </c>
      <c r="CC398" s="592">
        <f t="shared" si="856"/>
        <v>24.199999999999989</v>
      </c>
      <c r="CD398" s="592">
        <f t="shared" si="856"/>
        <v>26.299999999999983</v>
      </c>
      <c r="CE398" s="592">
        <f t="shared" si="856"/>
        <v>23</v>
      </c>
      <c r="CF398" s="592">
        <f t="shared" si="856"/>
        <v>22.599999999999994</v>
      </c>
      <c r="CG398" s="592">
        <f t="shared" si="856"/>
        <v>21.699999999999989</v>
      </c>
      <c r="CH398" s="613">
        <f t="shared" ref="CH398:CY398" si="857">+CH385-CH396</f>
        <v>19.700000000000017</v>
      </c>
      <c r="CI398" s="592">
        <f t="shared" si="857"/>
        <v>21.099999999999994</v>
      </c>
      <c r="CJ398" s="592">
        <f t="shared" si="857"/>
        <v>20.5</v>
      </c>
      <c r="CK398" s="592">
        <f t="shared" si="857"/>
        <v>21.400000000000006</v>
      </c>
      <c r="CL398" s="592">
        <f t="shared" si="857"/>
        <v>17.799999999999983</v>
      </c>
      <c r="CM398" s="592">
        <f t="shared" si="857"/>
        <v>20</v>
      </c>
      <c r="CN398" s="592">
        <f t="shared" si="857"/>
        <v>20.800000000000011</v>
      </c>
      <c r="CO398" s="592">
        <f t="shared" si="857"/>
        <v>19</v>
      </c>
      <c r="CP398" s="592">
        <f t="shared" si="857"/>
        <v>18.199999999999989</v>
      </c>
      <c r="CQ398" s="592">
        <f t="shared" si="857"/>
        <v>19.5</v>
      </c>
      <c r="CR398" s="592">
        <f t="shared" si="857"/>
        <v>18.900000000000006</v>
      </c>
      <c r="CS398" s="592">
        <f t="shared" si="857"/>
        <v>18.5</v>
      </c>
      <c r="CT398" s="592">
        <f t="shared" si="857"/>
        <v>17</v>
      </c>
      <c r="CU398" s="592">
        <f t="shared" si="857"/>
        <v>18.399999999999977</v>
      </c>
      <c r="CV398" s="592">
        <f t="shared" si="857"/>
        <v>17.599999999999994</v>
      </c>
      <c r="CW398" s="717">
        <f t="shared" si="857"/>
        <v>17.899999999999977</v>
      </c>
      <c r="CX398" s="592">
        <f t="shared" si="857"/>
        <v>16.799999999999983</v>
      </c>
      <c r="CY398" s="592">
        <f t="shared" si="857"/>
        <v>17.300000000000011</v>
      </c>
      <c r="CZ398" s="592">
        <f t="shared" ref="CZ398:DE398" si="858">+CZ385-CZ396</f>
        <v>16.700000000000017</v>
      </c>
      <c r="DA398" s="1001">
        <f t="shared" si="858"/>
        <v>16.699999999999989</v>
      </c>
      <c r="DB398" s="1001">
        <f t="shared" si="858"/>
        <v>15.700000000000017</v>
      </c>
      <c r="DC398" s="1001">
        <f t="shared" si="858"/>
        <v>17.699999999999989</v>
      </c>
      <c r="DD398" s="1001">
        <f t="shared" si="858"/>
        <v>16.900000000000006</v>
      </c>
      <c r="DE398" s="1001">
        <f t="shared" si="858"/>
        <v>17.5</v>
      </c>
      <c r="DF398" s="592">
        <f t="shared" ref="DF398:DI398" si="859">+DF385-DF396</f>
        <v>15.244449683822694</v>
      </c>
      <c r="DG398" s="592">
        <f t="shared" si="859"/>
        <v>16.70529359324857</v>
      </c>
      <c r="DH398" s="592">
        <f t="shared" si="859"/>
        <v>16.231044670153324</v>
      </c>
      <c r="DI398" s="592">
        <f t="shared" si="859"/>
        <v>16.04864705277555</v>
      </c>
    </row>
    <row r="399" spans="1:113">
      <c r="A399" s="416" t="s">
        <v>177</v>
      </c>
      <c r="B399" s="821">
        <v>15</v>
      </c>
      <c r="C399" s="821">
        <v>33.6</v>
      </c>
      <c r="D399" s="821">
        <v>43</v>
      </c>
      <c r="E399" s="821">
        <v>49.5</v>
      </c>
      <c r="F399" s="821">
        <v>59.200000000000045</v>
      </c>
      <c r="G399" s="821">
        <v>71.2</v>
      </c>
      <c r="H399" s="821">
        <v>84.4</v>
      </c>
      <c r="I399" s="821">
        <v>91.299999999999955</v>
      </c>
      <c r="J399" s="821">
        <v>102.20000000000005</v>
      </c>
      <c r="K399" s="821">
        <v>110</v>
      </c>
      <c r="L399" s="821">
        <f t="shared" ref="L399:W399" si="860">L385-L396</f>
        <v>110.60000000000002</v>
      </c>
      <c r="M399" s="821">
        <f t="shared" si="860"/>
        <v>106.29999999999995</v>
      </c>
      <c r="N399" s="821">
        <f t="shared" si="860"/>
        <v>114.19999999999993</v>
      </c>
      <c r="O399" s="821">
        <f t="shared" si="860"/>
        <v>87.000000000000114</v>
      </c>
      <c r="P399" s="821">
        <f t="shared" si="860"/>
        <v>80.799999999999955</v>
      </c>
      <c r="Q399" s="821">
        <f t="shared" si="860"/>
        <v>78</v>
      </c>
      <c r="R399" s="821">
        <f t="shared" si="860"/>
        <v>70.899999999999977</v>
      </c>
      <c r="S399" s="821">
        <f t="shared" si="860"/>
        <v>67.500000000000114</v>
      </c>
      <c r="T399" s="821">
        <f t="shared" si="860"/>
        <v>67.800000000000068</v>
      </c>
      <c r="U399" s="821">
        <f t="shared" si="860"/>
        <v>64.22943500000008</v>
      </c>
      <c r="V399" s="821">
        <f t="shared" si="860"/>
        <v>60.580678700000135</v>
      </c>
      <c r="W399" s="821">
        <f t="shared" si="860"/>
        <v>56.852524330500046</v>
      </c>
      <c r="X399" s="821">
        <f>X385-X396</f>
        <v>54.094120069220139</v>
      </c>
      <c r="Y399" s="821">
        <f>Y385-Y396</f>
        <v>51.11904428036587</v>
      </c>
      <c r="Z399" s="821">
        <f>Z385-Z396</f>
        <v>47.916779236118032</v>
      </c>
      <c r="AA399" s="821">
        <f>AA385-AA396</f>
        <v>44.47637114936299</v>
      </c>
      <c r="AB399" s="821">
        <f>AB385-AB396</f>
        <v>40.786413476090274</v>
      </c>
      <c r="AD399" s="416"/>
      <c r="AE399" s="416"/>
      <c r="AF399" s="416"/>
      <c r="AG399" s="416"/>
      <c r="AH399" s="416"/>
      <c r="AI399" s="416"/>
      <c r="AJ399" s="416"/>
      <c r="AK399" s="416"/>
      <c r="AL399" s="416"/>
      <c r="AM399" s="416"/>
      <c r="AN399" s="416"/>
      <c r="AO399" s="416"/>
      <c r="AP399" s="416"/>
      <c r="AQ399" s="416"/>
      <c r="AR399" s="416"/>
      <c r="AS399" s="416"/>
      <c r="AT399" s="416"/>
      <c r="AU399" s="416"/>
      <c r="AV399" s="416"/>
      <c r="AW399" s="416"/>
      <c r="AX399" s="416"/>
      <c r="AY399" s="416"/>
      <c r="AZ399" s="416"/>
      <c r="BA399" s="416"/>
      <c r="BB399" s="416"/>
      <c r="BC399" s="416"/>
      <c r="BD399" s="416"/>
      <c r="BE399" s="416"/>
      <c r="BF399" s="416"/>
      <c r="BG399" s="416"/>
      <c r="BH399" s="416"/>
      <c r="BI399" s="416"/>
      <c r="BJ399" s="416"/>
      <c r="BK399" s="416"/>
      <c r="BL399" s="416"/>
      <c r="BM399" s="416"/>
      <c r="BN399" s="620">
        <f t="shared" ref="BN399:BU399" si="861">BN398/BN385</f>
        <v>0.15077319587628851</v>
      </c>
      <c r="BO399" s="620">
        <f t="shared" si="861"/>
        <v>0.15185403178340207</v>
      </c>
      <c r="BP399" s="620">
        <f t="shared" si="861"/>
        <v>0.15859564164648904</v>
      </c>
      <c r="BQ399" s="620">
        <f t="shared" si="861"/>
        <v>0.1587677725118484</v>
      </c>
      <c r="BR399" s="620">
        <f t="shared" si="861"/>
        <v>0.1601000625390869</v>
      </c>
      <c r="BS399" s="620">
        <f t="shared" si="861"/>
        <v>0.16802325581395336</v>
      </c>
      <c r="BT399" s="620">
        <f t="shared" si="861"/>
        <v>0.16737416616130985</v>
      </c>
      <c r="BU399" s="620">
        <f t="shared" si="861"/>
        <v>0.17200986436498203</v>
      </c>
      <c r="BV399" s="620">
        <f t="shared" ref="BV399:CK399" si="862">BV398/BV385</f>
        <v>0.17293729372937294</v>
      </c>
      <c r="BW399" s="620">
        <f t="shared" si="862"/>
        <v>0.14870559903672498</v>
      </c>
      <c r="BX399" s="620">
        <f t="shared" si="862"/>
        <v>0.14746835443037981</v>
      </c>
      <c r="BY399" s="620">
        <f t="shared" si="862"/>
        <v>0.14081996434937605</v>
      </c>
      <c r="BZ399" s="620">
        <f t="shared" si="862"/>
        <v>0.18592154755507789</v>
      </c>
      <c r="CA399" s="620">
        <f t="shared" si="862"/>
        <v>0.16767454645409566</v>
      </c>
      <c r="CB399" s="620">
        <f t="shared" si="862"/>
        <v>0.18053289831430133</v>
      </c>
      <c r="CC399" s="620">
        <f t="shared" si="862"/>
        <v>0.14028985507246369</v>
      </c>
      <c r="CD399" s="620">
        <f t="shared" si="862"/>
        <v>0.14316820903647243</v>
      </c>
      <c r="CE399" s="620">
        <f t="shared" si="862"/>
        <v>0.12914093206064009</v>
      </c>
      <c r="CF399" s="620">
        <f t="shared" si="862"/>
        <v>0.12316076294277926</v>
      </c>
      <c r="CG399" s="620">
        <f t="shared" si="862"/>
        <v>0.11463285789751711</v>
      </c>
      <c r="CH399" s="302">
        <f t="shared" si="862"/>
        <v>0.11595055915244271</v>
      </c>
      <c r="CI399" s="620">
        <f t="shared" si="862"/>
        <v>0.11006781429316638</v>
      </c>
      <c r="CJ399" s="620">
        <f t="shared" si="862"/>
        <v>0.10550694801852804</v>
      </c>
      <c r="CK399" s="620">
        <f t="shared" si="862"/>
        <v>0.10318225650916106</v>
      </c>
      <c r="CL399" s="620">
        <f t="shared" ref="CL399:CW399" si="863">+CL398/CL385</f>
        <v>0.10130904951622074</v>
      </c>
      <c r="CM399" s="620">
        <f t="shared" si="863"/>
        <v>9.9750623441396513E-2</v>
      </c>
      <c r="CN399" s="620">
        <f t="shared" si="863"/>
        <v>9.7744360902255689E-2</v>
      </c>
      <c r="CO399" s="620">
        <f t="shared" si="863"/>
        <v>9.5717884130982367E-2</v>
      </c>
      <c r="CP399" s="620">
        <f t="shared" si="863"/>
        <v>9.779688339602359E-2</v>
      </c>
      <c r="CQ399" s="620">
        <f t="shared" si="863"/>
        <v>9.5682041216879288E-2</v>
      </c>
      <c r="CR399" s="620">
        <f>+CR398/CR385</f>
        <v>9.3103448275862102E-2</v>
      </c>
      <c r="CS399" s="620">
        <f t="shared" si="863"/>
        <v>9.2315369261477043E-2</v>
      </c>
      <c r="CT399" s="620">
        <f>+CT398/CT385</f>
        <v>8.8958660387231825E-2</v>
      </c>
      <c r="CU399" s="620">
        <f>+CU398/CU385</f>
        <v>8.803827751196161E-2</v>
      </c>
      <c r="CV399" s="620">
        <f>+CV398/CV385</f>
        <v>8.5895558809175182E-2</v>
      </c>
      <c r="CW399" s="814">
        <f t="shared" si="863"/>
        <v>8.5851318944844018E-2</v>
      </c>
      <c r="CX399" s="620">
        <f t="shared" ref="CX399:CY399" si="864">+CX398/CX385</f>
        <v>8.1513828238718986E-2</v>
      </c>
      <c r="CY399" s="620">
        <f t="shared" si="864"/>
        <v>7.9394217530977557E-2</v>
      </c>
      <c r="CZ399" s="620">
        <f t="shared" ref="CZ399:DE399" si="865">+CZ398/CZ385</f>
        <v>7.7171903881700629E-2</v>
      </c>
      <c r="DA399" s="997">
        <f t="shared" si="865"/>
        <v>7.8366963866729186E-2</v>
      </c>
      <c r="DB399" s="997">
        <f t="shared" si="865"/>
        <v>8.0183861082737576E-2</v>
      </c>
      <c r="DC399" s="997">
        <f t="shared" si="865"/>
        <v>8.0090497737556512E-2</v>
      </c>
      <c r="DD399" s="997">
        <f t="shared" si="865"/>
        <v>7.9492003762935123E-2</v>
      </c>
      <c r="DE399" s="997">
        <f t="shared" si="865"/>
        <v>8.2586125530910812E-2</v>
      </c>
      <c r="DF399" s="620">
        <f t="shared" ref="DF399:DI399" si="866">+DF398/DF385</f>
        <v>7.5589563770355597E-2</v>
      </c>
      <c r="DG399" s="620">
        <f t="shared" si="866"/>
        <v>7.5589563770355514E-2</v>
      </c>
      <c r="DH399" s="620">
        <f t="shared" si="866"/>
        <v>7.5589563770355347E-2</v>
      </c>
      <c r="DI399" s="620">
        <f t="shared" si="866"/>
        <v>7.5589563770355805E-2</v>
      </c>
    </row>
    <row r="400" spans="1:113">
      <c r="A400" s="596"/>
      <c r="B400" s="418">
        <f t="shared" ref="B400:W400" si="867">B399/B385</f>
        <v>2.364438839848676E-2</v>
      </c>
      <c r="C400" s="418">
        <f t="shared" si="867"/>
        <v>5.3080568720379147E-2</v>
      </c>
      <c r="D400" s="418">
        <f t="shared" si="867"/>
        <v>6.6286418991829812E-2</v>
      </c>
      <c r="E400" s="418">
        <f t="shared" si="867"/>
        <v>7.7854671280276816E-2</v>
      </c>
      <c r="F400" s="418" t="e">
        <f t="shared" si="867"/>
        <v>#REF!</v>
      </c>
      <c r="G400" s="418">
        <f t="shared" si="867"/>
        <v>0.11102448152190864</v>
      </c>
      <c r="H400" s="418">
        <f t="shared" si="867"/>
        <v>0.13497521189828884</v>
      </c>
      <c r="I400" s="418">
        <f t="shared" si="867"/>
        <v>0.14430219693377583</v>
      </c>
      <c r="J400" s="418">
        <f t="shared" si="867"/>
        <v>0.15505993020785927</v>
      </c>
      <c r="K400" s="418">
        <f t="shared" si="867"/>
        <v>0.16691957511380881</v>
      </c>
      <c r="L400" s="418">
        <f t="shared" si="867"/>
        <v>0.16999692591454046</v>
      </c>
      <c r="M400" s="418">
        <f t="shared" si="867"/>
        <v>0.15666912306558578</v>
      </c>
      <c r="N400" s="418">
        <f t="shared" si="867"/>
        <v>0.15817174515235446</v>
      </c>
      <c r="O400" s="418">
        <f t="shared" si="867"/>
        <v>0.12069922308546074</v>
      </c>
      <c r="P400" s="418">
        <f t="shared" si="867"/>
        <v>0.10505785983617211</v>
      </c>
      <c r="Q400" s="418">
        <f t="shared" si="867"/>
        <v>9.7756611104148392E-2</v>
      </c>
      <c r="R400" s="418">
        <f t="shared" si="867"/>
        <v>8.7154271665642255E-2</v>
      </c>
      <c r="S400" s="418">
        <f t="shared" si="867"/>
        <v>7.908611599297026E-2</v>
      </c>
      <c r="T400" s="418">
        <f t="shared" si="867"/>
        <v>8.0589563770355491E-2</v>
      </c>
      <c r="U400" s="418">
        <f t="shared" si="867"/>
        <v>7.55895637703555E-2</v>
      </c>
      <c r="V400" s="418">
        <f t="shared" si="867"/>
        <v>7.0589563770355565E-2</v>
      </c>
      <c r="W400" s="418">
        <f t="shared" si="867"/>
        <v>6.5589563770355463E-2</v>
      </c>
      <c r="X400" s="418">
        <f>X399/X385</f>
        <v>6.0589563770355563E-2</v>
      </c>
      <c r="Y400" s="418">
        <f>Y399/Y385</f>
        <v>5.5589563770355538E-2</v>
      </c>
      <c r="Z400" s="418">
        <f>Z399/Z385</f>
        <v>5.0589563770355492E-2</v>
      </c>
      <c r="AA400" s="418">
        <f>AA399/AA385</f>
        <v>4.5589563770355446E-2</v>
      </c>
      <c r="AB400" s="418">
        <f>AB399/AB385</f>
        <v>4.0589563770355538E-2</v>
      </c>
      <c r="AD400" s="596"/>
      <c r="AE400" s="596"/>
      <c r="AF400" s="596"/>
      <c r="AG400" s="596"/>
      <c r="AH400" s="596"/>
      <c r="AI400" s="596"/>
      <c r="AJ400" s="596"/>
      <c r="AK400" s="596"/>
      <c r="AL400" s="596"/>
      <c r="AM400" s="596"/>
      <c r="AN400" s="596"/>
      <c r="AO400" s="596"/>
      <c r="AP400" s="596"/>
      <c r="AQ400" s="596"/>
      <c r="AR400" s="596"/>
      <c r="AS400" s="596"/>
      <c r="AT400" s="596"/>
      <c r="AU400" s="596"/>
      <c r="AV400" s="596"/>
      <c r="AW400" s="596"/>
      <c r="AX400" s="596"/>
      <c r="AY400" s="596"/>
      <c r="AZ400" s="596"/>
      <c r="BA400" s="596"/>
      <c r="BB400" s="596"/>
      <c r="BC400" s="596"/>
      <c r="BD400" s="596"/>
      <c r="BE400" s="596"/>
      <c r="BF400" s="596"/>
      <c r="BG400" s="596"/>
      <c r="BH400" s="596"/>
      <c r="BI400" s="596"/>
      <c r="BJ400" s="596"/>
      <c r="BK400" s="596"/>
      <c r="BL400" s="596"/>
      <c r="BM400" s="596"/>
      <c r="BN400" s="596"/>
      <c r="BO400" s="596"/>
      <c r="BP400" s="596"/>
      <c r="BQ400" s="596"/>
      <c r="BR400" s="596"/>
      <c r="BS400" s="596"/>
      <c r="BT400" s="596"/>
      <c r="BU400" s="596"/>
      <c r="BV400" s="596"/>
      <c r="BW400" s="596"/>
      <c r="BX400" s="596"/>
      <c r="BY400" s="596"/>
      <c r="BZ400" s="596"/>
      <c r="CA400" s="596"/>
      <c r="CB400" s="596"/>
      <c r="CC400" s="596"/>
      <c r="CD400" s="596"/>
      <c r="CE400" s="596"/>
      <c r="CF400" s="596"/>
      <c r="CG400" s="596"/>
      <c r="CH400" s="597"/>
      <c r="CI400" s="596"/>
      <c r="CJ400" s="596"/>
      <c r="CK400" s="596"/>
      <c r="CL400" s="596"/>
      <c r="CM400" s="596"/>
      <c r="CN400" s="596"/>
      <c r="CO400" s="596"/>
      <c r="CP400" s="596"/>
      <c r="CQ400" s="596"/>
      <c r="CR400" s="596"/>
      <c r="CS400" s="596"/>
      <c r="CT400" s="596"/>
      <c r="CU400" s="596"/>
      <c r="CV400" s="596"/>
      <c r="CW400" s="596"/>
      <c r="CX400" s="596"/>
      <c r="CY400" s="596"/>
      <c r="CZ400" s="596"/>
      <c r="DA400" s="999"/>
      <c r="DB400" s="999"/>
      <c r="DC400" s="596"/>
      <c r="DD400" s="596"/>
      <c r="DE400" s="596"/>
      <c r="DF400" s="596"/>
      <c r="DG400" s="596"/>
      <c r="DH400" s="596"/>
      <c r="DI400" s="596"/>
    </row>
    <row r="401" spans="1:113">
      <c r="A401" s="314" t="s">
        <v>121</v>
      </c>
      <c r="AD401" s="314"/>
      <c r="AE401" s="314"/>
      <c r="AF401" s="314"/>
      <c r="AG401" s="314"/>
      <c r="AH401" s="314"/>
      <c r="AI401" s="314"/>
      <c r="AJ401" s="314"/>
      <c r="AK401" s="314"/>
      <c r="AL401" s="314"/>
      <c r="AM401" s="314"/>
      <c r="AN401" s="314"/>
      <c r="AO401" s="314"/>
      <c r="AP401" s="314"/>
      <c r="AQ401" s="314"/>
      <c r="AR401" s="314"/>
      <c r="AS401" s="314"/>
      <c r="AT401" s="314"/>
      <c r="AU401" s="314"/>
      <c r="AV401" s="314"/>
      <c r="AW401" s="314"/>
      <c r="AX401" s="314"/>
      <c r="AY401" s="314"/>
      <c r="AZ401" s="314"/>
      <c r="BA401" s="314"/>
      <c r="BB401" s="314"/>
      <c r="BC401" s="314"/>
      <c r="BD401" s="314"/>
      <c r="BE401" s="314"/>
      <c r="BF401" s="314"/>
      <c r="BG401" s="314"/>
      <c r="BH401" s="314"/>
      <c r="BI401" s="314"/>
      <c r="BJ401" s="314"/>
      <c r="BK401" s="314"/>
      <c r="BL401" s="314"/>
      <c r="BM401" s="314"/>
      <c r="BN401" s="313"/>
      <c r="BO401" s="313"/>
      <c r="BP401" s="313"/>
      <c r="BQ401" s="313"/>
      <c r="BR401" s="313"/>
      <c r="BS401" s="313"/>
      <c r="BT401" s="313"/>
      <c r="BU401" s="313"/>
      <c r="BV401" s="313"/>
      <c r="BW401" s="313"/>
      <c r="BX401" s="313"/>
      <c r="BY401" s="313"/>
      <c r="BZ401" s="313"/>
      <c r="CA401" s="313"/>
      <c r="CB401" s="313"/>
      <c r="CC401" s="313"/>
      <c r="CD401" s="313"/>
      <c r="CE401" s="313"/>
      <c r="CF401" s="313"/>
      <c r="CG401" s="313"/>
      <c r="CH401" s="314"/>
      <c r="CI401" s="313"/>
      <c r="CJ401" s="313"/>
      <c r="CK401" s="313"/>
      <c r="CL401" s="313"/>
      <c r="CM401" s="313"/>
      <c r="CN401" s="313"/>
      <c r="CO401" s="313"/>
      <c r="CP401" s="313"/>
      <c r="CQ401" s="313"/>
      <c r="CR401" s="313"/>
      <c r="CS401" s="313"/>
      <c r="CT401" s="313"/>
      <c r="CU401" s="925">
        <f t="shared" ref="CU401:DE401" si="868">+CU402-CQ402</f>
        <v>8.0000000000000071E-3</v>
      </c>
      <c r="CV401" s="925">
        <f t="shared" si="868"/>
        <v>7.0000000000000062E-3</v>
      </c>
      <c r="CW401" s="925">
        <f t="shared" si="868"/>
        <v>1.100000000000001E-2</v>
      </c>
      <c r="CX401" s="925">
        <f t="shared" si="868"/>
        <v>1.100000000000001E-2</v>
      </c>
      <c r="CY401" s="925">
        <f t="shared" si="868"/>
        <v>2.7000000000000024E-2</v>
      </c>
      <c r="CZ401" s="925">
        <f t="shared" si="868"/>
        <v>2.6999999999999968E-2</v>
      </c>
      <c r="DA401" s="1002">
        <f t="shared" si="868"/>
        <v>2.3999999999999966E-2</v>
      </c>
      <c r="DB401" s="1002">
        <f t="shared" si="868"/>
        <v>6.0000000000000053E-3</v>
      </c>
      <c r="DC401" s="1002">
        <f t="shared" si="868"/>
        <v>1.0000000000000009E-3</v>
      </c>
      <c r="DD401" s="1002">
        <f t="shared" si="868"/>
        <v>-4.9999999999999489E-3</v>
      </c>
      <c r="DE401" s="1002">
        <f t="shared" si="868"/>
        <v>-6.9999999999999507E-3</v>
      </c>
      <c r="DF401" s="313"/>
      <c r="DG401" s="313"/>
      <c r="DH401" s="313"/>
      <c r="DI401" s="313"/>
    </row>
    <row r="402" spans="1:113">
      <c r="A402" s="302" t="s">
        <v>143</v>
      </c>
      <c r="Q402" s="1003"/>
      <c r="R402" s="1003">
        <v>0.316</v>
      </c>
      <c r="S402" s="1003">
        <v>0.33800000000000002</v>
      </c>
      <c r="T402" s="1003">
        <v>0.33700000000000002</v>
      </c>
      <c r="AD402" s="302"/>
      <c r="AE402" s="302"/>
      <c r="AF402" s="302"/>
      <c r="AG402" s="302"/>
      <c r="AH402" s="302"/>
      <c r="AI402" s="302"/>
      <c r="AJ402" s="302"/>
      <c r="AK402" s="302"/>
      <c r="AL402" s="302"/>
      <c r="AM402" s="302"/>
      <c r="AN402" s="302"/>
      <c r="AO402" s="302"/>
      <c r="AP402" s="302"/>
      <c r="AQ402" s="302"/>
      <c r="AR402" s="302"/>
      <c r="AS402" s="302"/>
      <c r="AT402" s="302"/>
      <c r="AU402" s="302"/>
      <c r="AV402" s="302"/>
      <c r="AW402" s="302"/>
      <c r="AX402" s="302"/>
      <c r="AY402" s="302"/>
      <c r="AZ402" s="302"/>
      <c r="BA402" s="302"/>
      <c r="BB402" s="302"/>
      <c r="BC402" s="302"/>
      <c r="BD402" s="302"/>
      <c r="BE402" s="302"/>
      <c r="BF402" s="302"/>
      <c r="BG402" s="302"/>
      <c r="BH402" s="302"/>
      <c r="BI402" s="302"/>
      <c r="BJ402" s="302"/>
      <c r="BK402" s="302"/>
      <c r="BL402" s="302"/>
      <c r="BM402" s="302"/>
      <c r="BN402" s="614" t="s">
        <v>269</v>
      </c>
      <c r="BO402" s="614" t="s">
        <v>269</v>
      </c>
      <c r="BP402" s="614" t="s">
        <v>269</v>
      </c>
      <c r="BQ402" s="614" t="s">
        <v>269</v>
      </c>
      <c r="BR402" s="614" t="s">
        <v>269</v>
      </c>
      <c r="BS402" s="614" t="s">
        <v>269</v>
      </c>
      <c r="BT402" s="614" t="s">
        <v>269</v>
      </c>
      <c r="BU402" s="614" t="s">
        <v>269</v>
      </c>
      <c r="BV402" s="614" t="s">
        <v>269</v>
      </c>
      <c r="BW402" s="614" t="s">
        <v>269</v>
      </c>
      <c r="BX402" s="614" t="s">
        <v>269</v>
      </c>
      <c r="BY402" s="614" t="s">
        <v>269</v>
      </c>
      <c r="BZ402" s="615">
        <v>0.248</v>
      </c>
      <c r="CA402" s="615">
        <v>0.247</v>
      </c>
      <c r="CB402" s="615">
        <v>0.245</v>
      </c>
      <c r="CC402" s="615">
        <v>0.249</v>
      </c>
      <c r="CD402" s="616">
        <v>0.251</v>
      </c>
      <c r="CE402" s="616">
        <v>0.25800000000000001</v>
      </c>
      <c r="CF402" s="616">
        <v>0.26500000000000001</v>
      </c>
      <c r="CG402" s="616">
        <v>0.27300000000000002</v>
      </c>
      <c r="CH402" s="617">
        <v>0.27800000000000002</v>
      </c>
      <c r="CI402" s="616">
        <v>0.27900000000000003</v>
      </c>
      <c r="CJ402" s="616">
        <v>0.28799999999999998</v>
      </c>
      <c r="CK402" s="616">
        <v>0.28999999999999998</v>
      </c>
      <c r="CL402" s="617">
        <v>0.28699999999999998</v>
      </c>
      <c r="CM402" s="617">
        <v>0.28999999999999998</v>
      </c>
      <c r="CN402" s="616">
        <v>0.29599999999999999</v>
      </c>
      <c r="CO402" s="618">
        <v>0.3</v>
      </c>
      <c r="CP402" s="618">
        <v>0.30199999999999999</v>
      </c>
      <c r="CQ402" s="617">
        <v>0.30499999999999999</v>
      </c>
      <c r="CR402" s="617">
        <v>0.31</v>
      </c>
      <c r="CS402" s="442">
        <v>0.31</v>
      </c>
      <c r="CT402" s="704">
        <v>0.313</v>
      </c>
      <c r="CU402" s="618">
        <v>0.313</v>
      </c>
      <c r="CV402" s="704">
        <v>0.317</v>
      </c>
      <c r="CW402" s="442">
        <v>0.32100000000000001</v>
      </c>
      <c r="CX402" s="616">
        <v>0.32400000000000001</v>
      </c>
      <c r="CY402" s="616">
        <v>0.34</v>
      </c>
      <c r="CZ402" s="618">
        <v>0.34399999999999997</v>
      </c>
      <c r="DA402" s="1003">
        <v>0.34499999999999997</v>
      </c>
      <c r="DB402" s="1066">
        <v>0.33</v>
      </c>
      <c r="DC402" s="1003">
        <v>0.34100000000000003</v>
      </c>
      <c r="DD402" s="1003">
        <v>0.33900000000000002</v>
      </c>
      <c r="DE402" s="1003">
        <v>0.33800000000000002</v>
      </c>
      <c r="DF402" s="616"/>
      <c r="DG402" s="616"/>
      <c r="DH402" s="616"/>
      <c r="DI402" s="619"/>
    </row>
    <row r="403" spans="1:113">
      <c r="A403" s="620" t="s">
        <v>144</v>
      </c>
      <c r="Q403" s="1004"/>
      <c r="R403" s="1004">
        <v>0.19700000000000001</v>
      </c>
      <c r="S403" s="1004">
        <v>0.184</v>
      </c>
      <c r="T403" s="1004">
        <v>0.16700000000000001</v>
      </c>
      <c r="AD403" s="620"/>
      <c r="AE403" s="620"/>
      <c r="AF403" s="620"/>
      <c r="AG403" s="620"/>
      <c r="AH403" s="620"/>
      <c r="AI403" s="620"/>
      <c r="AJ403" s="620"/>
      <c r="AK403" s="620"/>
      <c r="AL403" s="620"/>
      <c r="AM403" s="620"/>
      <c r="AN403" s="620"/>
      <c r="AO403" s="620"/>
      <c r="AP403" s="620"/>
      <c r="AQ403" s="620"/>
      <c r="AR403" s="620"/>
      <c r="AS403" s="620"/>
      <c r="AT403" s="620"/>
      <c r="AU403" s="620"/>
      <c r="AV403" s="620"/>
      <c r="AW403" s="620"/>
      <c r="AX403" s="620"/>
      <c r="AY403" s="620"/>
      <c r="AZ403" s="620"/>
      <c r="BA403" s="620"/>
      <c r="BB403" s="620"/>
      <c r="BC403" s="620"/>
      <c r="BD403" s="620"/>
      <c r="BE403" s="620"/>
      <c r="BF403" s="620"/>
      <c r="BG403" s="620"/>
      <c r="BH403" s="620"/>
      <c r="BI403" s="620"/>
      <c r="BJ403" s="620"/>
      <c r="BK403" s="620"/>
      <c r="BL403" s="620"/>
      <c r="BM403" s="620"/>
      <c r="BN403" s="599" t="s">
        <v>269</v>
      </c>
      <c r="BO403" s="599" t="s">
        <v>269</v>
      </c>
      <c r="BP403" s="599" t="s">
        <v>269</v>
      </c>
      <c r="BQ403" s="599" t="s">
        <v>269</v>
      </c>
      <c r="BR403" s="599" t="s">
        <v>269</v>
      </c>
      <c r="BS403" s="599" t="s">
        <v>269</v>
      </c>
      <c r="BT403" s="599" t="s">
        <v>269</v>
      </c>
      <c r="BU403" s="599" t="s">
        <v>269</v>
      </c>
      <c r="BV403" s="599" t="s">
        <v>269</v>
      </c>
      <c r="BW403" s="599" t="s">
        <v>269</v>
      </c>
      <c r="BX403" s="599" t="s">
        <v>269</v>
      </c>
      <c r="BY403" s="599" t="s">
        <v>269</v>
      </c>
      <c r="BZ403" s="615">
        <v>0.24099999999999999</v>
      </c>
      <c r="CA403" s="615">
        <v>0.23400000000000001</v>
      </c>
      <c r="CB403" s="615">
        <v>0.23400000000000001</v>
      </c>
      <c r="CC403" s="615">
        <v>0.22600000000000001</v>
      </c>
      <c r="CD403" s="621">
        <v>0.22900000000000001</v>
      </c>
      <c r="CE403" s="621">
        <v>0.23100000000000001</v>
      </c>
      <c r="CF403" s="616">
        <v>0.22800000000000001</v>
      </c>
      <c r="CG403" s="616">
        <v>0.22600000000000001</v>
      </c>
      <c r="CH403" s="622">
        <v>0.22500000000000001</v>
      </c>
      <c r="CI403" s="621">
        <v>0.224</v>
      </c>
      <c r="CJ403" s="621">
        <v>0.221</v>
      </c>
      <c r="CK403" s="621">
        <v>0.219</v>
      </c>
      <c r="CL403" s="622">
        <v>0.219</v>
      </c>
      <c r="CM403" s="622">
        <v>0.217</v>
      </c>
      <c r="CN403" s="621">
        <v>0.21199999999999999</v>
      </c>
      <c r="CO403" s="623">
        <v>0.20899999999999999</v>
      </c>
      <c r="CP403" s="623">
        <v>0.20599999999999999</v>
      </c>
      <c r="CQ403" s="622">
        <v>0.20499999999999999</v>
      </c>
      <c r="CR403" s="622">
        <v>0.20200000000000001</v>
      </c>
      <c r="CS403" s="443">
        <v>0.20200000000000001</v>
      </c>
      <c r="CT403" s="705">
        <v>0.19900000000000001</v>
      </c>
      <c r="CU403" s="623">
        <v>0.19800000000000001</v>
      </c>
      <c r="CV403" s="705">
        <v>0.19700000000000001</v>
      </c>
      <c r="CW403" s="443">
        <v>0.193</v>
      </c>
      <c r="CX403" s="621">
        <v>0.192</v>
      </c>
      <c r="CY403" s="621">
        <v>0.185</v>
      </c>
      <c r="CZ403" s="623">
        <v>0.182</v>
      </c>
      <c r="DA403" s="1004">
        <v>0.18</v>
      </c>
      <c r="DB403" s="1067">
        <v>0.17299999999999999</v>
      </c>
      <c r="DC403" s="1004">
        <v>0.16700000000000001</v>
      </c>
      <c r="DD403" s="1004">
        <v>0.16500000000000001</v>
      </c>
      <c r="DE403" s="1004">
        <v>0.16300000000000001</v>
      </c>
      <c r="DF403" s="621"/>
      <c r="DG403" s="621"/>
      <c r="DH403" s="621"/>
      <c r="DI403" s="624"/>
    </row>
    <row r="404" spans="1:113">
      <c r="A404" s="625" t="s">
        <v>166</v>
      </c>
      <c r="Q404" s="1005"/>
      <c r="R404" s="1005">
        <f t="shared" ref="R404:T404" si="869">+R403+R402</f>
        <v>0.51300000000000001</v>
      </c>
      <c r="S404" s="1005">
        <f t="shared" si="869"/>
        <v>0.52200000000000002</v>
      </c>
      <c r="T404" s="1005">
        <f t="shared" si="869"/>
        <v>0.504</v>
      </c>
      <c r="AD404" s="625"/>
      <c r="AE404" s="625"/>
      <c r="AF404" s="625"/>
      <c r="AG404" s="625"/>
      <c r="AH404" s="625"/>
      <c r="AI404" s="625"/>
      <c r="AJ404" s="625"/>
      <c r="AK404" s="625"/>
      <c r="AL404" s="625"/>
      <c r="AM404" s="625"/>
      <c r="AN404" s="625"/>
      <c r="AO404" s="625"/>
      <c r="AP404" s="625"/>
      <c r="AQ404" s="625"/>
      <c r="AR404" s="625"/>
      <c r="AS404" s="625"/>
      <c r="AT404" s="625"/>
      <c r="AU404" s="625"/>
      <c r="AV404" s="625"/>
      <c r="AW404" s="625"/>
      <c r="AX404" s="625"/>
      <c r="AY404" s="625"/>
      <c r="AZ404" s="625"/>
      <c r="BA404" s="625"/>
      <c r="BB404" s="625"/>
      <c r="BC404" s="625"/>
      <c r="BD404" s="625"/>
      <c r="BE404" s="625"/>
      <c r="BF404" s="625"/>
      <c r="BG404" s="625"/>
      <c r="BH404" s="625"/>
      <c r="BI404" s="625"/>
      <c r="BJ404" s="625"/>
      <c r="BK404" s="625"/>
      <c r="BL404" s="625"/>
      <c r="BM404" s="625"/>
      <c r="BN404" s="614" t="s">
        <v>269</v>
      </c>
      <c r="BO404" s="614" t="s">
        <v>269</v>
      </c>
      <c r="BP404" s="614" t="s">
        <v>269</v>
      </c>
      <c r="BQ404" s="614" t="s">
        <v>269</v>
      </c>
      <c r="BR404" s="614" t="s">
        <v>269</v>
      </c>
      <c r="BS404" s="614" t="s">
        <v>269</v>
      </c>
      <c r="BT404" s="614" t="s">
        <v>269</v>
      </c>
      <c r="BU404" s="614" t="s">
        <v>269</v>
      </c>
      <c r="BV404" s="614" t="s">
        <v>269</v>
      </c>
      <c r="BW404" s="614" t="s">
        <v>269</v>
      </c>
      <c r="BX404" s="614" t="s">
        <v>269</v>
      </c>
      <c r="BY404" s="614" t="s">
        <v>269</v>
      </c>
      <c r="BZ404" s="615">
        <v>0.48899999999999999</v>
      </c>
      <c r="CA404" s="615">
        <v>0.48099999999999998</v>
      </c>
      <c r="CB404" s="615">
        <v>0.47899999999999998</v>
      </c>
      <c r="CC404" s="615">
        <v>0.47499999999999998</v>
      </c>
      <c r="CD404" s="616">
        <v>0.48</v>
      </c>
      <c r="CE404" s="616">
        <v>0.48899999999999999</v>
      </c>
      <c r="CF404" s="616">
        <v>0.49299999999999999</v>
      </c>
      <c r="CG404" s="616">
        <v>0.499</v>
      </c>
      <c r="CH404" s="617">
        <f>+CH402+CH403</f>
        <v>0.503</v>
      </c>
      <c r="CI404" s="616">
        <v>0.503</v>
      </c>
      <c r="CJ404" s="616">
        <v>0.50900000000000001</v>
      </c>
      <c r="CK404" s="616">
        <v>0.50900000000000001</v>
      </c>
      <c r="CL404" s="617">
        <v>0.50600000000000001</v>
      </c>
      <c r="CM404" s="617">
        <v>0.50700000000000001</v>
      </c>
      <c r="CN404" s="616">
        <v>0.50800000000000001</v>
      </c>
      <c r="CO404" s="618">
        <v>0.50900000000000001</v>
      </c>
      <c r="CP404" s="626">
        <f t="shared" ref="CP404:CZ404" si="870">+CP403+CP402</f>
        <v>0.50800000000000001</v>
      </c>
      <c r="CQ404" s="627">
        <f t="shared" si="870"/>
        <v>0.51</v>
      </c>
      <c r="CR404" s="627">
        <f t="shared" si="870"/>
        <v>0.51200000000000001</v>
      </c>
      <c r="CS404" s="627">
        <f t="shared" si="870"/>
        <v>0.51200000000000001</v>
      </c>
      <c r="CT404" s="626">
        <f t="shared" si="870"/>
        <v>0.51200000000000001</v>
      </c>
      <c r="CU404" s="626">
        <f t="shared" si="870"/>
        <v>0.51100000000000001</v>
      </c>
      <c r="CV404" s="626">
        <f t="shared" si="870"/>
        <v>0.51400000000000001</v>
      </c>
      <c r="CW404" s="626">
        <f t="shared" si="870"/>
        <v>0.51400000000000001</v>
      </c>
      <c r="CX404" s="626">
        <f t="shared" si="870"/>
        <v>0.51600000000000001</v>
      </c>
      <c r="CY404" s="626">
        <f t="shared" si="870"/>
        <v>0.52500000000000002</v>
      </c>
      <c r="CZ404" s="626">
        <f t="shared" si="870"/>
        <v>0.52600000000000002</v>
      </c>
      <c r="DA404" s="1005">
        <f t="shared" ref="DA404:DC404" si="871">+DA403+DA402</f>
        <v>0.52499999999999991</v>
      </c>
      <c r="DB404" s="1005">
        <f t="shared" si="871"/>
        <v>0.503</v>
      </c>
      <c r="DC404" s="1005">
        <f t="shared" si="871"/>
        <v>0.50800000000000001</v>
      </c>
      <c r="DD404" s="1005">
        <f t="shared" ref="DD404:DE404" si="872">+DD403+DD402</f>
        <v>0.504</v>
      </c>
      <c r="DE404" s="1005">
        <f t="shared" si="872"/>
        <v>0.501</v>
      </c>
      <c r="DF404" s="616"/>
      <c r="DG404" s="616"/>
      <c r="DH404" s="616"/>
      <c r="DI404" s="619"/>
    </row>
    <row r="405" spans="1:113">
      <c r="A405" s="620" t="s">
        <v>145</v>
      </c>
      <c r="Q405" s="1003"/>
      <c r="R405" s="1003">
        <v>3.5999999999999997E-2</v>
      </c>
      <c r="S405" s="1003">
        <v>3.4000000000000002E-2</v>
      </c>
      <c r="T405" s="1003">
        <v>3.3000000000000002E-2</v>
      </c>
      <c r="AD405" s="620"/>
      <c r="AE405" s="620"/>
      <c r="AF405" s="620"/>
      <c r="AG405" s="620"/>
      <c r="AH405" s="620"/>
      <c r="AI405" s="620"/>
      <c r="AJ405" s="620"/>
      <c r="AK405" s="620"/>
      <c r="AL405" s="620"/>
      <c r="AM405" s="620"/>
      <c r="AN405" s="620"/>
      <c r="AO405" s="620"/>
      <c r="AP405" s="620"/>
      <c r="AQ405" s="620"/>
      <c r="AR405" s="620"/>
      <c r="AS405" s="620"/>
      <c r="AT405" s="620"/>
      <c r="AU405" s="620"/>
      <c r="AV405" s="620"/>
      <c r="AW405" s="620"/>
      <c r="AX405" s="620"/>
      <c r="AY405" s="620"/>
      <c r="AZ405" s="620"/>
      <c r="BA405" s="620"/>
      <c r="BB405" s="620"/>
      <c r="BC405" s="620"/>
      <c r="BD405" s="620"/>
      <c r="BE405" s="620"/>
      <c r="BF405" s="620"/>
      <c r="BG405" s="620"/>
      <c r="BH405" s="620"/>
      <c r="BI405" s="620"/>
      <c r="BJ405" s="620"/>
      <c r="BK405" s="620"/>
      <c r="BL405" s="620"/>
      <c r="BM405" s="620"/>
      <c r="BN405" s="614" t="s">
        <v>269</v>
      </c>
      <c r="BO405" s="614" t="s">
        <v>269</v>
      </c>
      <c r="BP405" s="614" t="s">
        <v>269</v>
      </c>
      <c r="BQ405" s="614" t="s">
        <v>269</v>
      </c>
      <c r="BR405" s="614" t="s">
        <v>269</v>
      </c>
      <c r="BS405" s="614" t="s">
        <v>269</v>
      </c>
      <c r="BT405" s="614" t="s">
        <v>269</v>
      </c>
      <c r="BU405" s="614" t="s">
        <v>269</v>
      </c>
      <c r="BV405" s="614" t="s">
        <v>269</v>
      </c>
      <c r="BW405" s="614" t="s">
        <v>269</v>
      </c>
      <c r="BX405" s="614" t="s">
        <v>269</v>
      </c>
      <c r="BY405" s="614" t="s">
        <v>269</v>
      </c>
      <c r="BZ405" s="615">
        <v>6.4000000000000001E-2</v>
      </c>
      <c r="CA405" s="615">
        <v>7.6999999999999999E-2</v>
      </c>
      <c r="CB405" s="615">
        <v>7.3999999999999996E-2</v>
      </c>
      <c r="CC405" s="615">
        <v>6.9000000000000006E-2</v>
      </c>
      <c r="CD405" s="616">
        <v>6.5000000000000002E-2</v>
      </c>
      <c r="CE405" s="616">
        <v>6.2E-2</v>
      </c>
      <c r="CF405" s="616">
        <v>5.8999999999999997E-2</v>
      </c>
      <c r="CG405" s="616">
        <v>5.6000000000000001E-2</v>
      </c>
      <c r="CH405" s="617">
        <v>5.1999999999999998E-2</v>
      </c>
      <c r="CI405" s="616">
        <v>4.9000000000000002E-2</v>
      </c>
      <c r="CJ405" s="616">
        <v>4.5999999999999999E-2</v>
      </c>
      <c r="CK405" s="616">
        <v>4.4999999999999998E-2</v>
      </c>
      <c r="CL405" s="617">
        <v>4.3999999999999997E-2</v>
      </c>
      <c r="CM405" s="617">
        <v>4.2999999999999997E-2</v>
      </c>
      <c r="CN405" s="616">
        <v>4.2999999999999997E-2</v>
      </c>
      <c r="CO405" s="618">
        <v>4.1000000000000002E-2</v>
      </c>
      <c r="CP405" s="618">
        <v>4.1000000000000002E-2</v>
      </c>
      <c r="CQ405" s="617">
        <v>3.9E-2</v>
      </c>
      <c r="CR405" s="617">
        <v>0.04</v>
      </c>
      <c r="CS405" s="442">
        <v>0.04</v>
      </c>
      <c r="CT405" s="704">
        <v>3.6999999999999998E-2</v>
      </c>
      <c r="CU405" s="618">
        <v>3.6999999999999998E-2</v>
      </c>
      <c r="CV405" s="618">
        <v>3.5999999999999997E-2</v>
      </c>
      <c r="CW405" s="442">
        <v>3.5999999999999997E-2</v>
      </c>
      <c r="CX405" s="616">
        <v>3.5000000000000003E-2</v>
      </c>
      <c r="CY405" s="616">
        <v>3.3000000000000002E-2</v>
      </c>
      <c r="CZ405" s="618">
        <v>3.3000000000000002E-2</v>
      </c>
      <c r="DA405" s="1003">
        <v>3.3000000000000002E-2</v>
      </c>
      <c r="DB405" s="1066">
        <v>3.2000000000000001E-2</v>
      </c>
      <c r="DC405" s="1003">
        <v>3.3000000000000002E-2</v>
      </c>
      <c r="DD405" s="1003">
        <v>3.4000000000000002E-2</v>
      </c>
      <c r="DE405" s="1003">
        <v>3.5000000000000003E-2</v>
      </c>
      <c r="DF405" s="616"/>
      <c r="DG405" s="616"/>
      <c r="DH405" s="616"/>
      <c r="DI405" s="619"/>
    </row>
    <row r="406" spans="1:113">
      <c r="A406" s="625" t="s">
        <v>167</v>
      </c>
      <c r="Q406" s="1004"/>
      <c r="R406" s="1004">
        <v>0.54900000000000004</v>
      </c>
      <c r="S406" s="1004">
        <v>0.55600000000000005</v>
      </c>
      <c r="T406" s="1004">
        <v>0.53700000000000003</v>
      </c>
      <c r="AD406" s="625"/>
      <c r="AE406" s="625"/>
      <c r="AF406" s="625"/>
      <c r="AG406" s="625"/>
      <c r="AH406" s="625"/>
      <c r="AI406" s="625"/>
      <c r="AJ406" s="625"/>
      <c r="AK406" s="625"/>
      <c r="AL406" s="625"/>
      <c r="AM406" s="625"/>
      <c r="AN406" s="625"/>
      <c r="AO406" s="625"/>
      <c r="AP406" s="625"/>
      <c r="AQ406" s="625"/>
      <c r="AR406" s="625"/>
      <c r="AS406" s="625"/>
      <c r="AT406" s="625"/>
      <c r="AU406" s="625"/>
      <c r="AV406" s="625"/>
      <c r="AW406" s="625"/>
      <c r="AX406" s="625"/>
      <c r="AY406" s="625"/>
      <c r="AZ406" s="625"/>
      <c r="BA406" s="625"/>
      <c r="BB406" s="625"/>
      <c r="BC406" s="625"/>
      <c r="BD406" s="625"/>
      <c r="BE406" s="625"/>
      <c r="BF406" s="625"/>
      <c r="BG406" s="625"/>
      <c r="BH406" s="625"/>
      <c r="BI406" s="625"/>
      <c r="BJ406" s="625"/>
      <c r="BK406" s="625"/>
      <c r="BL406" s="625"/>
      <c r="BM406" s="625"/>
      <c r="BN406" s="599" t="s">
        <v>269</v>
      </c>
      <c r="BO406" s="599" t="s">
        <v>269</v>
      </c>
      <c r="BP406" s="599" t="s">
        <v>269</v>
      </c>
      <c r="BQ406" s="599" t="s">
        <v>269</v>
      </c>
      <c r="BR406" s="599" t="s">
        <v>269</v>
      </c>
      <c r="BS406" s="599" t="s">
        <v>269</v>
      </c>
      <c r="BT406" s="599" t="s">
        <v>269</v>
      </c>
      <c r="BU406" s="599" t="s">
        <v>269</v>
      </c>
      <c r="BV406" s="599" t="s">
        <v>269</v>
      </c>
      <c r="BW406" s="599" t="s">
        <v>269</v>
      </c>
      <c r="BX406" s="599" t="s">
        <v>269</v>
      </c>
      <c r="BY406" s="599" t="s">
        <v>269</v>
      </c>
      <c r="BZ406" s="615"/>
      <c r="CA406" s="615"/>
      <c r="CB406" s="615">
        <v>0.55300000000000005</v>
      </c>
      <c r="CC406" s="615">
        <v>0.55400000000000005</v>
      </c>
      <c r="CD406" s="621">
        <v>0.55200000000000005</v>
      </c>
      <c r="CE406" s="621">
        <v>0.55100000000000005</v>
      </c>
      <c r="CF406" s="621">
        <v>0.55200000000000005</v>
      </c>
      <c r="CG406" s="621">
        <v>0.55500000000000005</v>
      </c>
      <c r="CH406" s="622">
        <v>0.55500000000000005</v>
      </c>
      <c r="CI406" s="621">
        <v>0.55200000000000005</v>
      </c>
      <c r="CJ406" s="621">
        <v>0.55500000000000005</v>
      </c>
      <c r="CK406" s="621">
        <v>0.55400000000000005</v>
      </c>
      <c r="CL406" s="622">
        <v>0.55000000000000004</v>
      </c>
      <c r="CM406" s="622">
        <v>0.55000000000000004</v>
      </c>
      <c r="CN406" s="621">
        <v>0.55100000000000005</v>
      </c>
      <c r="CO406" s="623">
        <v>0.55000000000000004</v>
      </c>
      <c r="CP406" s="623">
        <v>0.54900000000000004</v>
      </c>
      <c r="CQ406" s="622">
        <v>0.54900000000000004</v>
      </c>
      <c r="CR406" s="622">
        <v>0.55200000000000005</v>
      </c>
      <c r="CS406" s="443">
        <v>0.55200000000000005</v>
      </c>
      <c r="CT406" s="705">
        <f>+CT405+CT404</f>
        <v>0.54900000000000004</v>
      </c>
      <c r="CU406" s="623">
        <v>0.54800000000000004</v>
      </c>
      <c r="CV406" s="623">
        <v>0.55000000000000004</v>
      </c>
      <c r="CW406" s="443">
        <v>0.55000000000000004</v>
      </c>
      <c r="CX406" s="621">
        <v>0.55100000000000005</v>
      </c>
      <c r="CY406" s="621">
        <v>0.55800000000000005</v>
      </c>
      <c r="CZ406" s="623">
        <v>0.55900000000000005</v>
      </c>
      <c r="DA406" s="1004">
        <v>0.55800000000000005</v>
      </c>
      <c r="DB406" s="1067">
        <v>0.53500000000000003</v>
      </c>
      <c r="DC406" s="1004">
        <v>0.54100000000000004</v>
      </c>
      <c r="DD406" s="1004">
        <v>0.53800000000000003</v>
      </c>
      <c r="DE406" s="1004">
        <v>0.53600000000000003</v>
      </c>
      <c r="DF406" s="621"/>
      <c r="DG406" s="621"/>
      <c r="DH406" s="621"/>
      <c r="DI406" s="624"/>
    </row>
    <row r="407" spans="1:113">
      <c r="A407" s="302"/>
      <c r="AD407" s="412"/>
      <c r="AE407" s="412"/>
      <c r="AF407" s="412"/>
      <c r="AG407" s="412"/>
      <c r="AH407" s="412"/>
      <c r="AI407" s="412"/>
      <c r="AJ407" s="412"/>
      <c r="AK407" s="412"/>
      <c r="AL407" s="412"/>
      <c r="AM407" s="412"/>
      <c r="AN407" s="412"/>
      <c r="AO407" s="412"/>
      <c r="AP407" s="412"/>
      <c r="AQ407" s="412"/>
      <c r="AR407" s="412"/>
      <c r="AS407" s="412"/>
      <c r="AT407" s="412"/>
      <c r="AU407" s="412"/>
      <c r="AV407" s="412"/>
      <c r="AW407" s="412"/>
      <c r="AX407" s="412"/>
      <c r="AY407" s="412"/>
      <c r="AZ407" s="412"/>
      <c r="BA407" s="412"/>
      <c r="BB407" s="412"/>
      <c r="BC407" s="412"/>
      <c r="BD407" s="412"/>
      <c r="BE407" s="412"/>
      <c r="BF407" s="412"/>
      <c r="BG407" s="412"/>
      <c r="BH407" s="412"/>
      <c r="BI407" s="412"/>
      <c r="BJ407" s="412"/>
      <c r="BK407" s="412"/>
      <c r="BL407" s="412"/>
      <c r="BM407" s="412"/>
      <c r="BN407" s="412"/>
      <c r="BO407" s="412"/>
      <c r="BP407" s="412"/>
      <c r="BQ407" s="412"/>
      <c r="BR407" s="412"/>
      <c r="BS407" s="412"/>
      <c r="BT407" s="412"/>
      <c r="BU407" s="412"/>
      <c r="BV407" s="412"/>
      <c r="BW407" s="412"/>
      <c r="BX407" s="412"/>
      <c r="BY407" s="412"/>
      <c r="BZ407" s="412"/>
      <c r="CA407" s="412"/>
      <c r="CB407" s="412"/>
      <c r="CC407" s="412"/>
      <c r="CD407" s="412"/>
      <c r="CE407" s="412"/>
      <c r="CF407" s="412"/>
      <c r="CG407" s="412"/>
      <c r="CH407" s="412"/>
      <c r="CI407" s="412"/>
      <c r="CJ407" s="412"/>
      <c r="CK407" s="412"/>
      <c r="CL407" s="412"/>
      <c r="CM407" s="412"/>
      <c r="CN407" s="412"/>
      <c r="CO407" s="412"/>
      <c r="CP407" s="412"/>
      <c r="CQ407" s="412"/>
      <c r="CR407" s="412"/>
      <c r="CS407" s="412"/>
      <c r="CT407" s="412"/>
      <c r="CU407" s="588"/>
      <c r="CV407" s="412"/>
      <c r="CW407" s="412"/>
      <c r="CX407" s="412"/>
      <c r="CY407" s="412"/>
      <c r="CZ407" s="412"/>
      <c r="DA407" s="991"/>
      <c r="DB407" s="991"/>
      <c r="DC407" s="412"/>
      <c r="DD407" s="412"/>
      <c r="DE407" s="412"/>
      <c r="DF407" s="412"/>
      <c r="DG407" s="412"/>
      <c r="DH407" s="412"/>
      <c r="DI407" s="412"/>
    </row>
    <row r="408" spans="1:113">
      <c r="A408" s="956" t="s">
        <v>481</v>
      </c>
      <c r="AD408" s="412"/>
      <c r="AE408" s="412"/>
      <c r="AF408" s="412"/>
      <c r="AG408" s="412"/>
      <c r="AH408" s="412"/>
      <c r="AI408" s="412"/>
      <c r="AJ408" s="412"/>
      <c r="AK408" s="412"/>
      <c r="AL408" s="412"/>
      <c r="AM408" s="412"/>
      <c r="AN408" s="412"/>
      <c r="AO408" s="412"/>
      <c r="AP408" s="412"/>
      <c r="AQ408" s="412"/>
      <c r="AR408" s="412"/>
      <c r="AS408" s="412"/>
      <c r="AT408" s="412"/>
      <c r="AU408" s="412"/>
      <c r="AV408" s="412"/>
      <c r="AW408" s="412"/>
      <c r="AX408" s="412"/>
      <c r="AY408" s="412"/>
      <c r="AZ408" s="412"/>
      <c r="BA408" s="412"/>
      <c r="BB408" s="412"/>
      <c r="BC408" s="412"/>
      <c r="BD408" s="412"/>
      <c r="BE408" s="412"/>
      <c r="BF408" s="412"/>
      <c r="BG408" s="412"/>
      <c r="BH408" s="412"/>
      <c r="BI408" s="412"/>
      <c r="BJ408" s="412"/>
      <c r="BK408" s="412"/>
      <c r="BL408" s="412"/>
      <c r="BM408" s="412"/>
      <c r="BN408" s="412"/>
      <c r="BO408" s="412"/>
      <c r="BP408" s="412"/>
      <c r="BQ408" s="412"/>
      <c r="BR408" s="412"/>
      <c r="BS408" s="412"/>
      <c r="BT408" s="412"/>
      <c r="BU408" s="412"/>
      <c r="BV408" s="412"/>
      <c r="BW408" s="412"/>
      <c r="BX408" s="412"/>
      <c r="BY408" s="412"/>
      <c r="BZ408" s="412"/>
      <c r="CA408" s="412"/>
      <c r="CB408" s="412"/>
      <c r="CC408" s="412"/>
      <c r="CD408" s="412"/>
      <c r="CE408" s="412"/>
      <c r="CF408" s="412"/>
      <c r="CG408" s="412"/>
      <c r="CH408" s="412"/>
      <c r="CI408" s="412"/>
      <c r="CJ408" s="412"/>
      <c r="CK408" s="412"/>
      <c r="CL408" s="412"/>
      <c r="CM408" s="412"/>
      <c r="CN408" s="412"/>
      <c r="CO408" s="412"/>
      <c r="CP408" s="491"/>
      <c r="CQ408" s="491"/>
      <c r="CR408" s="491"/>
      <c r="CS408" s="491"/>
      <c r="CT408" s="491"/>
      <c r="CU408" s="710"/>
      <c r="CV408" s="491"/>
      <c r="CW408" s="491"/>
      <c r="CX408" s="412"/>
      <c r="CY408" s="412"/>
      <c r="CZ408" s="412"/>
      <c r="DA408" s="412"/>
      <c r="DB408" s="412"/>
      <c r="DC408" s="412"/>
      <c r="DD408" s="412"/>
      <c r="DE408" s="412"/>
      <c r="DF408" s="412"/>
      <c r="DG408" s="412"/>
      <c r="DH408" s="412"/>
      <c r="DI408" s="412"/>
    </row>
    <row r="409" spans="1:113">
      <c r="A409" s="957" t="s">
        <v>606</v>
      </c>
      <c r="B409" s="822">
        <v>2.0642364235042172</v>
      </c>
      <c r="C409" s="822">
        <v>2.1223662113406969</v>
      </c>
      <c r="D409" s="822">
        <v>2.2187274232812166</v>
      </c>
      <c r="E409" s="822">
        <v>2.2789584439979387</v>
      </c>
      <c r="F409" s="822">
        <v>2.3886518223107314</v>
      </c>
      <c r="G409" s="822">
        <v>2.4564493996569468</v>
      </c>
      <c r="H409" s="822">
        <v>2.4974252358867743</v>
      </c>
      <c r="I409" s="822">
        <v>2.4066698277224599</v>
      </c>
      <c r="J409" s="822">
        <v>2.346533151266879</v>
      </c>
      <c r="K409" s="822">
        <v>2.2747996965098634</v>
      </c>
      <c r="L409" s="823">
        <f t="shared" ref="L409:R409" si="873">L129/L385</f>
        <v>2.0996003688902549</v>
      </c>
      <c r="M409" s="823">
        <f t="shared" si="873"/>
        <v>2.2873986735445837</v>
      </c>
      <c r="N409" s="823">
        <f t="shared" si="873"/>
        <v>2.2534626038781163</v>
      </c>
      <c r="O409" s="823">
        <f t="shared" si="873"/>
        <v>2.3460044395116535</v>
      </c>
      <c r="P409" s="823">
        <f t="shared" si="873"/>
        <v>2.3117930048108182</v>
      </c>
      <c r="Q409" s="823">
        <f t="shared" si="873"/>
        <v>2.2672014036846724</v>
      </c>
      <c r="R409" s="823">
        <f t="shared" si="873"/>
        <v>2.3097725875845114</v>
      </c>
      <c r="S409" s="823">
        <f t="shared" ref="S409:T409" si="874">S129/S385</f>
        <v>2.4030462800234331</v>
      </c>
      <c r="T409" s="823">
        <f t="shared" si="874"/>
        <v>2.5615119457981694</v>
      </c>
      <c r="U409" s="824">
        <f t="shared" ref="U409:AB409" si="875">T409*(1+U410)</f>
        <v>2.689587543088078</v>
      </c>
      <c r="V409" s="824">
        <f t="shared" si="875"/>
        <v>2.7971710448116012</v>
      </c>
      <c r="W409" s="824">
        <f t="shared" si="875"/>
        <v>2.9090578866040655</v>
      </c>
      <c r="X409" s="824">
        <f t="shared" si="875"/>
        <v>2.9963296232021874</v>
      </c>
      <c r="Y409" s="824">
        <f t="shared" si="875"/>
        <v>3.0862195118982529</v>
      </c>
      <c r="Z409" s="824">
        <f t="shared" si="875"/>
        <v>3.1788060972552006</v>
      </c>
      <c r="AA409" s="824">
        <f t="shared" si="875"/>
        <v>3.2741702801728567</v>
      </c>
      <c r="AB409" s="824">
        <f t="shared" si="875"/>
        <v>3.3723953885780427</v>
      </c>
      <c r="AD409" s="628"/>
      <c r="AE409" s="628"/>
      <c r="AF409" s="628"/>
      <c r="AG409" s="628"/>
      <c r="AH409" s="628"/>
      <c r="AI409" s="628"/>
      <c r="AJ409" s="628"/>
      <c r="AK409" s="628"/>
      <c r="AL409" s="628"/>
      <c r="AM409" s="628"/>
      <c r="AN409" s="628"/>
      <c r="AO409" s="628"/>
      <c r="AP409" s="628"/>
      <c r="AQ409" s="628"/>
      <c r="AR409" s="628"/>
      <c r="AS409" s="628"/>
      <c r="AT409" s="628"/>
      <c r="AU409" s="628"/>
      <c r="AV409" s="628"/>
      <c r="AW409" s="628"/>
      <c r="AX409" s="628"/>
      <c r="AY409" s="628"/>
      <c r="AZ409" s="628"/>
      <c r="BA409" s="628"/>
      <c r="BB409" s="628"/>
      <c r="BC409" s="628"/>
      <c r="BD409" s="628"/>
      <c r="BE409" s="628"/>
      <c r="BF409" s="628"/>
      <c r="BG409" s="628"/>
      <c r="BH409" s="628"/>
      <c r="BI409" s="628"/>
      <c r="BJ409" s="628"/>
      <c r="BK409" s="628"/>
      <c r="BL409" s="628"/>
      <c r="BM409" s="628"/>
      <c r="BN409" s="629">
        <v>2.3672680412371134</v>
      </c>
      <c r="BO409" s="629">
        <v>2.3484402589758679</v>
      </c>
      <c r="BP409" s="629">
        <v>2.3250605326876514</v>
      </c>
      <c r="BQ409" s="629">
        <v>2.346563981042654</v>
      </c>
      <c r="BR409" s="629">
        <v>2.3364602876797997</v>
      </c>
      <c r="BS409" s="629">
        <v>2.2889534883720928</v>
      </c>
      <c r="BT409" s="629">
        <v>2.2080048514251063</v>
      </c>
      <c r="BU409" s="629">
        <v>2.2669112207151656</v>
      </c>
      <c r="BV409" s="630">
        <f t="shared" ref="BV409:CY409" si="876">+BV129/BV385</f>
        <v>1.966996699669967</v>
      </c>
      <c r="BW409" s="630">
        <f t="shared" si="876"/>
        <v>2.2456351595424442</v>
      </c>
      <c r="BX409" s="630">
        <f t="shared" si="876"/>
        <v>2.2278481012658227</v>
      </c>
      <c r="BY409" s="630">
        <f t="shared" si="876"/>
        <v>2.0380273321449791</v>
      </c>
      <c r="BZ409" s="630">
        <f t="shared" si="876"/>
        <v>2.0472864051585171</v>
      </c>
      <c r="CA409" s="630">
        <f t="shared" si="876"/>
        <v>2.1440351841671248</v>
      </c>
      <c r="CB409" s="630">
        <f t="shared" si="876"/>
        <v>2.1152800435019032</v>
      </c>
      <c r="CC409" s="630">
        <f t="shared" si="876"/>
        <v>2.2724637681159421</v>
      </c>
      <c r="CD409" s="630">
        <f t="shared" si="876"/>
        <v>2.0631464344039196</v>
      </c>
      <c r="CE409" s="630">
        <f t="shared" si="876"/>
        <v>2.2683885457608084</v>
      </c>
      <c r="CF409" s="630">
        <f t="shared" si="876"/>
        <v>2.3215258855585832</v>
      </c>
      <c r="CG409" s="630">
        <f t="shared" si="876"/>
        <v>2.2081352350765977</v>
      </c>
      <c r="CH409" s="630">
        <f t="shared" si="876"/>
        <v>2.2366097704532075</v>
      </c>
      <c r="CI409" s="630">
        <f t="shared" si="876"/>
        <v>2.2222222222222223</v>
      </c>
      <c r="CJ409" s="630">
        <f t="shared" si="876"/>
        <v>2.249099330931549</v>
      </c>
      <c r="CK409" s="630">
        <f t="shared" si="876"/>
        <v>2.1600771456123433</v>
      </c>
      <c r="CL409" s="630">
        <f t="shared" si="876"/>
        <v>2.2196926579396701</v>
      </c>
      <c r="CM409" s="630">
        <f t="shared" si="876"/>
        <v>2.2842892768079799</v>
      </c>
      <c r="CN409" s="630">
        <f t="shared" si="876"/>
        <v>2.2791353383458643</v>
      </c>
      <c r="CO409" s="630">
        <f t="shared" si="876"/>
        <v>2.2418136020151134</v>
      </c>
      <c r="CP409" s="630">
        <f t="shared" si="876"/>
        <v>2.229983879634605</v>
      </c>
      <c r="CQ409" s="630">
        <f t="shared" si="876"/>
        <v>2.2767419038272814</v>
      </c>
      <c r="CR409" s="630">
        <f t="shared" si="876"/>
        <v>2.2955665024630543</v>
      </c>
      <c r="CS409" s="630">
        <f t="shared" si="876"/>
        <v>2.3153692614770458</v>
      </c>
      <c r="CT409" s="630">
        <f t="shared" si="876"/>
        <v>2.2501308215593929</v>
      </c>
      <c r="CU409" s="630">
        <f t="shared" si="876"/>
        <v>2.3014354066985647</v>
      </c>
      <c r="CV409" s="630">
        <f t="shared" si="876"/>
        <v>2.3523670082967301</v>
      </c>
      <c r="CW409" s="630">
        <f t="shared" si="876"/>
        <v>2.3309352517985613</v>
      </c>
      <c r="CX409" s="630">
        <f t="shared" si="876"/>
        <v>2.3241145075206213</v>
      </c>
      <c r="CY409" s="630">
        <f t="shared" si="876"/>
        <v>2.4001835704451584</v>
      </c>
      <c r="CZ409" s="630">
        <f t="shared" ref="CZ409:DD409" si="877">+CZ129/CZ385</f>
        <v>2.4399260628465802</v>
      </c>
      <c r="DA409" s="630">
        <f t="shared" si="877"/>
        <v>2.4448615673392773</v>
      </c>
      <c r="DB409" s="630">
        <f t="shared" si="877"/>
        <v>2.3799795709908067</v>
      </c>
      <c r="DC409" s="630">
        <f t="shared" si="877"/>
        <v>2.5520361990950224</v>
      </c>
      <c r="DD409" s="630">
        <f t="shared" si="877"/>
        <v>2.5870178739416745</v>
      </c>
      <c r="DE409" s="630">
        <f t="shared" ref="DE409" si="878">+DE129/DE385</f>
        <v>2.7135441245870693</v>
      </c>
      <c r="DF409" s="630">
        <f>+DB409*(1+DF410)</f>
        <v>2.6179775280898876</v>
      </c>
      <c r="DG409" s="630">
        <f>+DC409*(1+DG410)</f>
        <v>2.6796380090497736</v>
      </c>
      <c r="DH409" s="630">
        <f>+DD409*(1+DH410)</f>
        <v>2.7163687676387585</v>
      </c>
      <c r="DI409" s="630">
        <f>+DI129/DI385</f>
        <v>2.7408802098788119</v>
      </c>
    </row>
    <row r="410" spans="1:113">
      <c r="A410" s="958" t="s">
        <v>271</v>
      </c>
      <c r="B410" s="607"/>
      <c r="C410" s="607">
        <f t="shared" ref="C410:T410" si="879">(C409/B409-1)</f>
        <v>2.8160431225120686E-2</v>
      </c>
      <c r="D410" s="607">
        <f t="shared" si="879"/>
        <v>4.5402726176859254E-2</v>
      </c>
      <c r="E410" s="607">
        <f t="shared" si="879"/>
        <v>2.7146651762949725E-2</v>
      </c>
      <c r="F410" s="390">
        <f t="shared" si="879"/>
        <v>4.8133119145586267E-2</v>
      </c>
      <c r="G410" s="390">
        <f t="shared" si="879"/>
        <v>2.8383197882992262E-2</v>
      </c>
      <c r="H410" s="390">
        <f t="shared" si="879"/>
        <v>1.6680920126239895E-2</v>
      </c>
      <c r="I410" s="390">
        <f t="shared" si="879"/>
        <v>-3.6339589614217016E-2</v>
      </c>
      <c r="J410" s="390">
        <f t="shared" si="879"/>
        <v>-2.498750587341303E-2</v>
      </c>
      <c r="K410" s="390">
        <f t="shared" si="879"/>
        <v>-3.0569972863280115E-2</v>
      </c>
      <c r="L410" s="390">
        <f t="shared" si="879"/>
        <v>-7.701747450046259E-2</v>
      </c>
      <c r="M410" s="390">
        <f t="shared" si="879"/>
        <v>8.9444785511058722E-2</v>
      </c>
      <c r="N410" s="390">
        <f t="shared" si="879"/>
        <v>-1.4836097466944698E-2</v>
      </c>
      <c r="O410" s="390">
        <f t="shared" si="879"/>
        <v>4.106650604020512E-2</v>
      </c>
      <c r="P410" s="390">
        <f t="shared" si="879"/>
        <v>-1.4582851645394523E-2</v>
      </c>
      <c r="Q410" s="390">
        <f t="shared" si="879"/>
        <v>-1.9288751645736069E-2</v>
      </c>
      <c r="R410" s="390">
        <f t="shared" si="879"/>
        <v>1.8776974921880463E-2</v>
      </c>
      <c r="S410" s="390">
        <f t="shared" si="879"/>
        <v>4.0382197338511228E-2</v>
      </c>
      <c r="T410" s="390">
        <f t="shared" si="879"/>
        <v>6.5943659550822709E-2</v>
      </c>
      <c r="U410" s="825">
        <v>0.05</v>
      </c>
      <c r="V410" s="825">
        <v>0.04</v>
      </c>
      <c r="W410" s="825">
        <v>0.04</v>
      </c>
      <c r="X410" s="825">
        <v>0.03</v>
      </c>
      <c r="Y410" s="825">
        <v>0.03</v>
      </c>
      <c r="Z410" s="825">
        <v>0.03</v>
      </c>
      <c r="AA410" s="825">
        <v>0.03</v>
      </c>
      <c r="AB410" s="825">
        <v>0.03</v>
      </c>
      <c r="AD410" s="416"/>
      <c r="AE410" s="416"/>
      <c r="AF410" s="416"/>
      <c r="AG410" s="416"/>
      <c r="AH410" s="416"/>
      <c r="AI410" s="416"/>
      <c r="AJ410" s="416"/>
      <c r="AK410" s="416"/>
      <c r="AL410" s="416"/>
      <c r="AM410" s="416"/>
      <c r="AN410" s="416"/>
      <c r="AO410" s="416"/>
      <c r="AP410" s="416"/>
      <c r="AQ410" s="416"/>
      <c r="AR410" s="416"/>
      <c r="AS410" s="416"/>
      <c r="AT410" s="416"/>
      <c r="AU410" s="416"/>
      <c r="AV410" s="416"/>
      <c r="AW410" s="416"/>
      <c r="AX410" s="416"/>
      <c r="AY410" s="416"/>
      <c r="AZ410" s="416"/>
      <c r="BA410" s="416"/>
      <c r="BB410" s="416"/>
      <c r="BC410" s="416"/>
      <c r="BD410" s="416"/>
      <c r="BE410" s="416"/>
      <c r="BF410" s="416"/>
      <c r="BG410" s="416"/>
      <c r="BH410" s="416"/>
      <c r="BI410" s="416"/>
      <c r="BJ410" s="416"/>
      <c r="BK410" s="416"/>
      <c r="BL410" s="416"/>
      <c r="BM410" s="416"/>
      <c r="BN410" s="631" t="s">
        <v>269</v>
      </c>
      <c r="BO410" s="631" t="s">
        <v>269</v>
      </c>
      <c r="BP410" s="631" t="s">
        <v>269</v>
      </c>
      <c r="BQ410" s="631" t="s">
        <v>269</v>
      </c>
      <c r="BR410" s="390">
        <f>BR409/BN409-1</f>
        <v>-1.3014053761826627E-2</v>
      </c>
      <c r="BS410" s="390">
        <f>BS409/BO409-1</f>
        <v>-2.5330331643061199E-2</v>
      </c>
      <c r="BT410" s="390">
        <f>BT409/BP409-1</f>
        <v>-5.0345218809092596E-2</v>
      </c>
      <c r="BU410" s="390">
        <f>BU409/BQ409-1</f>
        <v>-3.3944422982277289E-2</v>
      </c>
      <c r="BV410" s="390">
        <f t="shared" ref="BV410:CJ410" si="880">(BV409/BR409-1)</f>
        <v>-0.15812962452562163</v>
      </c>
      <c r="BW410" s="632">
        <f t="shared" si="880"/>
        <v>-1.8924949348995579E-2</v>
      </c>
      <c r="BX410" s="632">
        <f t="shared" si="880"/>
        <v>8.98695934834981E-3</v>
      </c>
      <c r="BY410" s="632">
        <f t="shared" si="880"/>
        <v>-0.10096729262206317</v>
      </c>
      <c r="BZ410" s="632">
        <f t="shared" si="880"/>
        <v>4.0818424099044792E-2</v>
      </c>
      <c r="CA410" s="632">
        <f t="shared" si="880"/>
        <v>-4.524331343120791E-2</v>
      </c>
      <c r="CB410" s="632">
        <f t="shared" si="880"/>
        <v>-5.0527707746304773E-2</v>
      </c>
      <c r="CC410" s="632">
        <f t="shared" si="880"/>
        <v>0.11503105590062113</v>
      </c>
      <c r="CD410" s="632">
        <f t="shared" si="880"/>
        <v>7.746854179972118E-3</v>
      </c>
      <c r="CE410" s="632">
        <f t="shared" si="880"/>
        <v>5.7999683266387381E-2</v>
      </c>
      <c r="CF410" s="632">
        <f t="shared" si="880"/>
        <v>9.7502854381037229E-2</v>
      </c>
      <c r="CG410" s="632">
        <f t="shared" si="880"/>
        <v>-2.8307836605323766E-2</v>
      </c>
      <c r="CH410" s="632">
        <f t="shared" si="880"/>
        <v>8.4077083990116597E-2</v>
      </c>
      <c r="CI410" s="632">
        <f t="shared" si="880"/>
        <v>-2.0352035203520247E-2</v>
      </c>
      <c r="CJ410" s="632">
        <f t="shared" si="880"/>
        <v>-3.119782341328825E-2</v>
      </c>
      <c r="CK410" s="632">
        <f>+CK409/CG409-1</f>
        <v>-2.1764106065988886E-2</v>
      </c>
      <c r="CL410" s="632">
        <f>(CL409/CH409-1)</f>
        <v>-7.5637300422368714E-3</v>
      </c>
      <c r="CM410" s="632">
        <f>(CM409/CI409-1)</f>
        <v>2.7930174563590926E-2</v>
      </c>
      <c r="CN410" s="632">
        <f>(CN409/CJ409-1)</f>
        <v>1.3354682472772161E-2</v>
      </c>
      <c r="CO410" s="632">
        <f>+CO409/CK409-1</f>
        <v>3.7839600575746646E-2</v>
      </c>
      <c r="CP410" s="632">
        <f>(CP409/CL409-1)</f>
        <v>4.6363273123077864E-3</v>
      </c>
      <c r="CQ410" s="632">
        <f>(CQ409/CM409-1)</f>
        <v>-3.3040355515939757E-3</v>
      </c>
      <c r="CR410" s="632">
        <f>(CR409/CN409-1)</f>
        <v>7.2093849982226565E-3</v>
      </c>
      <c r="CS410" s="632">
        <f>+CS409/CO409-1</f>
        <v>3.2810782928524906E-2</v>
      </c>
      <c r="CT410" s="632">
        <f>(CT409/CP409-1)</f>
        <v>9.0345684149470973E-3</v>
      </c>
      <c r="CU410" s="632">
        <f>(CU409/CQ409-1)</f>
        <v>1.0845982511136887E-2</v>
      </c>
      <c r="CV410" s="632">
        <f>(CV409/CR409-1)</f>
        <v>2.4743567991923232E-2</v>
      </c>
      <c r="CW410" s="632">
        <f>+CW409/CS409-1</f>
        <v>6.722897544033879E-3</v>
      </c>
      <c r="CX410" s="632">
        <f t="shared" ref="CX410:DE410" si="881">(CX409/CT409-1)</f>
        <v>3.2879726481839011E-2</v>
      </c>
      <c r="CY410" s="632">
        <f t="shared" si="881"/>
        <v>4.2907206284902522E-2</v>
      </c>
      <c r="CZ410" s="632">
        <f t="shared" si="881"/>
        <v>3.7221681073162483E-2</v>
      </c>
      <c r="DA410" s="632">
        <f t="shared" si="881"/>
        <v>4.887579586468993E-2</v>
      </c>
      <c r="DB410" s="632">
        <f t="shared" si="881"/>
        <v>2.4037139000428365E-2</v>
      </c>
      <c r="DC410" s="632">
        <f t="shared" si="881"/>
        <v>6.3267089450870673E-2</v>
      </c>
      <c r="DD410" s="632">
        <f t="shared" si="881"/>
        <v>6.0285355910943972E-2</v>
      </c>
      <c r="DE410" s="632">
        <f t="shared" si="881"/>
        <v>0.10989683867467259</v>
      </c>
      <c r="DF410" s="633">
        <v>0.1</v>
      </c>
      <c r="DG410" s="633">
        <v>0.05</v>
      </c>
      <c r="DH410" s="633">
        <v>0.05</v>
      </c>
      <c r="DI410" s="632">
        <f>+DI409/DE409-1</f>
        <v>1.0073941692730903E-2</v>
      </c>
    </row>
    <row r="411" spans="1:113">
      <c r="A411" s="958" t="s">
        <v>338</v>
      </c>
      <c r="B411" s="826" t="s">
        <v>269</v>
      </c>
      <c r="C411" s="826" t="s">
        <v>269</v>
      </c>
      <c r="D411" s="826" t="s">
        <v>269</v>
      </c>
      <c r="E411" s="634">
        <f t="shared" ref="E411:J411" si="882">0.585/(16/1.2)</f>
        <v>4.3874999999999997E-2</v>
      </c>
      <c r="F411" s="634">
        <f t="shared" si="882"/>
        <v>4.3874999999999997E-2</v>
      </c>
      <c r="G411" s="634">
        <f t="shared" si="882"/>
        <v>4.3874999999999997E-2</v>
      </c>
      <c r="H411" s="634">
        <f t="shared" si="882"/>
        <v>4.3874999999999997E-2</v>
      </c>
      <c r="I411" s="634">
        <f t="shared" si="882"/>
        <v>4.3874999999999997E-2</v>
      </c>
      <c r="J411" s="634">
        <f t="shared" si="882"/>
        <v>4.3874999999999997E-2</v>
      </c>
      <c r="K411" s="634">
        <v>4.3875000000000004E-2</v>
      </c>
      <c r="L411" s="371">
        <f t="shared" ref="L411:R411" si="883">+L151/L385</f>
        <v>0.13525976022133415</v>
      </c>
      <c r="M411" s="371">
        <f t="shared" si="883"/>
        <v>0.15475313190862197</v>
      </c>
      <c r="N411" s="371">
        <f t="shared" si="883"/>
        <v>0.14958448753462603</v>
      </c>
      <c r="O411" s="371">
        <f t="shared" si="883"/>
        <v>0.15677025527192007</v>
      </c>
      <c r="P411" s="371">
        <f t="shared" si="883"/>
        <v>0.16902873488493045</v>
      </c>
      <c r="Q411" s="371">
        <f t="shared" si="883"/>
        <v>0.17295400426118562</v>
      </c>
      <c r="R411" s="371">
        <f t="shared" si="883"/>
        <v>0.16349108789182545</v>
      </c>
      <c r="S411" s="371">
        <f t="shared" ref="S411:T411" si="884">+S151/S385</f>
        <v>0.15817223198594024</v>
      </c>
      <c r="T411" s="371">
        <f t="shared" si="884"/>
        <v>0.15690003565909902</v>
      </c>
      <c r="U411" s="751">
        <f t="shared" ref="U411:AB411" si="885">+T411</f>
        <v>0.15690003565909902</v>
      </c>
      <c r="V411" s="751">
        <f t="shared" si="885"/>
        <v>0.15690003565909902</v>
      </c>
      <c r="W411" s="751">
        <f t="shared" si="885"/>
        <v>0.15690003565909902</v>
      </c>
      <c r="X411" s="751">
        <f t="shared" si="885"/>
        <v>0.15690003565909902</v>
      </c>
      <c r="Y411" s="751">
        <f t="shared" si="885"/>
        <v>0.15690003565909902</v>
      </c>
      <c r="Z411" s="751">
        <f t="shared" si="885"/>
        <v>0.15690003565909902</v>
      </c>
      <c r="AA411" s="751">
        <f t="shared" si="885"/>
        <v>0.15690003565909902</v>
      </c>
      <c r="AB411" s="751">
        <f t="shared" si="885"/>
        <v>0.15690003565909902</v>
      </c>
      <c r="AD411" s="416"/>
      <c r="AE411" s="416"/>
      <c r="AF411" s="416"/>
      <c r="AG411" s="416"/>
      <c r="AH411" s="416"/>
      <c r="AI411" s="416"/>
      <c r="AJ411" s="416"/>
      <c r="AK411" s="416"/>
      <c r="AL411" s="416"/>
      <c r="AM411" s="416"/>
      <c r="AN411" s="416"/>
      <c r="AO411" s="416"/>
      <c r="AP411" s="416"/>
      <c r="AQ411" s="416"/>
      <c r="AR411" s="416"/>
      <c r="AS411" s="416"/>
      <c r="AT411" s="416"/>
      <c r="AU411" s="416"/>
      <c r="AV411" s="416"/>
      <c r="AW411" s="416"/>
      <c r="AX411" s="416"/>
      <c r="AY411" s="416"/>
      <c r="AZ411" s="416"/>
      <c r="BA411" s="416"/>
      <c r="BB411" s="416"/>
      <c r="BC411" s="416"/>
      <c r="BD411" s="416"/>
      <c r="BE411" s="416"/>
      <c r="BF411" s="416"/>
      <c r="BG411" s="416"/>
      <c r="BH411" s="416"/>
      <c r="BI411" s="416"/>
      <c r="BJ411" s="416"/>
      <c r="BK411" s="416"/>
      <c r="BL411" s="416"/>
      <c r="BM411" s="416"/>
      <c r="BN411" s="371">
        <f t="shared" ref="BN411:BU411" si="886">0.585/(16/1.2)</f>
        <v>4.3874999999999997E-2</v>
      </c>
      <c r="BO411" s="371">
        <f t="shared" si="886"/>
        <v>4.3874999999999997E-2</v>
      </c>
      <c r="BP411" s="371">
        <f t="shared" si="886"/>
        <v>4.3874999999999997E-2</v>
      </c>
      <c r="BQ411" s="371">
        <f t="shared" si="886"/>
        <v>4.3874999999999997E-2</v>
      </c>
      <c r="BR411" s="371">
        <f t="shared" si="886"/>
        <v>4.3874999999999997E-2</v>
      </c>
      <c r="BS411" s="371">
        <f t="shared" si="886"/>
        <v>4.3874999999999997E-2</v>
      </c>
      <c r="BT411" s="371">
        <f t="shared" si="886"/>
        <v>4.3874999999999997E-2</v>
      </c>
      <c r="BU411" s="371">
        <f t="shared" si="886"/>
        <v>4.3874999999999997E-2</v>
      </c>
      <c r="BV411" s="371">
        <f t="shared" ref="BV411:CY411" si="887">BV151/BV385</f>
        <v>7.9207920792079209E-2</v>
      </c>
      <c r="BW411" s="371">
        <f t="shared" si="887"/>
        <v>0.1444912703190849</v>
      </c>
      <c r="BX411" s="371">
        <f t="shared" si="887"/>
        <v>0.16455696202531644</v>
      </c>
      <c r="BY411" s="371">
        <f t="shared" si="887"/>
        <v>0.15448603683897799</v>
      </c>
      <c r="BZ411" s="371">
        <f t="shared" si="887"/>
        <v>0.13970983342289092</v>
      </c>
      <c r="CA411" s="371">
        <f t="shared" si="887"/>
        <v>0.14843320505772403</v>
      </c>
      <c r="CB411" s="371">
        <f t="shared" si="887"/>
        <v>0.14138118542686243</v>
      </c>
      <c r="CC411" s="371">
        <f t="shared" si="887"/>
        <v>0.15072463768115943</v>
      </c>
      <c r="CD411" s="371">
        <f t="shared" si="887"/>
        <v>0.14153511159499185</v>
      </c>
      <c r="CE411" s="371">
        <f t="shared" si="887"/>
        <v>0.15160022459292533</v>
      </c>
      <c r="CF411" s="371">
        <f t="shared" si="887"/>
        <v>0.15258855585831063</v>
      </c>
      <c r="CG411" s="371">
        <f t="shared" si="887"/>
        <v>0.14263074484944532</v>
      </c>
      <c r="CH411" s="371">
        <f t="shared" si="887"/>
        <v>0.15891701000588582</v>
      </c>
      <c r="CI411" s="371">
        <f t="shared" si="887"/>
        <v>0.14084507042253522</v>
      </c>
      <c r="CJ411" s="371">
        <f t="shared" si="887"/>
        <v>0.14925373134328357</v>
      </c>
      <c r="CK411" s="371">
        <f t="shared" si="887"/>
        <v>0.14464802314368369</v>
      </c>
      <c r="CL411" s="371">
        <f t="shared" si="887"/>
        <v>0.14797951052931133</v>
      </c>
      <c r="CM411" s="371">
        <f t="shared" si="887"/>
        <v>0.16458852867830423</v>
      </c>
      <c r="CN411" s="371">
        <f t="shared" si="887"/>
        <v>0.17387218045112782</v>
      </c>
      <c r="CO411" s="371">
        <f t="shared" si="887"/>
        <v>0.1712846347607053</v>
      </c>
      <c r="CP411" s="371">
        <f t="shared" si="887"/>
        <v>0.16120365394948952</v>
      </c>
      <c r="CQ411" s="371">
        <f t="shared" si="887"/>
        <v>0.17664376840039253</v>
      </c>
      <c r="CR411" s="371">
        <f t="shared" si="887"/>
        <v>0.17733990147783252</v>
      </c>
      <c r="CS411" s="371">
        <f t="shared" si="887"/>
        <v>0.17964071856287425</v>
      </c>
      <c r="CT411" s="371">
        <f t="shared" si="887"/>
        <v>0.16745159602302459</v>
      </c>
      <c r="CU411" s="371">
        <f t="shared" si="887"/>
        <v>0.16267942583732056</v>
      </c>
      <c r="CV411" s="371">
        <f t="shared" si="887"/>
        <v>0.16593460224499756</v>
      </c>
      <c r="CW411" s="371">
        <f t="shared" si="887"/>
        <v>0.15827338129496402</v>
      </c>
      <c r="CX411" s="371">
        <f t="shared" si="887"/>
        <v>0.15526443474041729</v>
      </c>
      <c r="CY411" s="371">
        <f t="shared" si="887"/>
        <v>0.16062413951353832</v>
      </c>
      <c r="CZ411" s="371">
        <f t="shared" ref="CZ411:DD411" si="888">CZ151/CZ385</f>
        <v>0.16173752310536044</v>
      </c>
      <c r="DA411" s="371">
        <f t="shared" si="888"/>
        <v>0.15485687470671047</v>
      </c>
      <c r="DB411" s="371">
        <f t="shared" si="888"/>
        <v>0.15321756894790603</v>
      </c>
      <c r="DC411" s="371">
        <f t="shared" si="888"/>
        <v>0.15384615384615385</v>
      </c>
      <c r="DD411" s="371">
        <f t="shared" si="888"/>
        <v>0.16462841015992474</v>
      </c>
      <c r="DE411" s="371">
        <f t="shared" ref="DE411" si="889">DE151/DE385</f>
        <v>0.15573383671543181</v>
      </c>
      <c r="DF411" s="371">
        <f>U411</f>
        <v>0.15690003565909902</v>
      </c>
      <c r="DG411" s="371">
        <f>(U411*4-DF411)/3</f>
        <v>0.15690003565909902</v>
      </c>
      <c r="DH411" s="371">
        <f>(U411*4-DG411-DF411)/2</f>
        <v>0.15690003565909899</v>
      </c>
      <c r="DI411" s="371">
        <f>DI151/DI385</f>
        <v>0.15690003565909899</v>
      </c>
    </row>
    <row r="412" spans="1:113">
      <c r="A412" s="959" t="s">
        <v>361</v>
      </c>
      <c r="B412" s="317">
        <f>+B418+B415</f>
        <v>2.0642364235042172</v>
      </c>
      <c r="C412" s="317">
        <f>+C418+C415</f>
        <v>2.1223662113406969</v>
      </c>
      <c r="D412" s="317">
        <f>+D418+D415</f>
        <v>2.2187274232812162</v>
      </c>
      <c r="E412" s="319">
        <f t="shared" ref="E412:J412" si="890">E409-E411</f>
        <v>2.2350834439979388</v>
      </c>
      <c r="F412" s="319">
        <f t="shared" si="890"/>
        <v>2.3447768223107315</v>
      </c>
      <c r="G412" s="319">
        <f t="shared" si="890"/>
        <v>2.4125743996569469</v>
      </c>
      <c r="H412" s="319">
        <f t="shared" si="890"/>
        <v>2.4535502358867745</v>
      </c>
      <c r="I412" s="319">
        <f t="shared" si="890"/>
        <v>2.36279482772246</v>
      </c>
      <c r="J412" s="319">
        <f t="shared" si="890"/>
        <v>2.3026581512668791</v>
      </c>
      <c r="K412" s="316">
        <v>2.2309246965098635</v>
      </c>
      <c r="L412" s="316">
        <f t="shared" ref="L412:W412" si="891">L409-L411</f>
        <v>1.9643406086689208</v>
      </c>
      <c r="M412" s="316">
        <f t="shared" si="891"/>
        <v>2.1326455416359615</v>
      </c>
      <c r="N412" s="316">
        <f t="shared" si="891"/>
        <v>2.1038781163434903</v>
      </c>
      <c r="O412" s="316">
        <f t="shared" si="891"/>
        <v>2.1892341842397336</v>
      </c>
      <c r="P412" s="316">
        <f t="shared" si="891"/>
        <v>2.1427642699258875</v>
      </c>
      <c r="Q412" s="316">
        <f t="shared" si="891"/>
        <v>2.0942473994234869</v>
      </c>
      <c r="R412" s="316">
        <f t="shared" si="891"/>
        <v>2.146281499692686</v>
      </c>
      <c r="S412" s="316">
        <f t="shared" ref="S412:T412" si="892">S409-S411</f>
        <v>2.2448740480374929</v>
      </c>
      <c r="T412" s="316">
        <f t="shared" si="892"/>
        <v>2.4046119101390704</v>
      </c>
      <c r="U412" s="316">
        <f t="shared" si="891"/>
        <v>2.532687507428979</v>
      </c>
      <c r="V412" s="316">
        <f t="shared" si="891"/>
        <v>2.6402710091525021</v>
      </c>
      <c r="W412" s="316">
        <f t="shared" si="891"/>
        <v>2.7521578509449665</v>
      </c>
      <c r="X412" s="316">
        <f>X409-X411</f>
        <v>2.8394295875430884</v>
      </c>
      <c r="Y412" s="316">
        <f>Y409-Y411</f>
        <v>2.9293194762391539</v>
      </c>
      <c r="Z412" s="316">
        <f>Z409-Z411</f>
        <v>3.0219060615961015</v>
      </c>
      <c r="AA412" s="316">
        <f>AA409-AA411</f>
        <v>3.1172702445137577</v>
      </c>
      <c r="AB412" s="316">
        <f>AB409-AB411</f>
        <v>3.2154953529189436</v>
      </c>
      <c r="AD412" s="421"/>
      <c r="AE412" s="421"/>
      <c r="AF412" s="421"/>
      <c r="AG412" s="421"/>
      <c r="AH412" s="421"/>
      <c r="AI412" s="421"/>
      <c r="AJ412" s="421"/>
      <c r="AK412" s="421"/>
      <c r="AL412" s="421"/>
      <c r="AM412" s="421"/>
      <c r="AN412" s="421"/>
      <c r="AO412" s="421"/>
      <c r="AP412" s="421"/>
      <c r="AQ412" s="421"/>
      <c r="AR412" s="421"/>
      <c r="AS412" s="421"/>
      <c r="AT412" s="421"/>
      <c r="AU412" s="421"/>
      <c r="AV412" s="421"/>
      <c r="AW412" s="421"/>
      <c r="AX412" s="421"/>
      <c r="AY412" s="421"/>
      <c r="AZ412" s="421"/>
      <c r="BA412" s="421"/>
      <c r="BB412" s="421"/>
      <c r="BC412" s="421"/>
      <c r="BD412" s="421"/>
      <c r="BE412" s="421"/>
      <c r="BF412" s="421"/>
      <c r="BG412" s="421"/>
      <c r="BH412" s="421"/>
      <c r="BI412" s="421"/>
      <c r="BJ412" s="421"/>
      <c r="BK412" s="421"/>
      <c r="BL412" s="421"/>
      <c r="BM412" s="421"/>
      <c r="BN412" s="422">
        <f t="shared" ref="BN412:CQ412" si="893">BN409-BN411</f>
        <v>2.3233930412371135</v>
      </c>
      <c r="BO412" s="422">
        <f t="shared" si="893"/>
        <v>2.3045652589758681</v>
      </c>
      <c r="BP412" s="422">
        <f t="shared" si="893"/>
        <v>2.2811855326876516</v>
      </c>
      <c r="BQ412" s="422">
        <f t="shared" si="893"/>
        <v>2.3026889810426541</v>
      </c>
      <c r="BR412" s="422">
        <f t="shared" si="893"/>
        <v>2.2925852876797999</v>
      </c>
      <c r="BS412" s="422">
        <f t="shared" si="893"/>
        <v>2.2450784883720929</v>
      </c>
      <c r="BT412" s="422">
        <f t="shared" si="893"/>
        <v>2.1641298514251064</v>
      </c>
      <c r="BU412" s="422">
        <f t="shared" si="893"/>
        <v>2.2230362207151657</v>
      </c>
      <c r="BV412" s="422">
        <f t="shared" si="893"/>
        <v>1.8877887788778878</v>
      </c>
      <c r="BW412" s="422">
        <f t="shared" si="893"/>
        <v>2.1011438892233594</v>
      </c>
      <c r="BX412" s="422">
        <f t="shared" si="893"/>
        <v>2.0632911392405062</v>
      </c>
      <c r="BY412" s="422">
        <f t="shared" si="893"/>
        <v>1.8835412953060011</v>
      </c>
      <c r="BZ412" s="422">
        <f t="shared" si="893"/>
        <v>1.9075765717356261</v>
      </c>
      <c r="CA412" s="422">
        <f t="shared" si="893"/>
        <v>1.9956019791094008</v>
      </c>
      <c r="CB412" s="422">
        <f t="shared" si="893"/>
        <v>1.9738988580750407</v>
      </c>
      <c r="CC412" s="422">
        <f t="shared" si="893"/>
        <v>2.1217391304347828</v>
      </c>
      <c r="CD412" s="422">
        <f t="shared" si="893"/>
        <v>1.9216113228089278</v>
      </c>
      <c r="CE412" s="422">
        <f t="shared" si="893"/>
        <v>2.1167883211678831</v>
      </c>
      <c r="CF412" s="422">
        <f t="shared" si="893"/>
        <v>2.1689373297002725</v>
      </c>
      <c r="CG412" s="422">
        <f t="shared" si="893"/>
        <v>2.0655044902271524</v>
      </c>
      <c r="CH412" s="422">
        <f t="shared" si="893"/>
        <v>2.0776927604473219</v>
      </c>
      <c r="CI412" s="422">
        <f t="shared" si="893"/>
        <v>2.0813771517996873</v>
      </c>
      <c r="CJ412" s="423">
        <f t="shared" si="893"/>
        <v>2.0998455995882654</v>
      </c>
      <c r="CK412" s="422">
        <f t="shared" si="893"/>
        <v>2.0154291224686598</v>
      </c>
      <c r="CL412" s="422">
        <f t="shared" si="893"/>
        <v>2.0717131474103589</v>
      </c>
      <c r="CM412" s="422">
        <f t="shared" si="893"/>
        <v>2.1197007481296755</v>
      </c>
      <c r="CN412" s="422">
        <f t="shared" si="893"/>
        <v>2.1052631578947367</v>
      </c>
      <c r="CO412" s="422">
        <f t="shared" si="893"/>
        <v>2.070528967254408</v>
      </c>
      <c r="CP412" s="422">
        <f t="shared" si="893"/>
        <v>2.0687802256851153</v>
      </c>
      <c r="CQ412" s="422">
        <f t="shared" si="893"/>
        <v>2.1000981354268888</v>
      </c>
      <c r="CR412" s="422">
        <f t="shared" ref="CR412:CW412" si="894">CR409-CR411</f>
        <v>2.1182266009852215</v>
      </c>
      <c r="CS412" s="422">
        <f t="shared" si="894"/>
        <v>2.1357285429141717</v>
      </c>
      <c r="CT412" s="422">
        <f t="shared" si="894"/>
        <v>2.0826792255363684</v>
      </c>
      <c r="CU412" s="422">
        <f t="shared" si="894"/>
        <v>2.138755980861244</v>
      </c>
      <c r="CV412" s="422">
        <f t="shared" si="894"/>
        <v>2.1864324060517326</v>
      </c>
      <c r="CW412" s="422">
        <f t="shared" si="894"/>
        <v>2.1726618705035974</v>
      </c>
      <c r="CX412" s="422">
        <f t="shared" ref="CX412:DC412" si="895">CX409-CX411</f>
        <v>2.168850072780204</v>
      </c>
      <c r="CY412" s="422">
        <f t="shared" si="895"/>
        <v>2.23955943093162</v>
      </c>
      <c r="CZ412" s="422">
        <f t="shared" si="895"/>
        <v>2.2781885397412198</v>
      </c>
      <c r="DA412" s="422">
        <f t="shared" si="895"/>
        <v>2.290004692632567</v>
      </c>
      <c r="DB412" s="422">
        <f t="shared" si="895"/>
        <v>2.2267620020429009</v>
      </c>
      <c r="DC412" s="422">
        <f t="shared" si="895"/>
        <v>2.3981900452488687</v>
      </c>
      <c r="DD412" s="422">
        <f t="shared" ref="DD412:DE412" si="896">DD409-DD411</f>
        <v>2.4223894637817498</v>
      </c>
      <c r="DE412" s="422">
        <f t="shared" si="896"/>
        <v>2.5578102878716376</v>
      </c>
      <c r="DF412" s="422">
        <f>+DF409-DF411</f>
        <v>2.4610774924307885</v>
      </c>
      <c r="DG412" s="422">
        <f t="shared" ref="DG412:DH412" si="897">+DG409-DG411</f>
        <v>2.5227379733906745</v>
      </c>
      <c r="DH412" s="422">
        <f t="shared" si="897"/>
        <v>2.5594687319796594</v>
      </c>
      <c r="DI412" s="422">
        <f>DI409-DI411</f>
        <v>2.5839801742197128</v>
      </c>
    </row>
    <row r="413" spans="1:113">
      <c r="A413" s="958" t="s">
        <v>271</v>
      </c>
      <c r="B413" s="607"/>
      <c r="C413" s="607"/>
      <c r="D413" s="607"/>
      <c r="E413" s="607"/>
      <c r="F413" s="390">
        <f t="shared" ref="F413:W413" si="898">(F412/E412-1)</f>
        <v>4.9077978993295135E-2</v>
      </c>
      <c r="G413" s="390">
        <f t="shared" si="898"/>
        <v>2.8914298666344873E-2</v>
      </c>
      <c r="H413" s="390">
        <f t="shared" si="898"/>
        <v>1.6984278800129093E-2</v>
      </c>
      <c r="I413" s="390">
        <f t="shared" si="898"/>
        <v>-3.6989423259765952E-2</v>
      </c>
      <c r="J413" s="390">
        <f t="shared" si="898"/>
        <v>-2.5451501649657704E-2</v>
      </c>
      <c r="K413" s="390">
        <f t="shared" si="898"/>
        <v>-3.1152455138661939E-2</v>
      </c>
      <c r="L413" s="390">
        <f t="shared" si="898"/>
        <v>-0.11949488400840969</v>
      </c>
      <c r="M413" s="390">
        <f t="shared" si="898"/>
        <v>8.568011689229782E-2</v>
      </c>
      <c r="N413" s="390">
        <f t="shared" si="898"/>
        <v>-1.3489079516891267E-2</v>
      </c>
      <c r="O413" s="390">
        <f t="shared" si="898"/>
        <v>4.0570823582019466E-2</v>
      </c>
      <c r="P413" s="390">
        <f t="shared" si="898"/>
        <v>-2.1226561620671935E-2</v>
      </c>
      <c r="Q413" s="390">
        <f t="shared" si="898"/>
        <v>-2.2642187562740501E-2</v>
      </c>
      <c r="R413" s="390">
        <f t="shared" si="898"/>
        <v>2.484620502979884E-2</v>
      </c>
      <c r="S413" s="390">
        <f t="shared" si="898"/>
        <v>4.5936447925830626E-2</v>
      </c>
      <c r="T413" s="390">
        <f t="shared" si="898"/>
        <v>7.1156714667899967E-2</v>
      </c>
      <c r="U413" s="390">
        <f t="shared" si="898"/>
        <v>5.3262481463173472E-2</v>
      </c>
      <c r="V413" s="390">
        <f t="shared" si="898"/>
        <v>4.2478000703977559E-2</v>
      </c>
      <c r="W413" s="390">
        <f t="shared" si="898"/>
        <v>4.2377029253666931E-2</v>
      </c>
      <c r="X413" s="390">
        <f>(X412/W412-1)</f>
        <v>3.1710294730426414E-2</v>
      </c>
      <c r="Y413" s="390">
        <f>(Y412/X412-1)</f>
        <v>3.1657727696584814E-2</v>
      </c>
      <c r="Z413" s="390">
        <f>(Z412/Y412-1)</f>
        <v>3.1606858216713274E-2</v>
      </c>
      <c r="AA413" s="390">
        <f>(AA412/Z412-1)</f>
        <v>3.1557626535646532E-2</v>
      </c>
      <c r="AB413" s="390">
        <f>(AB412/AA412-1)</f>
        <v>3.1509975299080173E-2</v>
      </c>
      <c r="AD413" s="416"/>
      <c r="AE413" s="416"/>
      <c r="AF413" s="416"/>
      <c r="AG413" s="416"/>
      <c r="AH413" s="416"/>
      <c r="AI413" s="416"/>
      <c r="AJ413" s="416"/>
      <c r="AK413" s="416"/>
      <c r="AL413" s="416"/>
      <c r="AM413" s="416"/>
      <c r="AN413" s="416"/>
      <c r="AO413" s="416"/>
      <c r="AP413" s="416"/>
      <c r="AQ413" s="416"/>
      <c r="AR413" s="416"/>
      <c r="AS413" s="416"/>
      <c r="AT413" s="416"/>
      <c r="AU413" s="416"/>
      <c r="AV413" s="416"/>
      <c r="AW413" s="416"/>
      <c r="AX413" s="416"/>
      <c r="AY413" s="416"/>
      <c r="AZ413" s="416"/>
      <c r="BA413" s="416"/>
      <c r="BB413" s="416"/>
      <c r="BC413" s="416"/>
      <c r="BD413" s="416"/>
      <c r="BE413" s="416"/>
      <c r="BF413" s="416"/>
      <c r="BG413" s="416"/>
      <c r="BH413" s="416"/>
      <c r="BI413" s="416"/>
      <c r="BJ413" s="416"/>
      <c r="BK413" s="416"/>
      <c r="BL413" s="416"/>
      <c r="BM413" s="416"/>
      <c r="BN413" s="631" t="s">
        <v>269</v>
      </c>
      <c r="BO413" s="631" t="s">
        <v>269</v>
      </c>
      <c r="BP413" s="631" t="s">
        <v>269</v>
      </c>
      <c r="BQ413" s="631" t="s">
        <v>269</v>
      </c>
      <c r="BR413" s="390">
        <f t="shared" ref="BR413:CK413" si="899">BR412/BN412-1</f>
        <v>-1.3259811409657041E-2</v>
      </c>
      <c r="BS413" s="390">
        <f t="shared" si="899"/>
        <v>-2.5812578043552858E-2</v>
      </c>
      <c r="BT413" s="390">
        <f t="shared" si="899"/>
        <v>-5.1313529559619986E-2</v>
      </c>
      <c r="BU413" s="390">
        <f t="shared" si="899"/>
        <v>-3.4591193592901859E-2</v>
      </c>
      <c r="BV413" s="390">
        <f t="shared" si="899"/>
        <v>-0.17656769891059731</v>
      </c>
      <c r="BW413" s="632">
        <f t="shared" si="899"/>
        <v>-6.411116577625775E-2</v>
      </c>
      <c r="BX413" s="632">
        <f t="shared" si="899"/>
        <v>-4.6595499857920553E-2</v>
      </c>
      <c r="BY413" s="632">
        <f t="shared" si="899"/>
        <v>-0.15271677638250392</v>
      </c>
      <c r="BZ413" s="632">
        <f t="shared" si="899"/>
        <v>1.0481995167648028E-2</v>
      </c>
      <c r="CA413" s="632">
        <f t="shared" si="899"/>
        <v>-5.0230691317846743E-2</v>
      </c>
      <c r="CB413" s="632">
        <f t="shared" si="899"/>
        <v>-4.3325093325593755E-2</v>
      </c>
      <c r="CC413" s="632">
        <f t="shared" si="899"/>
        <v>0.126462762309697</v>
      </c>
      <c r="CD413" s="632">
        <f t="shared" si="899"/>
        <v>7.3573723232154276E-3</v>
      </c>
      <c r="CE413" s="632">
        <f t="shared" si="899"/>
        <v>6.0726709698176062E-2</v>
      </c>
      <c r="CF413" s="632">
        <f t="shared" si="899"/>
        <v>9.880874636881587E-2</v>
      </c>
      <c r="CG413" s="632">
        <f t="shared" si="899"/>
        <v>-2.6504031245399573E-2</v>
      </c>
      <c r="CH413" s="632">
        <f t="shared" si="899"/>
        <v>8.1224249558563777E-2</v>
      </c>
      <c r="CI413" s="632">
        <f t="shared" si="899"/>
        <v>-1.6728724839457976E-2</v>
      </c>
      <c r="CJ413" s="632">
        <f t="shared" si="899"/>
        <v>-3.1855106722495696E-2</v>
      </c>
      <c r="CK413" s="632">
        <f t="shared" si="899"/>
        <v>-2.4243649914789445E-2</v>
      </c>
      <c r="CL413" s="632">
        <f t="shared" ref="CL413:DE413" si="900">+CL412/CH412-1</f>
        <v>-2.8780063880453621E-3</v>
      </c>
      <c r="CM413" s="632">
        <f t="shared" si="900"/>
        <v>1.8412615078843952E-2</v>
      </c>
      <c r="CN413" s="632">
        <f t="shared" si="900"/>
        <v>2.5799793601650745E-3</v>
      </c>
      <c r="CO413" s="632">
        <f t="shared" si="900"/>
        <v>2.7339013896086506E-2</v>
      </c>
      <c r="CP413" s="632">
        <f t="shared" si="900"/>
        <v>-1.4156987558388012E-3</v>
      </c>
      <c r="CQ413" s="632">
        <f t="shared" si="900"/>
        <v>-9.2478208162558584E-3</v>
      </c>
      <c r="CR413" s="632">
        <f t="shared" si="900"/>
        <v>6.1576354679802048E-3</v>
      </c>
      <c r="CS413" s="632">
        <f t="shared" si="900"/>
        <v>3.1489332769983225E-2</v>
      </c>
      <c r="CT413" s="632">
        <f t="shared" si="900"/>
        <v>6.7184516164109365E-3</v>
      </c>
      <c r="CU413" s="632">
        <f t="shared" si="900"/>
        <v>1.840763761570452E-2</v>
      </c>
      <c r="CV413" s="632">
        <f t="shared" si="900"/>
        <v>3.2199484717445825E-2</v>
      </c>
      <c r="CW413" s="632">
        <f t="shared" si="900"/>
        <v>1.7293081422712353E-2</v>
      </c>
      <c r="CX413" s="632">
        <f t="shared" si="900"/>
        <v>4.1374997257027646E-2</v>
      </c>
      <c r="CY413" s="632">
        <f t="shared" si="900"/>
        <v>4.7131814462435306E-2</v>
      </c>
      <c r="CZ413" s="632">
        <f t="shared" si="900"/>
        <v>4.1966142395035488E-2</v>
      </c>
      <c r="DA413" s="632">
        <f t="shared" si="900"/>
        <v>5.4008782370618569E-2</v>
      </c>
      <c r="DB413" s="632">
        <f t="shared" si="900"/>
        <v>2.6701674767431349E-2</v>
      </c>
      <c r="DC413" s="632">
        <f t="shared" si="900"/>
        <v>7.0831169794525639E-2</v>
      </c>
      <c r="DD413" s="632">
        <f t="shared" si="900"/>
        <v>6.3296308240102794E-2</v>
      </c>
      <c r="DE413" s="632">
        <f t="shared" si="900"/>
        <v>0.1169454351341106</v>
      </c>
      <c r="DF413" s="632">
        <f t="shared" ref="DF413" si="901">+DF412/DB412-1</f>
        <v>0.10522700233474414</v>
      </c>
      <c r="DG413" s="632">
        <f t="shared" ref="DG413" si="902">+DG412/DC412-1</f>
        <v>5.1934136074224702E-2</v>
      </c>
      <c r="DH413" s="632">
        <f t="shared" ref="DH413" si="903">+DH412/DD412-1</f>
        <v>5.6588451298787534E-2</v>
      </c>
      <c r="DI413" s="632">
        <f t="shared" ref="DI413" si="904">+DI412/DE412-1</f>
        <v>1.0231363315788E-2</v>
      </c>
    </row>
    <row r="414" spans="1:113">
      <c r="A414" s="958"/>
      <c r="AD414" s="416"/>
      <c r="AE414" s="416"/>
      <c r="AF414" s="416"/>
      <c r="AG414" s="416"/>
      <c r="AH414" s="416"/>
      <c r="AI414" s="416"/>
      <c r="AJ414" s="416"/>
      <c r="AK414" s="416"/>
      <c r="AL414" s="416"/>
      <c r="AM414" s="416"/>
      <c r="AN414" s="416"/>
      <c r="AO414" s="416"/>
      <c r="AP414" s="416"/>
      <c r="AQ414" s="416"/>
      <c r="AR414" s="416"/>
      <c r="AS414" s="416"/>
      <c r="AT414" s="416"/>
      <c r="AU414" s="416"/>
      <c r="AV414" s="416"/>
      <c r="AW414" s="416"/>
      <c r="AX414" s="416"/>
      <c r="AY414" s="416"/>
      <c r="AZ414" s="416"/>
      <c r="BA414" s="416"/>
      <c r="BB414" s="416"/>
      <c r="BC414" s="416"/>
      <c r="BD414" s="416"/>
      <c r="BE414" s="416"/>
      <c r="BF414" s="416"/>
      <c r="BG414" s="416"/>
      <c r="BH414" s="416"/>
      <c r="BI414" s="416"/>
      <c r="BJ414" s="416"/>
      <c r="BK414" s="416"/>
      <c r="BL414" s="416"/>
      <c r="BM414" s="416"/>
      <c r="BN414" s="631"/>
      <c r="BO414" s="631"/>
      <c r="BP414" s="631"/>
      <c r="BQ414" s="631"/>
      <c r="BR414" s="390"/>
      <c r="BS414" s="390"/>
      <c r="BT414" s="390"/>
      <c r="BU414" s="390"/>
      <c r="BV414" s="390"/>
      <c r="BW414" s="632"/>
      <c r="BX414" s="632"/>
      <c r="BY414" s="632"/>
      <c r="BZ414" s="390"/>
      <c r="CA414" s="390"/>
      <c r="CB414" s="632"/>
      <c r="CC414" s="632"/>
      <c r="CD414" s="390"/>
      <c r="CE414" s="390"/>
      <c r="CF414" s="390"/>
      <c r="CG414" s="632"/>
      <c r="CH414" s="632"/>
      <c r="CI414" s="632"/>
      <c r="CJ414" s="632"/>
      <c r="CK414" s="632"/>
      <c r="CL414" s="632"/>
      <c r="CM414" s="632"/>
      <c r="CN414" s="632"/>
      <c r="CO414" s="632"/>
      <c r="CP414" s="632"/>
      <c r="CQ414" s="632"/>
      <c r="CR414" s="632"/>
      <c r="CS414" s="632"/>
      <c r="CT414" s="632"/>
      <c r="CU414" s="632"/>
      <c r="CV414" s="632"/>
      <c r="CW414" s="632"/>
      <c r="CX414" s="632"/>
      <c r="CY414" s="632"/>
      <c r="CZ414" s="632"/>
      <c r="DA414" s="632"/>
      <c r="DB414" s="632"/>
      <c r="DC414" s="632"/>
      <c r="DD414" s="632"/>
      <c r="DE414" s="632"/>
      <c r="DF414" s="632"/>
      <c r="DG414" s="632"/>
      <c r="DH414" s="632"/>
      <c r="DI414" s="632"/>
    </row>
    <row r="415" spans="1:113">
      <c r="A415" s="958" t="s">
        <v>270</v>
      </c>
      <c r="B415" s="634">
        <v>0.29699497269709962</v>
      </c>
      <c r="C415" s="634">
        <v>0.32966441969378063</v>
      </c>
      <c r="D415" s="634">
        <v>0.34449931858000071</v>
      </c>
      <c r="E415" s="634">
        <v>0.35138930495160076</v>
      </c>
      <c r="F415" s="634">
        <v>0.35929556431301174</v>
      </c>
      <c r="G415" s="634">
        <v>0.36737971451005447</v>
      </c>
      <c r="H415" s="634">
        <v>0.4356756756756755</v>
      </c>
      <c r="I415" s="634">
        <v>0.42128022759601724</v>
      </c>
      <c r="J415" s="634">
        <v>0.42091640115308743</v>
      </c>
      <c r="K415" s="634">
        <f>J415*1.01-K411</f>
        <v>0.3812505651646183</v>
      </c>
      <c r="L415" s="634">
        <v>0.34225995477847238</v>
      </c>
      <c r="M415" s="634">
        <v>0.33</v>
      </c>
      <c r="N415" s="634">
        <v>0.31038360686087679</v>
      </c>
      <c r="O415" s="634">
        <v>0.30140648494453248</v>
      </c>
      <c r="P415" s="371">
        <f>+O415</f>
        <v>0.30140648494453248</v>
      </c>
      <c r="Q415" s="371">
        <f>+P415</f>
        <v>0.30140648494453248</v>
      </c>
      <c r="R415" s="371">
        <f>+Q415</f>
        <v>0.30140648494453248</v>
      </c>
      <c r="S415" s="371">
        <f>+R415</f>
        <v>0.30140648494453248</v>
      </c>
      <c r="T415" s="371">
        <f>+S415</f>
        <v>0.30140648494453248</v>
      </c>
      <c r="U415" s="371">
        <f t="shared" ref="U415:AB415" si="905">T415*(1+U416)</f>
        <v>0.30140648494453248</v>
      </c>
      <c r="V415" s="371">
        <f t="shared" si="905"/>
        <v>0.30140648494453248</v>
      </c>
      <c r="W415" s="371">
        <f t="shared" si="905"/>
        <v>0.30140648494453248</v>
      </c>
      <c r="X415" s="371">
        <f t="shared" si="905"/>
        <v>0.30140648494453248</v>
      </c>
      <c r="Y415" s="371">
        <f t="shared" si="905"/>
        <v>0.30140648494453248</v>
      </c>
      <c r="Z415" s="371">
        <f t="shared" si="905"/>
        <v>0.30140648494453248</v>
      </c>
      <c r="AA415" s="371">
        <f t="shared" si="905"/>
        <v>0.30140648494453248</v>
      </c>
      <c r="AB415" s="371">
        <f t="shared" si="905"/>
        <v>0.30140648494453248</v>
      </c>
      <c r="AD415" s="416"/>
      <c r="AE415" s="416"/>
      <c r="AF415" s="416"/>
      <c r="AG415" s="416"/>
      <c r="AH415" s="416"/>
      <c r="AI415" s="416"/>
      <c r="AJ415" s="416"/>
      <c r="AK415" s="416"/>
      <c r="AL415" s="416"/>
      <c r="AM415" s="416"/>
      <c r="AN415" s="416"/>
      <c r="AO415" s="416"/>
      <c r="AP415" s="416"/>
      <c r="AQ415" s="416"/>
      <c r="AR415" s="416"/>
      <c r="AS415" s="416"/>
      <c r="AT415" s="416"/>
      <c r="AU415" s="416"/>
      <c r="AV415" s="416"/>
      <c r="AW415" s="416"/>
      <c r="AX415" s="416"/>
      <c r="AY415" s="416"/>
      <c r="AZ415" s="416"/>
      <c r="BA415" s="416"/>
      <c r="BB415" s="416"/>
      <c r="BC415" s="416"/>
      <c r="BD415" s="416"/>
      <c r="BE415" s="416"/>
      <c r="BF415" s="416"/>
      <c r="BG415" s="416"/>
      <c r="BH415" s="416"/>
      <c r="BI415" s="416"/>
      <c r="BJ415" s="416"/>
      <c r="BK415" s="416"/>
      <c r="BL415" s="416"/>
      <c r="BM415" s="416"/>
      <c r="BN415" s="634">
        <v>0.43136597938144322</v>
      </c>
      <c r="BO415" s="634">
        <v>0.409140670982931</v>
      </c>
      <c r="BP415" s="634">
        <v>0.41707627118644075</v>
      </c>
      <c r="BQ415" s="634">
        <v>0.42691943127962195</v>
      </c>
      <c r="BR415" s="634">
        <v>0.39477415572232688</v>
      </c>
      <c r="BS415" s="634">
        <v>0.36839244186046505</v>
      </c>
      <c r="BT415" s="634">
        <v>0.37941790479078263</v>
      </c>
      <c r="BU415" s="634">
        <v>0.38341690778966281</v>
      </c>
      <c r="BV415" s="634">
        <f>$K415*1.01</f>
        <v>0.38506307081626451</v>
      </c>
      <c r="BW415" s="634">
        <f>BV415*0.85</f>
        <v>0.32730361019382481</v>
      </c>
      <c r="BX415" s="634">
        <v>0.33</v>
      </c>
      <c r="BY415" s="634">
        <f>BX415</f>
        <v>0.33</v>
      </c>
      <c r="BZ415" s="634">
        <v>0.33</v>
      </c>
      <c r="CA415" s="634">
        <v>0.33</v>
      </c>
      <c r="CB415" s="634">
        <f>CA415</f>
        <v>0.33</v>
      </c>
      <c r="CC415" s="634">
        <f>CB415</f>
        <v>0.33</v>
      </c>
      <c r="CD415" s="634">
        <v>0.31350000000000011</v>
      </c>
      <c r="CE415" s="634">
        <v>0.31350000000000011</v>
      </c>
      <c r="CF415" s="634">
        <v>0.31350000000000011</v>
      </c>
      <c r="CG415" s="371">
        <v>0.30140648494453248</v>
      </c>
      <c r="CH415" s="635">
        <v>0.30140648494453248</v>
      </c>
      <c r="CI415" s="635">
        <v>0.30140648494453248</v>
      </c>
      <c r="CJ415" s="635">
        <v>0.30140648494453248</v>
      </c>
      <c r="CK415" s="635">
        <v>0.30140648494453248</v>
      </c>
      <c r="CL415" s="634">
        <v>0.3</v>
      </c>
      <c r="CM415" s="634">
        <v>0.3</v>
      </c>
      <c r="CN415" s="634">
        <v>0.3</v>
      </c>
      <c r="CO415" s="634">
        <v>0.3</v>
      </c>
      <c r="CP415" s="634">
        <v>0.3</v>
      </c>
      <c r="CQ415" s="634">
        <v>0.3</v>
      </c>
      <c r="CR415" s="634">
        <v>0.3</v>
      </c>
      <c r="CS415" s="634">
        <v>0.3</v>
      </c>
      <c r="CT415" s="371">
        <f>+CS415</f>
        <v>0.3</v>
      </c>
      <c r="CU415" s="371">
        <f>+CT415</f>
        <v>0.3</v>
      </c>
      <c r="CV415" s="371">
        <f>+CU415</f>
        <v>0.3</v>
      </c>
      <c r="CW415" s="371">
        <f>+CV415</f>
        <v>0.3</v>
      </c>
      <c r="CX415" s="371">
        <f t="shared" ref="CX415:DE415" si="906">+CT415</f>
        <v>0.3</v>
      </c>
      <c r="CY415" s="371">
        <f t="shared" si="906"/>
        <v>0.3</v>
      </c>
      <c r="CZ415" s="371">
        <f t="shared" si="906"/>
        <v>0.3</v>
      </c>
      <c r="DA415" s="371">
        <f t="shared" si="906"/>
        <v>0.3</v>
      </c>
      <c r="DB415" s="371">
        <f t="shared" si="906"/>
        <v>0.3</v>
      </c>
      <c r="DC415" s="371">
        <f t="shared" si="906"/>
        <v>0.3</v>
      </c>
      <c r="DD415" s="371">
        <f t="shared" si="906"/>
        <v>0.3</v>
      </c>
      <c r="DE415" s="371">
        <f t="shared" si="906"/>
        <v>0.3</v>
      </c>
      <c r="DF415" s="371">
        <f>+U415</f>
        <v>0.30140648494453248</v>
      </c>
      <c r="DG415" s="371">
        <f>+U415</f>
        <v>0.30140648494453248</v>
      </c>
      <c r="DH415" s="371">
        <f>+U415</f>
        <v>0.30140648494453248</v>
      </c>
      <c r="DI415" s="371">
        <f>+U415</f>
        <v>0.30140648494453248</v>
      </c>
    </row>
    <row r="416" spans="1:113">
      <c r="A416" s="958" t="s">
        <v>271</v>
      </c>
      <c r="B416" s="390"/>
      <c r="C416" s="390">
        <f t="shared" ref="C416:T416" si="907">(C415/B415-1)</f>
        <v>0.1100000000000001</v>
      </c>
      <c r="D416" s="390">
        <f t="shared" si="907"/>
        <v>4.4999999999999929E-2</v>
      </c>
      <c r="E416" s="390">
        <f t="shared" si="907"/>
        <v>2.0000000000000018E-2</v>
      </c>
      <c r="F416" s="390">
        <f t="shared" si="907"/>
        <v>2.2499999999999964E-2</v>
      </c>
      <c r="G416" s="390">
        <f t="shared" si="907"/>
        <v>2.2499999999999964E-2</v>
      </c>
      <c r="H416" s="390">
        <f t="shared" si="907"/>
        <v>0.18590019663089463</v>
      </c>
      <c r="I416" s="390">
        <f t="shared" si="907"/>
        <v>-3.3041661225022056E-2</v>
      </c>
      <c r="J416" s="390">
        <f t="shared" si="907"/>
        <v>-8.6362097980707819E-4</v>
      </c>
      <c r="K416" s="390">
        <f t="shared" si="907"/>
        <v>-9.4236850547533391E-2</v>
      </c>
      <c r="L416" s="390">
        <f t="shared" si="907"/>
        <v>-0.10227030186646513</v>
      </c>
      <c r="M416" s="390">
        <f t="shared" si="907"/>
        <v>-3.5820593695828684E-2</v>
      </c>
      <c r="N416" s="390">
        <f t="shared" si="907"/>
        <v>-5.9443615573100628E-2</v>
      </c>
      <c r="O416" s="390">
        <f t="shared" si="907"/>
        <v>-2.8922667685758685E-2</v>
      </c>
      <c r="P416" s="390">
        <f t="shared" si="907"/>
        <v>0</v>
      </c>
      <c r="Q416" s="390">
        <f t="shared" si="907"/>
        <v>0</v>
      </c>
      <c r="R416" s="390">
        <f t="shared" si="907"/>
        <v>0</v>
      </c>
      <c r="S416" s="390">
        <f t="shared" si="907"/>
        <v>0</v>
      </c>
      <c r="T416" s="390">
        <f t="shared" si="907"/>
        <v>0</v>
      </c>
      <c r="U416" s="825">
        <v>0</v>
      </c>
      <c r="V416" s="825">
        <v>0</v>
      </c>
      <c r="W416" s="825">
        <v>0</v>
      </c>
      <c r="X416" s="825">
        <v>0</v>
      </c>
      <c r="Y416" s="825">
        <v>0</v>
      </c>
      <c r="Z416" s="825">
        <v>0</v>
      </c>
      <c r="AA416" s="825">
        <v>0</v>
      </c>
      <c r="AB416" s="825">
        <v>0</v>
      </c>
      <c r="AD416" s="416"/>
      <c r="AE416" s="416"/>
      <c r="AF416" s="416"/>
      <c r="AG416" s="416"/>
      <c r="AH416" s="416"/>
      <c r="AI416" s="416"/>
      <c r="AJ416" s="416"/>
      <c r="AK416" s="416"/>
      <c r="AL416" s="416"/>
      <c r="AM416" s="416"/>
      <c r="AN416" s="416"/>
      <c r="AO416" s="416"/>
      <c r="AP416" s="416"/>
      <c r="AQ416" s="416"/>
      <c r="AR416" s="416"/>
      <c r="AS416" s="416"/>
      <c r="AT416" s="416"/>
      <c r="AU416" s="416"/>
      <c r="AV416" s="416"/>
      <c r="AW416" s="416"/>
      <c r="AX416" s="416"/>
      <c r="AY416" s="416"/>
      <c r="AZ416" s="416"/>
      <c r="BA416" s="416"/>
      <c r="BB416" s="416"/>
      <c r="BC416" s="416"/>
      <c r="BD416" s="416"/>
      <c r="BE416" s="416"/>
      <c r="BF416" s="416"/>
      <c r="BG416" s="416"/>
      <c r="BH416" s="416"/>
      <c r="BI416" s="416"/>
      <c r="BJ416" s="416"/>
      <c r="BK416" s="416"/>
      <c r="BL416" s="416"/>
      <c r="BM416" s="416"/>
      <c r="BN416" s="631" t="s">
        <v>269</v>
      </c>
      <c r="BO416" s="631" t="s">
        <v>269</v>
      </c>
      <c r="BP416" s="631" t="s">
        <v>269</v>
      </c>
      <c r="BQ416" s="631" t="s">
        <v>269</v>
      </c>
      <c r="BR416" s="390">
        <f t="shared" ref="BR416:CK416" si="908">BR415/BN415-1</f>
        <v>-8.4827792195358409E-2</v>
      </c>
      <c r="BS416" s="390">
        <f t="shared" si="908"/>
        <v>-9.9594667586019425E-2</v>
      </c>
      <c r="BT416" s="390">
        <f t="shared" si="908"/>
        <v>-9.0291318392515585E-2</v>
      </c>
      <c r="BU416" s="390">
        <f t="shared" si="908"/>
        <v>-0.10189867291719978</v>
      </c>
      <c r="BV416" s="390">
        <f t="shared" si="908"/>
        <v>-2.4599089796782159E-2</v>
      </c>
      <c r="BW416" s="632">
        <f t="shared" si="908"/>
        <v>-0.11153549041107458</v>
      </c>
      <c r="BX416" s="632">
        <f t="shared" si="908"/>
        <v>-0.13024663350569199</v>
      </c>
      <c r="BY416" s="632">
        <f t="shared" si="908"/>
        <v>-0.13931808093076214</v>
      </c>
      <c r="BZ416" s="390">
        <f t="shared" si="908"/>
        <v>-0.14299753725939146</v>
      </c>
      <c r="CA416" s="390">
        <f t="shared" si="908"/>
        <v>8.2381914595395234E-3</v>
      </c>
      <c r="CB416" s="632">
        <f t="shared" si="908"/>
        <v>0</v>
      </c>
      <c r="CC416" s="632">
        <f t="shared" si="908"/>
        <v>0</v>
      </c>
      <c r="CD416" s="390">
        <f t="shared" si="908"/>
        <v>-4.9999999999999711E-2</v>
      </c>
      <c r="CE416" s="390">
        <f t="shared" si="908"/>
        <v>-4.9999999999999711E-2</v>
      </c>
      <c r="CF416" s="390">
        <f t="shared" si="908"/>
        <v>-4.9999999999999711E-2</v>
      </c>
      <c r="CG416" s="632">
        <f t="shared" si="908"/>
        <v>-8.6647015319598619E-2</v>
      </c>
      <c r="CH416" s="632">
        <f t="shared" si="908"/>
        <v>-3.8575805599577739E-2</v>
      </c>
      <c r="CI416" s="632">
        <f t="shared" si="908"/>
        <v>-3.8575805599577739E-2</v>
      </c>
      <c r="CJ416" s="632">
        <f t="shared" si="908"/>
        <v>-3.8575805599577739E-2</v>
      </c>
      <c r="CK416" s="632">
        <f t="shared" si="908"/>
        <v>0</v>
      </c>
      <c r="CL416" s="632">
        <f t="shared" ref="CL416:DE416" si="909">+CL415/CH415-1</f>
        <v>-4.666405717154154E-3</v>
      </c>
      <c r="CM416" s="632">
        <f t="shared" si="909"/>
        <v>-4.666405717154154E-3</v>
      </c>
      <c r="CN416" s="632">
        <f t="shared" si="909"/>
        <v>-4.666405717154154E-3</v>
      </c>
      <c r="CO416" s="632">
        <f t="shared" si="909"/>
        <v>-4.666405717154154E-3</v>
      </c>
      <c r="CP416" s="632">
        <f t="shared" si="909"/>
        <v>0</v>
      </c>
      <c r="CQ416" s="632">
        <f t="shared" si="909"/>
        <v>0</v>
      </c>
      <c r="CR416" s="632">
        <f t="shared" si="909"/>
        <v>0</v>
      </c>
      <c r="CS416" s="632">
        <f t="shared" si="909"/>
        <v>0</v>
      </c>
      <c r="CT416" s="632">
        <f t="shared" si="909"/>
        <v>0</v>
      </c>
      <c r="CU416" s="632">
        <f t="shared" si="909"/>
        <v>0</v>
      </c>
      <c r="CV416" s="632">
        <f t="shared" si="909"/>
        <v>0</v>
      </c>
      <c r="CW416" s="632">
        <f t="shared" si="909"/>
        <v>0</v>
      </c>
      <c r="CX416" s="632">
        <f t="shared" si="909"/>
        <v>0</v>
      </c>
      <c r="CY416" s="632">
        <f t="shared" si="909"/>
        <v>0</v>
      </c>
      <c r="CZ416" s="632">
        <f t="shared" si="909"/>
        <v>0</v>
      </c>
      <c r="DA416" s="632">
        <f t="shared" si="909"/>
        <v>0</v>
      </c>
      <c r="DB416" s="632">
        <f t="shared" si="909"/>
        <v>0</v>
      </c>
      <c r="DC416" s="632">
        <f t="shared" si="909"/>
        <v>0</v>
      </c>
      <c r="DD416" s="632">
        <f t="shared" si="909"/>
        <v>0</v>
      </c>
      <c r="DE416" s="632">
        <f t="shared" si="909"/>
        <v>0</v>
      </c>
      <c r="DF416" s="632">
        <f t="shared" ref="DF416" si="910">+DF415/DB415-1</f>
        <v>4.6882831484416077E-3</v>
      </c>
      <c r="DG416" s="632">
        <f t="shared" ref="DG416" si="911">+DG415/DC415-1</f>
        <v>4.6882831484416077E-3</v>
      </c>
      <c r="DH416" s="632">
        <f t="shared" ref="DH416" si="912">+DH415/DD415-1</f>
        <v>4.6882831484416077E-3</v>
      </c>
      <c r="DI416" s="632">
        <f t="shared" ref="DI416" si="913">+DI415/DE415-1</f>
        <v>4.6882831484416077E-3</v>
      </c>
    </row>
    <row r="417" spans="1:113">
      <c r="A417" s="958"/>
      <c r="AD417" s="416"/>
      <c r="AE417" s="416"/>
      <c r="AF417" s="416"/>
      <c r="AG417" s="416"/>
      <c r="AH417" s="416"/>
      <c r="AI417" s="416"/>
      <c r="AJ417" s="416"/>
      <c r="AK417" s="416"/>
      <c r="AL417" s="416"/>
      <c r="AM417" s="416"/>
      <c r="AN417" s="416"/>
      <c r="AO417" s="416"/>
      <c r="AP417" s="416"/>
      <c r="AQ417" s="416"/>
      <c r="AR417" s="416"/>
      <c r="AS417" s="416"/>
      <c r="AT417" s="416"/>
      <c r="AU417" s="416"/>
      <c r="AV417" s="416"/>
      <c r="AW417" s="416"/>
      <c r="AX417" s="416"/>
      <c r="AY417" s="416"/>
      <c r="AZ417" s="416"/>
      <c r="BA417" s="416"/>
      <c r="BB417" s="416"/>
      <c r="BC417" s="416"/>
      <c r="BD417" s="416"/>
      <c r="BE417" s="416"/>
      <c r="BF417" s="416"/>
      <c r="BG417" s="416"/>
      <c r="BH417" s="416"/>
      <c r="BI417" s="416"/>
      <c r="BJ417" s="416"/>
      <c r="BK417" s="416"/>
      <c r="BL417" s="416"/>
      <c r="BM417" s="416"/>
      <c r="BN417" s="631"/>
      <c r="BO417" s="631"/>
      <c r="BP417" s="631"/>
      <c r="BQ417" s="631"/>
      <c r="BR417" s="390"/>
      <c r="BS417" s="390"/>
      <c r="BT417" s="390"/>
      <c r="BU417" s="390"/>
      <c r="BV417" s="390"/>
      <c r="BW417" s="632"/>
      <c r="BX417" s="632"/>
      <c r="BY417" s="632"/>
      <c r="BZ417" s="390"/>
      <c r="CA417" s="390"/>
      <c r="CB417" s="632"/>
      <c r="CC417" s="632"/>
      <c r="CD417" s="390"/>
      <c r="CE417" s="390"/>
      <c r="CF417" s="390"/>
      <c r="CG417" s="632"/>
      <c r="CH417" s="632"/>
      <c r="CI417" s="632"/>
      <c r="CJ417" s="632"/>
      <c r="CK417" s="632"/>
      <c r="CL417" s="632"/>
      <c r="CM417" s="632"/>
      <c r="CN417" s="632"/>
      <c r="CO417" s="632"/>
      <c r="CP417" s="632"/>
      <c r="CQ417" s="632"/>
      <c r="CR417" s="632"/>
      <c r="CS417" s="632"/>
      <c r="CT417" s="632"/>
      <c r="CU417" s="632"/>
      <c r="CV417" s="632"/>
      <c r="CW417" s="632"/>
      <c r="CX417" s="632"/>
      <c r="CY417" s="632"/>
      <c r="CZ417" s="632"/>
      <c r="DA417" s="632"/>
      <c r="DB417" s="632"/>
      <c r="DC417" s="632"/>
      <c r="DD417" s="632"/>
      <c r="DE417" s="632"/>
      <c r="DF417" s="632"/>
      <c r="DG417" s="632"/>
      <c r="DH417" s="632"/>
      <c r="DI417" s="632"/>
    </row>
    <row r="418" spans="1:113">
      <c r="A418" s="392" t="s">
        <v>545</v>
      </c>
      <c r="B418" s="636">
        <v>1.7672414508071177</v>
      </c>
      <c r="C418" s="636">
        <v>1.7927017916469161</v>
      </c>
      <c r="D418" s="636">
        <v>1.8742281047012155</v>
      </c>
      <c r="E418" s="636">
        <v>1.9275691390463381</v>
      </c>
      <c r="F418" s="636">
        <v>2.0293562579977196</v>
      </c>
      <c r="G418" s="636">
        <v>2.0890696851468924</v>
      </c>
      <c r="H418" s="636">
        <v>2.0617495602110987</v>
      </c>
      <c r="I418" s="636">
        <v>1.9853896001264424</v>
      </c>
      <c r="J418" s="636">
        <v>1.9256167501137915</v>
      </c>
      <c r="K418" s="636">
        <v>1.8496741313452452</v>
      </c>
      <c r="L418" s="316">
        <f t="shared" ref="L418:W418" si="914">+L412-L415</f>
        <v>1.6220806538904484</v>
      </c>
      <c r="M418" s="316">
        <f t="shared" si="914"/>
        <v>1.8026455416359615</v>
      </c>
      <c r="N418" s="316">
        <f t="shared" si="914"/>
        <v>1.7934945094826136</v>
      </c>
      <c r="O418" s="316">
        <f t="shared" si="914"/>
        <v>1.887827699295201</v>
      </c>
      <c r="P418" s="316">
        <f t="shared" si="914"/>
        <v>1.8413577849813549</v>
      </c>
      <c r="Q418" s="316">
        <f t="shared" si="914"/>
        <v>1.7928409144789543</v>
      </c>
      <c r="R418" s="316">
        <f t="shared" si="914"/>
        <v>1.8448750147481534</v>
      </c>
      <c r="S418" s="316">
        <f t="shared" ref="S418:T418" si="915">+S412-S415</f>
        <v>1.9434675630929603</v>
      </c>
      <c r="T418" s="316">
        <f t="shared" si="915"/>
        <v>2.1032054251945378</v>
      </c>
      <c r="U418" s="316">
        <f t="shared" si="914"/>
        <v>2.2312810224844464</v>
      </c>
      <c r="V418" s="316">
        <f t="shared" si="914"/>
        <v>2.3388645242079695</v>
      </c>
      <c r="W418" s="316">
        <f t="shared" si="914"/>
        <v>2.4507513660004339</v>
      </c>
      <c r="X418" s="316">
        <f>+X412-X415</f>
        <v>2.5380231025985558</v>
      </c>
      <c r="Y418" s="316">
        <f>+Y412-Y415</f>
        <v>2.6279129912946213</v>
      </c>
      <c r="Z418" s="316">
        <f>+Z412-Z415</f>
        <v>2.7204995766515689</v>
      </c>
      <c r="AA418" s="316">
        <f>+AA412-AA415</f>
        <v>2.8158637595692251</v>
      </c>
      <c r="AB418" s="316">
        <f>+AB412-AB415</f>
        <v>2.914088867974411</v>
      </c>
      <c r="AD418" s="315"/>
      <c r="AE418" s="315"/>
      <c r="AF418" s="315"/>
      <c r="AG418" s="315"/>
      <c r="AH418" s="315"/>
      <c r="AI418" s="315"/>
      <c r="AJ418" s="315"/>
      <c r="AK418" s="315"/>
      <c r="AL418" s="315"/>
      <c r="AM418" s="315"/>
      <c r="AN418" s="315"/>
      <c r="AO418" s="315"/>
      <c r="AP418" s="315"/>
      <c r="AQ418" s="315"/>
      <c r="AR418" s="315"/>
      <c r="AS418" s="315"/>
      <c r="AT418" s="315"/>
      <c r="AU418" s="315"/>
      <c r="AV418" s="315"/>
      <c r="AW418" s="315"/>
      <c r="AX418" s="315"/>
      <c r="AY418" s="315"/>
      <c r="AZ418" s="315"/>
      <c r="BA418" s="315"/>
      <c r="BB418" s="315"/>
      <c r="BC418" s="315"/>
      <c r="BD418" s="315"/>
      <c r="BE418" s="315"/>
      <c r="BF418" s="315"/>
      <c r="BG418" s="315"/>
      <c r="BH418" s="315"/>
      <c r="BI418" s="315"/>
      <c r="BJ418" s="315"/>
      <c r="BK418" s="315"/>
      <c r="BL418" s="315"/>
      <c r="BM418" s="315"/>
      <c r="BN418" s="316">
        <f t="shared" ref="BN418:CY418" si="916">BN412-BN415</f>
        <v>1.8920270618556703</v>
      </c>
      <c r="BO418" s="316">
        <f t="shared" si="916"/>
        <v>1.895424587992937</v>
      </c>
      <c r="BP418" s="316">
        <f t="shared" si="916"/>
        <v>1.8641092615012109</v>
      </c>
      <c r="BQ418" s="316">
        <f t="shared" si="916"/>
        <v>1.875769549763032</v>
      </c>
      <c r="BR418" s="316">
        <f t="shared" si="916"/>
        <v>1.8978111319574729</v>
      </c>
      <c r="BS418" s="316">
        <f t="shared" si="916"/>
        <v>1.8766860465116277</v>
      </c>
      <c r="BT418" s="316">
        <f t="shared" si="916"/>
        <v>1.7847119466343238</v>
      </c>
      <c r="BU418" s="316">
        <f t="shared" si="916"/>
        <v>1.839619312925503</v>
      </c>
      <c r="BV418" s="316">
        <f t="shared" si="916"/>
        <v>1.5027257080616232</v>
      </c>
      <c r="BW418" s="316">
        <f t="shared" si="916"/>
        <v>1.7738402790295345</v>
      </c>
      <c r="BX418" s="316">
        <f t="shared" si="916"/>
        <v>1.7332911392405062</v>
      </c>
      <c r="BY418" s="316">
        <f t="shared" si="916"/>
        <v>1.553541295306001</v>
      </c>
      <c r="BZ418" s="316">
        <f t="shared" si="916"/>
        <v>1.577576571735626</v>
      </c>
      <c r="CA418" s="316">
        <f t="shared" si="916"/>
        <v>1.6656019791094008</v>
      </c>
      <c r="CB418" s="316">
        <f t="shared" si="916"/>
        <v>1.6438988580750407</v>
      </c>
      <c r="CC418" s="316">
        <f t="shared" si="916"/>
        <v>1.7917391304347827</v>
      </c>
      <c r="CD418" s="316">
        <f t="shared" si="916"/>
        <v>1.6081113228089277</v>
      </c>
      <c r="CE418" s="316">
        <f t="shared" si="916"/>
        <v>1.803288321167883</v>
      </c>
      <c r="CF418" s="316">
        <f t="shared" si="916"/>
        <v>1.8554373297002724</v>
      </c>
      <c r="CG418" s="316">
        <f t="shared" si="916"/>
        <v>1.7640980052826198</v>
      </c>
      <c r="CH418" s="316">
        <f t="shared" si="916"/>
        <v>1.7762862755027893</v>
      </c>
      <c r="CI418" s="316">
        <f t="shared" si="916"/>
        <v>1.7799706668551547</v>
      </c>
      <c r="CJ418" s="316">
        <f t="shared" si="916"/>
        <v>1.7984391146437329</v>
      </c>
      <c r="CK418" s="316">
        <f t="shared" si="916"/>
        <v>1.7140226375241272</v>
      </c>
      <c r="CL418" s="316">
        <f t="shared" si="916"/>
        <v>1.7717131474103589</v>
      </c>
      <c r="CM418" s="316">
        <f t="shared" si="916"/>
        <v>1.8197007481296754</v>
      </c>
      <c r="CN418" s="316">
        <f t="shared" si="916"/>
        <v>1.8052631578947367</v>
      </c>
      <c r="CO418" s="316">
        <f t="shared" si="916"/>
        <v>1.770528967254408</v>
      </c>
      <c r="CP418" s="316">
        <f t="shared" si="916"/>
        <v>1.7687802256851153</v>
      </c>
      <c r="CQ418" s="316">
        <f t="shared" si="916"/>
        <v>1.8000981354268888</v>
      </c>
      <c r="CR418" s="316">
        <f t="shared" si="916"/>
        <v>1.8182266009852215</v>
      </c>
      <c r="CS418" s="316">
        <f t="shared" si="916"/>
        <v>1.8357285429141716</v>
      </c>
      <c r="CT418" s="316">
        <f t="shared" si="916"/>
        <v>1.7826792255363684</v>
      </c>
      <c r="CU418" s="316">
        <f t="shared" si="916"/>
        <v>1.8387559808612439</v>
      </c>
      <c r="CV418" s="316">
        <f t="shared" si="916"/>
        <v>1.8864324060517326</v>
      </c>
      <c r="CW418" s="716">
        <f t="shared" si="916"/>
        <v>1.8726618705035973</v>
      </c>
      <c r="CX418" s="316">
        <f t="shared" si="916"/>
        <v>1.868850072780204</v>
      </c>
      <c r="CY418" s="316">
        <f t="shared" si="916"/>
        <v>1.93955943093162</v>
      </c>
      <c r="CZ418" s="316">
        <f t="shared" ref="CZ418:DD418" si="917">CZ412-CZ415</f>
        <v>1.9781885397412198</v>
      </c>
      <c r="DA418" s="316">
        <f t="shared" si="917"/>
        <v>1.990004692632567</v>
      </c>
      <c r="DB418" s="316">
        <f t="shared" si="917"/>
        <v>1.9267620020429008</v>
      </c>
      <c r="DC418" s="316">
        <f t="shared" si="917"/>
        <v>2.0981900452488689</v>
      </c>
      <c r="DD418" s="316">
        <f t="shared" si="917"/>
        <v>2.12238946378175</v>
      </c>
      <c r="DE418" s="316">
        <f t="shared" ref="DE418" si="918">DE412-DE415</f>
        <v>2.2578102878716377</v>
      </c>
      <c r="DF418" s="316">
        <f>+DF412-DF415</f>
        <v>2.159671007486256</v>
      </c>
      <c r="DG418" s="316">
        <f>+DG412-DG415</f>
        <v>2.2213314884461419</v>
      </c>
      <c r="DH418" s="316">
        <f>+DH412-DH415</f>
        <v>2.2580622470351268</v>
      </c>
      <c r="DI418" s="319">
        <f>DI412-DI415</f>
        <v>2.2825736892751802</v>
      </c>
    </row>
    <row r="419" spans="1:113">
      <c r="A419" s="958" t="s">
        <v>271</v>
      </c>
      <c r="B419" s="390"/>
      <c r="C419" s="390">
        <f t="shared" ref="C419:W419" si="919">(C418/B418-1)</f>
        <v>1.4406826428935648E-2</v>
      </c>
      <c r="D419" s="390">
        <f t="shared" si="919"/>
        <v>4.5476784501566669E-2</v>
      </c>
      <c r="E419" s="390">
        <f t="shared" si="919"/>
        <v>2.8460268102545649E-2</v>
      </c>
      <c r="F419" s="390">
        <f t="shared" si="919"/>
        <v>5.2805949674905373E-2</v>
      </c>
      <c r="G419" s="390">
        <f t="shared" si="919"/>
        <v>2.9424812382666365E-2</v>
      </c>
      <c r="H419" s="390">
        <f t="shared" si="919"/>
        <v>-1.3077651324911455E-2</v>
      </c>
      <c r="I419" s="390">
        <f t="shared" si="919"/>
        <v>-3.7036486660794066E-2</v>
      </c>
      <c r="J419" s="390">
        <f t="shared" si="919"/>
        <v>-3.0106357970669406E-2</v>
      </c>
      <c r="K419" s="390">
        <f t="shared" si="919"/>
        <v>-3.9438075496621372E-2</v>
      </c>
      <c r="L419" s="390">
        <f t="shared" si="919"/>
        <v>-0.12304517514621394</v>
      </c>
      <c r="M419" s="390">
        <f t="shared" si="919"/>
        <v>0.11131683699724837</v>
      </c>
      <c r="N419" s="390">
        <f t="shared" si="919"/>
        <v>-5.0764456694259996E-3</v>
      </c>
      <c r="O419" s="390">
        <f t="shared" si="919"/>
        <v>5.2597423250434483E-2</v>
      </c>
      <c r="P419" s="390">
        <f t="shared" si="919"/>
        <v>-2.4615548511760399E-2</v>
      </c>
      <c r="Q419" s="390">
        <f t="shared" si="919"/>
        <v>-2.6348421202070704E-2</v>
      </c>
      <c r="R419" s="390">
        <f t="shared" si="919"/>
        <v>2.9023266843685169E-2</v>
      </c>
      <c r="S419" s="390">
        <f t="shared" si="919"/>
        <v>5.3441315838008707E-2</v>
      </c>
      <c r="T419" s="390">
        <f t="shared" si="919"/>
        <v>8.2192193548813464E-2</v>
      </c>
      <c r="U419" s="390">
        <f t="shared" si="919"/>
        <v>6.0895429307891824E-2</v>
      </c>
      <c r="V419" s="390">
        <f t="shared" si="919"/>
        <v>4.8216025072329582E-2</v>
      </c>
      <c r="W419" s="390">
        <f t="shared" si="919"/>
        <v>4.7838102906090141E-2</v>
      </c>
      <c r="X419" s="390">
        <f>(X418/W418-1)</f>
        <v>3.5610196043896147E-2</v>
      </c>
      <c r="Y419" s="390">
        <f>(Y418/X418-1)</f>
        <v>3.5417285447099323E-2</v>
      </c>
      <c r="Z419" s="390">
        <f>(Z418/Y418-1)</f>
        <v>3.5231982818173746E-2</v>
      </c>
      <c r="AA419" s="390">
        <f>(AA418/Z418-1)</f>
        <v>3.5053923086814764E-2</v>
      </c>
      <c r="AB419" s="390">
        <f>(AB418/AA418-1)</f>
        <v>3.4882763085175794E-2</v>
      </c>
      <c r="AD419" s="416"/>
      <c r="AE419" s="416"/>
      <c r="AF419" s="416"/>
      <c r="AG419" s="416"/>
      <c r="AH419" s="416"/>
      <c r="AI419" s="416"/>
      <c r="AJ419" s="416"/>
      <c r="AK419" s="416"/>
      <c r="AL419" s="416"/>
      <c r="AM419" s="416"/>
      <c r="AN419" s="416"/>
      <c r="AO419" s="416"/>
      <c r="AP419" s="416"/>
      <c r="AQ419" s="416"/>
      <c r="AR419" s="416"/>
      <c r="AS419" s="416"/>
      <c r="AT419" s="416"/>
      <c r="AU419" s="416"/>
      <c r="AV419" s="416"/>
      <c r="AW419" s="416"/>
      <c r="AX419" s="416"/>
      <c r="AY419" s="416"/>
      <c r="AZ419" s="416"/>
      <c r="BA419" s="416"/>
      <c r="BB419" s="416"/>
      <c r="BC419" s="416"/>
      <c r="BD419" s="416"/>
      <c r="BE419" s="416"/>
      <c r="BF419" s="416"/>
      <c r="BG419" s="416"/>
      <c r="BH419" s="416"/>
      <c r="BI419" s="416"/>
      <c r="BJ419" s="416"/>
      <c r="BK419" s="416"/>
      <c r="BL419" s="416"/>
      <c r="BM419" s="416"/>
      <c r="BN419" s="631" t="s">
        <v>269</v>
      </c>
      <c r="BO419" s="631" t="s">
        <v>269</v>
      </c>
      <c r="BP419" s="631" t="s">
        <v>269</v>
      </c>
      <c r="BQ419" s="631" t="s">
        <v>269</v>
      </c>
      <c r="BR419" s="390">
        <f t="shared" ref="BR419:CK419" si="920">BR418/BN418-1</f>
        <v>3.0570757778325408E-3</v>
      </c>
      <c r="BS419" s="390">
        <f t="shared" si="920"/>
        <v>-9.886197319594503E-3</v>
      </c>
      <c r="BT419" s="390">
        <f t="shared" si="920"/>
        <v>-4.2592629362801726E-2</v>
      </c>
      <c r="BU419" s="390">
        <f t="shared" si="920"/>
        <v>-1.9272216484213622E-2</v>
      </c>
      <c r="BV419" s="390">
        <f t="shared" si="920"/>
        <v>-0.20817952705775511</v>
      </c>
      <c r="BW419" s="632">
        <f t="shared" si="920"/>
        <v>-5.4801796855293072E-2</v>
      </c>
      <c r="BX419" s="632">
        <f t="shared" si="920"/>
        <v>-2.8811824502429584E-2</v>
      </c>
      <c r="BY419" s="632">
        <f t="shared" si="920"/>
        <v>-0.15550935762060403</v>
      </c>
      <c r="BZ419" s="632">
        <f t="shared" si="920"/>
        <v>4.9810063987361763E-2</v>
      </c>
      <c r="CA419" s="632">
        <f t="shared" si="920"/>
        <v>-6.1019191637338821E-2</v>
      </c>
      <c r="CB419" s="632">
        <f t="shared" si="920"/>
        <v>-5.1573725349242538E-2</v>
      </c>
      <c r="CC419" s="632">
        <f t="shared" si="920"/>
        <v>0.15332571837548992</v>
      </c>
      <c r="CD419" s="632">
        <f t="shared" si="920"/>
        <v>1.9355479550325461E-2</v>
      </c>
      <c r="CE419" s="632">
        <f t="shared" si="920"/>
        <v>8.2664612425654704E-2</v>
      </c>
      <c r="CF419" s="632">
        <f t="shared" si="920"/>
        <v>0.12868095295895365</v>
      </c>
      <c r="CG419" s="632">
        <f t="shared" si="920"/>
        <v>-1.5426980793490586E-2</v>
      </c>
      <c r="CH419" s="632">
        <f t="shared" si="920"/>
        <v>0.10457917328764665</v>
      </c>
      <c r="CI419" s="632">
        <f t="shared" si="920"/>
        <v>-1.2930630137740096E-2</v>
      </c>
      <c r="CJ419" s="632">
        <f t="shared" si="920"/>
        <v>-3.071955821097283E-2</v>
      </c>
      <c r="CK419" s="632">
        <f t="shared" si="920"/>
        <v>-2.8385819613502838E-2</v>
      </c>
      <c r="CL419" s="632">
        <f t="shared" ref="CL419:DE419" si="921">+CL418/CH418-1</f>
        <v>-2.5745445176824644E-3</v>
      </c>
      <c r="CM419" s="632">
        <f t="shared" si="921"/>
        <v>2.2320638207322663E-2</v>
      </c>
      <c r="CN419" s="632">
        <f t="shared" si="921"/>
        <v>3.7944255078969924E-3</v>
      </c>
      <c r="CO419" s="632">
        <f t="shared" si="921"/>
        <v>3.29670848524517E-2</v>
      </c>
      <c r="CP419" s="632">
        <f t="shared" si="921"/>
        <v>-1.655415680315131E-3</v>
      </c>
      <c r="CQ419" s="632">
        <f t="shared" si="921"/>
        <v>-1.077243756861368E-2</v>
      </c>
      <c r="CR419" s="632">
        <f t="shared" si="921"/>
        <v>7.180915997644588E-3</v>
      </c>
      <c r="CS419" s="632">
        <f t="shared" si="921"/>
        <v>3.6824913269207782E-2</v>
      </c>
      <c r="CT419" s="632">
        <f t="shared" si="921"/>
        <v>7.8579575062072138E-3</v>
      </c>
      <c r="CU419" s="632">
        <f t="shared" si="921"/>
        <v>2.1475409964350378E-2</v>
      </c>
      <c r="CV419" s="632">
        <f t="shared" si="921"/>
        <v>3.7512268839072771E-2</v>
      </c>
      <c r="CW419" s="632">
        <f t="shared" si="921"/>
        <v>2.0119166165382563E-2</v>
      </c>
      <c r="CX419" s="632">
        <f t="shared" si="921"/>
        <v>4.8337831063190118E-2</v>
      </c>
      <c r="CY419" s="632">
        <f t="shared" si="921"/>
        <v>5.4821548437961498E-2</v>
      </c>
      <c r="CZ419" s="632">
        <f t="shared" si="921"/>
        <v>4.8640032579556403E-2</v>
      </c>
      <c r="DA419" s="632">
        <f t="shared" si="921"/>
        <v>6.2660976857190853E-2</v>
      </c>
      <c r="DB419" s="632">
        <f t="shared" si="921"/>
        <v>3.0988001716233837E-2</v>
      </c>
      <c r="DC419" s="632">
        <f t="shared" si="921"/>
        <v>8.178693149972438E-2</v>
      </c>
      <c r="DD419" s="632">
        <f t="shared" si="921"/>
        <v>7.2895440016750968E-2</v>
      </c>
      <c r="DE419" s="632">
        <f t="shared" si="921"/>
        <v>0.13457535865646242</v>
      </c>
      <c r="DF419" s="632">
        <f t="shared" ref="DF419" si="922">+DF418/DB418-1</f>
        <v>0.12088104560729729</v>
      </c>
      <c r="DG419" s="632">
        <f t="shared" ref="DG419" si="923">+DG418/DC418-1</f>
        <v>5.8689365854210251E-2</v>
      </c>
      <c r="DH419" s="632">
        <f t="shared" ref="DH419" si="924">+DH418/DD418-1</f>
        <v>6.3924546162997808E-2</v>
      </c>
      <c r="DI419" s="632">
        <f t="shared" ref="DI419" si="925">+DI418/DE418-1</f>
        <v>1.0967884031960029E-2</v>
      </c>
    </row>
    <row r="420" spans="1:113">
      <c r="A420" s="958"/>
      <c r="B420" s="390"/>
      <c r="C420" s="390"/>
      <c r="D420" s="390"/>
      <c r="E420" s="390"/>
      <c r="F420" s="390"/>
      <c r="G420" s="390"/>
      <c r="H420" s="390"/>
      <c r="I420" s="390"/>
      <c r="J420" s="390"/>
      <c r="K420" s="390"/>
      <c r="L420" s="390"/>
      <c r="M420" s="390"/>
      <c r="N420" s="390"/>
      <c r="O420" s="390"/>
      <c r="P420" s="390"/>
      <c r="Q420" s="390"/>
      <c r="R420" s="390"/>
      <c r="S420" s="390"/>
      <c r="T420" s="390"/>
      <c r="U420" s="390"/>
      <c r="V420" s="390"/>
      <c r="W420" s="390"/>
      <c r="X420" s="390"/>
      <c r="Y420" s="390"/>
      <c r="Z420" s="390"/>
      <c r="AA420" s="390"/>
      <c r="AB420" s="390"/>
      <c r="AD420" s="416"/>
      <c r="AE420" s="416"/>
      <c r="AF420" s="416"/>
      <c r="AG420" s="416"/>
      <c r="AH420" s="416"/>
      <c r="AI420" s="416"/>
      <c r="AJ420" s="416"/>
      <c r="AK420" s="416"/>
      <c r="AL420" s="416"/>
      <c r="AM420" s="416"/>
      <c r="AN420" s="416"/>
      <c r="AO420" s="416"/>
      <c r="AP420" s="416"/>
      <c r="AQ420" s="416"/>
      <c r="AR420" s="416"/>
      <c r="AS420" s="416"/>
      <c r="AT420" s="416"/>
      <c r="AU420" s="416"/>
      <c r="AV420" s="416"/>
      <c r="AW420" s="416"/>
      <c r="AX420" s="416"/>
      <c r="AY420" s="416"/>
      <c r="AZ420" s="416"/>
      <c r="BA420" s="416"/>
      <c r="BB420" s="416"/>
      <c r="BC420" s="416"/>
      <c r="BD420" s="416"/>
      <c r="BE420" s="416"/>
      <c r="BF420" s="416"/>
      <c r="BG420" s="416"/>
      <c r="BH420" s="416"/>
      <c r="BI420" s="416"/>
      <c r="BJ420" s="416"/>
      <c r="BK420" s="416"/>
      <c r="BL420" s="416"/>
      <c r="BM420" s="416"/>
      <c r="BN420" s="631"/>
      <c r="BO420" s="631"/>
      <c r="BP420" s="631"/>
      <c r="BQ420" s="631"/>
      <c r="BR420" s="390"/>
      <c r="BS420" s="390"/>
      <c r="BT420" s="390"/>
      <c r="BU420" s="390"/>
      <c r="BV420" s="390"/>
      <c r="BW420" s="632"/>
      <c r="BX420" s="632"/>
      <c r="BY420" s="632"/>
      <c r="BZ420" s="632"/>
      <c r="CA420" s="632"/>
      <c r="CB420" s="632"/>
      <c r="CC420" s="632"/>
      <c r="CD420" s="632"/>
      <c r="CE420" s="632"/>
      <c r="CF420" s="632"/>
      <c r="CG420" s="632"/>
      <c r="CH420" s="632"/>
      <c r="CI420" s="632"/>
      <c r="CJ420" s="632"/>
      <c r="CK420" s="632"/>
      <c r="CL420" s="632"/>
      <c r="CM420" s="632"/>
      <c r="CN420" s="632"/>
      <c r="CO420" s="632"/>
      <c r="CP420" s="632"/>
      <c r="CQ420" s="632"/>
      <c r="CR420" s="632"/>
      <c r="CS420" s="632"/>
      <c r="CT420" s="632"/>
      <c r="CU420" s="632"/>
      <c r="CV420" s="632"/>
      <c r="CW420" s="632"/>
      <c r="CX420" s="632"/>
      <c r="CY420" s="632"/>
      <c r="CZ420" s="632"/>
      <c r="DA420" s="632"/>
      <c r="DB420" s="632"/>
      <c r="DC420" s="632"/>
      <c r="DD420" s="632"/>
      <c r="DE420" s="632"/>
      <c r="DF420" s="632"/>
      <c r="DG420" s="632"/>
      <c r="DH420" s="632"/>
      <c r="DI420" s="632"/>
    </row>
    <row r="421" spans="1:113">
      <c r="A421" s="958" t="s">
        <v>418</v>
      </c>
      <c r="B421" s="371">
        <f t="shared" ref="B421:R421" si="926">B418-B424</f>
        <v>0.54227802629407296</v>
      </c>
      <c r="C421" s="371">
        <f t="shared" si="926"/>
        <v>0.57820394553605525</v>
      </c>
      <c r="D421" s="371">
        <f t="shared" si="926"/>
        <v>0.59844108362981707</v>
      </c>
      <c r="E421" s="371">
        <f t="shared" si="926"/>
        <v>0.61040990530241368</v>
      </c>
      <c r="F421" s="371">
        <f t="shared" si="926"/>
        <v>0.64276163028344135</v>
      </c>
      <c r="G421" s="371">
        <f t="shared" si="926"/>
        <v>0.68839770603356576</v>
      </c>
      <c r="H421" s="371">
        <f t="shared" si="926"/>
        <v>0.6984583399968014</v>
      </c>
      <c r="I421" s="371">
        <f t="shared" si="926"/>
        <v>0.68192824403350727</v>
      </c>
      <c r="J421" s="371">
        <f t="shared" si="926"/>
        <v>0.61922925201031709</v>
      </c>
      <c r="K421" s="371">
        <f t="shared" si="926"/>
        <v>0.56591237110245296</v>
      </c>
      <c r="L421" s="371">
        <f t="shared" si="926"/>
        <v>0.65066964866450316</v>
      </c>
      <c r="M421" s="371">
        <f t="shared" si="926"/>
        <v>0.58378039793662473</v>
      </c>
      <c r="N421" s="371">
        <f t="shared" si="926"/>
        <v>0.55249727956571615</v>
      </c>
      <c r="O421" s="371">
        <f t="shared" si="926"/>
        <v>0.55736155057156078</v>
      </c>
      <c r="P421" s="371">
        <f t="shared" si="926"/>
        <v>0.50733100042798074</v>
      </c>
      <c r="Q421" s="371">
        <f t="shared" si="926"/>
        <v>0.4643536353712967</v>
      </c>
      <c r="R421" s="371">
        <f t="shared" si="926"/>
        <v>0.4779420092165001</v>
      </c>
      <c r="S421" s="371">
        <f t="shared" ref="S421:T421" si="927">S418-S424</f>
        <v>0.49765619812518058</v>
      </c>
      <c r="T421" s="371">
        <f t="shared" si="927"/>
        <v>0.47239596364693281</v>
      </c>
      <c r="U421" s="371">
        <f t="shared" ref="U421:AB421" si="928">T421*(1+U422)</f>
        <v>0.49601576182927948</v>
      </c>
      <c r="V421" s="371">
        <f t="shared" si="928"/>
        <v>0.50097591944757225</v>
      </c>
      <c r="W421" s="371">
        <f t="shared" si="928"/>
        <v>0.46590760508624218</v>
      </c>
      <c r="X421" s="371">
        <f t="shared" si="928"/>
        <v>0.47522575718796706</v>
      </c>
      <c r="Y421" s="371">
        <f t="shared" si="928"/>
        <v>0.48473027233172639</v>
      </c>
      <c r="Z421" s="371">
        <f t="shared" si="928"/>
        <v>0.49442487777836092</v>
      </c>
      <c r="AA421" s="371">
        <f t="shared" si="928"/>
        <v>0.50431337533392817</v>
      </c>
      <c r="AB421" s="371">
        <f t="shared" si="928"/>
        <v>0.5143996428406068</v>
      </c>
      <c r="AD421" s="416"/>
      <c r="AE421" s="416"/>
      <c r="AF421" s="416"/>
      <c r="AG421" s="416"/>
      <c r="AH421" s="416"/>
      <c r="AI421" s="416"/>
      <c r="AJ421" s="416"/>
      <c r="AK421" s="416"/>
      <c r="AL421" s="416"/>
      <c r="AM421" s="416"/>
      <c r="AN421" s="416"/>
      <c r="AO421" s="416"/>
      <c r="AP421" s="416"/>
      <c r="AQ421" s="416"/>
      <c r="AR421" s="416"/>
      <c r="AS421" s="416"/>
      <c r="AT421" s="416"/>
      <c r="AU421" s="416"/>
      <c r="AV421" s="416"/>
      <c r="AW421" s="416"/>
      <c r="AX421" s="416"/>
      <c r="AY421" s="416"/>
      <c r="AZ421" s="416"/>
      <c r="BA421" s="416"/>
      <c r="BB421" s="416"/>
      <c r="BC421" s="416"/>
      <c r="BD421" s="416"/>
      <c r="BE421" s="416"/>
      <c r="BF421" s="416"/>
      <c r="BG421" s="416"/>
      <c r="BH421" s="416"/>
      <c r="BI421" s="416"/>
      <c r="BJ421" s="416"/>
      <c r="BK421" s="416"/>
      <c r="BL421" s="416"/>
      <c r="BM421" s="416"/>
      <c r="BN421" s="371">
        <f t="shared" ref="BN421:CQ421" si="929">+BN418-BN424</f>
        <v>0.62705927835051556</v>
      </c>
      <c r="BO421" s="371">
        <f t="shared" si="929"/>
        <v>0.55927979693937613</v>
      </c>
      <c r="BP421" s="371">
        <f t="shared" si="929"/>
        <v>0.55276543583535132</v>
      </c>
      <c r="BQ421" s="371">
        <f t="shared" si="929"/>
        <v>0.56610130331753439</v>
      </c>
      <c r="BR421" s="371">
        <f t="shared" si="929"/>
        <v>0.62357098186366433</v>
      </c>
      <c r="BS421" s="371">
        <f t="shared" si="929"/>
        <v>0.55476162790697647</v>
      </c>
      <c r="BT421" s="371">
        <f t="shared" si="929"/>
        <v>0.56749545178896277</v>
      </c>
      <c r="BU421" s="371">
        <f t="shared" si="929"/>
        <v>0.51928639060737747</v>
      </c>
      <c r="BV421" s="371">
        <f t="shared" si="929"/>
        <v>0.67104253974479156</v>
      </c>
      <c r="BW421" s="371">
        <f t="shared" si="929"/>
        <v>0.49148025494765601</v>
      </c>
      <c r="BX421" s="371">
        <f t="shared" si="929"/>
        <v>0.74594936708860737</v>
      </c>
      <c r="BY421" s="371">
        <f t="shared" si="929"/>
        <v>0.73951871657753998</v>
      </c>
      <c r="BZ421" s="371">
        <f t="shared" si="929"/>
        <v>0.5673670069854917</v>
      </c>
      <c r="CA421" s="371">
        <f t="shared" si="929"/>
        <v>0.55510170423309524</v>
      </c>
      <c r="CB421" s="371">
        <f t="shared" si="929"/>
        <v>0.4856606851549754</v>
      </c>
      <c r="CC421" s="371">
        <f t="shared" si="929"/>
        <v>0.49318840579710166</v>
      </c>
      <c r="CD421" s="371">
        <f t="shared" si="929"/>
        <v>0.55204164398475775</v>
      </c>
      <c r="CE421" s="371">
        <f t="shared" si="929"/>
        <v>0.54556793935990977</v>
      </c>
      <c r="CF421" s="371">
        <f t="shared" si="929"/>
        <v>0.51483787465940045</v>
      </c>
      <c r="CG421" s="371">
        <f t="shared" si="929"/>
        <v>0.53853012361331198</v>
      </c>
      <c r="CH421" s="371">
        <f t="shared" si="929"/>
        <v>0.53437927138271868</v>
      </c>
      <c r="CI421" s="371">
        <f t="shared" si="929"/>
        <v>0.5280144853215083</v>
      </c>
      <c r="CJ421" s="371">
        <f t="shared" si="929"/>
        <v>0.49118229529221469</v>
      </c>
      <c r="CK421" s="371">
        <f t="shared" si="929"/>
        <v>0.4893360415742718</v>
      </c>
      <c r="CL421" s="371">
        <f t="shared" si="929"/>
        <v>0.50819578827546974</v>
      </c>
      <c r="CM421" s="371">
        <f t="shared" si="929"/>
        <v>0.47306733167082249</v>
      </c>
      <c r="CN421" s="371">
        <f t="shared" si="929"/>
        <v>0.50357142857142856</v>
      </c>
      <c r="CO421" s="371">
        <f t="shared" si="929"/>
        <v>0.47581863979848871</v>
      </c>
      <c r="CP421" s="371">
        <f t="shared" si="929"/>
        <v>0.4845244492208487</v>
      </c>
      <c r="CQ421" s="371">
        <f t="shared" si="929"/>
        <v>0.40166830225711458</v>
      </c>
      <c r="CR421" s="371">
        <f t="shared" ref="CR421:CW421" si="930">+CR418-CR424</f>
        <v>0.44384236453201953</v>
      </c>
      <c r="CS421" s="371">
        <f t="shared" si="930"/>
        <v>0.55329341317365266</v>
      </c>
      <c r="CT421" s="371">
        <f t="shared" si="930"/>
        <v>0.46923076923076912</v>
      </c>
      <c r="CU421" s="371">
        <f t="shared" si="930"/>
        <v>0.41770334928229658</v>
      </c>
      <c r="CV421" s="371">
        <f t="shared" si="930"/>
        <v>0.49062957540263552</v>
      </c>
      <c r="CW421" s="371">
        <f t="shared" si="930"/>
        <v>0.53932853717026408</v>
      </c>
      <c r="CX421" s="371">
        <f t="shared" ref="CX421:DC421" si="931">+CX418-CX424</f>
        <v>0.44721009218825825</v>
      </c>
      <c r="CY421" s="371">
        <f t="shared" si="931"/>
        <v>0.38838916934373557</v>
      </c>
      <c r="CZ421" s="371">
        <f t="shared" si="931"/>
        <v>0.53179297597042496</v>
      </c>
      <c r="DA421" s="371">
        <f t="shared" si="931"/>
        <v>0.62914124824026274</v>
      </c>
      <c r="DB421" s="371">
        <f t="shared" si="931"/>
        <v>0.54780388151174675</v>
      </c>
      <c r="DC421" s="371">
        <f t="shared" si="931"/>
        <v>0.4194570135746607</v>
      </c>
      <c r="DD421" s="371">
        <f t="shared" ref="DD421:DE421" si="932">+DD418-DD424</f>
        <v>0.41966133584195697</v>
      </c>
      <c r="DE421" s="371">
        <f t="shared" si="932"/>
        <v>0.51642284096271851</v>
      </c>
      <c r="DF421" s="630">
        <f>+DB421*(1+DF422)</f>
        <v>0.53684780388151176</v>
      </c>
      <c r="DG421" s="630">
        <f>+DC421*(1+DG422)</f>
        <v>0.46140271493212681</v>
      </c>
      <c r="DH421" s="630">
        <f>+DD421*(1+DH422)</f>
        <v>0.46162746942615268</v>
      </c>
      <c r="DI421" s="371">
        <f>+DI418-DI424</f>
        <v>0.52803821259763906</v>
      </c>
    </row>
    <row r="422" spans="1:113">
      <c r="A422" s="958" t="s">
        <v>271</v>
      </c>
      <c r="B422" s="390"/>
      <c r="C422" s="390">
        <f t="shared" ref="C422:T422" si="933">(C421/B421-1)</f>
        <v>6.624999999999992E-2</v>
      </c>
      <c r="D422" s="390">
        <f t="shared" si="933"/>
        <v>3.4999999999999698E-2</v>
      </c>
      <c r="E422" s="390">
        <f t="shared" si="933"/>
        <v>2.0000000000000462E-2</v>
      </c>
      <c r="F422" s="390">
        <f t="shared" si="933"/>
        <v>5.2999999999999492E-2</v>
      </c>
      <c r="G422" s="390">
        <f t="shared" si="933"/>
        <v>7.1000000000000174E-2</v>
      </c>
      <c r="H422" s="390">
        <f t="shared" si="933"/>
        <v>1.4614566369204551E-2</v>
      </c>
      <c r="I422" s="390">
        <f t="shared" si="933"/>
        <v>-2.3666545328057564E-2</v>
      </c>
      <c r="J422" s="390">
        <f t="shared" si="933"/>
        <v>-9.1943679663911038E-2</v>
      </c>
      <c r="K422" s="390">
        <f t="shared" si="933"/>
        <v>-8.6102006219460403E-2</v>
      </c>
      <c r="L422" s="390">
        <f t="shared" si="933"/>
        <v>0.1497710279719362</v>
      </c>
      <c r="M422" s="390">
        <f t="shared" si="933"/>
        <v>-0.10280063141898255</v>
      </c>
      <c r="N422" s="390">
        <f t="shared" si="933"/>
        <v>-5.358713393166159E-2</v>
      </c>
      <c r="O422" s="390">
        <f t="shared" si="933"/>
        <v>8.8041537682650439E-3</v>
      </c>
      <c r="P422" s="390">
        <f t="shared" si="933"/>
        <v>-8.9763188889285472E-2</v>
      </c>
      <c r="Q422" s="390">
        <f t="shared" si="933"/>
        <v>-8.4712672831797509E-2</v>
      </c>
      <c r="R422" s="390">
        <f t="shared" si="933"/>
        <v>2.9262985815408094E-2</v>
      </c>
      <c r="S422" s="390">
        <f t="shared" si="933"/>
        <v>4.1248077232211466E-2</v>
      </c>
      <c r="T422" s="390">
        <f t="shared" si="933"/>
        <v>-5.0758404242548627E-2</v>
      </c>
      <c r="U422" s="825">
        <v>0.05</v>
      </c>
      <c r="V422" s="825">
        <v>0.01</v>
      </c>
      <c r="W422" s="825">
        <v>-7.0000000000000007E-2</v>
      </c>
      <c r="X422" s="825">
        <v>0.02</v>
      </c>
      <c r="Y422" s="825">
        <v>0.02</v>
      </c>
      <c r="Z422" s="825">
        <v>0.02</v>
      </c>
      <c r="AA422" s="825">
        <v>0.02</v>
      </c>
      <c r="AB422" s="825">
        <v>0.02</v>
      </c>
      <c r="AD422" s="416"/>
      <c r="AE422" s="416"/>
      <c r="AF422" s="416"/>
      <c r="AG422" s="416"/>
      <c r="AH422" s="416"/>
      <c r="AI422" s="416"/>
      <c r="AJ422" s="416"/>
      <c r="AK422" s="416"/>
      <c r="AL422" s="416"/>
      <c r="AM422" s="416"/>
      <c r="AN422" s="416"/>
      <c r="AO422" s="416"/>
      <c r="AP422" s="416"/>
      <c r="AQ422" s="416"/>
      <c r="AR422" s="416"/>
      <c r="AS422" s="416"/>
      <c r="AT422" s="416"/>
      <c r="AU422" s="416"/>
      <c r="AV422" s="416"/>
      <c r="AW422" s="416"/>
      <c r="AX422" s="416"/>
      <c r="AY422" s="416"/>
      <c r="AZ422" s="416"/>
      <c r="BA422" s="416"/>
      <c r="BB422" s="416"/>
      <c r="BC422" s="416"/>
      <c r="BD422" s="416"/>
      <c r="BE422" s="416"/>
      <c r="BF422" s="416"/>
      <c r="BG422" s="416"/>
      <c r="BH422" s="416"/>
      <c r="BI422" s="416"/>
      <c r="BJ422" s="416"/>
      <c r="BK422" s="416"/>
      <c r="BL422" s="416"/>
      <c r="BM422" s="416"/>
      <c r="BN422" s="631" t="s">
        <v>269</v>
      </c>
      <c r="BO422" s="631" t="s">
        <v>269</v>
      </c>
      <c r="BP422" s="631" t="s">
        <v>269</v>
      </c>
      <c r="BQ422" s="631" t="s">
        <v>269</v>
      </c>
      <c r="BR422" s="390">
        <f t="shared" ref="BR422:DE422" si="934">BR421/BN421-1</f>
        <v>-5.5629453343346569E-3</v>
      </c>
      <c r="BS422" s="390">
        <f t="shared" si="934"/>
        <v>-8.0785486211464308E-3</v>
      </c>
      <c r="BT422" s="390">
        <f t="shared" si="934"/>
        <v>2.6647860011997926E-2</v>
      </c>
      <c r="BU422" s="390">
        <f t="shared" si="934"/>
        <v>-8.269705869922328E-2</v>
      </c>
      <c r="BV422" s="390">
        <f t="shared" si="934"/>
        <v>7.6128555147401356E-2</v>
      </c>
      <c r="BW422" s="632">
        <f t="shared" si="934"/>
        <v>-0.1140694845785758</v>
      </c>
      <c r="BX422" s="632">
        <f t="shared" si="934"/>
        <v>0.31445875863337691</v>
      </c>
      <c r="BY422" s="632">
        <f t="shared" si="934"/>
        <v>0.42410571498430816</v>
      </c>
      <c r="BZ422" s="632">
        <f t="shared" si="934"/>
        <v>-0.15449919583150329</v>
      </c>
      <c r="CA422" s="632">
        <f t="shared" si="934"/>
        <v>0.12944863734600087</v>
      </c>
      <c r="CB422" s="632">
        <f t="shared" si="934"/>
        <v>-0.34893612544980368</v>
      </c>
      <c r="CC422" s="632">
        <f t="shared" si="934"/>
        <v>-0.33309543796327989</v>
      </c>
      <c r="CD422" s="632">
        <f t="shared" si="934"/>
        <v>-2.701137502189277E-2</v>
      </c>
      <c r="CE422" s="632">
        <f t="shared" si="934"/>
        <v>-1.7174807428049443E-2</v>
      </c>
      <c r="CF422" s="632">
        <f t="shared" si="934"/>
        <v>6.0077314051300235E-2</v>
      </c>
      <c r="CG422" s="632">
        <f t="shared" si="934"/>
        <v>9.1935895660256062E-2</v>
      </c>
      <c r="CH422" s="632">
        <f t="shared" si="934"/>
        <v>-3.199463807575853E-2</v>
      </c>
      <c r="CI422" s="632">
        <f t="shared" si="934"/>
        <v>-3.2174643654823587E-2</v>
      </c>
      <c r="CJ422" s="632">
        <f t="shared" si="934"/>
        <v>-4.594762843125233E-2</v>
      </c>
      <c r="CK422" s="632">
        <f t="shared" si="934"/>
        <v>-9.1348802754000924E-2</v>
      </c>
      <c r="CL422" s="632">
        <f t="shared" si="934"/>
        <v>-4.8997939309095129E-2</v>
      </c>
      <c r="CM422" s="632">
        <f t="shared" si="934"/>
        <v>-0.10406372396626284</v>
      </c>
      <c r="CN422" s="632">
        <f t="shared" si="934"/>
        <v>2.5223086006883388E-2</v>
      </c>
      <c r="CO422" s="632">
        <f t="shared" si="934"/>
        <v>-2.762396518412058E-2</v>
      </c>
      <c r="CP422" s="632">
        <f t="shared" si="934"/>
        <v>-4.6579172044987294E-2</v>
      </c>
      <c r="CQ422" s="632">
        <f t="shared" si="934"/>
        <v>-0.15092783761147543</v>
      </c>
      <c r="CR422" s="632">
        <f t="shared" si="934"/>
        <v>-0.11861090731230162</v>
      </c>
      <c r="CS422" s="632">
        <f t="shared" si="934"/>
        <v>0.16282416638401309</v>
      </c>
      <c r="CT422" s="632">
        <f t="shared" si="934"/>
        <v>-3.1564310149204911E-2</v>
      </c>
      <c r="CU422" s="632">
        <f t="shared" si="934"/>
        <v>3.9921116341706364E-2</v>
      </c>
      <c r="CV422" s="632">
        <f t="shared" si="934"/>
        <v>0.10541402671182065</v>
      </c>
      <c r="CW422" s="632">
        <f t="shared" si="934"/>
        <v>-2.5239548620842989E-2</v>
      </c>
      <c r="CX422" s="632">
        <f t="shared" si="934"/>
        <v>-4.6929311729941192E-2</v>
      </c>
      <c r="CY422" s="632">
        <f t="shared" si="934"/>
        <v>-7.0179422762419841E-2</v>
      </c>
      <c r="CZ422" s="632">
        <f t="shared" si="934"/>
        <v>8.3899142309161956E-2</v>
      </c>
      <c r="DA422" s="632">
        <f t="shared" si="934"/>
        <v>0.16652690314001517</v>
      </c>
      <c r="DB422" s="632">
        <f t="shared" si="934"/>
        <v>0.22493631311241158</v>
      </c>
      <c r="DC422" s="632">
        <f t="shared" si="934"/>
        <v>7.999153087461397E-2</v>
      </c>
      <c r="DD422" s="632">
        <f t="shared" si="934"/>
        <v>-0.21085581268509279</v>
      </c>
      <c r="DE422" s="632">
        <f t="shared" si="934"/>
        <v>-0.17916232259897569</v>
      </c>
      <c r="DF422" s="633">
        <v>-0.02</v>
      </c>
      <c r="DG422" s="633">
        <v>0.1</v>
      </c>
      <c r="DH422" s="633">
        <v>0.1</v>
      </c>
      <c r="DI422" s="632">
        <f t="shared" ref="DI422" si="935">DI421/DE421-1</f>
        <v>2.2491978885494479E-2</v>
      </c>
    </row>
    <row r="423" spans="1:113">
      <c r="A423" s="958"/>
      <c r="B423" s="390"/>
      <c r="C423" s="390"/>
      <c r="D423" s="390"/>
      <c r="E423" s="390"/>
      <c r="F423" s="390"/>
      <c r="G423" s="390"/>
      <c r="H423" s="390"/>
      <c r="I423" s="390"/>
      <c r="J423" s="390"/>
      <c r="K423" s="390"/>
      <c r="L423" s="390"/>
      <c r="M423" s="825"/>
      <c r="N423" s="825"/>
      <c r="O423" s="825"/>
      <c r="P423" s="825"/>
      <c r="Q423" s="825"/>
      <c r="R423" s="825"/>
      <c r="S423" s="825"/>
      <c r="T423" s="825"/>
      <c r="U423" s="825"/>
      <c r="V423" s="825"/>
      <c r="W423" s="825"/>
      <c r="X423" s="825"/>
      <c r="Y423" s="825"/>
      <c r="Z423" s="825"/>
      <c r="AA423" s="825"/>
      <c r="AB423" s="825"/>
      <c r="AD423" s="416"/>
      <c r="AE423" s="416"/>
      <c r="AF423" s="416"/>
      <c r="AG423" s="416"/>
      <c r="AH423" s="416"/>
      <c r="AI423" s="416"/>
      <c r="AJ423" s="416"/>
      <c r="AK423" s="416"/>
      <c r="AL423" s="416"/>
      <c r="AM423" s="416"/>
      <c r="AN423" s="416"/>
      <c r="AO423" s="416"/>
      <c r="AP423" s="416"/>
      <c r="AQ423" s="416"/>
      <c r="AR423" s="416"/>
      <c r="AS423" s="416"/>
      <c r="AT423" s="416"/>
      <c r="AU423" s="416"/>
      <c r="AV423" s="416"/>
      <c r="AW423" s="416"/>
      <c r="AX423" s="416"/>
      <c r="AY423" s="416"/>
      <c r="AZ423" s="416"/>
      <c r="BA423" s="416"/>
      <c r="BB423" s="416"/>
      <c r="BC423" s="416"/>
      <c r="BD423" s="416"/>
      <c r="BE423" s="416"/>
      <c r="BF423" s="416"/>
      <c r="BG423" s="416"/>
      <c r="BH423" s="416"/>
      <c r="BI423" s="416"/>
      <c r="BJ423" s="416"/>
      <c r="BK423" s="416"/>
      <c r="BL423" s="416"/>
      <c r="BM423" s="416"/>
      <c r="BN423" s="631"/>
      <c r="BO423" s="631"/>
      <c r="BP423" s="631"/>
      <c r="BQ423" s="631"/>
      <c r="BR423" s="390"/>
      <c r="BS423" s="390"/>
      <c r="BT423" s="390"/>
      <c r="BU423" s="390"/>
      <c r="BV423" s="390"/>
      <c r="BW423" s="632"/>
      <c r="BX423" s="632"/>
      <c r="BY423" s="632"/>
      <c r="BZ423" s="632"/>
      <c r="CA423" s="632"/>
      <c r="CB423" s="632"/>
      <c r="CC423" s="632"/>
      <c r="CD423" s="632"/>
      <c r="CE423" s="632"/>
      <c r="CF423" s="632"/>
      <c r="CG423" s="632"/>
      <c r="CH423" s="632"/>
      <c r="CI423" s="632"/>
      <c r="CJ423" s="632"/>
      <c r="CK423" s="632"/>
      <c r="CL423" s="632"/>
      <c r="CM423" s="632"/>
      <c r="CN423" s="632"/>
      <c r="CO423" s="632"/>
      <c r="CP423" s="632"/>
      <c r="CQ423" s="632"/>
      <c r="CR423" s="632"/>
      <c r="CS423" s="632"/>
      <c r="CT423" s="632"/>
      <c r="CU423" s="632"/>
      <c r="CV423" s="632"/>
      <c r="CW423" s="632"/>
      <c r="CX423" s="632"/>
      <c r="CY423" s="632"/>
      <c r="CZ423" s="632"/>
      <c r="DA423" s="632"/>
      <c r="DB423" s="632"/>
      <c r="DC423" s="632"/>
      <c r="DD423" s="632"/>
      <c r="DE423" s="632"/>
      <c r="DF423" s="632"/>
      <c r="DG423" s="632"/>
      <c r="DH423" s="632"/>
      <c r="DI423" s="632"/>
    </row>
    <row r="424" spans="1:113">
      <c r="A424" s="392" t="s">
        <v>399</v>
      </c>
      <c r="B424" s="636">
        <v>1.2249634245130447</v>
      </c>
      <c r="C424" s="636">
        <v>1.2144978461108609</v>
      </c>
      <c r="D424" s="636">
        <v>1.2757870210713984</v>
      </c>
      <c r="E424" s="636">
        <v>1.3171592337439244</v>
      </c>
      <c r="F424" s="636">
        <v>1.3865946277142782</v>
      </c>
      <c r="G424" s="636">
        <v>1.4006719791133266</v>
      </c>
      <c r="H424" s="636">
        <v>1.3632912202142973</v>
      </c>
      <c r="I424" s="636">
        <v>1.3034613560929351</v>
      </c>
      <c r="J424" s="636">
        <v>1.3063874981034744</v>
      </c>
      <c r="K424" s="636">
        <v>1.2837617602427922</v>
      </c>
      <c r="L424" s="316">
        <f t="shared" ref="L424:R424" si="936">L175/L385</f>
        <v>0.97141100522594526</v>
      </c>
      <c r="M424" s="316">
        <f t="shared" si="936"/>
        <v>1.2188651436993367</v>
      </c>
      <c r="N424" s="316">
        <f t="shared" si="936"/>
        <v>1.2409972299168974</v>
      </c>
      <c r="O424" s="316">
        <f t="shared" si="936"/>
        <v>1.3304661487236402</v>
      </c>
      <c r="P424" s="316">
        <f t="shared" si="936"/>
        <v>1.3340267845533742</v>
      </c>
      <c r="Q424" s="316">
        <f t="shared" si="936"/>
        <v>1.3284872791076576</v>
      </c>
      <c r="R424" s="316">
        <f t="shared" si="936"/>
        <v>1.3669330055316533</v>
      </c>
      <c r="S424" s="316">
        <f t="shared" ref="S424:T424" si="937">S175/S385</f>
        <v>1.4458113649677797</v>
      </c>
      <c r="T424" s="316">
        <f t="shared" si="937"/>
        <v>1.630809461547605</v>
      </c>
      <c r="U424" s="316">
        <f t="shared" ref="U424:AB424" si="938">U418-U421</f>
        <v>1.7352652606551668</v>
      </c>
      <c r="V424" s="316">
        <f t="shared" si="938"/>
        <v>1.8378886047603973</v>
      </c>
      <c r="W424" s="316">
        <f t="shared" si="938"/>
        <v>1.9848437609141918</v>
      </c>
      <c r="X424" s="316">
        <f t="shared" si="938"/>
        <v>2.0627973454105888</v>
      </c>
      <c r="Y424" s="316">
        <f t="shared" si="938"/>
        <v>2.1431827189628949</v>
      </c>
      <c r="Z424" s="316">
        <f t="shared" si="938"/>
        <v>2.2260746988732079</v>
      </c>
      <c r="AA424" s="316">
        <f t="shared" si="938"/>
        <v>2.3115503842352969</v>
      </c>
      <c r="AB424" s="316">
        <f t="shared" si="938"/>
        <v>2.3996892251338044</v>
      </c>
      <c r="AD424" s="315"/>
      <c r="AE424" s="315"/>
      <c r="AF424" s="315"/>
      <c r="AG424" s="315"/>
      <c r="AH424" s="315"/>
      <c r="AI424" s="315"/>
      <c r="AJ424" s="315"/>
      <c r="AK424" s="315"/>
      <c r="AL424" s="315"/>
      <c r="AM424" s="315"/>
      <c r="AN424" s="315"/>
      <c r="AO424" s="315"/>
      <c r="AP424" s="315"/>
      <c r="AQ424" s="315"/>
      <c r="AR424" s="315"/>
      <c r="AS424" s="315"/>
      <c r="AT424" s="315"/>
      <c r="AU424" s="315"/>
      <c r="AV424" s="315"/>
      <c r="AW424" s="315"/>
      <c r="AX424" s="315"/>
      <c r="AY424" s="315"/>
      <c r="AZ424" s="315"/>
      <c r="BA424" s="315"/>
      <c r="BB424" s="315"/>
      <c r="BC424" s="315"/>
      <c r="BD424" s="315"/>
      <c r="BE424" s="315"/>
      <c r="BF424" s="315"/>
      <c r="BG424" s="315"/>
      <c r="BH424" s="315"/>
      <c r="BI424" s="315"/>
      <c r="BJ424" s="315"/>
      <c r="BK424" s="315"/>
      <c r="BL424" s="315"/>
      <c r="BM424" s="315"/>
      <c r="BN424" s="636">
        <v>1.2649677835051547</v>
      </c>
      <c r="BO424" s="636">
        <v>1.3361447910535609</v>
      </c>
      <c r="BP424" s="636">
        <v>1.3113438256658596</v>
      </c>
      <c r="BQ424" s="636">
        <v>1.3096682464454976</v>
      </c>
      <c r="BR424" s="636">
        <v>1.2742401500938085</v>
      </c>
      <c r="BS424" s="636">
        <v>1.3219244186046513</v>
      </c>
      <c r="BT424" s="636">
        <v>1.217216494845361</v>
      </c>
      <c r="BU424" s="636">
        <v>1.3203329223181255</v>
      </c>
      <c r="BV424" s="316">
        <f t="shared" ref="BV424:CY424" si="939">+BV175/BV385</f>
        <v>0.83168316831683164</v>
      </c>
      <c r="BW424" s="316">
        <f t="shared" si="939"/>
        <v>1.2823600240818784</v>
      </c>
      <c r="BX424" s="316">
        <f t="shared" si="939"/>
        <v>0.98734177215189878</v>
      </c>
      <c r="BY424" s="316">
        <f t="shared" si="939"/>
        <v>0.81402257872846107</v>
      </c>
      <c r="BZ424" s="316">
        <f t="shared" si="939"/>
        <v>1.0102095647501343</v>
      </c>
      <c r="CA424" s="316">
        <f t="shared" si="939"/>
        <v>1.1105002748763055</v>
      </c>
      <c r="CB424" s="316">
        <f t="shared" si="939"/>
        <v>1.1582381729200653</v>
      </c>
      <c r="CC424" s="316">
        <f t="shared" si="939"/>
        <v>1.2985507246376811</v>
      </c>
      <c r="CD424" s="316">
        <f t="shared" si="939"/>
        <v>1.0560696788241699</v>
      </c>
      <c r="CE424" s="316">
        <f t="shared" si="939"/>
        <v>1.2577203818079732</v>
      </c>
      <c r="CF424" s="316">
        <f t="shared" si="939"/>
        <v>1.340599455040872</v>
      </c>
      <c r="CG424" s="316">
        <f t="shared" si="939"/>
        <v>1.2255678816693079</v>
      </c>
      <c r="CH424" s="316">
        <f t="shared" si="939"/>
        <v>1.2419070041200706</v>
      </c>
      <c r="CI424" s="316">
        <f t="shared" si="939"/>
        <v>1.2519561815336464</v>
      </c>
      <c r="CJ424" s="316">
        <f t="shared" si="939"/>
        <v>1.3072568193515182</v>
      </c>
      <c r="CK424" s="316">
        <f t="shared" si="939"/>
        <v>1.2246865959498554</v>
      </c>
      <c r="CL424" s="316">
        <f t="shared" si="939"/>
        <v>1.2635173591348892</v>
      </c>
      <c r="CM424" s="316">
        <f t="shared" si="939"/>
        <v>1.3466334164588529</v>
      </c>
      <c r="CN424" s="316">
        <f t="shared" si="939"/>
        <v>1.3016917293233081</v>
      </c>
      <c r="CO424" s="316">
        <f t="shared" si="939"/>
        <v>1.2947103274559193</v>
      </c>
      <c r="CP424" s="316">
        <f t="shared" si="939"/>
        <v>1.2842557764642666</v>
      </c>
      <c r="CQ424" s="316">
        <f t="shared" si="939"/>
        <v>1.3984298331697742</v>
      </c>
      <c r="CR424" s="316">
        <f t="shared" si="939"/>
        <v>1.374384236453202</v>
      </c>
      <c r="CS424" s="316">
        <f t="shared" si="939"/>
        <v>1.282435129740519</v>
      </c>
      <c r="CT424" s="316">
        <f t="shared" si="939"/>
        <v>1.3134484563055993</v>
      </c>
      <c r="CU424" s="316">
        <f t="shared" si="939"/>
        <v>1.4210526315789473</v>
      </c>
      <c r="CV424" s="316">
        <f t="shared" si="939"/>
        <v>1.395802830649097</v>
      </c>
      <c r="CW424" s="316">
        <f t="shared" si="939"/>
        <v>1.3333333333333333</v>
      </c>
      <c r="CX424" s="316">
        <f t="shared" si="939"/>
        <v>1.4216399805919457</v>
      </c>
      <c r="CY424" s="316">
        <f t="shared" si="939"/>
        <v>1.5511702615878844</v>
      </c>
      <c r="CZ424" s="316">
        <f t="shared" ref="CZ424:DD424" si="940">+CZ175/CZ385</f>
        <v>1.4463955637707948</v>
      </c>
      <c r="DA424" s="316">
        <f t="shared" si="940"/>
        <v>1.3608634443923042</v>
      </c>
      <c r="DB424" s="316">
        <f t="shared" si="940"/>
        <v>1.3789581205311541</v>
      </c>
      <c r="DC424" s="316">
        <f t="shared" si="940"/>
        <v>1.6787330316742082</v>
      </c>
      <c r="DD424" s="316">
        <f t="shared" si="940"/>
        <v>1.702728127939793</v>
      </c>
      <c r="DE424" s="316">
        <f t="shared" ref="DE424" si="941">+DE175/DE385</f>
        <v>1.7413874469089192</v>
      </c>
      <c r="DF424" s="316">
        <f>+DF418-DF421</f>
        <v>1.6228232036047441</v>
      </c>
      <c r="DG424" s="316">
        <f>+DG418-DG421</f>
        <v>1.759928773514015</v>
      </c>
      <c r="DH424" s="316">
        <f>+DH418-DH421</f>
        <v>1.7964347776089742</v>
      </c>
      <c r="DI424" s="316">
        <f>+DI175/DI385</f>
        <v>1.7545354766775412</v>
      </c>
    </row>
    <row r="425" spans="1:113">
      <c r="A425" s="958" t="s">
        <v>271</v>
      </c>
      <c r="B425" s="390"/>
      <c r="C425" s="390">
        <f t="shared" ref="C425:W425" si="942">(C424/B424-1)</f>
        <v>-8.5435843983212578E-3</v>
      </c>
      <c r="D425" s="390">
        <f t="shared" si="942"/>
        <v>5.04646221949272E-2</v>
      </c>
      <c r="E425" s="390">
        <f t="shared" si="942"/>
        <v>3.242877689552115E-2</v>
      </c>
      <c r="F425" s="390">
        <f t="shared" si="942"/>
        <v>5.2716021109299849E-2</v>
      </c>
      <c r="G425" s="390">
        <f t="shared" si="942"/>
        <v>1.0152463537417722E-2</v>
      </c>
      <c r="H425" s="390">
        <f t="shared" si="942"/>
        <v>-2.6687732357359439E-2</v>
      </c>
      <c r="I425" s="390">
        <f t="shared" si="942"/>
        <v>-4.3886341549208674E-2</v>
      </c>
      <c r="J425" s="390">
        <f t="shared" si="942"/>
        <v>2.2449012368961352E-3</v>
      </c>
      <c r="K425" s="390">
        <f t="shared" si="942"/>
        <v>-1.7319315971355165E-2</v>
      </c>
      <c r="L425" s="390">
        <f t="shared" si="942"/>
        <v>-0.24330897265375273</v>
      </c>
      <c r="M425" s="390">
        <f t="shared" si="942"/>
        <v>0.25473680773858942</v>
      </c>
      <c r="N425" s="390">
        <f t="shared" si="942"/>
        <v>1.8157944980187413E-2</v>
      </c>
      <c r="O425" s="390">
        <f t="shared" si="942"/>
        <v>7.2094374306326259E-2</v>
      </c>
      <c r="P425" s="390">
        <f t="shared" si="942"/>
        <v>2.676231810294416E-3</v>
      </c>
      <c r="Q425" s="390">
        <f t="shared" si="942"/>
        <v>-4.1524694330414835E-3</v>
      </c>
      <c r="R425" s="390">
        <f t="shared" si="942"/>
        <v>2.8939476522364282E-2</v>
      </c>
      <c r="S425" s="390">
        <f t="shared" si="942"/>
        <v>5.7704627159432365E-2</v>
      </c>
      <c r="T425" s="390">
        <f t="shared" si="942"/>
        <v>0.12795451817737513</v>
      </c>
      <c r="U425" s="390">
        <f t="shared" si="942"/>
        <v>6.4051504219527544E-2</v>
      </c>
      <c r="V425" s="390">
        <f t="shared" si="942"/>
        <v>5.9139859727546096E-2</v>
      </c>
      <c r="W425" s="390">
        <f t="shared" si="942"/>
        <v>7.9958685076538139E-2</v>
      </c>
      <c r="X425" s="390">
        <f>(X424/W424-1)</f>
        <v>3.9274418486467066E-2</v>
      </c>
      <c r="Y425" s="390">
        <f>(Y424/X424-1)</f>
        <v>3.896910849296531E-2</v>
      </c>
      <c r="Z425" s="390">
        <f>(Z424/Y424-1)</f>
        <v>3.86770475409699E-2</v>
      </c>
      <c r="AA425" s="390">
        <f>(AA424/Z424-1)</f>
        <v>3.8397491964377917E-2</v>
      </c>
      <c r="AB425" s="390">
        <f>(AB424/AA424-1)</f>
        <v>3.8129751140019152E-2</v>
      </c>
      <c r="AD425" s="416"/>
      <c r="AE425" s="416"/>
      <c r="AF425" s="416"/>
      <c r="AG425" s="416"/>
      <c r="AH425" s="416"/>
      <c r="AI425" s="416"/>
      <c r="AJ425" s="416"/>
      <c r="AK425" s="416"/>
      <c r="AL425" s="416"/>
      <c r="AM425" s="416"/>
      <c r="AN425" s="416"/>
      <c r="AO425" s="416"/>
      <c r="AP425" s="416"/>
      <c r="AQ425" s="416"/>
      <c r="AR425" s="416"/>
      <c r="AS425" s="416"/>
      <c r="AT425" s="416"/>
      <c r="AU425" s="416"/>
      <c r="AV425" s="416"/>
      <c r="AW425" s="416"/>
      <c r="AX425" s="416"/>
      <c r="AY425" s="416"/>
      <c r="AZ425" s="416"/>
      <c r="BA425" s="416"/>
      <c r="BB425" s="416"/>
      <c r="BC425" s="416"/>
      <c r="BD425" s="416"/>
      <c r="BE425" s="416"/>
      <c r="BF425" s="416"/>
      <c r="BG425" s="416"/>
      <c r="BH425" s="416"/>
      <c r="BI425" s="416"/>
      <c r="BJ425" s="416"/>
      <c r="BK425" s="416"/>
      <c r="BL425" s="416"/>
      <c r="BM425" s="416"/>
      <c r="BN425" s="631" t="s">
        <v>269</v>
      </c>
      <c r="BO425" s="631" t="s">
        <v>269</v>
      </c>
      <c r="BP425" s="631" t="s">
        <v>269</v>
      </c>
      <c r="BQ425" s="631" t="s">
        <v>269</v>
      </c>
      <c r="BR425" s="390">
        <f t="shared" ref="BR425:CK425" si="943">BR424/BN424-1</f>
        <v>7.3301207426490489E-3</v>
      </c>
      <c r="BS425" s="390">
        <f t="shared" si="943"/>
        <v>-1.0642837920055603E-2</v>
      </c>
      <c r="BT425" s="390">
        <f t="shared" si="943"/>
        <v>-7.1779291577251825E-2</v>
      </c>
      <c r="BU425" s="390">
        <f t="shared" si="943"/>
        <v>8.143036147949978E-3</v>
      </c>
      <c r="BV425" s="390">
        <f t="shared" si="943"/>
        <v>-0.3473104985307488</v>
      </c>
      <c r="BW425" s="632">
        <f t="shared" si="943"/>
        <v>-2.9929392305601543E-2</v>
      </c>
      <c r="BX425" s="632">
        <f t="shared" si="943"/>
        <v>-0.18885278310549536</v>
      </c>
      <c r="BY425" s="632">
        <f t="shared" si="943"/>
        <v>-0.38347172522270279</v>
      </c>
      <c r="BZ425" s="632">
        <f t="shared" si="943"/>
        <v>0.214656738568614</v>
      </c>
      <c r="CA425" s="632">
        <f t="shared" si="943"/>
        <v>-0.13401833024904064</v>
      </c>
      <c r="CB425" s="632">
        <f t="shared" si="943"/>
        <v>0.17308738026519421</v>
      </c>
      <c r="CC425" s="632">
        <f t="shared" si="943"/>
        <v>0.59522691209139955</v>
      </c>
      <c r="CD425" s="632">
        <f t="shared" si="943"/>
        <v>4.5396634197755414E-2</v>
      </c>
      <c r="CE425" s="632">
        <f t="shared" si="943"/>
        <v>0.13257097747955626</v>
      </c>
      <c r="CF425" s="632">
        <f t="shared" si="943"/>
        <v>0.15744713512683739</v>
      </c>
      <c r="CG425" s="632">
        <f t="shared" si="943"/>
        <v>-5.6203305410912452E-2</v>
      </c>
      <c r="CH425" s="632">
        <f t="shared" si="943"/>
        <v>0.17597070441678841</v>
      </c>
      <c r="CI425" s="632">
        <f t="shared" si="943"/>
        <v>-4.5830538788286246E-3</v>
      </c>
      <c r="CJ425" s="632">
        <f t="shared" si="943"/>
        <v>-2.4871437597546397E-2</v>
      </c>
      <c r="CK425" s="632">
        <f t="shared" si="943"/>
        <v>-7.1908356332905932E-4</v>
      </c>
      <c r="CL425" s="632">
        <f>+CL424/CH424-1</f>
        <v>1.7400944630415527E-2</v>
      </c>
      <c r="CM425" s="632">
        <f>+CM424/CI424-1</f>
        <v>7.5623441396508673E-2</v>
      </c>
      <c r="CN425" s="632">
        <f>+CN424/CJ424-1</f>
        <v>-4.2570747735480863E-3</v>
      </c>
      <c r="CO425" s="632">
        <f>CO424/CK424-1</f>
        <v>5.7176857930541836E-2</v>
      </c>
      <c r="CP425" s="632">
        <f>+CP424/CL424-1</f>
        <v>1.6413242904376624E-2</v>
      </c>
      <c r="CQ425" s="632">
        <f>+CQ424/CM424-1</f>
        <v>3.8463635372369298E-2</v>
      </c>
      <c r="CR425" s="632">
        <f>+CR424/CN424-1</f>
        <v>5.5844640856467231E-2</v>
      </c>
      <c r="CS425" s="632">
        <f>CS424/CO424-1</f>
        <v>-9.4810379241515585E-3</v>
      </c>
      <c r="CT425" s="632">
        <f t="shared" ref="CT425:DE425" si="944">+CT424/CP424-1</f>
        <v>2.273120384297922E-2</v>
      </c>
      <c r="CU425" s="632">
        <f t="shared" si="944"/>
        <v>1.6177285318559553E-2</v>
      </c>
      <c r="CV425" s="632">
        <f t="shared" si="944"/>
        <v>1.5584138429271421E-2</v>
      </c>
      <c r="CW425" s="632">
        <f t="shared" si="944"/>
        <v>3.9688715953307252E-2</v>
      </c>
      <c r="CX425" s="632">
        <f t="shared" si="944"/>
        <v>8.2372112713628765E-2</v>
      </c>
      <c r="CY425" s="632">
        <f t="shared" si="944"/>
        <v>9.1564258154437139E-2</v>
      </c>
      <c r="CZ425" s="632">
        <f t="shared" si="944"/>
        <v>3.62463322259996E-2</v>
      </c>
      <c r="DA425" s="632">
        <f t="shared" si="944"/>
        <v>2.0647583294228333E-2</v>
      </c>
      <c r="DB425" s="632">
        <f t="shared" si="944"/>
        <v>-3.0022973919894724E-2</v>
      </c>
      <c r="DC425" s="632">
        <f t="shared" si="944"/>
        <v>8.223647219470398E-2</v>
      </c>
      <c r="DD425" s="632">
        <f t="shared" si="944"/>
        <v>0.17722161944463655</v>
      </c>
      <c r="DE425" s="632">
        <f t="shared" si="944"/>
        <v>0.27961953426307118</v>
      </c>
      <c r="DF425" s="632">
        <f t="shared" ref="DF425" si="945">+DF424/DB424-1</f>
        <v>0.17684734542892189</v>
      </c>
      <c r="DG425" s="632">
        <f t="shared" ref="DG425" si="946">+DG424/DC424-1</f>
        <v>4.8367274788672088E-2</v>
      </c>
      <c r="DH425" s="632">
        <f t="shared" ref="DH425" si="947">+DH424/DD424-1</f>
        <v>5.5033242319524556E-2</v>
      </c>
      <c r="DI425" s="632">
        <f t="shared" ref="DI425" si="948">+DI424/DE424-1</f>
        <v>7.55031844978582E-3</v>
      </c>
    </row>
    <row r="426" spans="1:113">
      <c r="A426" s="302"/>
      <c r="R426" s="1052"/>
      <c r="S426" s="1052"/>
      <c r="T426" s="1052"/>
      <c r="U426" s="1052"/>
      <c r="V426" s="1052"/>
      <c r="W426" s="1052"/>
      <c r="X426" s="1052"/>
      <c r="Y426" s="1052"/>
      <c r="Z426" s="1052"/>
      <c r="AA426" s="1052"/>
      <c r="AB426" s="1052"/>
      <c r="AD426" s="412"/>
      <c r="AE426" s="412"/>
      <c r="AF426" s="412"/>
      <c r="AG426" s="412"/>
      <c r="AH426" s="412"/>
      <c r="AI426" s="412"/>
      <c r="AJ426" s="412"/>
      <c r="AK426" s="412"/>
      <c r="AL426" s="412"/>
      <c r="AM426" s="412"/>
      <c r="AN426" s="412"/>
      <c r="AO426" s="412"/>
      <c r="AP426" s="412"/>
      <c r="AQ426" s="412"/>
      <c r="AR426" s="412"/>
      <c r="AS426" s="412"/>
      <c r="AT426" s="412"/>
      <c r="AU426" s="412"/>
      <c r="AV426" s="412"/>
      <c r="AW426" s="412"/>
      <c r="AX426" s="412"/>
      <c r="AY426" s="412"/>
      <c r="AZ426" s="412"/>
      <c r="BA426" s="412"/>
      <c r="BB426" s="412"/>
      <c r="BC426" s="412"/>
      <c r="BD426" s="412"/>
      <c r="BE426" s="412"/>
      <c r="BF426" s="412"/>
      <c r="BG426" s="412"/>
      <c r="BH426" s="412"/>
      <c r="BI426" s="412"/>
      <c r="BJ426" s="412"/>
      <c r="BK426" s="412"/>
      <c r="BL426" s="412"/>
      <c r="BM426" s="412"/>
      <c r="BN426" s="412"/>
      <c r="BO426" s="412"/>
      <c r="BP426" s="412"/>
      <c r="BQ426" s="412"/>
      <c r="BR426" s="412"/>
      <c r="BS426" s="412"/>
      <c r="BT426" s="412"/>
      <c r="BU426" s="412"/>
      <c r="BV426" s="412"/>
      <c r="BW426" s="412"/>
      <c r="BX426" s="412"/>
      <c r="BY426" s="412"/>
      <c r="BZ426" s="412"/>
      <c r="CA426" s="412"/>
      <c r="CB426" s="412"/>
      <c r="CC426" s="412"/>
      <c r="CD426" s="412"/>
      <c r="CE426" s="412"/>
      <c r="CF426" s="412"/>
      <c r="CG426" s="412"/>
      <c r="CH426" s="412"/>
      <c r="CI426" s="412"/>
      <c r="CJ426" s="412"/>
      <c r="CK426" s="412"/>
      <c r="CL426" s="412"/>
      <c r="CM426" s="412"/>
      <c r="CN426" s="412"/>
      <c r="CO426" s="412"/>
      <c r="CP426" s="412"/>
      <c r="CQ426" s="412"/>
      <c r="CR426" s="412"/>
      <c r="CS426" s="412"/>
      <c r="CT426" s="412"/>
      <c r="CU426" s="412"/>
      <c r="CV426" s="412"/>
      <c r="CW426" s="412"/>
      <c r="CX426" s="412"/>
      <c r="CY426" s="412"/>
      <c r="CZ426" s="412"/>
      <c r="DA426" s="412"/>
      <c r="DB426" s="412"/>
      <c r="DC426" s="412"/>
      <c r="DD426" s="412"/>
      <c r="DE426" s="412"/>
      <c r="DF426" s="412"/>
      <c r="DG426" s="412"/>
      <c r="DH426" s="412"/>
      <c r="DI426" s="412"/>
    </row>
    <row r="427" spans="1:113">
      <c r="A427" s="195" t="s">
        <v>407</v>
      </c>
      <c r="B427" s="195"/>
      <c r="C427" s="195"/>
      <c r="D427" s="195"/>
      <c r="E427" s="195"/>
      <c r="F427" s="195"/>
      <c r="G427" s="195"/>
      <c r="H427" s="195"/>
      <c r="I427" s="195"/>
      <c r="J427" s="195"/>
      <c r="K427" s="195"/>
      <c r="L427" s="195"/>
      <c r="M427" s="195"/>
      <c r="N427" s="195"/>
      <c r="O427" s="195"/>
      <c r="P427" s="195"/>
      <c r="Q427" s="195"/>
      <c r="R427" s="195"/>
      <c r="S427" s="195"/>
      <c r="T427" s="195"/>
      <c r="U427" s="195"/>
      <c r="V427" s="195"/>
      <c r="W427" s="195"/>
      <c r="X427" s="195"/>
      <c r="Y427" s="195"/>
      <c r="Z427" s="195"/>
      <c r="AA427" s="195"/>
      <c r="AB427" s="195"/>
      <c r="AD427" s="195"/>
      <c r="AE427" s="195"/>
      <c r="AF427" s="195"/>
      <c r="AG427" s="195"/>
      <c r="AH427" s="195"/>
      <c r="AI427" s="195"/>
      <c r="AJ427" s="195"/>
      <c r="AK427" s="195"/>
      <c r="AL427" s="195"/>
      <c r="AM427" s="195"/>
      <c r="AN427" s="195"/>
      <c r="AO427" s="195"/>
      <c r="AP427" s="195"/>
      <c r="AQ427" s="195"/>
      <c r="AR427" s="195"/>
      <c r="AS427" s="195"/>
      <c r="AT427" s="195"/>
      <c r="AU427" s="195"/>
      <c r="AV427" s="195"/>
      <c r="AW427" s="195"/>
      <c r="AX427" s="195"/>
      <c r="AY427" s="195"/>
      <c r="AZ427" s="195"/>
      <c r="BA427" s="195"/>
      <c r="BB427" s="195"/>
      <c r="BC427" s="195"/>
      <c r="BD427" s="195"/>
      <c r="BE427" s="195"/>
      <c r="BF427" s="195"/>
      <c r="BG427" s="195"/>
      <c r="BH427" s="195"/>
      <c r="BI427" s="195"/>
      <c r="BJ427" s="195"/>
      <c r="BK427" s="195"/>
      <c r="BL427" s="195"/>
      <c r="BM427" s="195"/>
      <c r="BN427" s="195"/>
      <c r="BO427" s="195"/>
      <c r="BP427" s="195"/>
      <c r="BQ427" s="195"/>
      <c r="BR427" s="195"/>
      <c r="BS427" s="195"/>
      <c r="BT427" s="195"/>
      <c r="BU427" s="195"/>
      <c r="BV427" s="195"/>
      <c r="BW427" s="195"/>
      <c r="BX427" s="195"/>
      <c r="BY427" s="195"/>
      <c r="BZ427" s="195"/>
      <c r="CA427" s="195"/>
      <c r="CB427" s="195"/>
      <c r="CC427" s="195"/>
      <c r="CD427" s="195"/>
      <c r="CE427" s="195"/>
      <c r="CF427" s="195"/>
      <c r="CG427" s="195"/>
      <c r="CH427" s="195"/>
      <c r="CI427" s="195"/>
      <c r="CJ427" s="195"/>
      <c r="CK427" s="195"/>
      <c r="CL427" s="195"/>
      <c r="CM427" s="195"/>
      <c r="CN427" s="195"/>
      <c r="CO427" s="195"/>
      <c r="CP427" s="195"/>
      <c r="CQ427" s="195"/>
      <c r="CR427" s="195"/>
      <c r="CS427" s="195"/>
      <c r="CT427" s="195"/>
      <c r="CU427" s="195"/>
      <c r="CV427" s="195"/>
      <c r="CW427" s="195"/>
      <c r="CX427" s="195"/>
      <c r="CY427" s="195"/>
      <c r="CZ427" s="195"/>
      <c r="DA427" s="195"/>
      <c r="DB427" s="195"/>
      <c r="DC427" s="195"/>
      <c r="DD427" s="195"/>
      <c r="DE427" s="195"/>
      <c r="DF427" s="195"/>
      <c r="DG427" s="195"/>
      <c r="DH427" s="195"/>
      <c r="DI427" s="195"/>
    </row>
    <row r="428" spans="1:113">
      <c r="A428" s="131"/>
      <c r="AD428" s="131"/>
      <c r="AE428" s="131"/>
      <c r="AF428" s="131"/>
      <c r="AG428" s="131"/>
      <c r="AH428" s="131"/>
      <c r="AI428" s="131"/>
      <c r="AJ428" s="131"/>
      <c r="AK428" s="131"/>
      <c r="AL428" s="131"/>
      <c r="AM428" s="131"/>
      <c r="AN428" s="131"/>
      <c r="AO428" s="131"/>
      <c r="AP428" s="131"/>
      <c r="AQ428" s="131"/>
      <c r="AR428" s="131"/>
      <c r="AS428" s="131"/>
      <c r="AT428" s="131"/>
      <c r="AU428" s="131"/>
      <c r="AV428" s="131"/>
      <c r="AW428" s="131"/>
      <c r="AX428" s="131"/>
      <c r="AY428" s="131"/>
      <c r="AZ428" s="131"/>
      <c r="BA428" s="131"/>
      <c r="BB428" s="131"/>
      <c r="BC428" s="131"/>
      <c r="BD428" s="131"/>
      <c r="BE428" s="131"/>
      <c r="BF428" s="131"/>
      <c r="BG428" s="131"/>
      <c r="BH428" s="131"/>
      <c r="BI428" s="131"/>
      <c r="BJ428" s="131"/>
      <c r="BK428" s="131"/>
      <c r="BL428" s="131"/>
      <c r="BM428" s="131"/>
      <c r="BN428" s="131"/>
      <c r="BO428" s="131"/>
      <c r="BP428" s="131"/>
      <c r="BQ428" s="131"/>
      <c r="BR428" s="131"/>
      <c r="BS428" s="131"/>
      <c r="BT428" s="131"/>
      <c r="BU428" s="131"/>
      <c r="BV428" s="131"/>
      <c r="BW428" s="131"/>
      <c r="BX428" s="131"/>
      <c r="BY428" s="131"/>
      <c r="BZ428" s="131"/>
      <c r="CA428" s="131"/>
      <c r="CB428" s="131"/>
      <c r="CC428" s="131"/>
      <c r="CD428" s="131"/>
      <c r="CE428" s="131"/>
      <c r="CF428" s="131"/>
      <c r="CG428" s="131"/>
      <c r="CH428" s="71"/>
      <c r="CI428" s="71"/>
      <c r="CJ428" s="71"/>
      <c r="CK428" s="71"/>
      <c r="CL428" s="71"/>
      <c r="CM428" s="71"/>
      <c r="CN428" s="71"/>
      <c r="CO428" s="71"/>
      <c r="CP428" s="71"/>
      <c r="CQ428" s="71"/>
      <c r="CR428" s="71"/>
      <c r="CS428" s="71"/>
      <c r="CT428" s="71"/>
      <c r="CU428" s="71"/>
      <c r="CV428" s="71"/>
      <c r="CW428" s="71"/>
      <c r="CX428" s="71"/>
      <c r="CY428" s="71"/>
      <c r="CZ428" s="71"/>
      <c r="DA428" s="71"/>
      <c r="DB428" s="71"/>
      <c r="DC428" s="71"/>
      <c r="DD428" s="71"/>
      <c r="DE428" s="71"/>
      <c r="DF428" s="71"/>
      <c r="DG428" s="71"/>
      <c r="DH428" s="71"/>
      <c r="DI428" s="71"/>
    </row>
    <row r="429" spans="1:113">
      <c r="A429" s="960" t="s">
        <v>409</v>
      </c>
      <c r="K429" s="810"/>
      <c r="L429" s="810"/>
      <c r="M429" s="810"/>
      <c r="N429" s="810"/>
      <c r="O429" s="810"/>
      <c r="P429" s="811"/>
      <c r="Q429" s="811"/>
      <c r="R429" s="811"/>
      <c r="AD429" s="412"/>
      <c r="AE429" s="412"/>
      <c r="AF429" s="412"/>
      <c r="AG429" s="412"/>
      <c r="AH429" s="412"/>
      <c r="AI429" s="412"/>
      <c r="AJ429" s="412"/>
      <c r="AK429" s="412"/>
      <c r="AL429" s="412"/>
      <c r="AM429" s="412"/>
      <c r="AN429" s="412"/>
      <c r="AO429" s="412"/>
      <c r="AP429" s="412"/>
      <c r="AQ429" s="412"/>
      <c r="AR429" s="412"/>
      <c r="AS429" s="412"/>
      <c r="AT429" s="412"/>
      <c r="AU429" s="412"/>
      <c r="AV429" s="412"/>
      <c r="AW429" s="412"/>
      <c r="AX429" s="412"/>
      <c r="AY429" s="412"/>
      <c r="AZ429" s="412"/>
      <c r="BA429" s="412"/>
      <c r="BB429" s="412"/>
      <c r="BC429" s="412"/>
      <c r="BD429" s="412"/>
      <c r="BE429" s="412"/>
      <c r="BF429" s="412"/>
      <c r="BG429" s="412"/>
      <c r="BH429" s="412"/>
      <c r="BI429" s="412"/>
      <c r="BJ429" s="412"/>
      <c r="BK429" s="412"/>
      <c r="BL429" s="412"/>
      <c r="BM429" s="412"/>
      <c r="BN429" s="412"/>
      <c r="BO429" s="412"/>
      <c r="BP429" s="412"/>
      <c r="BQ429" s="412"/>
      <c r="BR429" s="412"/>
      <c r="BS429" s="412"/>
      <c r="BT429" s="412"/>
      <c r="BU429" s="412"/>
      <c r="BV429" s="412"/>
      <c r="BW429" s="412"/>
      <c r="BX429" s="412"/>
      <c r="BY429" s="412"/>
      <c r="BZ429" s="412"/>
      <c r="CA429" s="412"/>
      <c r="CB429" s="412"/>
      <c r="CC429" s="412"/>
      <c r="CD429" s="412"/>
      <c r="CE429" s="412"/>
      <c r="CF429" s="412"/>
      <c r="CG429" s="412"/>
      <c r="CH429" s="412"/>
      <c r="CI429" s="412"/>
      <c r="CJ429" s="412"/>
      <c r="CK429" s="412"/>
      <c r="CL429" s="412"/>
      <c r="CM429" s="412"/>
      <c r="CN429" s="412"/>
      <c r="CO429" s="412"/>
      <c r="CP429" s="412"/>
      <c r="CQ429" s="412"/>
      <c r="CR429" s="412"/>
      <c r="CS429" s="412"/>
      <c r="CT429" s="412"/>
      <c r="CU429" s="588"/>
      <c r="CV429" s="412"/>
      <c r="CW429" s="412"/>
      <c r="CX429" s="412"/>
      <c r="CY429" s="412"/>
      <c r="CZ429" s="412"/>
      <c r="DA429" s="412"/>
      <c r="DB429" s="412"/>
      <c r="DC429" s="412"/>
      <c r="DD429" s="412"/>
      <c r="DE429" s="412"/>
      <c r="DF429" s="412"/>
      <c r="DG429" s="412"/>
      <c r="DH429" s="412"/>
      <c r="DI429" s="412"/>
    </row>
    <row r="430" spans="1:113">
      <c r="A430" s="961" t="s">
        <v>5</v>
      </c>
      <c r="K430" s="754">
        <f>+SUM(BR430:BU430)</f>
        <v>1931</v>
      </c>
      <c r="L430" s="754">
        <f>+SUM(BV430:BY430)</f>
        <v>2034</v>
      </c>
      <c r="M430" s="754">
        <f>+SUM(BZ430:CC430)</f>
        <v>2338</v>
      </c>
      <c r="N430" s="754">
        <f>+SUM(CD430:CG430)</f>
        <v>2522</v>
      </c>
      <c r="O430" s="754">
        <f>+SUM(CH430:CK430)</f>
        <v>2780</v>
      </c>
      <c r="P430" s="754">
        <f>+SUM(CL430:CO430)</f>
        <v>2753</v>
      </c>
      <c r="Q430" s="754">
        <f>+SUM(CP430:CS430)</f>
        <v>3035</v>
      </c>
      <c r="R430" s="754">
        <f ca="1">+SUM(CT430:CW430)</f>
        <v>3253</v>
      </c>
      <c r="AD430" s="637"/>
      <c r="AE430" s="637"/>
      <c r="AF430" s="637"/>
      <c r="AG430" s="637"/>
      <c r="AH430" s="637"/>
      <c r="AI430" s="637"/>
      <c r="AJ430" s="637"/>
      <c r="AK430" s="637"/>
      <c r="AL430" s="637"/>
      <c r="AM430" s="637"/>
      <c r="AN430" s="637"/>
      <c r="AO430" s="637"/>
      <c r="AP430" s="637"/>
      <c r="AQ430" s="637"/>
      <c r="AR430" s="637"/>
      <c r="AS430" s="637"/>
      <c r="AT430" s="637"/>
      <c r="AU430" s="637"/>
      <c r="AV430" s="637"/>
      <c r="AW430" s="637"/>
      <c r="AX430" s="637"/>
      <c r="AY430" s="637"/>
      <c r="AZ430" s="637"/>
      <c r="BA430" s="637"/>
      <c r="BB430" s="637"/>
      <c r="BC430" s="637"/>
      <c r="BD430" s="637"/>
      <c r="BE430" s="637"/>
      <c r="BF430" s="637"/>
      <c r="BG430" s="637"/>
      <c r="BH430" s="637"/>
      <c r="BI430" s="637"/>
      <c r="BJ430" s="637"/>
      <c r="BK430" s="637"/>
      <c r="BL430" s="637"/>
      <c r="BM430" s="637"/>
      <c r="BN430" s="637"/>
      <c r="BO430" s="637"/>
      <c r="BP430" s="637"/>
      <c r="BQ430" s="637"/>
      <c r="BR430" s="637">
        <f>840-BS430</f>
        <v>398</v>
      </c>
      <c r="BS430" s="637">
        <v>442</v>
      </c>
      <c r="BT430" s="637">
        <v>462</v>
      </c>
      <c r="BU430" s="637">
        <v>629</v>
      </c>
      <c r="BV430" s="638">
        <f>875-BW430</f>
        <v>370</v>
      </c>
      <c r="BW430" s="638">
        <v>505</v>
      </c>
      <c r="BX430" s="638">
        <v>501</v>
      </c>
      <c r="BY430" s="638">
        <v>658</v>
      </c>
      <c r="BZ430" s="638">
        <v>536</v>
      </c>
      <c r="CA430" s="638">
        <v>532</v>
      </c>
      <c r="CB430" s="638">
        <v>557</v>
      </c>
      <c r="CC430" s="638">
        <v>713</v>
      </c>
      <c r="CD430" s="638">
        <v>515</v>
      </c>
      <c r="CE430" s="638">
        <v>598</v>
      </c>
      <c r="CF430" s="638">
        <v>605</v>
      </c>
      <c r="CG430" s="638">
        <v>804</v>
      </c>
      <c r="CH430" s="638">
        <v>528</v>
      </c>
      <c r="CI430" s="638">
        <v>628</v>
      </c>
      <c r="CJ430" s="638">
        <v>704</v>
      </c>
      <c r="CK430" s="638">
        <v>920</v>
      </c>
      <c r="CL430" s="638">
        <v>530</v>
      </c>
      <c r="CM430" s="638">
        <v>654</v>
      </c>
      <c r="CN430" s="638">
        <v>680</v>
      </c>
      <c r="CO430" s="639">
        <v>889</v>
      </c>
      <c r="CP430" s="639">
        <v>573</v>
      </c>
      <c r="CQ430" s="638">
        <v>731</v>
      </c>
      <c r="CR430" s="638">
        <v>704</v>
      </c>
      <c r="CS430" s="441">
        <v>1027</v>
      </c>
      <c r="CT430" s="639">
        <v>551</v>
      </c>
      <c r="CU430" s="711">
        <v>803</v>
      </c>
      <c r="CV430" s="711">
        <v>755</v>
      </c>
      <c r="CW430" s="637">
        <f ca="1">+R430-SUM(CT430:CV430)</f>
        <v>1144</v>
      </c>
      <c r="CX430" s="412"/>
      <c r="CY430" s="412"/>
      <c r="CZ430" s="638"/>
      <c r="DA430" s="637"/>
      <c r="DB430" s="638"/>
      <c r="DC430" s="638"/>
      <c r="DD430" s="638"/>
      <c r="DE430" s="637"/>
      <c r="DF430" s="638"/>
      <c r="DG430" s="638"/>
      <c r="DH430" s="638"/>
      <c r="DI430" s="637"/>
    </row>
    <row r="431" spans="1:113">
      <c r="A431" s="961" t="s">
        <v>6</v>
      </c>
      <c r="K431" s="754">
        <f>+SUM(BR431:BU431)</f>
        <v>2137</v>
      </c>
      <c r="L431" s="754">
        <f>+SUM(BV431:BY431)</f>
        <v>1968</v>
      </c>
      <c r="M431" s="754">
        <f>+SUM(BZ431:CC431)</f>
        <v>2054</v>
      </c>
      <c r="N431" s="754">
        <f>+SUM(CD431:CG431)</f>
        <v>2055</v>
      </c>
      <c r="O431" s="754">
        <f>+SUM(CH431:CK431)</f>
        <v>1716</v>
      </c>
      <c r="P431" s="754">
        <f>+SUM(CL431:CO431)</f>
        <v>1785</v>
      </c>
      <c r="Q431" s="754">
        <f>+SUM(CP431:CS431)</f>
        <v>1032</v>
      </c>
      <c r="R431" s="754">
        <f ca="1">+SUM(CT431:CW431)</f>
        <v>1062</v>
      </c>
      <c r="AD431" s="637"/>
      <c r="AE431" s="637"/>
      <c r="AF431" s="637"/>
      <c r="AG431" s="637"/>
      <c r="AH431" s="637"/>
      <c r="AI431" s="637"/>
      <c r="AJ431" s="637"/>
      <c r="AK431" s="637"/>
      <c r="AL431" s="637"/>
      <c r="AM431" s="637"/>
      <c r="AN431" s="637"/>
      <c r="AO431" s="637"/>
      <c r="AP431" s="637"/>
      <c r="AQ431" s="637"/>
      <c r="AR431" s="637"/>
      <c r="AS431" s="637"/>
      <c r="AT431" s="637"/>
      <c r="AU431" s="637"/>
      <c r="AV431" s="637"/>
      <c r="AW431" s="637"/>
      <c r="AX431" s="637"/>
      <c r="AY431" s="637"/>
      <c r="AZ431" s="637"/>
      <c r="BA431" s="637"/>
      <c r="BB431" s="637"/>
      <c r="BC431" s="637"/>
      <c r="BD431" s="637"/>
      <c r="BE431" s="637"/>
      <c r="BF431" s="637"/>
      <c r="BG431" s="637"/>
      <c r="BH431" s="637"/>
      <c r="BI431" s="637"/>
      <c r="BJ431" s="637"/>
      <c r="BK431" s="637"/>
      <c r="BL431" s="637"/>
      <c r="BM431" s="637"/>
      <c r="BN431" s="637"/>
      <c r="BO431" s="637"/>
      <c r="BP431" s="637"/>
      <c r="BQ431" s="637"/>
      <c r="BR431" s="637">
        <f>981-BS431</f>
        <v>446</v>
      </c>
      <c r="BS431" s="637">
        <v>535</v>
      </c>
      <c r="BT431" s="637">
        <v>529</v>
      </c>
      <c r="BU431" s="637">
        <v>627</v>
      </c>
      <c r="BV431" s="638">
        <f>886-BW431</f>
        <v>403</v>
      </c>
      <c r="BW431" s="638">
        <v>483</v>
      </c>
      <c r="BX431" s="638">
        <v>493</v>
      </c>
      <c r="BY431" s="638">
        <v>589</v>
      </c>
      <c r="BZ431" s="638">
        <v>433</v>
      </c>
      <c r="CA431" s="638">
        <v>528</v>
      </c>
      <c r="CB431" s="638">
        <v>445</v>
      </c>
      <c r="CC431" s="638">
        <v>648</v>
      </c>
      <c r="CD431" s="638">
        <v>422</v>
      </c>
      <c r="CE431" s="638">
        <v>455</v>
      </c>
      <c r="CF431" s="638">
        <v>479</v>
      </c>
      <c r="CG431" s="638">
        <v>699</v>
      </c>
      <c r="CH431" s="638">
        <v>341</v>
      </c>
      <c r="CI431" s="638">
        <v>412</v>
      </c>
      <c r="CJ431" s="638">
        <v>440</v>
      </c>
      <c r="CK431" s="638">
        <v>523</v>
      </c>
      <c r="CL431" s="638">
        <v>385</v>
      </c>
      <c r="CM431" s="638">
        <v>413</v>
      </c>
      <c r="CN431" s="638">
        <v>404</v>
      </c>
      <c r="CO431" s="639">
        <v>583</v>
      </c>
      <c r="CP431" s="639">
        <v>192</v>
      </c>
      <c r="CQ431" s="638">
        <v>186</v>
      </c>
      <c r="CR431" s="638">
        <v>230</v>
      </c>
      <c r="CS431" s="441">
        <v>424</v>
      </c>
      <c r="CT431" s="639">
        <v>227</v>
      </c>
      <c r="CU431" s="711">
        <v>227</v>
      </c>
      <c r="CV431" s="711">
        <v>249</v>
      </c>
      <c r="CW431" s="637">
        <f ca="1">+R431-SUM(CT431:CV431)</f>
        <v>359</v>
      </c>
      <c r="CX431" s="412"/>
      <c r="CY431" s="412"/>
      <c r="CZ431" s="638"/>
      <c r="DA431" s="1042"/>
      <c r="DB431" s="638"/>
      <c r="DC431" s="638"/>
      <c r="DD431" s="638"/>
      <c r="DE431" s="637"/>
      <c r="DF431" s="638"/>
      <c r="DG431" s="638"/>
      <c r="DH431" s="638"/>
      <c r="DI431" s="637"/>
    </row>
    <row r="432" spans="1:113">
      <c r="A432" s="961" t="s">
        <v>365</v>
      </c>
      <c r="K432" s="754">
        <f>+SUM(BR432:BU432)</f>
        <v>2066</v>
      </c>
      <c r="L432" s="754">
        <f>+SUM(BV432:BY432)</f>
        <v>2003</v>
      </c>
      <c r="M432" s="754">
        <f>+SUM(BZ432:CC432)</f>
        <v>2289</v>
      </c>
      <c r="N432" s="754">
        <f>+SUM(CD432:CG432)</f>
        <v>2744</v>
      </c>
      <c r="O432" s="754">
        <f>+SUM(CH432:CK432)</f>
        <v>3093</v>
      </c>
      <c r="P432" s="754">
        <f>+SUM(CL432:CO432)</f>
        <v>3434</v>
      </c>
      <c r="Q432" s="754">
        <f>+SUM(CP432:CS432)</f>
        <v>4284</v>
      </c>
      <c r="R432" s="754">
        <f ca="1">+SUM(CT432:CW432)</f>
        <v>4551</v>
      </c>
      <c r="AD432" s="637"/>
      <c r="AE432" s="637"/>
      <c r="AF432" s="637"/>
      <c r="AG432" s="637"/>
      <c r="AH432" s="637"/>
      <c r="AI432" s="637"/>
      <c r="AJ432" s="637"/>
      <c r="AK432" s="637"/>
      <c r="AL432" s="637"/>
      <c r="AM432" s="637"/>
      <c r="AN432" s="637"/>
      <c r="AO432" s="637"/>
      <c r="AP432" s="637"/>
      <c r="AQ432" s="637"/>
      <c r="AR432" s="637"/>
      <c r="AS432" s="637"/>
      <c r="AT432" s="637"/>
      <c r="AU432" s="637"/>
      <c r="AV432" s="637"/>
      <c r="AW432" s="637"/>
      <c r="AX432" s="637"/>
      <c r="AY432" s="637"/>
      <c r="AZ432" s="637"/>
      <c r="BA432" s="637"/>
      <c r="BB432" s="637"/>
      <c r="BC432" s="637"/>
      <c r="BD432" s="637"/>
      <c r="BE432" s="637"/>
      <c r="BF432" s="637"/>
      <c r="BG432" s="637"/>
      <c r="BH432" s="637"/>
      <c r="BI432" s="637"/>
      <c r="BJ432" s="637"/>
      <c r="BK432" s="637"/>
      <c r="BL432" s="637"/>
      <c r="BM432" s="637"/>
      <c r="BN432" s="637"/>
      <c r="BO432" s="637"/>
      <c r="BP432" s="637"/>
      <c r="BQ432" s="637"/>
      <c r="BR432" s="637">
        <f>911-BS432</f>
        <v>427</v>
      </c>
      <c r="BS432" s="637">
        <v>484</v>
      </c>
      <c r="BT432" s="637">
        <v>450</v>
      </c>
      <c r="BU432" s="637">
        <v>705</v>
      </c>
      <c r="BV432" s="638">
        <f>856-BW432</f>
        <v>406</v>
      </c>
      <c r="BW432" s="638">
        <v>450</v>
      </c>
      <c r="BX432" s="638">
        <v>477</v>
      </c>
      <c r="BY432" s="638">
        <v>670</v>
      </c>
      <c r="BZ432" s="638">
        <v>469</v>
      </c>
      <c r="CA432" s="638">
        <v>522</v>
      </c>
      <c r="CB432" s="638">
        <v>536</v>
      </c>
      <c r="CC432" s="638">
        <v>762</v>
      </c>
      <c r="CD432" s="638">
        <v>506</v>
      </c>
      <c r="CE432" s="638">
        <v>629</v>
      </c>
      <c r="CF432" s="638">
        <v>757</v>
      </c>
      <c r="CG432" s="638">
        <v>852</v>
      </c>
      <c r="CH432" s="638">
        <v>669</v>
      </c>
      <c r="CI432" s="638">
        <v>678</v>
      </c>
      <c r="CJ432" s="638">
        <v>766</v>
      </c>
      <c r="CK432" s="638">
        <v>980</v>
      </c>
      <c r="CL432" s="638">
        <f>317+453</f>
        <v>770</v>
      </c>
      <c r="CM432" s="638">
        <f>336+448</f>
        <v>784</v>
      </c>
      <c r="CN432" s="638">
        <f>296+492</f>
        <v>788</v>
      </c>
      <c r="CO432" s="639">
        <f>425+667</f>
        <v>1092</v>
      </c>
      <c r="CP432" s="639">
        <f>386+552</f>
        <v>938</v>
      </c>
      <c r="CQ432" s="638">
        <f>371+599</f>
        <v>970</v>
      </c>
      <c r="CR432" s="638">
        <f>648+369</f>
        <v>1017</v>
      </c>
      <c r="CS432" s="441">
        <f>536+823</f>
        <v>1359</v>
      </c>
      <c r="CT432" s="639">
        <f>381+553</f>
        <v>934</v>
      </c>
      <c r="CU432" s="711">
        <f>635+389</f>
        <v>1024</v>
      </c>
      <c r="CV432" s="711">
        <f>415+704</f>
        <v>1119</v>
      </c>
      <c r="CW432" s="637">
        <f ca="1">+R432-SUM(CT432:CV432)</f>
        <v>1474</v>
      </c>
      <c r="CX432" s="412"/>
      <c r="CY432" s="412"/>
      <c r="CZ432" s="638"/>
      <c r="DA432" s="1042"/>
      <c r="DB432" s="638"/>
      <c r="DC432" s="638"/>
      <c r="DD432" s="638"/>
      <c r="DE432" s="637"/>
      <c r="DF432" s="638"/>
      <c r="DG432" s="638"/>
      <c r="DH432" s="638"/>
      <c r="DI432" s="637"/>
    </row>
    <row r="433" spans="1:113">
      <c r="A433" s="961" t="s">
        <v>7</v>
      </c>
      <c r="K433" s="754">
        <f>+SUM(BR433:BU433)</f>
        <v>6134</v>
      </c>
      <c r="L433" s="754">
        <f>+SUM(BV433:BY433)</f>
        <v>6005</v>
      </c>
      <c r="M433" s="754">
        <f>+SUM(BZ433:CC433)</f>
        <v>6681</v>
      </c>
      <c r="N433" s="754">
        <f>+SUM(CD433:CG433)</f>
        <v>7321</v>
      </c>
      <c r="O433" s="754">
        <f>+SUM(CH433:CK433)</f>
        <v>7589</v>
      </c>
      <c r="P433" s="754">
        <f>+SUM(CL433:CO433)</f>
        <v>7972</v>
      </c>
      <c r="Q433" s="754">
        <f>+SUM(CP433:CS433)</f>
        <v>8351</v>
      </c>
      <c r="R433" s="754">
        <f ca="1">+SUM(CT433:CW433)</f>
        <v>8866</v>
      </c>
      <c r="S433" s="754">
        <f>+SUM(CX433:DA433)</f>
        <v>9377</v>
      </c>
      <c r="T433" s="808">
        <f>+SUM(DB433:DE433)</f>
        <v>8481.92</v>
      </c>
      <c r="U433" s="754">
        <f t="shared" ref="U433:AB433" si="949">+T433*(1+U434)</f>
        <v>8142.6431999999995</v>
      </c>
      <c r="V433" s="754">
        <f t="shared" si="949"/>
        <v>8386.9224959999992</v>
      </c>
      <c r="W433" s="754">
        <f t="shared" si="949"/>
        <v>8638.5301708799998</v>
      </c>
      <c r="X433" s="754">
        <f t="shared" si="949"/>
        <v>8984.0713777151996</v>
      </c>
      <c r="Y433" s="754">
        <f t="shared" si="949"/>
        <v>9343.4342328238072</v>
      </c>
      <c r="Z433" s="754">
        <f t="shared" si="949"/>
        <v>9717.1716021367592</v>
      </c>
      <c r="AA433" s="754">
        <f t="shared" si="949"/>
        <v>10105.858466222229</v>
      </c>
      <c r="AB433" s="754">
        <f t="shared" si="949"/>
        <v>10510.092804871119</v>
      </c>
      <c r="AD433" s="637"/>
      <c r="AE433" s="637"/>
      <c r="AF433" s="637"/>
      <c r="AG433" s="637"/>
      <c r="AH433" s="637"/>
      <c r="AI433" s="637"/>
      <c r="AJ433" s="637"/>
      <c r="AK433" s="637"/>
      <c r="AL433" s="637"/>
      <c r="AM433" s="637"/>
      <c r="AN433" s="637"/>
      <c r="AO433" s="637"/>
      <c r="AP433" s="637"/>
      <c r="AQ433" s="637"/>
      <c r="AR433" s="637"/>
      <c r="AS433" s="637"/>
      <c r="AT433" s="637"/>
      <c r="AU433" s="637"/>
      <c r="AV433" s="637"/>
      <c r="AW433" s="637"/>
      <c r="AX433" s="637"/>
      <c r="AY433" s="637"/>
      <c r="AZ433" s="637"/>
      <c r="BA433" s="637"/>
      <c r="BB433" s="637"/>
      <c r="BC433" s="637"/>
      <c r="BD433" s="637"/>
      <c r="BE433" s="637"/>
      <c r="BF433" s="637"/>
      <c r="BG433" s="637"/>
      <c r="BH433" s="637"/>
      <c r="BI433" s="637"/>
      <c r="BJ433" s="637"/>
      <c r="BK433" s="637"/>
      <c r="BL433" s="637"/>
      <c r="BM433" s="637"/>
      <c r="BN433" s="637"/>
      <c r="BO433" s="637"/>
      <c r="BP433" s="637"/>
      <c r="BQ433" s="637"/>
      <c r="BR433" s="637">
        <f t="shared" ref="BR433:CG433" si="950">SUM(BR430:BR432)</f>
        <v>1271</v>
      </c>
      <c r="BS433" s="637">
        <f t="shared" si="950"/>
        <v>1461</v>
      </c>
      <c r="BT433" s="637">
        <f t="shared" si="950"/>
        <v>1441</v>
      </c>
      <c r="BU433" s="637">
        <f t="shared" si="950"/>
        <v>1961</v>
      </c>
      <c r="BV433" s="637">
        <f t="shared" si="950"/>
        <v>1179</v>
      </c>
      <c r="BW433" s="637">
        <f t="shared" si="950"/>
        <v>1438</v>
      </c>
      <c r="BX433" s="637">
        <f t="shared" si="950"/>
        <v>1471</v>
      </c>
      <c r="BY433" s="637">
        <f t="shared" si="950"/>
        <v>1917</v>
      </c>
      <c r="BZ433" s="637">
        <f t="shared" si="950"/>
        <v>1438</v>
      </c>
      <c r="CA433" s="637">
        <f t="shared" si="950"/>
        <v>1582</v>
      </c>
      <c r="CB433" s="637">
        <f t="shared" si="950"/>
        <v>1538</v>
      </c>
      <c r="CC433" s="637">
        <f t="shared" si="950"/>
        <v>2123</v>
      </c>
      <c r="CD433" s="637">
        <f t="shared" si="950"/>
        <v>1443</v>
      </c>
      <c r="CE433" s="637">
        <f t="shared" si="950"/>
        <v>1682</v>
      </c>
      <c r="CF433" s="637">
        <f t="shared" si="950"/>
        <v>1841</v>
      </c>
      <c r="CG433" s="637">
        <f t="shared" si="950"/>
        <v>2355</v>
      </c>
      <c r="CH433" s="637">
        <f t="shared" ref="CH433:CO433" si="951">SUM(CH430:CH432)</f>
        <v>1538</v>
      </c>
      <c r="CI433" s="637">
        <f t="shared" si="951"/>
        <v>1718</v>
      </c>
      <c r="CJ433" s="637">
        <f t="shared" si="951"/>
        <v>1910</v>
      </c>
      <c r="CK433" s="640">
        <f t="shared" si="951"/>
        <v>2423</v>
      </c>
      <c r="CL433" s="637">
        <f t="shared" si="951"/>
        <v>1685</v>
      </c>
      <c r="CM433" s="637">
        <f t="shared" si="951"/>
        <v>1851</v>
      </c>
      <c r="CN433" s="637">
        <f t="shared" si="951"/>
        <v>1872</v>
      </c>
      <c r="CO433" s="637">
        <f t="shared" si="951"/>
        <v>2564</v>
      </c>
      <c r="CP433" s="637">
        <f t="shared" ref="CP433:CU433" si="952">SUM(CP430:CP432)</f>
        <v>1703</v>
      </c>
      <c r="CQ433" s="637">
        <f t="shared" si="952"/>
        <v>1887</v>
      </c>
      <c r="CR433" s="637">
        <f t="shared" si="952"/>
        <v>1951</v>
      </c>
      <c r="CS433" s="637">
        <f t="shared" si="952"/>
        <v>2810</v>
      </c>
      <c r="CT433" s="637">
        <f t="shared" si="952"/>
        <v>1712</v>
      </c>
      <c r="CU433" s="637">
        <f t="shared" si="952"/>
        <v>2054</v>
      </c>
      <c r="CV433" s="637">
        <f>SUM(CV430:CV432)</f>
        <v>2123</v>
      </c>
      <c r="CW433" s="637">
        <f ca="1">SUM(CW430:CW432)</f>
        <v>2977</v>
      </c>
      <c r="CX433" s="441">
        <v>1851</v>
      </c>
      <c r="CY433" s="441">
        <v>2124</v>
      </c>
      <c r="CZ433" s="711">
        <v>2300</v>
      </c>
      <c r="DA433" s="1043">
        <v>3102</v>
      </c>
      <c r="DB433" s="1043">
        <f>+CX433*0.9</f>
        <v>1665.9</v>
      </c>
      <c r="DC433" s="1043">
        <f>+CY433*(1-0.145)</f>
        <v>1816.02</v>
      </c>
      <c r="DD433" s="1043">
        <v>2200</v>
      </c>
      <c r="DE433" s="1043">
        <v>2800</v>
      </c>
      <c r="DF433" s="637">
        <f>+DB433*(1+DF434)</f>
        <v>1599.2640000000001</v>
      </c>
      <c r="DG433" s="637">
        <f>+DC433*(1+DG434)</f>
        <v>1743.3791999999999</v>
      </c>
      <c r="DH433" s="637">
        <f>+DD433*(1+DH434)</f>
        <v>2112</v>
      </c>
      <c r="DI433" s="637">
        <f>+U433-SUM(DF433:DH433)</f>
        <v>2687.9999999999991</v>
      </c>
    </row>
    <row r="434" spans="1:113">
      <c r="A434" s="961" t="s">
        <v>168</v>
      </c>
      <c r="L434" s="374">
        <f t="shared" ref="L434:Q434" si="953">+L433/K433-1</f>
        <v>-2.1030322791001033E-2</v>
      </c>
      <c r="M434" s="374">
        <f t="shared" si="953"/>
        <v>0.1125728559533723</v>
      </c>
      <c r="N434" s="374">
        <f t="shared" si="953"/>
        <v>9.5794042807962887E-2</v>
      </c>
      <c r="O434" s="374">
        <f t="shared" si="953"/>
        <v>3.6607020898784315E-2</v>
      </c>
      <c r="P434" s="374">
        <f t="shared" si="953"/>
        <v>5.0467782316510723E-2</v>
      </c>
      <c r="Q434" s="374">
        <f t="shared" si="953"/>
        <v>4.7541394882087307E-2</v>
      </c>
      <c r="R434" s="374">
        <f ca="1">+R433/Q433-1</f>
        <v>6.1669261166327427E-2</v>
      </c>
      <c r="S434" s="374">
        <f ca="1">+S433/R433-1</f>
        <v>5.7635912474622186E-2</v>
      </c>
      <c r="T434" s="374">
        <f>+T433/S433-1</f>
        <v>-9.5454836301589019E-2</v>
      </c>
      <c r="U434" s="742">
        <v>-0.04</v>
      </c>
      <c r="V434" s="742">
        <v>0.03</v>
      </c>
      <c r="W434" s="742">
        <v>0.03</v>
      </c>
      <c r="X434" s="742">
        <v>0.04</v>
      </c>
      <c r="Y434" s="742">
        <v>0.04</v>
      </c>
      <c r="Z434" s="742">
        <v>0.04</v>
      </c>
      <c r="AA434" s="742">
        <v>0.04</v>
      </c>
      <c r="AB434" s="742">
        <v>0.04</v>
      </c>
      <c r="AD434" s="637"/>
      <c r="AE434" s="637"/>
      <c r="AF434" s="637"/>
      <c r="AG434" s="637"/>
      <c r="AH434" s="637"/>
      <c r="AI434" s="637"/>
      <c r="AJ434" s="637"/>
      <c r="AK434" s="637"/>
      <c r="AL434" s="637"/>
      <c r="AM434" s="637"/>
      <c r="AN434" s="637"/>
      <c r="AO434" s="637"/>
      <c r="AP434" s="637"/>
      <c r="AQ434" s="637"/>
      <c r="AR434" s="637"/>
      <c r="AS434" s="637"/>
      <c r="AT434" s="637"/>
      <c r="AU434" s="637"/>
      <c r="AV434" s="637"/>
      <c r="AW434" s="637"/>
      <c r="AX434" s="637"/>
      <c r="AY434" s="637"/>
      <c r="AZ434" s="637"/>
      <c r="BA434" s="637"/>
      <c r="BB434" s="637"/>
      <c r="BC434" s="637"/>
      <c r="BD434" s="637"/>
      <c r="BE434" s="637"/>
      <c r="BF434" s="637"/>
      <c r="BG434" s="637"/>
      <c r="BH434" s="637"/>
      <c r="BI434" s="637"/>
      <c r="BJ434" s="637"/>
      <c r="BK434" s="637"/>
      <c r="BL434" s="637"/>
      <c r="BM434" s="637"/>
      <c r="BN434" s="637"/>
      <c r="BO434" s="637"/>
      <c r="BP434" s="637"/>
      <c r="BQ434" s="637"/>
      <c r="BR434" s="637"/>
      <c r="BS434" s="637"/>
      <c r="BT434" s="637"/>
      <c r="BU434" s="637"/>
      <c r="BV434" s="374">
        <f t="shared" ref="BV434:CJ434" si="954">BV433/BR433-1</f>
        <v>-7.2383949645948076E-2</v>
      </c>
      <c r="BW434" s="374">
        <f t="shared" si="954"/>
        <v>-1.5742642026009612E-2</v>
      </c>
      <c r="BX434" s="374">
        <f t="shared" si="954"/>
        <v>2.0818875780707735E-2</v>
      </c>
      <c r="BY434" s="374">
        <f t="shared" si="954"/>
        <v>-2.243753187149411E-2</v>
      </c>
      <c r="BZ434" s="374">
        <f t="shared" si="954"/>
        <v>0.21967769296013562</v>
      </c>
      <c r="CA434" s="374">
        <f t="shared" si="954"/>
        <v>0.10013908205841449</v>
      </c>
      <c r="CB434" s="374">
        <f t="shared" si="954"/>
        <v>4.554724677090416E-2</v>
      </c>
      <c r="CC434" s="374">
        <f t="shared" si="954"/>
        <v>0.10745957224830471</v>
      </c>
      <c r="CD434" s="374">
        <f t="shared" si="954"/>
        <v>3.477051460361702E-3</v>
      </c>
      <c r="CE434" s="374">
        <f t="shared" si="954"/>
        <v>6.3211125158027848E-2</v>
      </c>
      <c r="CF434" s="374">
        <f t="shared" si="954"/>
        <v>0.19700910273081917</v>
      </c>
      <c r="CG434" s="374">
        <f t="shared" si="954"/>
        <v>0.1092793217145549</v>
      </c>
      <c r="CH434" s="374">
        <f t="shared" si="954"/>
        <v>6.5835065835065931E-2</v>
      </c>
      <c r="CI434" s="374">
        <f t="shared" si="954"/>
        <v>2.1403091557669507E-2</v>
      </c>
      <c r="CJ434" s="374">
        <f t="shared" si="954"/>
        <v>3.7479630635524064E-2</v>
      </c>
      <c r="CK434" s="588">
        <f>+CK433/CG433-1</f>
        <v>2.8874734607218677E-2</v>
      </c>
      <c r="CL434" s="374">
        <f>CL433/CH433-1</f>
        <v>9.5578673602080721E-2</v>
      </c>
      <c r="CM434" s="374">
        <f>CM433/CI433-1</f>
        <v>7.7415599534342183E-2</v>
      </c>
      <c r="CN434" s="374">
        <f>CN433/CJ433-1</f>
        <v>-1.9895287958115238E-2</v>
      </c>
      <c r="CO434" s="588">
        <f>+CO433/CK433-1</f>
        <v>5.8192323565827486E-2</v>
      </c>
      <c r="CP434" s="374">
        <f>CP433/CL433-1</f>
        <v>1.0682492581602476E-2</v>
      </c>
      <c r="CQ434" s="374">
        <f>CQ433/CM433-1</f>
        <v>1.9448946515397081E-2</v>
      </c>
      <c r="CR434" s="374">
        <f>CR433/CN433-1</f>
        <v>4.2200854700854773E-2</v>
      </c>
      <c r="CS434" s="588">
        <f>+CS433/CO433-1</f>
        <v>9.594383775351023E-2</v>
      </c>
      <c r="CT434" s="374">
        <f>CT433/CP433-1</f>
        <v>5.2847915443334781E-3</v>
      </c>
      <c r="CU434" s="374">
        <f>CU433/CQ433-1</f>
        <v>8.8500264970853282E-2</v>
      </c>
      <c r="CV434" s="374">
        <f>CV433/CR433-1</f>
        <v>8.8159917990773939E-2</v>
      </c>
      <c r="CW434" s="412">
        <f t="shared" ref="CW434:DE434" ca="1" si="955">+CW433/CS433-1</f>
        <v>5.9430604982206425E-2</v>
      </c>
      <c r="CX434" s="374">
        <f t="shared" si="955"/>
        <v>8.1191588785046731E-2</v>
      </c>
      <c r="CY434" s="374">
        <f t="shared" si="955"/>
        <v>3.4079844206426513E-2</v>
      </c>
      <c r="CZ434" s="374">
        <f t="shared" si="955"/>
        <v>8.3372585963259471E-2</v>
      </c>
      <c r="DA434" s="1012">
        <f t="shared" ca="1" si="955"/>
        <v>4.1988579106483126E-2</v>
      </c>
      <c r="DB434" s="1012">
        <f t="shared" si="955"/>
        <v>-9.9999999999999978E-2</v>
      </c>
      <c r="DC434" s="1012">
        <f t="shared" si="955"/>
        <v>-0.14500000000000002</v>
      </c>
      <c r="DD434" s="1012">
        <f t="shared" si="955"/>
        <v>-4.3478260869565188E-2</v>
      </c>
      <c r="DE434" s="1012">
        <f t="shared" si="955"/>
        <v>-9.7356544165054792E-2</v>
      </c>
      <c r="DF434" s="446">
        <v>-0.04</v>
      </c>
      <c r="DG434" s="446">
        <v>-0.04</v>
      </c>
      <c r="DH434" s="446">
        <v>-0.04</v>
      </c>
      <c r="DI434" s="374">
        <f>+DI433/DE433-1</f>
        <v>-4.0000000000000369E-2</v>
      </c>
    </row>
    <row r="435" spans="1:113">
      <c r="A435" s="961"/>
      <c r="AD435" s="637"/>
      <c r="AE435" s="637"/>
      <c r="AF435" s="637"/>
      <c r="AG435" s="637"/>
      <c r="AH435" s="637"/>
      <c r="AI435" s="637"/>
      <c r="AJ435" s="637"/>
      <c r="AK435" s="637"/>
      <c r="AL435" s="637"/>
      <c r="AM435" s="637"/>
      <c r="AN435" s="637"/>
      <c r="AO435" s="637"/>
      <c r="AP435" s="637"/>
      <c r="AQ435" s="637"/>
      <c r="AR435" s="637"/>
      <c r="AS435" s="637"/>
      <c r="AT435" s="637"/>
      <c r="AU435" s="637"/>
      <c r="AV435" s="637"/>
      <c r="AW435" s="637"/>
      <c r="AX435" s="637"/>
      <c r="AY435" s="637"/>
      <c r="AZ435" s="637"/>
      <c r="BA435" s="637"/>
      <c r="BB435" s="637"/>
      <c r="BC435" s="637"/>
      <c r="BD435" s="637"/>
      <c r="BE435" s="637"/>
      <c r="BF435" s="637"/>
      <c r="BG435" s="637"/>
      <c r="BH435" s="637"/>
      <c r="BI435" s="637"/>
      <c r="BJ435" s="637"/>
      <c r="BK435" s="637"/>
      <c r="BL435" s="637"/>
      <c r="BM435" s="637"/>
      <c r="BN435" s="637"/>
      <c r="BO435" s="637"/>
      <c r="BP435" s="637"/>
      <c r="BQ435" s="637"/>
      <c r="BR435" s="637"/>
      <c r="BS435" s="637"/>
      <c r="BT435" s="637"/>
      <c r="BU435" s="637"/>
      <c r="BV435" s="374"/>
      <c r="BW435" s="374"/>
      <c r="BX435" s="374"/>
      <c r="BY435" s="374"/>
      <c r="BZ435" s="374"/>
      <c r="CA435" s="374"/>
      <c r="CB435" s="374"/>
      <c r="CC435" s="374"/>
      <c r="CD435" s="374"/>
      <c r="CE435" s="374"/>
      <c r="CF435" s="374"/>
      <c r="CG435" s="374"/>
      <c r="CH435" s="640"/>
      <c r="CI435" s="640"/>
      <c r="CJ435" s="640"/>
      <c r="CK435" s="640"/>
      <c r="CL435" s="637"/>
      <c r="CM435" s="637"/>
      <c r="CN435" s="637"/>
      <c r="CO435" s="637"/>
      <c r="CP435" s="637"/>
      <c r="CQ435" s="637"/>
      <c r="CR435" s="637"/>
      <c r="CS435" s="637"/>
      <c r="CT435" s="637"/>
      <c r="CU435" s="637"/>
      <c r="CV435" s="637"/>
      <c r="CW435" s="637"/>
      <c r="CX435" s="412">
        <f t="shared" ref="CX435:DE435" si="956">((1+CT434)*(1+CX434))^(1/2)-1</f>
        <v>4.2547582104175419E-2</v>
      </c>
      <c r="CY435" s="412">
        <f t="shared" si="956"/>
        <v>6.0941178586124023E-2</v>
      </c>
      <c r="CZ435" s="412">
        <f t="shared" si="956"/>
        <v>8.5763613451488308E-2</v>
      </c>
      <c r="DA435" s="412">
        <f t="shared" ca="1" si="956"/>
        <v>5.0673398705483041E-2</v>
      </c>
      <c r="DB435" s="412">
        <f t="shared" si="956"/>
        <v>-1.355566304705158E-2</v>
      </c>
      <c r="DC435" s="412">
        <f t="shared" si="956"/>
        <v>-5.9713731464457354E-2</v>
      </c>
      <c r="DD435" s="412">
        <f t="shared" si="956"/>
        <v>1.7973197118575035E-2</v>
      </c>
      <c r="DE435" s="412">
        <f t="shared" ca="1" si="956"/>
        <v>-3.018343384678146E-2</v>
      </c>
      <c r="DF435" s="412">
        <f t="shared" ref="DF435" si="957">((1+DB434)*(1+DF434))^(1/2)-1</f>
        <v>-7.0483996910220004E-2</v>
      </c>
      <c r="DG435" s="412">
        <f t="shared" ref="DG435" si="958">((1+DC434)*(1+DG434))^(1/2)-1</f>
        <v>-9.4019867767510035E-2</v>
      </c>
      <c r="DH435" s="412">
        <f t="shared" ref="DH435" si="959">((1+DD434)*(1+DH434))^(1/2)-1</f>
        <v>-4.1740708594371401E-2</v>
      </c>
      <c r="DI435" s="412">
        <f t="shared" ref="DI435" si="960">((1+DE434)*(1+DI434))^(1/2)-1</f>
        <v>-6.9119923082706092E-2</v>
      </c>
    </row>
    <row r="436" spans="1:113">
      <c r="A436" s="962" t="s">
        <v>408</v>
      </c>
      <c r="AD436" s="637"/>
      <c r="AE436" s="637"/>
      <c r="AF436" s="637"/>
      <c r="AG436" s="637"/>
      <c r="AH436" s="637"/>
      <c r="AI436" s="637"/>
      <c r="AJ436" s="637"/>
      <c r="AK436" s="637"/>
      <c r="AL436" s="637"/>
      <c r="AM436" s="637"/>
      <c r="AN436" s="637"/>
      <c r="AO436" s="637"/>
      <c r="AP436" s="637"/>
      <c r="AQ436" s="637"/>
      <c r="AR436" s="637"/>
      <c r="AS436" s="637"/>
      <c r="AT436" s="637"/>
      <c r="AU436" s="637"/>
      <c r="AV436" s="637"/>
      <c r="AW436" s="637"/>
      <c r="AX436" s="637"/>
      <c r="AY436" s="637"/>
      <c r="AZ436" s="637"/>
      <c r="BA436" s="637"/>
      <c r="BB436" s="637"/>
      <c r="BC436" s="637"/>
      <c r="BD436" s="637"/>
      <c r="BE436" s="637"/>
      <c r="BF436" s="637"/>
      <c r="BG436" s="637"/>
      <c r="BH436" s="637"/>
      <c r="BI436" s="637"/>
      <c r="BJ436" s="637"/>
      <c r="BK436" s="637"/>
      <c r="BL436" s="637"/>
      <c r="BM436" s="637"/>
      <c r="BN436" s="637"/>
      <c r="BO436" s="637"/>
      <c r="BP436" s="637"/>
      <c r="BQ436" s="637"/>
      <c r="BR436" s="637"/>
      <c r="BS436" s="637"/>
      <c r="BT436" s="637"/>
      <c r="BU436" s="637"/>
      <c r="BV436" s="374"/>
      <c r="BW436" s="374"/>
      <c r="BX436" s="374"/>
      <c r="BY436" s="374"/>
      <c r="BZ436" s="374"/>
      <c r="CA436" s="374"/>
      <c r="CB436" s="374"/>
      <c r="CC436" s="374"/>
      <c r="CD436" s="374"/>
      <c r="CE436" s="374"/>
      <c r="CF436" s="374"/>
      <c r="CG436" s="374"/>
      <c r="CH436" s="640"/>
      <c r="CI436" s="637"/>
      <c r="CJ436" s="637"/>
      <c r="CK436" s="637"/>
      <c r="CL436" s="637"/>
      <c r="CM436" s="637"/>
      <c r="CN436" s="637"/>
      <c r="CO436" s="637"/>
      <c r="CP436" s="637"/>
      <c r="CQ436" s="637"/>
      <c r="CR436" s="637"/>
      <c r="CS436" s="637"/>
      <c r="CT436" s="637"/>
      <c r="CU436" s="637"/>
      <c r="CV436" s="637"/>
      <c r="CW436" s="637"/>
      <c r="CX436" s="637"/>
      <c r="CY436" s="637"/>
      <c r="CZ436" s="637"/>
      <c r="DA436" s="1042"/>
      <c r="DB436" s="1042"/>
      <c r="DC436" s="1042"/>
      <c r="DD436" s="1042"/>
      <c r="DE436" s="1042"/>
      <c r="DF436" s="637"/>
      <c r="DG436" s="637"/>
      <c r="DH436" s="637"/>
      <c r="DI436" s="637"/>
    </row>
    <row r="437" spans="1:113">
      <c r="A437" s="963" t="s">
        <v>488</v>
      </c>
      <c r="K437" s="641"/>
      <c r="L437" s="641">
        <f t="shared" ref="L437:W437" si="961">L130/(L433/1000)</f>
        <v>67.110741049125735</v>
      </c>
      <c r="M437" s="641">
        <f t="shared" si="961"/>
        <v>68.702290076335871</v>
      </c>
      <c r="N437" s="641">
        <f t="shared" si="961"/>
        <v>70.482174566316075</v>
      </c>
      <c r="O437" s="641">
        <f t="shared" si="961"/>
        <v>73.92278297535907</v>
      </c>
      <c r="P437" s="641">
        <f t="shared" si="961"/>
        <v>76.392373306573006</v>
      </c>
      <c r="Q437" s="641">
        <f t="shared" si="961"/>
        <v>76.996766854268941</v>
      </c>
      <c r="R437" s="641">
        <f t="shared" ca="1" si="961"/>
        <v>78.050981276787738</v>
      </c>
      <c r="S437" s="641">
        <f t="shared" ref="S437" si="962">S130/(S433/1000)</f>
        <v>79.556361309587288</v>
      </c>
      <c r="T437" s="641">
        <f t="shared" ref="T437" si="963">T130/(T433/1000)</f>
        <v>82.292688447898584</v>
      </c>
      <c r="U437" s="641">
        <f t="shared" si="961"/>
        <v>85.86278224741568</v>
      </c>
      <c r="V437" s="641">
        <f t="shared" si="961"/>
        <v>87.53002073765677</v>
      </c>
      <c r="W437" s="641">
        <f t="shared" si="961"/>
        <v>90.870536939970421</v>
      </c>
      <c r="X437" s="641">
        <f>X130/(X433/1000)</f>
        <v>92.166351583526904</v>
      </c>
      <c r="Y437" s="641">
        <f>Y130/(Y433/1000)</f>
        <v>93.480713379627275</v>
      </c>
      <c r="Z437" s="641">
        <f>Z130/(Z433/1000)</f>
        <v>94.813888465262664</v>
      </c>
      <c r="AA437" s="641">
        <f>AA130/(AA433/1000)</f>
        <v>96.166146802765269</v>
      </c>
      <c r="AB437" s="641">
        <f>AB130/(AB433/1000)</f>
        <v>97.537762234854824</v>
      </c>
      <c r="AD437" s="641"/>
      <c r="AE437" s="641"/>
      <c r="AF437" s="641"/>
      <c r="AG437" s="641"/>
      <c r="AH437" s="641"/>
      <c r="AI437" s="641"/>
      <c r="AJ437" s="641"/>
      <c r="AK437" s="641"/>
      <c r="AL437" s="641"/>
      <c r="AM437" s="641"/>
      <c r="AN437" s="641"/>
      <c r="AO437" s="641"/>
      <c r="AP437" s="641"/>
      <c r="AQ437" s="641"/>
      <c r="AR437" s="641"/>
      <c r="AS437" s="641"/>
      <c r="AT437" s="641"/>
      <c r="AU437" s="641"/>
      <c r="AV437" s="641"/>
      <c r="AW437" s="641"/>
      <c r="AX437" s="641"/>
      <c r="AY437" s="641"/>
      <c r="AZ437" s="641"/>
      <c r="BA437" s="641"/>
      <c r="BB437" s="641"/>
      <c r="BC437" s="641"/>
      <c r="BD437" s="641"/>
      <c r="BE437" s="641"/>
      <c r="BF437" s="641"/>
      <c r="BG437" s="641"/>
      <c r="BH437" s="641"/>
      <c r="BI437" s="641"/>
      <c r="BJ437" s="641"/>
      <c r="BK437" s="641"/>
      <c r="BL437" s="641"/>
      <c r="BM437" s="641"/>
      <c r="BN437" s="641"/>
      <c r="BO437" s="641"/>
      <c r="BP437" s="641"/>
      <c r="BQ437" s="641"/>
      <c r="BR437" s="641">
        <v>67.820613690007875</v>
      </c>
      <c r="BS437" s="641">
        <v>67.830253251197803</v>
      </c>
      <c r="BT437" s="641">
        <v>69.257460097154748</v>
      </c>
      <c r="BU437" s="641">
        <v>69.505354411014764</v>
      </c>
      <c r="BV437" s="641">
        <f t="shared" ref="BV437:CX437" si="964">BV130/(BV433/1000)</f>
        <v>63.613231552162844</v>
      </c>
      <c r="BW437" s="641">
        <f t="shared" si="964"/>
        <v>65.368567454798338</v>
      </c>
      <c r="BX437" s="641">
        <f t="shared" si="964"/>
        <v>69.340584636301827</v>
      </c>
      <c r="BY437" s="641">
        <f t="shared" si="964"/>
        <v>68.85758998435054</v>
      </c>
      <c r="BZ437" s="641">
        <f t="shared" si="964"/>
        <v>66.063977746870663</v>
      </c>
      <c r="CA437" s="641">
        <f t="shared" si="964"/>
        <v>67.003792667509472</v>
      </c>
      <c r="CB437" s="641">
        <f t="shared" si="964"/>
        <v>69.570871261378414</v>
      </c>
      <c r="CC437" s="641">
        <f t="shared" si="964"/>
        <v>71.12576542628355</v>
      </c>
      <c r="CD437" s="641">
        <f t="shared" si="964"/>
        <v>69.993069993069994</v>
      </c>
      <c r="CE437" s="641">
        <f t="shared" si="964"/>
        <v>68.965517241379317</v>
      </c>
      <c r="CF437" s="641">
        <f t="shared" si="964"/>
        <v>71.700162954915811</v>
      </c>
      <c r="CG437" s="641">
        <f t="shared" si="964"/>
        <v>70.912951167728238</v>
      </c>
      <c r="CH437" s="641">
        <f t="shared" si="964"/>
        <v>73.47204161248375</v>
      </c>
      <c r="CI437" s="641">
        <f t="shared" si="964"/>
        <v>74.505238649592556</v>
      </c>
      <c r="CJ437" s="641">
        <f t="shared" si="964"/>
        <v>73.298429319371735</v>
      </c>
      <c r="CK437" s="641">
        <f t="shared" si="964"/>
        <v>74.288072637226577</v>
      </c>
      <c r="CL437" s="641">
        <f t="shared" si="964"/>
        <v>74.777448071216611</v>
      </c>
      <c r="CM437" s="641">
        <f t="shared" si="964"/>
        <v>74.014046461372232</v>
      </c>
      <c r="CN437" s="641">
        <f t="shared" si="964"/>
        <v>79.059829059829056</v>
      </c>
      <c r="CO437" s="641">
        <f t="shared" si="964"/>
        <v>77.223088923556944</v>
      </c>
      <c r="CP437" s="641">
        <f t="shared" si="964"/>
        <v>75.748678802113915</v>
      </c>
      <c r="CQ437" s="641">
        <f t="shared" si="964"/>
        <v>77.371489136195024</v>
      </c>
      <c r="CR437" s="641">
        <f t="shared" si="964"/>
        <v>78.42132239876986</v>
      </c>
      <c r="CS437" s="641">
        <f t="shared" si="964"/>
        <v>76.512455516014228</v>
      </c>
      <c r="CT437" s="641">
        <f t="shared" si="964"/>
        <v>78.271028037383175</v>
      </c>
      <c r="CU437" s="641">
        <f t="shared" si="964"/>
        <v>78.383641674780918</v>
      </c>
      <c r="CV437" s="641">
        <f t="shared" si="964"/>
        <v>78.191238813000467</v>
      </c>
      <c r="CW437" s="641">
        <f t="shared" ca="1" si="964"/>
        <v>77.594894188780657</v>
      </c>
      <c r="CX437" s="641">
        <f t="shared" si="964"/>
        <v>78.336034575904918</v>
      </c>
      <c r="CY437" s="641">
        <f t="shared" ref="CY437:DA437" si="965">CY130/(CY433/1000)</f>
        <v>80.508474576271183</v>
      </c>
      <c r="CZ437" s="641">
        <f t="shared" si="965"/>
        <v>79.130434782608702</v>
      </c>
      <c r="DA437" s="1044">
        <f t="shared" si="965"/>
        <v>79.948420373952288</v>
      </c>
      <c r="DB437" s="1044">
        <f t="shared" ref="DB437:DC437" si="966">DB130/(DB433/1000)</f>
        <v>84.038657782579975</v>
      </c>
      <c r="DC437" s="1044">
        <f t="shared" si="966"/>
        <v>82.598209270823006</v>
      </c>
      <c r="DD437" s="1044">
        <f t="shared" ref="DD437:DE437" si="967">DD130/(DD433/1000)</f>
        <v>82.272727272727266</v>
      </c>
      <c r="DE437" s="1044">
        <f t="shared" si="967"/>
        <v>81.071428571428584</v>
      </c>
      <c r="DF437" s="641">
        <f t="shared" ref="DF437:DI437" si="968">DF130/(DF433/1000)</f>
        <v>86.458052248459254</v>
      </c>
      <c r="DG437" s="641">
        <f t="shared" si="968"/>
        <v>86.42290250075196</v>
      </c>
      <c r="DH437" s="641">
        <f t="shared" si="968"/>
        <v>85.648689916832666</v>
      </c>
      <c r="DI437" s="641">
        <f t="shared" si="968"/>
        <v>85.313551265301541</v>
      </c>
    </row>
    <row r="438" spans="1:113">
      <c r="A438" s="947" t="s">
        <v>410</v>
      </c>
      <c r="K438" s="377"/>
      <c r="L438" s="377">
        <f t="shared" ref="L438:W438" si="969">L152/(L433/1000)</f>
        <v>2.8309741881765196</v>
      </c>
      <c r="M438" s="377">
        <f t="shared" si="969"/>
        <v>2.6942074539739558</v>
      </c>
      <c r="N438" s="377">
        <f t="shared" si="969"/>
        <v>2.7318672312525614</v>
      </c>
      <c r="O438" s="377">
        <f t="shared" si="969"/>
        <v>2.7671629990776121</v>
      </c>
      <c r="P438" s="377">
        <f t="shared" si="969"/>
        <v>2.7596588058203713</v>
      </c>
      <c r="Q438" s="377">
        <f t="shared" si="969"/>
        <v>2.7137671720088341</v>
      </c>
      <c r="R438" s="377">
        <f t="shared" ca="1" si="969"/>
        <v>2.7051222510028339</v>
      </c>
      <c r="S438" s="377">
        <f t="shared" ref="S438" si="970">S152/(S433/1000)</f>
        <v>2.6660978991148552</v>
      </c>
      <c r="T438" s="377">
        <f t="shared" ref="T438" si="971">T152/(T433/1000)</f>
        <v>2.7116501924092655</v>
      </c>
      <c r="U438" s="377">
        <f t="shared" si="969"/>
        <v>2.9658673979476347</v>
      </c>
      <c r="V438" s="377">
        <f t="shared" si="969"/>
        <v>3.0234570561602108</v>
      </c>
      <c r="W438" s="377">
        <f t="shared" si="969"/>
        <v>3.0821649601633214</v>
      </c>
      <c r="X438" s="377">
        <f>X152/(X433/1000)</f>
        <v>3.1118011617033532</v>
      </c>
      <c r="Y438" s="377">
        <f>Y152/(Y433/1000)</f>
        <v>3.1417223267197318</v>
      </c>
      <c r="Z438" s="377">
        <f>Z152/(Z433/1000)</f>
        <v>3.1719311952458833</v>
      </c>
      <c r="AA438" s="377">
        <f>AA152/(AA433/1000)</f>
        <v>3.2024305336617096</v>
      </c>
      <c r="AB438" s="377">
        <f>AB152/(AB433/1000)</f>
        <v>3.2332231349469183</v>
      </c>
      <c r="AD438" s="399"/>
      <c r="AE438" s="399"/>
      <c r="AF438" s="399"/>
      <c r="AG438" s="399"/>
      <c r="AH438" s="399"/>
      <c r="AI438" s="399"/>
      <c r="AJ438" s="399"/>
      <c r="AK438" s="399"/>
      <c r="AL438" s="399"/>
      <c r="AM438" s="399"/>
      <c r="AN438" s="399"/>
      <c r="AO438" s="399"/>
      <c r="AP438" s="399"/>
      <c r="AQ438" s="399"/>
      <c r="AR438" s="399"/>
      <c r="AS438" s="399"/>
      <c r="AT438" s="399"/>
      <c r="AU438" s="399"/>
      <c r="AV438" s="399"/>
      <c r="AW438" s="399"/>
      <c r="AX438" s="399"/>
      <c r="AY438" s="399"/>
      <c r="AZ438" s="399"/>
      <c r="BA438" s="399"/>
      <c r="BB438" s="399"/>
      <c r="BC438" s="399"/>
      <c r="BD438" s="399"/>
      <c r="BE438" s="399"/>
      <c r="BF438" s="399"/>
      <c r="BG438" s="399"/>
      <c r="BH438" s="399"/>
      <c r="BI438" s="399"/>
      <c r="BJ438" s="399"/>
      <c r="BK438" s="399"/>
      <c r="BL438" s="399"/>
      <c r="BM438" s="399"/>
      <c r="BN438" s="399"/>
      <c r="BO438" s="399"/>
      <c r="BP438" s="399"/>
      <c r="BQ438" s="399"/>
      <c r="BR438" s="576" t="s">
        <v>74</v>
      </c>
      <c r="BS438" s="576" t="s">
        <v>74</v>
      </c>
      <c r="BT438" s="576" t="s">
        <v>74</v>
      </c>
      <c r="BU438" s="576" t="s">
        <v>74</v>
      </c>
      <c r="BV438" s="377">
        <f t="shared" ref="BV438:CN438" si="972">BV152/(BV433/1000)</f>
        <v>2.5445292620865141</v>
      </c>
      <c r="BW438" s="377">
        <f t="shared" si="972"/>
        <v>3.4770514603616136</v>
      </c>
      <c r="BX438" s="377">
        <f t="shared" si="972"/>
        <v>2.0394289598912305</v>
      </c>
      <c r="BY438" s="377">
        <f t="shared" si="972"/>
        <v>3.1298904538341157</v>
      </c>
      <c r="BZ438" s="377">
        <f t="shared" si="972"/>
        <v>2.781641168289291</v>
      </c>
      <c r="CA438" s="377">
        <f t="shared" si="972"/>
        <v>2.5284450063211126</v>
      </c>
      <c r="CB438" s="377">
        <f t="shared" si="972"/>
        <v>3.2509752925877762</v>
      </c>
      <c r="CC438" s="377">
        <f t="shared" si="972"/>
        <v>2.3551577955723033</v>
      </c>
      <c r="CD438" s="377">
        <f t="shared" si="972"/>
        <v>2.772002772002772</v>
      </c>
      <c r="CE438" s="377">
        <f t="shared" si="972"/>
        <v>2.3781212841854935</v>
      </c>
      <c r="CF438" s="377">
        <f t="shared" si="972"/>
        <v>2.7159152634437804</v>
      </c>
      <c r="CG438" s="377">
        <f t="shared" si="972"/>
        <v>2.9723991507431</v>
      </c>
      <c r="CH438" s="377">
        <f t="shared" si="972"/>
        <v>2.6007802340702209</v>
      </c>
      <c r="CI438" s="377">
        <f t="shared" si="972"/>
        <v>2.9103608847497089</v>
      </c>
      <c r="CJ438" s="377">
        <f t="shared" si="972"/>
        <v>2.6178010471204192</v>
      </c>
      <c r="CK438" s="377">
        <f t="shared" si="972"/>
        <v>2.8889806025588114</v>
      </c>
      <c r="CL438" s="377">
        <f t="shared" si="972"/>
        <v>2.9673590504451037</v>
      </c>
      <c r="CM438" s="377">
        <f t="shared" si="972"/>
        <v>2.7012425715829282</v>
      </c>
      <c r="CN438" s="377">
        <f t="shared" si="972"/>
        <v>2.6709401709401708</v>
      </c>
      <c r="CO438" s="377">
        <f>+CO152/(CO433/1000)</f>
        <v>2.7301092043681745</v>
      </c>
      <c r="CP438" s="377">
        <f>CP152/(CP433/1000)</f>
        <v>2.7379152398389759</v>
      </c>
      <c r="CQ438" s="377">
        <f>CQ152/(CQ433/1000)</f>
        <v>2.6497085320614731</v>
      </c>
      <c r="CR438" s="377">
        <f>CR152/(CR433/1000)</f>
        <v>2.5627883136852896</v>
      </c>
      <c r="CS438" s="377">
        <f>+CS152/(CS433/1000)</f>
        <v>2.8469750889679717</v>
      </c>
      <c r="CT438" s="377">
        <f>CT152/(CT433/1000)</f>
        <v>2.9205607476635516</v>
      </c>
      <c r="CU438" s="377">
        <f>CU152/(CU433/1000)</f>
        <v>2.42629692180678</v>
      </c>
      <c r="CV438" s="377">
        <f>CV152/(CV433/1000)</f>
        <v>2.3551577955723033</v>
      </c>
      <c r="CW438" s="377">
        <f ca="1">+CW152/(CW433/1000)</f>
        <v>3.0231776956667789</v>
      </c>
      <c r="CX438" s="377">
        <f>CX152/(CX433/1000)</f>
        <v>2.7012425715829282</v>
      </c>
      <c r="CY438" s="377">
        <f t="shared" ref="CY438:DA438" si="973">CY152/(CY433/1000)</f>
        <v>2.8248587570621466</v>
      </c>
      <c r="CZ438" s="377">
        <f t="shared" si="973"/>
        <v>2.6086956521739131</v>
      </c>
      <c r="DA438" s="1045">
        <f t="shared" si="973"/>
        <v>2.5789813023855577</v>
      </c>
      <c r="DB438" s="1045">
        <f t="shared" ref="DB438:DC438" si="974">DB152/(DB433/1000)</f>
        <v>2.4011045080737139</v>
      </c>
      <c r="DC438" s="1045">
        <f t="shared" si="974"/>
        <v>2.7532736423607669</v>
      </c>
      <c r="DD438" s="1045">
        <f t="shared" ref="DD438:DE438" si="975">DD152/(DD433/1000)</f>
        <v>2.7272727272727271</v>
      </c>
      <c r="DE438" s="1045">
        <f t="shared" si="975"/>
        <v>2.8571428571428572</v>
      </c>
      <c r="DF438" s="377">
        <f>U438</f>
        <v>2.9658673979476347</v>
      </c>
      <c r="DG438" s="377">
        <f>(U438*4-DF438)/3</f>
        <v>2.9658673979476347</v>
      </c>
      <c r="DH438" s="377">
        <f>(U438*4-DG438-DF438)/2</f>
        <v>2.9658673979476342</v>
      </c>
      <c r="DI438" s="377">
        <f>+DI152/(DI433/1000)</f>
        <v>2.9658673979476364</v>
      </c>
    </row>
    <row r="439" spans="1:113">
      <c r="A439" s="947" t="s">
        <v>369</v>
      </c>
      <c r="K439" s="641"/>
      <c r="L439" s="641">
        <f t="shared" ref="L439:W439" si="976">L164/(L433/1000)</f>
        <v>64.279766860949209</v>
      </c>
      <c r="M439" s="641">
        <f t="shared" si="976"/>
        <v>66.008082622361925</v>
      </c>
      <c r="N439" s="641">
        <f t="shared" si="976"/>
        <v>67.750307335063525</v>
      </c>
      <c r="O439" s="641">
        <f t="shared" si="976"/>
        <v>71.155619976281457</v>
      </c>
      <c r="P439" s="641">
        <f t="shared" si="976"/>
        <v>73.632714500752627</v>
      </c>
      <c r="Q439" s="641">
        <f t="shared" si="976"/>
        <v>74.282999682260112</v>
      </c>
      <c r="R439" s="641">
        <f t="shared" ca="1" si="976"/>
        <v>75.345859025784904</v>
      </c>
      <c r="S439" s="641">
        <f t="shared" ref="S439" si="977">S164/(S433/1000)</f>
        <v>76.890263410472429</v>
      </c>
      <c r="T439" s="641">
        <f t="shared" ref="T439" si="978">T164/(T433/1000)</f>
        <v>79.581038255489318</v>
      </c>
      <c r="U439" s="641">
        <f t="shared" si="976"/>
        <v>82.896914849468047</v>
      </c>
      <c r="V439" s="641">
        <f t="shared" si="976"/>
        <v>84.506563681496559</v>
      </c>
      <c r="W439" s="641">
        <f t="shared" si="976"/>
        <v>87.78837197980711</v>
      </c>
      <c r="X439" s="641">
        <f>X164/(X433/1000)</f>
        <v>89.054550421823549</v>
      </c>
      <c r="Y439" s="641">
        <f>Y164/(Y433/1000)</f>
        <v>90.338991052907545</v>
      </c>
      <c r="Z439" s="641">
        <f>Z164/(Z433/1000)</f>
        <v>91.641957270016789</v>
      </c>
      <c r="AA439" s="641">
        <f>AA164/(AA433/1000)</f>
        <v>92.963716269103571</v>
      </c>
      <c r="AB439" s="641">
        <f>AB164/(AB433/1000)</f>
        <v>94.304539099907913</v>
      </c>
      <c r="AD439" s="399"/>
      <c r="AE439" s="399"/>
      <c r="AF439" s="399"/>
      <c r="AG439" s="399"/>
      <c r="AH439" s="399"/>
      <c r="AI439" s="399"/>
      <c r="AJ439" s="399"/>
      <c r="AK439" s="399"/>
      <c r="AL439" s="399"/>
      <c r="AM439" s="399"/>
      <c r="AN439" s="399"/>
      <c r="AO439" s="399"/>
      <c r="AP439" s="399"/>
      <c r="AQ439" s="399"/>
      <c r="AR439" s="399"/>
      <c r="AS439" s="399"/>
      <c r="AT439" s="399"/>
      <c r="AU439" s="399"/>
      <c r="AV439" s="399"/>
      <c r="AW439" s="399"/>
      <c r="AX439" s="399"/>
      <c r="AY439" s="399"/>
      <c r="AZ439" s="399"/>
      <c r="BA439" s="399"/>
      <c r="BB439" s="399"/>
      <c r="BC439" s="399"/>
      <c r="BD439" s="399"/>
      <c r="BE439" s="399"/>
      <c r="BF439" s="399"/>
      <c r="BG439" s="399"/>
      <c r="BH439" s="399"/>
      <c r="BI439" s="399"/>
      <c r="BJ439" s="399"/>
      <c r="BK439" s="399"/>
      <c r="BL439" s="399"/>
      <c r="BM439" s="399"/>
      <c r="BN439" s="399"/>
      <c r="BO439" s="399"/>
      <c r="BP439" s="399"/>
      <c r="BQ439" s="399"/>
      <c r="BR439" s="576" t="s">
        <v>74</v>
      </c>
      <c r="BS439" s="576" t="s">
        <v>74</v>
      </c>
      <c r="BT439" s="576" t="s">
        <v>74</v>
      </c>
      <c r="BU439" s="576" t="s">
        <v>74</v>
      </c>
      <c r="BV439" s="377">
        <f t="shared" ref="BV439:CX439" si="979">BV164/(BV433/1000)</f>
        <v>61.068702290076331</v>
      </c>
      <c r="BW439" s="377">
        <f t="shared" si="979"/>
        <v>61.891515994436723</v>
      </c>
      <c r="BX439" s="377">
        <f t="shared" si="979"/>
        <v>67.301155676410602</v>
      </c>
      <c r="BY439" s="377">
        <f t="shared" si="979"/>
        <v>65.727699530516432</v>
      </c>
      <c r="BZ439" s="377">
        <f t="shared" si="979"/>
        <v>63.282336578581365</v>
      </c>
      <c r="CA439" s="377">
        <f t="shared" si="979"/>
        <v>64.475347661188366</v>
      </c>
      <c r="CB439" s="377">
        <f t="shared" si="979"/>
        <v>66.319895968790632</v>
      </c>
      <c r="CC439" s="377">
        <f t="shared" si="979"/>
        <v>68.770607630711254</v>
      </c>
      <c r="CD439" s="377">
        <f t="shared" si="979"/>
        <v>67.221067221067216</v>
      </c>
      <c r="CE439" s="377">
        <f t="shared" si="979"/>
        <v>66.58739595719382</v>
      </c>
      <c r="CF439" s="377">
        <f t="shared" si="979"/>
        <v>68.984247691472021</v>
      </c>
      <c r="CG439" s="377">
        <f t="shared" si="979"/>
        <v>67.940552016985137</v>
      </c>
      <c r="CH439" s="377">
        <f t="shared" si="979"/>
        <v>70.871261378413521</v>
      </c>
      <c r="CI439" s="377">
        <f t="shared" si="979"/>
        <v>71.594877764842835</v>
      </c>
      <c r="CJ439" s="377">
        <f t="shared" si="979"/>
        <v>70.680628272251312</v>
      </c>
      <c r="CK439" s="377">
        <f t="shared" si="979"/>
        <v>71.39909203466776</v>
      </c>
      <c r="CL439" s="641">
        <f t="shared" si="979"/>
        <v>71.810089020771514</v>
      </c>
      <c r="CM439" s="641">
        <f t="shared" si="979"/>
        <v>71.312803889789308</v>
      </c>
      <c r="CN439" s="641">
        <f t="shared" si="979"/>
        <v>76.388888888888886</v>
      </c>
      <c r="CO439" s="377">
        <f t="shared" si="979"/>
        <v>74.492979719188767</v>
      </c>
      <c r="CP439" s="641">
        <f t="shared" si="979"/>
        <v>73.010763562274931</v>
      </c>
      <c r="CQ439" s="641">
        <f t="shared" si="979"/>
        <v>74.721780604133542</v>
      </c>
      <c r="CR439" s="641">
        <f t="shared" si="979"/>
        <v>75.858534085084571</v>
      </c>
      <c r="CS439" s="377">
        <f t="shared" si="979"/>
        <v>73.665480427046262</v>
      </c>
      <c r="CT439" s="641">
        <f t="shared" si="979"/>
        <v>75.350467289719631</v>
      </c>
      <c r="CU439" s="641">
        <f t="shared" si="979"/>
        <v>75.957344752974137</v>
      </c>
      <c r="CV439" s="641">
        <f t="shared" si="979"/>
        <v>75.836081017428157</v>
      </c>
      <c r="CW439" s="641">
        <f t="shared" ca="1" si="979"/>
        <v>74.571716493113883</v>
      </c>
      <c r="CX439" s="641">
        <f t="shared" si="979"/>
        <v>75.634792004321994</v>
      </c>
      <c r="CY439" s="641">
        <f t="shared" ref="CY439:DA439" si="980">CY164/(CY433/1000)</f>
        <v>77.683615819209038</v>
      </c>
      <c r="CZ439" s="641">
        <f t="shared" si="980"/>
        <v>76.521739130434796</v>
      </c>
      <c r="DA439" s="1044">
        <f t="shared" si="980"/>
        <v>77.369439071566731</v>
      </c>
      <c r="DB439" s="1044">
        <f t="shared" ref="DB439:DC439" si="981">DB164/(DB433/1000)</f>
        <v>81.63755327450626</v>
      </c>
      <c r="DC439" s="1044">
        <f t="shared" si="981"/>
        <v>79.844935628462238</v>
      </c>
      <c r="DD439" s="1044">
        <f t="shared" ref="DD439:DE439" si="982">DD164/(DD433/1000)</f>
        <v>79.545454545454533</v>
      </c>
      <c r="DE439" s="1044">
        <f t="shared" si="982"/>
        <v>78.214285714285722</v>
      </c>
      <c r="DF439" s="376">
        <f>+((DB439+CU439)/(SUM($S439:$T439))*$U439)</f>
        <v>83.492184850511606</v>
      </c>
      <c r="DG439" s="376">
        <f t="shared" ref="DG439:DH439" si="983">+((DC439+CY439)/(SUM($S439:$T439))*$U439)</f>
        <v>83.457035102804326</v>
      </c>
      <c r="DH439" s="376">
        <f t="shared" si="983"/>
        <v>82.682822518885033</v>
      </c>
      <c r="DI439" s="377">
        <f>DI164/(DI433/1000)</f>
        <v>82.347683867353936</v>
      </c>
    </row>
    <row r="440" spans="1:113">
      <c r="A440" s="947" t="s">
        <v>370</v>
      </c>
      <c r="K440" s="641"/>
      <c r="L440" s="641">
        <f t="shared" ref="L440:R440" si="984">L439-L441</f>
        <v>52.123230641132388</v>
      </c>
      <c r="M440" s="641">
        <f t="shared" si="984"/>
        <v>53.584792695704238</v>
      </c>
      <c r="N440" s="641">
        <f t="shared" si="984"/>
        <v>54.773937986613859</v>
      </c>
      <c r="O440" s="641">
        <f t="shared" si="984"/>
        <v>57.451574647516139</v>
      </c>
      <c r="P440" s="641">
        <f t="shared" si="984"/>
        <v>58.83090817862518</v>
      </c>
      <c r="Q440" s="641">
        <f t="shared" si="984"/>
        <v>58.237017165196292</v>
      </c>
      <c r="R440" s="641">
        <f t="shared" ca="1" si="984"/>
        <v>58.201712849380662</v>
      </c>
      <c r="S440" s="641">
        <f t="shared" ref="S440" si="985">S439-S441</f>
        <v>59.080729444385199</v>
      </c>
      <c r="T440" s="641">
        <f t="shared" ref="T440" si="986">T439-T441</f>
        <v>62.250056590960533</v>
      </c>
      <c r="U440" s="641">
        <f t="shared" ref="U440:AB440" si="987">U439-U441</f>
        <v>64.302215771900705</v>
      </c>
      <c r="V440" s="641">
        <f t="shared" si="987"/>
        <v>65.550802485918197</v>
      </c>
      <c r="W440" s="641">
        <f t="shared" si="987"/>
        <v>68.096464718381043</v>
      </c>
      <c r="X440" s="641">
        <f t="shared" si="987"/>
        <v>68.605262111881103</v>
      </c>
      <c r="Y440" s="641">
        <f t="shared" si="987"/>
        <v>69.103191654121147</v>
      </c>
      <c r="Z440" s="641">
        <f t="shared" si="987"/>
        <v>69.589396355892447</v>
      </c>
      <c r="AA440" s="641">
        <f t="shared" si="987"/>
        <v>70.06297993520522</v>
      </c>
      <c r="AB440" s="641">
        <f t="shared" si="987"/>
        <v>70.523005214705776</v>
      </c>
      <c r="AD440" s="399"/>
      <c r="AE440" s="399"/>
      <c r="AF440" s="399"/>
      <c r="AG440" s="399"/>
      <c r="AH440" s="399"/>
      <c r="AI440" s="399"/>
      <c r="AJ440" s="399"/>
      <c r="AK440" s="399"/>
      <c r="AL440" s="399"/>
      <c r="AM440" s="399"/>
      <c r="AN440" s="399"/>
      <c r="AO440" s="399"/>
      <c r="AP440" s="399"/>
      <c r="AQ440" s="399"/>
      <c r="AR440" s="399"/>
      <c r="AS440" s="399"/>
      <c r="AT440" s="399"/>
      <c r="AU440" s="399"/>
      <c r="AV440" s="399"/>
      <c r="AW440" s="399"/>
      <c r="AX440" s="399"/>
      <c r="AY440" s="399"/>
      <c r="AZ440" s="399"/>
      <c r="BA440" s="399"/>
      <c r="BB440" s="399"/>
      <c r="BC440" s="399"/>
      <c r="BD440" s="399"/>
      <c r="BE440" s="399"/>
      <c r="BF440" s="399"/>
      <c r="BG440" s="399"/>
      <c r="BH440" s="399"/>
      <c r="BI440" s="399"/>
      <c r="BJ440" s="399"/>
      <c r="BK440" s="399"/>
      <c r="BL440" s="399"/>
      <c r="BM440" s="399"/>
      <c r="BN440" s="399"/>
      <c r="BO440" s="399"/>
      <c r="BP440" s="399"/>
      <c r="BQ440" s="399"/>
      <c r="BR440" s="576"/>
      <c r="BS440" s="576"/>
      <c r="BT440" s="576"/>
      <c r="BU440" s="576"/>
      <c r="BV440" s="377">
        <f t="shared" ref="BV440:CP440" si="988">BV439-BV441</f>
        <v>53.435114503816791</v>
      </c>
      <c r="BW440" s="377">
        <f t="shared" si="988"/>
        <v>51.460361613351878</v>
      </c>
      <c r="BX440" s="377">
        <f t="shared" si="988"/>
        <v>54.384772263766145</v>
      </c>
      <c r="BY440" s="377">
        <f t="shared" si="988"/>
        <v>50.078247261345851</v>
      </c>
      <c r="BZ440" s="377">
        <f t="shared" si="988"/>
        <v>54.937413073713493</v>
      </c>
      <c r="CA440" s="377">
        <f t="shared" si="988"/>
        <v>53.72945638432364</v>
      </c>
      <c r="CB440" s="377">
        <f t="shared" si="988"/>
        <v>55.266579973992194</v>
      </c>
      <c r="CC440" s="377">
        <f t="shared" si="988"/>
        <v>51.342439943476208</v>
      </c>
      <c r="CD440" s="377">
        <f t="shared" si="988"/>
        <v>56.826056826056821</v>
      </c>
      <c r="CE440" s="377">
        <f t="shared" si="988"/>
        <v>55.291319857312729</v>
      </c>
      <c r="CF440" s="377">
        <f t="shared" si="988"/>
        <v>55.947854426941873</v>
      </c>
      <c r="CG440" s="377">
        <f t="shared" si="988"/>
        <v>52.229299363057322</v>
      </c>
      <c r="CH440" s="377">
        <f t="shared" si="988"/>
        <v>61.11833550065019</v>
      </c>
      <c r="CI440" s="377">
        <f ca="1">CI439-CI441</f>
        <v>59.550941342502568</v>
      </c>
      <c r="CJ440" s="377">
        <f t="shared" ca="1" si="988"/>
        <v>57.01010368471384</v>
      </c>
      <c r="CK440" s="377">
        <f t="shared" si="988"/>
        <v>54.477919933966149</v>
      </c>
      <c r="CL440" s="641">
        <f t="shared" si="988"/>
        <v>59.940652818991097</v>
      </c>
      <c r="CM440" s="641">
        <f t="shared" si="988"/>
        <v>57.806591031874667</v>
      </c>
      <c r="CN440" s="641">
        <f t="shared" si="988"/>
        <v>61.431623931623932</v>
      </c>
      <c r="CO440" s="377">
        <f t="shared" si="988"/>
        <v>56.942277691107648</v>
      </c>
      <c r="CP440" s="641">
        <f t="shared" si="988"/>
        <v>60.092384231681862</v>
      </c>
      <c r="CQ440" s="641">
        <f t="shared" ref="CQ440:CX440" si="989">CQ439-CQ441</f>
        <v>59.883412824589293</v>
      </c>
      <c r="CR440" s="641">
        <f t="shared" si="989"/>
        <v>59.969246540235773</v>
      </c>
      <c r="CS440" s="377">
        <f t="shared" si="989"/>
        <v>54.804270462633454</v>
      </c>
      <c r="CT440" s="641">
        <f t="shared" si="989"/>
        <v>59.579439252336456</v>
      </c>
      <c r="CU440" s="641">
        <f t="shared" si="989"/>
        <v>58.917422649760894</v>
      </c>
      <c r="CV440" s="641">
        <f t="shared" si="989"/>
        <v>59.349976448422034</v>
      </c>
      <c r="CW440" s="641">
        <f t="shared" ca="1" si="989"/>
        <v>56.096741686261346</v>
      </c>
      <c r="CX440" s="641">
        <f t="shared" si="989"/>
        <v>60.507833603457598</v>
      </c>
      <c r="CY440" s="641">
        <f t="shared" ref="CY440:DA440" si="990">CY439-CY441</f>
        <v>60.263653483992471</v>
      </c>
      <c r="CZ440" s="641">
        <f t="shared" si="990"/>
        <v>60.000000000000014</v>
      </c>
      <c r="DA440" s="1044">
        <f t="shared" si="990"/>
        <v>56.737588652482273</v>
      </c>
      <c r="DB440" s="1044">
        <f t="shared" ref="DB440:DC440" si="991">DB439-DB441</f>
        <v>69.031754607119268</v>
      </c>
      <c r="DC440" s="1044">
        <f t="shared" si="991"/>
        <v>66.078567416658402</v>
      </c>
      <c r="DD440" s="1044">
        <f t="shared" ref="DD440:DE440" si="992">DD439-DD441</f>
        <v>63.181818181818173</v>
      </c>
      <c r="DE440" s="1044">
        <f t="shared" si="992"/>
        <v>55.000000000000007</v>
      </c>
      <c r="DF440" s="376">
        <f>+((DB440+CU440)/(SUM($S440:$T440))*$U440)</f>
        <v>67.809793974402268</v>
      </c>
      <c r="DG440" s="376">
        <f>+((DC440+CY440)/(SUM($S440:$T440))*$U440)</f>
        <v>66.958148174265602</v>
      </c>
      <c r="DH440" s="376">
        <f>+((DD440+CZ440)/(SUM($S440:$T440))*$U440)</f>
        <v>65.283215503069684</v>
      </c>
      <c r="DI440" s="377">
        <f>DI439-DI441</f>
        <v>59.721965665664356</v>
      </c>
    </row>
    <row r="441" spans="1:113">
      <c r="A441" s="947" t="s">
        <v>490</v>
      </c>
      <c r="K441" s="377"/>
      <c r="L441" s="377">
        <f t="shared" ref="L441:W441" si="993">L176/(L433/1000)</f>
        <v>12.15653621981682</v>
      </c>
      <c r="M441" s="377">
        <f t="shared" si="993"/>
        <v>12.423289926657686</v>
      </c>
      <c r="N441" s="377">
        <f t="shared" si="993"/>
        <v>12.976369348449666</v>
      </c>
      <c r="O441" s="377">
        <f t="shared" si="993"/>
        <v>13.704045328765318</v>
      </c>
      <c r="P441" s="377">
        <f t="shared" si="993"/>
        <v>14.801806322127446</v>
      </c>
      <c r="Q441" s="377">
        <f t="shared" si="993"/>
        <v>16.045982517063823</v>
      </c>
      <c r="R441" s="377">
        <f t="shared" ca="1" si="993"/>
        <v>17.144146176404242</v>
      </c>
      <c r="S441" s="377">
        <f t="shared" ref="S441" si="994">S176/(S433/1000)</f>
        <v>17.809533966087233</v>
      </c>
      <c r="T441" s="377">
        <f t="shared" ref="T441" si="995">T176/(T433/1000)</f>
        <v>17.330981664528785</v>
      </c>
      <c r="U441" s="377">
        <f t="shared" si="993"/>
        <v>18.594699077567341</v>
      </c>
      <c r="V441" s="377">
        <f t="shared" si="993"/>
        <v>18.955761195578365</v>
      </c>
      <c r="W441" s="377">
        <f t="shared" si="993"/>
        <v>19.691907261426067</v>
      </c>
      <c r="X441" s="377">
        <f>X176/(X433/1000)</f>
        <v>20.449288309942453</v>
      </c>
      <c r="Y441" s="377">
        <f>Y176/(Y433/1000)</f>
        <v>21.235799398786398</v>
      </c>
      <c r="Z441" s="377">
        <f>Z176/(Z433/1000)</f>
        <v>22.052560914124339</v>
      </c>
      <c r="AA441" s="377">
        <f>AA176/(AA433/1000)</f>
        <v>22.900736333898355</v>
      </c>
      <c r="AB441" s="377">
        <f>AB176/(AB433/1000)</f>
        <v>23.781533885202133</v>
      </c>
      <c r="AD441" s="399"/>
      <c r="AE441" s="399"/>
      <c r="AF441" s="399"/>
      <c r="AG441" s="399"/>
      <c r="AH441" s="399"/>
      <c r="AI441" s="399"/>
      <c r="AJ441" s="399"/>
      <c r="AK441" s="399"/>
      <c r="AL441" s="399"/>
      <c r="AM441" s="399"/>
      <c r="AN441" s="399"/>
      <c r="AO441" s="399"/>
      <c r="AP441" s="399"/>
      <c r="AQ441" s="399"/>
      <c r="AR441" s="399"/>
      <c r="AS441" s="399"/>
      <c r="AT441" s="399"/>
      <c r="AU441" s="399"/>
      <c r="AV441" s="399"/>
      <c r="AW441" s="399"/>
      <c r="AX441" s="399"/>
      <c r="AY441" s="399"/>
      <c r="AZ441" s="399"/>
      <c r="BA441" s="399"/>
      <c r="BB441" s="399"/>
      <c r="BC441" s="399"/>
      <c r="BD441" s="399"/>
      <c r="BE441" s="399"/>
      <c r="BF441" s="399"/>
      <c r="BG441" s="399"/>
      <c r="BH441" s="399"/>
      <c r="BI441" s="399"/>
      <c r="BJ441" s="399"/>
      <c r="BK441" s="399"/>
      <c r="BL441" s="399"/>
      <c r="BM441" s="399"/>
      <c r="BN441" s="399"/>
      <c r="BO441" s="399"/>
      <c r="BP441" s="399"/>
      <c r="BQ441" s="399"/>
      <c r="BR441" s="377">
        <v>9.097560975609758</v>
      </c>
      <c r="BS441" s="377">
        <v>10.152635181382614</v>
      </c>
      <c r="BT441" s="377">
        <v>11.653712699514225</v>
      </c>
      <c r="BU441" s="377">
        <v>15.297297297297295</v>
      </c>
      <c r="BV441" s="377">
        <f t="shared" ref="BV441:CH441" si="996">BV176/(BV433/1000)</f>
        <v>7.6335877862595414</v>
      </c>
      <c r="BW441" s="377">
        <f t="shared" si="996"/>
        <v>10.431154381084841</v>
      </c>
      <c r="BX441" s="377">
        <f t="shared" si="996"/>
        <v>12.916383412644459</v>
      </c>
      <c r="BY441" s="377">
        <f t="shared" si="996"/>
        <v>15.649452269170579</v>
      </c>
      <c r="BZ441" s="377">
        <f t="shared" si="996"/>
        <v>8.3449235048678716</v>
      </c>
      <c r="CA441" s="377">
        <f t="shared" si="996"/>
        <v>10.745891276864727</v>
      </c>
      <c r="CB441" s="377">
        <f t="shared" si="996"/>
        <v>11.053315994798439</v>
      </c>
      <c r="CC441" s="377">
        <f t="shared" si="996"/>
        <v>17.428167687235042</v>
      </c>
      <c r="CD441" s="377">
        <f t="shared" si="996"/>
        <v>10.395010395010395</v>
      </c>
      <c r="CE441" s="377">
        <f t="shared" si="996"/>
        <v>11.296076099881095</v>
      </c>
      <c r="CF441" s="377">
        <f t="shared" si="996"/>
        <v>13.036393264530147</v>
      </c>
      <c r="CG441" s="377">
        <f t="shared" si="996"/>
        <v>15.711252653927813</v>
      </c>
      <c r="CH441" s="377">
        <f t="shared" si="996"/>
        <v>9.7529258777633281</v>
      </c>
      <c r="CI441" s="377">
        <f ca="1">CI439-CI440</f>
        <v>12.043936422340266</v>
      </c>
      <c r="CJ441" s="642">
        <f ca="1">CJ439-CJ440</f>
        <v>13.670524587537471</v>
      </c>
      <c r="CK441" s="377">
        <f t="shared" ref="CK441:CX441" si="997">CK176/(CK433/1000)</f>
        <v>16.921172100701611</v>
      </c>
      <c r="CL441" s="377">
        <f t="shared" si="997"/>
        <v>11.869436201780415</v>
      </c>
      <c r="CM441" s="377">
        <f t="shared" si="997"/>
        <v>13.50621285791464</v>
      </c>
      <c r="CN441" s="377">
        <f t="shared" si="997"/>
        <v>14.957264957264956</v>
      </c>
      <c r="CO441" s="377">
        <f t="shared" si="997"/>
        <v>17.550702028081123</v>
      </c>
      <c r="CP441" s="377">
        <f t="shared" si="997"/>
        <v>12.918379330593071</v>
      </c>
      <c r="CQ441" s="377">
        <f t="shared" si="997"/>
        <v>14.838367779544249</v>
      </c>
      <c r="CR441" s="377">
        <f t="shared" si="997"/>
        <v>15.889287544848795</v>
      </c>
      <c r="CS441" s="377">
        <f t="shared" si="997"/>
        <v>18.861209964412812</v>
      </c>
      <c r="CT441" s="377">
        <f t="shared" si="997"/>
        <v>15.771028037383179</v>
      </c>
      <c r="CU441" s="377">
        <f t="shared" si="997"/>
        <v>17.039922103213243</v>
      </c>
      <c r="CV441" s="377">
        <f t="shared" si="997"/>
        <v>16.486104569006123</v>
      </c>
      <c r="CW441" s="377">
        <f t="shared" ca="1" si="997"/>
        <v>18.474974806852536</v>
      </c>
      <c r="CX441" s="377">
        <f t="shared" si="997"/>
        <v>15.126958400864398</v>
      </c>
      <c r="CY441" s="377">
        <f t="shared" ref="CY441:DA441" si="998">CY176/(CY433/1000)</f>
        <v>17.419962335216571</v>
      </c>
      <c r="CZ441" s="377">
        <f t="shared" si="998"/>
        <v>16.521739130434785</v>
      </c>
      <c r="DA441" s="1045">
        <f t="shared" si="998"/>
        <v>20.631850419084461</v>
      </c>
      <c r="DB441" s="1045">
        <f t="shared" ref="DB441:DC441" si="999">DB176/(DB433/1000)</f>
        <v>12.605798667386997</v>
      </c>
      <c r="DC441" s="1045">
        <f t="shared" si="999"/>
        <v>13.766368211803835</v>
      </c>
      <c r="DD441" s="1045">
        <f t="shared" ref="DD441:DE441" si="1000">DD176/(DD433/1000)</f>
        <v>16.363636363636363</v>
      </c>
      <c r="DE441" s="1045">
        <f t="shared" si="1000"/>
        <v>23.214285714285715</v>
      </c>
      <c r="DF441" s="377">
        <f>+DF439-DF440</f>
        <v>15.682390876109338</v>
      </c>
      <c r="DG441" s="377">
        <f>+DG439-DG440</f>
        <v>16.498886928538724</v>
      </c>
      <c r="DH441" s="377">
        <f>+DH439-DH440</f>
        <v>17.399607015815349</v>
      </c>
      <c r="DI441" s="377">
        <f>DI176/(DI433/1000)</f>
        <v>22.625718201689576</v>
      </c>
    </row>
    <row r="442" spans="1:113">
      <c r="A442" s="947" t="s">
        <v>411</v>
      </c>
      <c r="K442" s="302"/>
      <c r="L442" s="302">
        <f t="shared" ref="L442:R442" si="1001">L441/L439</f>
        <v>0.18911917098445596</v>
      </c>
      <c r="M442" s="302">
        <f t="shared" si="1001"/>
        <v>0.18820861678004536</v>
      </c>
      <c r="N442" s="302">
        <f t="shared" si="1001"/>
        <v>0.1915322580645161</v>
      </c>
      <c r="O442" s="302">
        <f t="shared" si="1001"/>
        <v>0.19259259259259259</v>
      </c>
      <c r="P442" s="302">
        <f t="shared" si="1001"/>
        <v>0.20102214650766612</v>
      </c>
      <c r="Q442" s="302">
        <f t="shared" si="1001"/>
        <v>0.21601150445861494</v>
      </c>
      <c r="R442" s="302">
        <f t="shared" ca="1" si="1001"/>
        <v>0.22753932861177098</v>
      </c>
      <c r="S442" s="302">
        <f t="shared" ref="S442" si="1002">S441/S439</f>
        <v>0.23162274618585299</v>
      </c>
      <c r="T442" s="302">
        <f t="shared" ref="T442" si="1003">T441/T439</f>
        <v>0.21777777777777779</v>
      </c>
      <c r="U442" s="302">
        <f t="shared" ref="U442:AB442" si="1004">U441/U439</f>
        <v>0.22431111111111107</v>
      </c>
      <c r="V442" s="302">
        <f t="shared" si="1004"/>
        <v>0.22431111111111116</v>
      </c>
      <c r="W442" s="302">
        <f t="shared" si="1004"/>
        <v>0.22431111111111113</v>
      </c>
      <c r="X442" s="302">
        <f t="shared" si="1004"/>
        <v>0.22962654028436022</v>
      </c>
      <c r="Y442" s="302">
        <f t="shared" si="1004"/>
        <v>0.23506792749489011</v>
      </c>
      <c r="Z442" s="302">
        <f t="shared" si="1004"/>
        <v>0.24063825753031409</v>
      </c>
      <c r="AA442" s="302">
        <f t="shared" si="1004"/>
        <v>0.24634058590780969</v>
      </c>
      <c r="AB442" s="302">
        <f t="shared" si="1004"/>
        <v>0.2521780405501749</v>
      </c>
      <c r="AD442" s="399"/>
      <c r="AE442" s="399"/>
      <c r="AF442" s="399"/>
      <c r="AG442" s="399"/>
      <c r="AH442" s="399"/>
      <c r="AI442" s="399"/>
      <c r="AJ442" s="399"/>
      <c r="AK442" s="399"/>
      <c r="AL442" s="399"/>
      <c r="AM442" s="399"/>
      <c r="AN442" s="399"/>
      <c r="AO442" s="399"/>
      <c r="AP442" s="399"/>
      <c r="AQ442" s="399"/>
      <c r="AR442" s="399"/>
      <c r="AS442" s="399"/>
      <c r="AT442" s="399"/>
      <c r="AU442" s="399"/>
      <c r="AV442" s="399"/>
      <c r="AW442" s="399"/>
      <c r="AX442" s="399"/>
      <c r="AY442" s="399"/>
      <c r="AZ442" s="399"/>
      <c r="BA442" s="399"/>
      <c r="BB442" s="399"/>
      <c r="BC442" s="399"/>
      <c r="BD442" s="399"/>
      <c r="BE442" s="399"/>
      <c r="BF442" s="399"/>
      <c r="BG442" s="399"/>
      <c r="BH442" s="399"/>
      <c r="BI442" s="399"/>
      <c r="BJ442" s="399"/>
      <c r="BK442" s="399"/>
      <c r="BL442" s="399"/>
      <c r="BM442" s="399"/>
      <c r="BN442" s="399"/>
      <c r="BO442" s="399"/>
      <c r="BP442" s="399"/>
      <c r="BQ442" s="399"/>
      <c r="BR442" s="377"/>
      <c r="BS442" s="377"/>
      <c r="BT442" s="377"/>
      <c r="BU442" s="377"/>
      <c r="BV442" s="412">
        <f t="shared" ref="BV442:CX442" si="1005">BV441/BV439</f>
        <v>0.125</v>
      </c>
      <c r="BW442" s="412">
        <f t="shared" si="1005"/>
        <v>0.16853932584269662</v>
      </c>
      <c r="BX442" s="412">
        <f t="shared" si="1005"/>
        <v>0.19191919191919191</v>
      </c>
      <c r="BY442" s="412">
        <f t="shared" si="1005"/>
        <v>0.23809523809523811</v>
      </c>
      <c r="BZ442" s="412">
        <f t="shared" si="1005"/>
        <v>0.13186813186813184</v>
      </c>
      <c r="CA442" s="412">
        <f t="shared" si="1005"/>
        <v>0.16666666666666666</v>
      </c>
      <c r="CB442" s="412">
        <f t="shared" si="1005"/>
        <v>0.16666666666666666</v>
      </c>
      <c r="CC442" s="412">
        <f t="shared" si="1005"/>
        <v>0.25342465753424653</v>
      </c>
      <c r="CD442" s="412">
        <f t="shared" si="1005"/>
        <v>0.15463917525773196</v>
      </c>
      <c r="CE442" s="412">
        <f t="shared" si="1005"/>
        <v>0.16964285714285715</v>
      </c>
      <c r="CF442" s="412">
        <f t="shared" si="1005"/>
        <v>0.18897637795275593</v>
      </c>
      <c r="CG442" s="412">
        <f t="shared" si="1005"/>
        <v>0.23125000000000001</v>
      </c>
      <c r="CH442" s="302">
        <f t="shared" si="1005"/>
        <v>0.13761467889908255</v>
      </c>
      <c r="CI442" s="302">
        <f t="shared" ca="1" si="1005"/>
        <v>0.16822343718358193</v>
      </c>
      <c r="CJ442" s="302">
        <f t="shared" ca="1" si="1005"/>
        <v>0.19341260712738201</v>
      </c>
      <c r="CK442" s="302">
        <f t="shared" si="1005"/>
        <v>0.23699421965317924</v>
      </c>
      <c r="CL442" s="302">
        <f t="shared" si="1005"/>
        <v>0.16528925619834711</v>
      </c>
      <c r="CM442" s="302">
        <f>CM441/CM439</f>
        <v>0.18939393939393936</v>
      </c>
      <c r="CN442" s="302">
        <f>CN441/CN439</f>
        <v>0.19580419580419578</v>
      </c>
      <c r="CO442" s="302">
        <f t="shared" si="1005"/>
        <v>0.2356020942408377</v>
      </c>
      <c r="CP442" s="302">
        <f t="shared" si="1005"/>
        <v>0.1769380116066622</v>
      </c>
      <c r="CQ442" s="302">
        <f t="shared" si="1005"/>
        <v>0.19858156028368795</v>
      </c>
      <c r="CR442" s="302">
        <f t="shared" ref="CR442:CW442" si="1006">CR441/CR439</f>
        <v>0.20945945945945946</v>
      </c>
      <c r="CS442" s="302">
        <f t="shared" si="1006"/>
        <v>0.2560386473429952</v>
      </c>
      <c r="CT442" s="302">
        <f t="shared" si="1006"/>
        <v>0.20930232558139536</v>
      </c>
      <c r="CU442" s="302">
        <f t="shared" si="1006"/>
        <v>0.22433541033628665</v>
      </c>
      <c r="CV442" s="302">
        <f t="shared" si="1006"/>
        <v>0.21739130434782611</v>
      </c>
      <c r="CW442" s="302">
        <f t="shared" ca="1" si="1006"/>
        <v>0.24774774774774772</v>
      </c>
      <c r="CX442" s="302">
        <f t="shared" si="1005"/>
        <v>0.19999999999999998</v>
      </c>
      <c r="CY442" s="302">
        <f t="shared" ref="CY442:DA442" si="1007">CY441/CY439</f>
        <v>0.22424242424242422</v>
      </c>
      <c r="CZ442" s="302">
        <f t="shared" si="1007"/>
        <v>0.21590909090909091</v>
      </c>
      <c r="DA442" s="997">
        <f t="shared" si="1007"/>
        <v>0.26666666666666666</v>
      </c>
      <c r="DB442" s="997">
        <f t="shared" ref="DB442:DC442" si="1008">DB441/DB439</f>
        <v>0.15441176470588236</v>
      </c>
      <c r="DC442" s="997">
        <f t="shared" si="1008"/>
        <v>0.17241379310344829</v>
      </c>
      <c r="DD442" s="997">
        <f t="shared" ref="DD442:DE442" si="1009">DD441/DD439</f>
        <v>0.20571428571428574</v>
      </c>
      <c r="DE442" s="997">
        <f t="shared" si="1009"/>
        <v>0.29680365296803651</v>
      </c>
      <c r="DF442" s="302">
        <f t="shared" ref="DF442:DI442" si="1010">DF441/DF439</f>
        <v>0.18783064431943947</v>
      </c>
      <c r="DG442" s="302">
        <f t="shared" si="1010"/>
        <v>0.19769318318359871</v>
      </c>
      <c r="DH442" s="302">
        <f t="shared" si="1010"/>
        <v>0.21043799045250566</v>
      </c>
      <c r="DI442" s="302">
        <f t="shared" si="1010"/>
        <v>0.2747584041117076</v>
      </c>
    </row>
    <row r="443" spans="1:113">
      <c r="A443" s="947"/>
      <c r="AD443" s="399"/>
      <c r="AE443" s="399"/>
      <c r="AF443" s="399"/>
      <c r="AG443" s="399"/>
      <c r="AH443" s="399"/>
      <c r="AI443" s="399"/>
      <c r="AJ443" s="399"/>
      <c r="AK443" s="399"/>
      <c r="AL443" s="399"/>
      <c r="AM443" s="399"/>
      <c r="AN443" s="399"/>
      <c r="AO443" s="399"/>
      <c r="AP443" s="399"/>
      <c r="AQ443" s="399"/>
      <c r="AR443" s="399"/>
      <c r="AS443" s="399"/>
      <c r="AT443" s="399"/>
      <c r="AU443" s="399"/>
      <c r="AV443" s="399"/>
      <c r="AW443" s="399"/>
      <c r="AX443" s="399"/>
      <c r="AY443" s="399"/>
      <c r="AZ443" s="399"/>
      <c r="BA443" s="399"/>
      <c r="BB443" s="399"/>
      <c r="BC443" s="399"/>
      <c r="BD443" s="399"/>
      <c r="BE443" s="399"/>
      <c r="BF443" s="399"/>
      <c r="BG443" s="399"/>
      <c r="BH443" s="399"/>
      <c r="BI443" s="399"/>
      <c r="BJ443" s="399"/>
      <c r="BK443" s="399"/>
      <c r="BL443" s="399"/>
      <c r="BM443" s="399"/>
      <c r="BN443" s="399"/>
      <c r="BO443" s="399"/>
      <c r="BP443" s="399"/>
      <c r="BQ443" s="399"/>
      <c r="BR443" s="377"/>
      <c r="BS443" s="377"/>
      <c r="BT443" s="377"/>
      <c r="BU443" s="377"/>
      <c r="BV443" s="412"/>
      <c r="BW443" s="412"/>
      <c r="BX443" s="412"/>
      <c r="BY443" s="412"/>
      <c r="BZ443" s="412"/>
      <c r="CA443" s="412"/>
      <c r="CB443" s="412"/>
      <c r="CC443" s="412"/>
      <c r="CD443" s="412"/>
      <c r="CE443" s="412"/>
      <c r="CF443" s="412"/>
      <c r="CG443" s="412"/>
      <c r="CH443" s="302"/>
      <c r="CI443" s="302"/>
      <c r="CJ443" s="302"/>
      <c r="CK443" s="302"/>
      <c r="CL443" s="302"/>
      <c r="CM443" s="302"/>
      <c r="CN443" s="302"/>
      <c r="CO443" s="302"/>
      <c r="CP443" s="302"/>
      <c r="CQ443" s="302"/>
      <c r="CR443" s="302"/>
      <c r="CS443" s="302"/>
      <c r="CT443" s="302"/>
      <c r="CU443" s="302"/>
      <c r="CV443" s="302"/>
      <c r="CW443" s="302"/>
      <c r="CX443" s="302"/>
      <c r="CY443" s="302"/>
      <c r="CZ443" s="302"/>
      <c r="DA443" s="302"/>
      <c r="DB443" s="302"/>
      <c r="DC443" s="302"/>
      <c r="DD443" s="302"/>
      <c r="DE443" s="302"/>
      <c r="DF443" s="302"/>
      <c r="DG443" s="302"/>
      <c r="DH443" s="302"/>
      <c r="DI443" s="302"/>
    </row>
    <row r="444" spans="1:113">
      <c r="A444" s="195" t="s">
        <v>647</v>
      </c>
      <c r="B444" s="195"/>
      <c r="C444" s="195"/>
      <c r="D444" s="195"/>
      <c r="E444" s="195"/>
      <c r="F444" s="195"/>
      <c r="G444" s="195"/>
      <c r="H444" s="195"/>
      <c r="I444" s="195"/>
      <c r="J444" s="195"/>
      <c r="K444" s="195"/>
      <c r="L444" s="195"/>
      <c r="M444" s="195"/>
      <c r="N444" s="195"/>
      <c r="O444" s="195"/>
      <c r="P444" s="195"/>
      <c r="Q444" s="195"/>
      <c r="R444" s="195"/>
      <c r="S444" s="195"/>
      <c r="T444" s="195"/>
      <c r="U444" s="195"/>
      <c r="V444" s="195"/>
      <c r="W444" s="195"/>
      <c r="X444" s="195"/>
      <c r="Y444" s="195"/>
      <c r="Z444" s="195"/>
      <c r="AA444" s="195"/>
      <c r="AB444" s="195"/>
      <c r="AD444" s="195"/>
      <c r="AE444" s="195"/>
      <c r="AF444" s="195"/>
      <c r="AG444" s="195"/>
      <c r="AH444" s="195"/>
      <c r="AI444" s="195"/>
      <c r="AJ444" s="195"/>
      <c r="AK444" s="195"/>
      <c r="AL444" s="195"/>
      <c r="AM444" s="195"/>
      <c r="AN444" s="195"/>
      <c r="AO444" s="195"/>
      <c r="AP444" s="195"/>
      <c r="AQ444" s="195"/>
      <c r="AR444" s="195"/>
      <c r="AS444" s="195"/>
      <c r="AT444" s="195"/>
      <c r="AU444" s="195"/>
      <c r="AV444" s="195"/>
      <c r="AW444" s="195"/>
      <c r="AX444" s="195"/>
      <c r="AY444" s="195"/>
      <c r="AZ444" s="195"/>
      <c r="BA444" s="195"/>
      <c r="BB444" s="195"/>
      <c r="BC444" s="195"/>
      <c r="BD444" s="195"/>
      <c r="BE444" s="195"/>
      <c r="BF444" s="195"/>
      <c r="BG444" s="195"/>
      <c r="BH444" s="195"/>
      <c r="BI444" s="195"/>
      <c r="BJ444" s="195"/>
      <c r="BK444" s="195"/>
      <c r="BL444" s="195"/>
      <c r="BM444" s="195"/>
      <c r="BN444" s="195"/>
      <c r="BO444" s="195"/>
      <c r="BP444" s="195"/>
      <c r="BQ444" s="195"/>
      <c r="BR444" s="195"/>
      <c r="BS444" s="195"/>
      <c r="BT444" s="195"/>
      <c r="BU444" s="195"/>
      <c r="BV444" s="195"/>
      <c r="BW444" s="195"/>
      <c r="BX444" s="195"/>
      <c r="BY444" s="195"/>
      <c r="BZ444" s="195"/>
      <c r="CA444" s="195"/>
      <c r="CB444" s="195"/>
      <c r="CC444" s="195"/>
      <c r="CD444" s="195"/>
      <c r="CE444" s="195"/>
      <c r="CF444" s="195"/>
      <c r="CG444" s="195"/>
      <c r="CH444" s="195"/>
      <c r="CI444" s="195"/>
      <c r="CJ444" s="195"/>
      <c r="CK444" s="195"/>
      <c r="CL444" s="195"/>
      <c r="CM444" s="195"/>
      <c r="CN444" s="195"/>
      <c r="CO444" s="195"/>
      <c r="CP444" s="195"/>
      <c r="CQ444" s="195"/>
      <c r="CR444" s="195"/>
      <c r="CS444" s="195"/>
      <c r="CT444" s="195"/>
      <c r="CU444" s="195"/>
      <c r="CV444" s="195"/>
      <c r="CW444" s="195"/>
      <c r="CX444" s="195"/>
      <c r="CY444" s="195"/>
      <c r="CZ444" s="195"/>
      <c r="DA444" s="195"/>
      <c r="DB444" s="195"/>
      <c r="DC444" s="195"/>
      <c r="DD444" s="195"/>
      <c r="DE444" s="195"/>
      <c r="DF444" s="195"/>
      <c r="DG444" s="195"/>
      <c r="DH444" s="195"/>
      <c r="DI444" s="195"/>
    </row>
    <row r="445" spans="1:113">
      <c r="T445" s="916"/>
      <c r="CY445" s="915"/>
      <c r="CZ445" s="184"/>
      <c r="DA445" s="994"/>
      <c r="DB445" s="994"/>
    </row>
    <row r="446" spans="1:113">
      <c r="A446" s="964" t="s">
        <v>329</v>
      </c>
      <c r="B446" s="827">
        <v>3329</v>
      </c>
      <c r="C446" s="827">
        <v>3597</v>
      </c>
      <c r="D446" s="827">
        <v>3960</v>
      </c>
      <c r="E446" s="828">
        <v>6220</v>
      </c>
      <c r="F446" s="828">
        <v>689</v>
      </c>
      <c r="G446" s="828">
        <v>0</v>
      </c>
      <c r="H446" s="828">
        <f>G446*2.33</f>
        <v>0</v>
      </c>
      <c r="I446" s="828">
        <f>H446*1.29</f>
        <v>0</v>
      </c>
      <c r="J446" s="828">
        <f>I446*1.29</f>
        <v>0</v>
      </c>
      <c r="K446" s="828">
        <v>1166</v>
      </c>
      <c r="L446" s="828">
        <f>-CFS!P68</f>
        <v>-89</v>
      </c>
      <c r="M446" s="828">
        <f>-CFS!Q68</f>
        <v>-104</v>
      </c>
      <c r="N446" s="395">
        <f>+-CFS!R39</f>
        <v>1327</v>
      </c>
      <c r="O446" s="395">
        <f>+-CFS!S41</f>
        <v>1082</v>
      </c>
      <c r="P446" s="395">
        <f>+-CFS!T41</f>
        <v>634</v>
      </c>
      <c r="Q446" s="395">
        <f>+-CFS!U41</f>
        <v>939</v>
      </c>
      <c r="R446" s="395">
        <f>+-CFS!V41</f>
        <v>554</v>
      </c>
      <c r="S446" s="395">
        <f>+SUM(CX446:DA446)</f>
        <v>1063.8038176</v>
      </c>
      <c r="T446" s="1081">
        <f>+SUM(DB446:DE446)</f>
        <v>2918</v>
      </c>
      <c r="U446" s="222">
        <v>1000</v>
      </c>
      <c r="V446" s="222">
        <v>2000</v>
      </c>
      <c r="W446" s="222">
        <v>2000</v>
      </c>
      <c r="X446" s="222">
        <v>2000</v>
      </c>
      <c r="Y446" s="222">
        <v>2000</v>
      </c>
      <c r="Z446" s="222">
        <v>2000</v>
      </c>
      <c r="AA446" s="222">
        <v>2000</v>
      </c>
      <c r="AB446" s="222">
        <v>2000</v>
      </c>
      <c r="AD446" s="362"/>
      <c r="AE446" s="362"/>
      <c r="AF446" s="649"/>
      <c r="AG446" s="649"/>
      <c r="AH446" s="649"/>
      <c r="AI446" s="649"/>
      <c r="AJ446" s="650"/>
      <c r="AK446" s="650"/>
      <c r="AL446" s="650"/>
      <c r="AM446" s="650"/>
      <c r="AN446" s="650"/>
      <c r="AO446" s="650"/>
      <c r="AP446" s="486"/>
      <c r="AQ446" s="486"/>
      <c r="AR446" s="486"/>
      <c r="AS446" s="486"/>
      <c r="AT446" s="486"/>
      <c r="AU446" s="486"/>
      <c r="AV446" s="486"/>
      <c r="AW446" s="486"/>
      <c r="AX446" s="486"/>
      <c r="AY446" s="486"/>
      <c r="AZ446" s="486"/>
      <c r="BA446" s="486"/>
      <c r="BB446" s="486"/>
      <c r="BC446" s="486"/>
      <c r="BD446" s="486"/>
      <c r="BE446" s="486"/>
      <c r="BF446" s="486"/>
      <c r="BG446" s="486"/>
      <c r="BH446" s="486"/>
      <c r="BI446" s="486"/>
      <c r="BJ446" s="486"/>
      <c r="BK446" s="486"/>
      <c r="BL446" s="486"/>
      <c r="BM446" s="486"/>
      <c r="BN446" s="486"/>
      <c r="BO446" s="486"/>
      <c r="BP446" s="486"/>
      <c r="BQ446" s="486"/>
      <c r="BR446" s="486"/>
      <c r="BS446" s="486"/>
      <c r="BT446" s="486"/>
      <c r="BU446" s="486"/>
      <c r="BV446" s="470">
        <v>0</v>
      </c>
      <c r="BW446" s="470">
        <v>0</v>
      </c>
      <c r="BX446" s="470">
        <v>0</v>
      </c>
      <c r="BY446" s="497">
        <v>0</v>
      </c>
      <c r="BZ446" s="470">
        <v>0</v>
      </c>
      <c r="CA446" s="470">
        <v>0</v>
      </c>
      <c r="CB446" s="470">
        <v>0</v>
      </c>
      <c r="CC446" s="497">
        <v>0</v>
      </c>
      <c r="CD446" s="470">
        <v>0</v>
      </c>
      <c r="CE446" s="470">
        <v>616</v>
      </c>
      <c r="CF446" s="470">
        <v>384</v>
      </c>
      <c r="CG446" s="470">
        <v>327</v>
      </c>
      <c r="CH446" s="497">
        <f>+CH447*CH448</f>
        <v>294.12900000000002</v>
      </c>
      <c r="CI446" s="470">
        <v>66</v>
      </c>
      <c r="CJ446" s="470">
        <v>262</v>
      </c>
      <c r="CK446" s="470">
        <v>493</v>
      </c>
      <c r="CL446" s="470">
        <v>57</v>
      </c>
      <c r="CM446" s="470">
        <v>135</v>
      </c>
      <c r="CN446" s="470">
        <v>156</v>
      </c>
      <c r="CO446" s="648">
        <v>252</v>
      </c>
      <c r="CP446" s="648">
        <v>272</v>
      </c>
      <c r="CQ446" s="470">
        <v>132</v>
      </c>
      <c r="CR446" s="470">
        <v>275</v>
      </c>
      <c r="CS446" s="449">
        <v>260</v>
      </c>
      <c r="CT446" s="690">
        <v>192</v>
      </c>
      <c r="CU446" s="690">
        <v>263</v>
      </c>
      <c r="CV446" s="690">
        <f>1.257204*50.39</f>
        <v>63.350509559999999</v>
      </c>
      <c r="CW446" s="449">
        <f>0.617761*57.65</f>
        <v>35.613921650000002</v>
      </c>
      <c r="CX446" s="449">
        <f>59.84*3.37239</f>
        <v>201.80381760000003</v>
      </c>
      <c r="CY446" s="449">
        <v>173</v>
      </c>
      <c r="CZ446" s="690">
        <v>171</v>
      </c>
      <c r="DA446" s="1046">
        <v>518</v>
      </c>
      <c r="DB446" s="1046">
        <v>551</v>
      </c>
      <c r="DC446" s="1046">
        <v>1050</v>
      </c>
      <c r="DD446" s="1046">
        <v>759</v>
      </c>
      <c r="DE446" s="1046">
        <v>558</v>
      </c>
      <c r="DF446" s="413">
        <f>U446/4</f>
        <v>250</v>
      </c>
      <c r="DG446" s="497">
        <f>(U446-DF446)/3</f>
        <v>250</v>
      </c>
      <c r="DH446" s="497">
        <f>(U446-DG446-DF446)/2</f>
        <v>250</v>
      </c>
      <c r="DI446" s="497">
        <f>+U446-SUM(DF446:DH446)</f>
        <v>250</v>
      </c>
    </row>
    <row r="447" spans="1:113">
      <c r="A447" s="965" t="s">
        <v>197</v>
      </c>
      <c r="B447" s="661">
        <f>B446/B448</f>
        <v>96.604759141033085</v>
      </c>
      <c r="C447" s="661">
        <f>C446/C448</f>
        <v>137.60520275439939</v>
      </c>
      <c r="D447" s="661">
        <f>D446/D448</f>
        <v>84.597308267464214</v>
      </c>
      <c r="E447" s="661">
        <f>E446/E448</f>
        <v>133.99396811719086</v>
      </c>
      <c r="F447" s="661">
        <f>F462</f>
        <v>18.671399999999998</v>
      </c>
      <c r="G447" s="661">
        <f>G462</f>
        <v>0</v>
      </c>
      <c r="H447" s="661">
        <f>H462</f>
        <v>0</v>
      </c>
      <c r="I447" s="661">
        <f>I462</f>
        <v>0</v>
      </c>
      <c r="J447" s="661">
        <f>J462</f>
        <v>0</v>
      </c>
      <c r="K447" s="661">
        <v>53.45</v>
      </c>
      <c r="L447" s="661">
        <f t="shared" ref="L447:W447" si="1011">L446/L448</f>
        <v>-5.9096945551128819</v>
      </c>
      <c r="M447" s="661">
        <f t="shared" si="1011"/>
        <v>-5.298013245033113</v>
      </c>
      <c r="N447" s="661">
        <f t="shared" si="1011"/>
        <v>49.422718808193665</v>
      </c>
      <c r="O447" s="661">
        <f t="shared" si="1011"/>
        <v>33.770287141073659</v>
      </c>
      <c r="P447" s="661">
        <f t="shared" si="1011"/>
        <v>17.586685159500696</v>
      </c>
      <c r="Q447" s="661">
        <f t="shared" si="1011"/>
        <v>22.631959508315255</v>
      </c>
      <c r="R447" s="661">
        <f t="shared" si="1011"/>
        <v>10.688790275901988</v>
      </c>
      <c r="S447" s="661">
        <f t="shared" si="1011"/>
        <v>16.758094165091368</v>
      </c>
      <c r="T447" s="1087">
        <f t="shared" si="1011"/>
        <v>41.50080332510916</v>
      </c>
      <c r="U447" s="661">
        <f t="shared" si="1011"/>
        <v>13.808102146406021</v>
      </c>
      <c r="V447" s="661">
        <f t="shared" si="1011"/>
        <v>26.81184882797286</v>
      </c>
      <c r="W447" s="661">
        <f t="shared" si="1011"/>
        <v>26.030921192206662</v>
      </c>
      <c r="X447" s="661">
        <f>X446/X448</f>
        <v>25.272739021559865</v>
      </c>
      <c r="Y447" s="661">
        <f>Y446/Y448</f>
        <v>24.536639826757149</v>
      </c>
      <c r="Z447" s="661">
        <f>Z446/Z448</f>
        <v>23.821980414327331</v>
      </c>
      <c r="AA447" s="661">
        <f>AA446/AA448</f>
        <v>23.12813632458964</v>
      </c>
      <c r="AB447" s="661">
        <f>AB446/AB448</f>
        <v>22.454501286009361</v>
      </c>
      <c r="AD447" s="643"/>
      <c r="AE447" s="643"/>
      <c r="AF447" s="644"/>
      <c r="AG447" s="644"/>
      <c r="AH447" s="644"/>
      <c r="AI447" s="645"/>
      <c r="AJ447" s="646"/>
      <c r="AK447" s="647"/>
      <c r="AL447" s="647"/>
      <c r="AM447" s="136"/>
      <c r="AN447" s="136"/>
      <c r="AO447" s="136"/>
      <c r="AP447" s="497"/>
      <c r="AQ447" s="497"/>
      <c r="AR447" s="497"/>
      <c r="AS447" s="497"/>
      <c r="AT447" s="497"/>
      <c r="AU447" s="497"/>
      <c r="AV447" s="497"/>
      <c r="AW447" s="497"/>
      <c r="AX447" s="497"/>
      <c r="AY447" s="497"/>
      <c r="AZ447" s="497"/>
      <c r="BA447" s="497"/>
      <c r="BB447" s="497"/>
      <c r="BC447" s="497"/>
      <c r="BD447" s="497"/>
      <c r="BE447" s="497"/>
      <c r="BF447" s="497"/>
      <c r="BG447" s="497"/>
      <c r="BH447" s="497"/>
      <c r="BI447" s="497"/>
      <c r="BJ447" s="497"/>
      <c r="BK447" s="497"/>
      <c r="BL447" s="497"/>
      <c r="BM447" s="497"/>
      <c r="BN447" s="497"/>
      <c r="BO447" s="497"/>
      <c r="BP447" s="497"/>
      <c r="BQ447" s="497"/>
      <c r="BR447" s="497"/>
      <c r="BS447" s="497"/>
      <c r="BT447" s="497"/>
      <c r="BU447" s="497"/>
      <c r="BV447" s="486">
        <f>BV446/BV448</f>
        <v>0</v>
      </c>
      <c r="BW447" s="486">
        <f>BW446/BW448</f>
        <v>0</v>
      </c>
      <c r="BX447" s="486">
        <f>BX446/BX448</f>
        <v>0</v>
      </c>
      <c r="BY447" s="486">
        <v>0</v>
      </c>
      <c r="BZ447" s="486">
        <f>BZ446/BZ448</f>
        <v>0</v>
      </c>
      <c r="CA447" s="486">
        <f>CA446/CA448</f>
        <v>0</v>
      </c>
      <c r="CB447" s="486">
        <f>CB446/CB448</f>
        <v>0</v>
      </c>
      <c r="CC447" s="486">
        <v>0</v>
      </c>
      <c r="CD447" s="506">
        <f>CD446/CD448</f>
        <v>0</v>
      </c>
      <c r="CE447" s="506">
        <f>CE446/CE448</f>
        <v>22.755818248984117</v>
      </c>
      <c r="CF447" s="651">
        <v>14.8</v>
      </c>
      <c r="CG447" s="651">
        <f>CG446/CG448</f>
        <v>11.745689655172415</v>
      </c>
      <c r="CH447" s="651">
        <v>9.9</v>
      </c>
      <c r="CI447" s="506">
        <v>2</v>
      </c>
      <c r="CJ447" s="506">
        <f>+CJ446/CJ448</f>
        <v>7.6496350364963508</v>
      </c>
      <c r="CK447" s="506">
        <f>+CK446/CK448</f>
        <v>15.258433921386567</v>
      </c>
      <c r="CL447" s="506">
        <f>+CL446/CL448</f>
        <v>1.6740088105726874</v>
      </c>
      <c r="CM447" s="506">
        <f>CM446/CM448</f>
        <v>3.7220843672456572</v>
      </c>
      <c r="CN447" s="506">
        <f>CN446/CN448</f>
        <v>4.4892086330935248</v>
      </c>
      <c r="CO447" s="652">
        <f>+CO446/CO448</f>
        <v>6.7596566523605146</v>
      </c>
      <c r="CP447" s="506">
        <f>+CP446/CP448</f>
        <v>7.5597554196775993</v>
      </c>
      <c r="CQ447" s="506">
        <f>+CQ446/CQ448</f>
        <v>3.2416502946954813</v>
      </c>
      <c r="CR447" s="506">
        <f>+CR446/CR448</f>
        <v>6.4147422439934694</v>
      </c>
      <c r="CS447" s="506">
        <f>+CS446/CS448</f>
        <v>5.2514643506362351</v>
      </c>
      <c r="CT447" s="652">
        <f t="shared" ref="CT447:DE447" si="1012">CT446/CT448</f>
        <v>3.6205921176692439</v>
      </c>
      <c r="CU447" s="652">
        <f t="shared" si="1012"/>
        <v>5.1935229067930493</v>
      </c>
      <c r="CV447" s="652">
        <f t="shared" si="1012"/>
        <v>1.257204</v>
      </c>
      <c r="CW447" s="506">
        <f t="shared" si="1012"/>
        <v>0.617761</v>
      </c>
      <c r="CX447" s="506">
        <f t="shared" si="1012"/>
        <v>3.3723900000000002</v>
      </c>
      <c r="CY447" s="506">
        <f t="shared" si="1012"/>
        <v>2.7005931938807368</v>
      </c>
      <c r="CZ447" s="506">
        <f t="shared" si="1012"/>
        <v>2.5819115204590064</v>
      </c>
      <c r="DA447" s="1047">
        <f t="shared" si="1012"/>
        <v>8.0459770114942533</v>
      </c>
      <c r="DB447" s="1047">
        <f t="shared" si="1012"/>
        <v>7.6773024940783063</v>
      </c>
      <c r="DC447" s="1047">
        <f t="shared" si="1012"/>
        <v>14.41317776252574</v>
      </c>
      <c r="DD447" s="1047">
        <f t="shared" si="1012"/>
        <v>11.163406383291662</v>
      </c>
      <c r="DE447" s="1047">
        <f t="shared" si="1012"/>
        <v>8.369581520923953</v>
      </c>
      <c r="DF447" s="506">
        <f t="shared" ref="DF447:DI447" si="1013">DF446/DF448</f>
        <v>3.7498125093745314</v>
      </c>
      <c r="DG447" s="506">
        <f t="shared" si="1013"/>
        <v>3.7498125093745314</v>
      </c>
      <c r="DH447" s="506">
        <f t="shared" si="1013"/>
        <v>3.7498125093745314</v>
      </c>
      <c r="DI447" s="506">
        <f t="shared" si="1013"/>
        <v>3.7498125093745314</v>
      </c>
    </row>
    <row r="448" spans="1:113">
      <c r="A448" s="966" t="s">
        <v>185</v>
      </c>
      <c r="B448" s="656">
        <v>34.46</v>
      </c>
      <c r="C448" s="656">
        <v>26.14</v>
      </c>
      <c r="D448" s="656">
        <v>46.81</v>
      </c>
      <c r="E448" s="656">
        <v>46.42</v>
      </c>
      <c r="F448" s="829">
        <f>F446/F447</f>
        <v>36.901357155864055</v>
      </c>
      <c r="G448" s="656">
        <f>CFS!I65</f>
        <v>14.142179693663232</v>
      </c>
      <c r="H448" s="656">
        <f>CFS!J65</f>
        <v>17.294658336692734</v>
      </c>
      <c r="I448" s="656">
        <f>CFS!K65</f>
        <v>19.86386155629582</v>
      </c>
      <c r="J448" s="656">
        <f>CFS!M65</f>
        <v>19.863860000000003</v>
      </c>
      <c r="K448" s="656">
        <f>K446/K447</f>
        <v>21.814780168381663</v>
      </c>
      <c r="L448" s="656">
        <f>CFS!P65</f>
        <v>15.06</v>
      </c>
      <c r="M448" s="656">
        <f>CFS!Q65</f>
        <v>19.63</v>
      </c>
      <c r="N448" s="656">
        <v>26.85</v>
      </c>
      <c r="O448" s="656">
        <v>32.04</v>
      </c>
      <c r="P448" s="656">
        <v>36.049999999999997</v>
      </c>
      <c r="Q448" s="677">
        <v>41.49</v>
      </c>
      <c r="R448" s="677">
        <v>51.83</v>
      </c>
      <c r="S448" s="1050">
        <v>63.48</v>
      </c>
      <c r="T448" s="1088">
        <v>70.311891968474924</v>
      </c>
      <c r="U448" s="656">
        <f t="shared" ref="U448:AB448" si="1014">T448*1.03</f>
        <v>72.421248727529175</v>
      </c>
      <c r="V448" s="656">
        <f t="shared" si="1014"/>
        <v>74.593886189355047</v>
      </c>
      <c r="W448" s="656">
        <f t="shared" si="1014"/>
        <v>76.831702775035694</v>
      </c>
      <c r="X448" s="656">
        <f t="shared" si="1014"/>
        <v>79.136653858286763</v>
      </c>
      <c r="Y448" s="656">
        <f t="shared" si="1014"/>
        <v>81.510753474035369</v>
      </c>
      <c r="Z448" s="656">
        <f t="shared" si="1014"/>
        <v>83.95607607825643</v>
      </c>
      <c r="AA448" s="656">
        <f t="shared" si="1014"/>
        <v>86.474758360604127</v>
      </c>
      <c r="AB448" s="656">
        <f t="shared" si="1014"/>
        <v>89.069001111422253</v>
      </c>
      <c r="AD448" s="653"/>
      <c r="AE448" s="653"/>
      <c r="AF448" s="654"/>
      <c r="AG448" s="654"/>
      <c r="AH448" s="654"/>
      <c r="AI448" s="655"/>
      <c r="AJ448" s="656"/>
      <c r="AK448" s="657"/>
      <c r="AL448" s="657"/>
      <c r="AM448" s="137"/>
      <c r="AN448" s="137"/>
      <c r="AO448" s="137"/>
      <c r="AP448" s="510"/>
      <c r="AQ448" s="510"/>
      <c r="AR448" s="510"/>
      <c r="AS448" s="510"/>
      <c r="AT448" s="510"/>
      <c r="AU448" s="510"/>
      <c r="AV448" s="510"/>
      <c r="AW448" s="510"/>
      <c r="AX448" s="510"/>
      <c r="AY448" s="510"/>
      <c r="AZ448" s="510"/>
      <c r="BA448" s="510"/>
      <c r="BB448" s="510"/>
      <c r="BC448" s="510"/>
      <c r="BD448" s="510"/>
      <c r="BE448" s="510"/>
      <c r="BF448" s="510"/>
      <c r="BG448" s="510"/>
      <c r="BH448" s="510"/>
      <c r="BI448" s="510"/>
      <c r="BJ448" s="510"/>
      <c r="BK448" s="510"/>
      <c r="BL448" s="510"/>
      <c r="BM448" s="510"/>
      <c r="BN448" s="510"/>
      <c r="BO448" s="510"/>
      <c r="BP448" s="510"/>
      <c r="BQ448" s="510"/>
      <c r="BR448" s="510"/>
      <c r="BS448" s="510"/>
      <c r="BT448" s="510"/>
      <c r="BU448" s="510"/>
      <c r="BV448" s="658">
        <v>20</v>
      </c>
      <c r="BW448" s="658">
        <v>22</v>
      </c>
      <c r="BX448" s="658">
        <v>24</v>
      </c>
      <c r="BY448" s="510">
        <v>24</v>
      </c>
      <c r="BZ448" s="658">
        <v>20</v>
      </c>
      <c r="CA448" s="658">
        <v>22</v>
      </c>
      <c r="CB448" s="658">
        <v>24</v>
      </c>
      <c r="CC448" s="510">
        <v>24</v>
      </c>
      <c r="CD448" s="658">
        <v>26.85</v>
      </c>
      <c r="CE448" s="658">
        <v>27.07</v>
      </c>
      <c r="CF448" s="658">
        <f>CF446/CF447</f>
        <v>25.945945945945944</v>
      </c>
      <c r="CG448" s="658">
        <v>27.84</v>
      </c>
      <c r="CH448" s="658">
        <v>29.71</v>
      </c>
      <c r="CI448" s="658">
        <v>32.369999999999997</v>
      </c>
      <c r="CJ448" s="658">
        <v>34.25</v>
      </c>
      <c r="CK448" s="658">
        <v>32.31</v>
      </c>
      <c r="CL448" s="658">
        <v>34.049999999999997</v>
      </c>
      <c r="CM448" s="658">
        <v>36.270000000000003</v>
      </c>
      <c r="CN448" s="658">
        <v>34.75</v>
      </c>
      <c r="CO448" s="659">
        <v>37.28</v>
      </c>
      <c r="CP448" s="659">
        <v>35.979999999999997</v>
      </c>
      <c r="CQ448" s="658">
        <v>40.72</v>
      </c>
      <c r="CR448" s="658">
        <v>42.87</v>
      </c>
      <c r="CS448" s="448">
        <v>49.51</v>
      </c>
      <c r="CT448" s="691">
        <v>53.03</v>
      </c>
      <c r="CU448" s="691">
        <v>50.64</v>
      </c>
      <c r="CV448" s="448">
        <v>50.39</v>
      </c>
      <c r="CW448" s="448">
        <v>57.65</v>
      </c>
      <c r="CX448" s="448">
        <v>59.84</v>
      </c>
      <c r="CY448" s="448">
        <v>64.06</v>
      </c>
      <c r="CZ448" s="448">
        <v>66.23</v>
      </c>
      <c r="DA448" s="1048">
        <v>64.38</v>
      </c>
      <c r="DB448" s="1048">
        <v>71.77</v>
      </c>
      <c r="DC448" s="1048">
        <v>72.849999999999994</v>
      </c>
      <c r="DD448" s="1048">
        <v>67.989999999999995</v>
      </c>
      <c r="DE448" s="1048">
        <v>66.67</v>
      </c>
      <c r="DF448" s="510">
        <f>DE448</f>
        <v>66.67</v>
      </c>
      <c r="DG448" s="510">
        <f>+DF448</f>
        <v>66.67</v>
      </c>
      <c r="DH448" s="510">
        <f>+DG448</f>
        <v>66.67</v>
      </c>
      <c r="DI448" s="510">
        <f>+DH448</f>
        <v>66.67</v>
      </c>
    </row>
    <row r="449" spans="1:113">
      <c r="A449" s="34"/>
      <c r="AD449" s="34"/>
      <c r="AE449" s="34"/>
      <c r="AF449" s="34"/>
      <c r="AG449" s="34"/>
      <c r="AH449" s="660"/>
      <c r="AI449" s="660"/>
      <c r="AJ449" s="661"/>
      <c r="AK449" s="661"/>
      <c r="AL449" s="511"/>
      <c r="AM449" s="394"/>
      <c r="AN449" s="394"/>
      <c r="AO449" s="394"/>
      <c r="AP449" s="387"/>
      <c r="AQ449" s="387"/>
      <c r="AR449" s="387"/>
      <c r="AS449" s="387"/>
      <c r="AT449" s="387"/>
      <c r="AU449" s="387"/>
      <c r="AV449" s="387"/>
      <c r="AW449" s="387"/>
      <c r="AX449" s="471"/>
      <c r="AY449" s="471"/>
      <c r="AZ449" s="471"/>
      <c r="BA449" s="471"/>
      <c r="BB449" s="471"/>
      <c r="BC449" s="471"/>
      <c r="BD449" s="471"/>
      <c r="BE449" s="471"/>
      <c r="BF449" s="471"/>
      <c r="BG449" s="387"/>
      <c r="BH449" s="387"/>
      <c r="BI449" s="387"/>
      <c r="BJ449" s="387"/>
      <c r="BK449" s="387"/>
      <c r="BL449" s="387"/>
      <c r="BM449" s="387"/>
      <c r="BN449" s="387"/>
      <c r="BO449" s="387"/>
      <c r="BP449" s="387"/>
      <c r="BQ449" s="387"/>
      <c r="BR449" s="387"/>
      <c r="BS449" s="387"/>
      <c r="BT449" s="387"/>
      <c r="BU449" s="387"/>
      <c r="BV449" s="387"/>
      <c r="BW449" s="387"/>
      <c r="BX449" s="387"/>
      <c r="BY449" s="387"/>
      <c r="BZ449" s="387"/>
      <c r="CA449" s="387"/>
      <c r="CB449" s="387"/>
      <c r="CC449" s="387"/>
      <c r="CD449" s="387"/>
      <c r="CE449" s="387"/>
      <c r="CF449" s="387"/>
      <c r="CG449" s="387"/>
      <c r="CH449" s="482"/>
      <c r="CI449" s="482"/>
      <c r="CJ449" s="482"/>
      <c r="CK449" s="482"/>
      <c r="CL449" s="387"/>
      <c r="CM449" s="387"/>
      <c r="CN449" s="387"/>
      <c r="CO449" s="482"/>
      <c r="CP449" s="387"/>
      <c r="CQ449" s="387"/>
      <c r="CR449" s="387"/>
      <c r="CS449" s="387"/>
      <c r="CT449" s="387"/>
      <c r="CU449" s="387"/>
      <c r="CV449" s="482"/>
      <c r="CW449" s="387"/>
      <c r="CX449" s="387"/>
      <c r="CY449" s="387"/>
      <c r="CZ449" s="387"/>
      <c r="DA449" s="1027"/>
      <c r="DB449" s="1027"/>
      <c r="DC449" s="387"/>
      <c r="DD449" s="387"/>
      <c r="DE449" s="387"/>
      <c r="DF449" s="387"/>
      <c r="DG449" s="387"/>
      <c r="DH449" s="387"/>
      <c r="DI449" s="387"/>
    </row>
    <row r="450" spans="1:113">
      <c r="A450" s="362" t="s">
        <v>200</v>
      </c>
      <c r="B450" s="830"/>
      <c r="C450" s="831">
        <f>+B466-C461</f>
        <v>2338.52</v>
      </c>
      <c r="D450" s="831">
        <f>+C454</f>
        <v>2208.9</v>
      </c>
      <c r="E450" s="831">
        <f>+D454</f>
        <v>2124.3000000000002</v>
      </c>
      <c r="F450" s="832">
        <v>2039.259552</v>
      </c>
      <c r="G450" s="833">
        <f t="shared" ref="G450:W450" si="1015">+F454</f>
        <v>2020.588152</v>
      </c>
      <c r="H450" s="833">
        <f t="shared" si="1015"/>
        <v>2020.588152</v>
      </c>
      <c r="I450" s="833">
        <f t="shared" si="1015"/>
        <v>2020.588152</v>
      </c>
      <c r="J450" s="833">
        <f t="shared" si="1015"/>
        <v>2020.588152</v>
      </c>
      <c r="K450" s="833">
        <f t="shared" si="1015"/>
        <v>2020.588152</v>
      </c>
      <c r="L450" s="833">
        <f t="shared" si="1015"/>
        <v>1967.138152</v>
      </c>
      <c r="M450" s="833">
        <f t="shared" si="1015"/>
        <v>1973.047846555113</v>
      </c>
      <c r="N450" s="833">
        <f t="shared" si="1015"/>
        <v>1978.3458598001462</v>
      </c>
      <c r="O450" s="833">
        <f t="shared" si="1015"/>
        <v>2044.4190000000001</v>
      </c>
      <c r="P450" s="833">
        <f t="shared" si="1015"/>
        <v>2009.1919310421172</v>
      </c>
      <c r="Q450" s="833">
        <f t="shared" si="1015"/>
        <v>1991.6052458826164</v>
      </c>
      <c r="R450" s="833">
        <f t="shared" si="1015"/>
        <v>1968.9732863743011</v>
      </c>
      <c r="S450" s="833">
        <f t="shared" si="1015"/>
        <v>1960.0594809999998</v>
      </c>
      <c r="T450" s="833">
        <f t="shared" si="1015"/>
        <v>1943.2722239999998</v>
      </c>
      <c r="U450" s="833">
        <f t="shared" si="1015"/>
        <v>1901.2591919999998</v>
      </c>
      <c r="V450" s="833">
        <f t="shared" si="1015"/>
        <v>1887.4510898535937</v>
      </c>
      <c r="W450" s="833">
        <f t="shared" si="1015"/>
        <v>1860.6392410256208</v>
      </c>
      <c r="X450" s="833">
        <f>+W454</f>
        <v>1834.608319833414</v>
      </c>
      <c r="Y450" s="833">
        <f>+X454</f>
        <v>1809.3355808118542</v>
      </c>
      <c r="Z450" s="833">
        <f>+Y454</f>
        <v>1784.798940985097</v>
      </c>
      <c r="AA450" s="833">
        <f>+Z454</f>
        <v>1760.9769605707697</v>
      </c>
      <c r="AB450" s="833">
        <f>+AA454</f>
        <v>1737.8488242461801</v>
      </c>
      <c r="AD450" s="662"/>
      <c r="AE450" s="362"/>
      <c r="AF450" s="362"/>
      <c r="AG450" s="662"/>
      <c r="AH450" s="662"/>
      <c r="AI450" s="362"/>
      <c r="AJ450" s="312"/>
      <c r="AK450" s="312"/>
      <c r="AL450" s="312"/>
      <c r="AM450" s="312"/>
      <c r="AN450" s="312"/>
      <c r="AO450" s="312"/>
      <c r="AP450" s="486"/>
      <c r="AQ450" s="486"/>
      <c r="AR450" s="486"/>
      <c r="AS450" s="486"/>
      <c r="AT450" s="486"/>
      <c r="AU450" s="486"/>
      <c r="AV450" s="486"/>
      <c r="AW450" s="486"/>
      <c r="AX450" s="486"/>
      <c r="AY450" s="486"/>
      <c r="AZ450" s="486"/>
      <c r="BA450" s="486"/>
      <c r="BB450" s="486"/>
      <c r="BC450" s="486"/>
      <c r="BD450" s="486"/>
      <c r="BE450" s="486"/>
      <c r="BF450" s="486"/>
      <c r="BG450" s="486"/>
      <c r="BH450" s="486"/>
      <c r="BI450" s="486"/>
      <c r="BJ450" s="486"/>
      <c r="BK450" s="486"/>
      <c r="BL450" s="486"/>
      <c r="BM450" s="486"/>
      <c r="BN450" s="486"/>
      <c r="BO450" s="486"/>
      <c r="BP450" s="486"/>
      <c r="BQ450" s="486"/>
      <c r="BR450" s="486"/>
      <c r="BS450" s="486"/>
      <c r="BT450" s="486"/>
      <c r="BU450" s="486"/>
      <c r="BV450" s="486">
        <f>K454</f>
        <v>1967.138152</v>
      </c>
      <c r="BW450" s="486">
        <f t="shared" ref="BW450:CB450" si="1016">BV454</f>
        <v>1967.138152</v>
      </c>
      <c r="BX450" s="486">
        <f t="shared" si="1016"/>
        <v>1967.138152</v>
      </c>
      <c r="BY450" s="486">
        <f t="shared" si="1016"/>
        <v>1967.138152</v>
      </c>
      <c r="BZ450" s="486">
        <f t="shared" si="1016"/>
        <v>1967.138152</v>
      </c>
      <c r="CA450" s="486">
        <f t="shared" si="1016"/>
        <v>2074</v>
      </c>
      <c r="CB450" s="486">
        <f t="shared" si="1016"/>
        <v>2083.5705249999996</v>
      </c>
      <c r="CC450" s="486">
        <v>2080</v>
      </c>
      <c r="CD450" s="486">
        <f>+CC454</f>
        <v>2080</v>
      </c>
      <c r="CE450" s="486">
        <f>CD454</f>
        <v>2080</v>
      </c>
      <c r="CF450" s="486">
        <f>CE454</f>
        <v>2057.2441817510157</v>
      </c>
      <c r="CG450" s="486">
        <f>CF454</f>
        <v>2042.4441817510158</v>
      </c>
      <c r="CH450" s="663">
        <f t="shared" ref="CH450:DE450" si="1017">+CG454</f>
        <v>2030.6984920958434</v>
      </c>
      <c r="CI450" s="663">
        <f t="shared" si="1017"/>
        <v>2020.7984920958434</v>
      </c>
      <c r="CJ450" s="663">
        <f t="shared" si="1017"/>
        <v>2018.7984920958434</v>
      </c>
      <c r="CK450" s="663">
        <f t="shared" si="1017"/>
        <v>2011.1488570593469</v>
      </c>
      <c r="CL450" s="486">
        <f t="shared" si="1017"/>
        <v>1996.8904231379604</v>
      </c>
      <c r="CM450" s="486">
        <f t="shared" si="1017"/>
        <v>2008.6691179999998</v>
      </c>
      <c r="CN450" s="486">
        <f t="shared" si="1017"/>
        <v>2004.8058699999997</v>
      </c>
      <c r="CO450" s="486">
        <f t="shared" si="1017"/>
        <v>2000.2872199999997</v>
      </c>
      <c r="CP450" s="486">
        <f t="shared" si="1017"/>
        <v>1992.853529</v>
      </c>
      <c r="CQ450" s="486">
        <f t="shared" si="1017"/>
        <v>1986.7215289999999</v>
      </c>
      <c r="CR450" s="486">
        <f t="shared" si="1017"/>
        <v>1983.4488029999998</v>
      </c>
      <c r="CS450" s="486">
        <f t="shared" si="1017"/>
        <v>1977.0130619999998</v>
      </c>
      <c r="CT450" s="486">
        <f t="shared" si="1017"/>
        <v>1971.4745229999999</v>
      </c>
      <c r="CU450" s="486">
        <f t="shared" si="1017"/>
        <v>1967.1628359999997</v>
      </c>
      <c r="CV450" s="663">
        <f t="shared" si="1017"/>
        <v>1961.9663589999998</v>
      </c>
      <c r="CW450" s="486">
        <f t="shared" si="1017"/>
        <v>1960.6794409999998</v>
      </c>
      <c r="CX450" s="486">
        <f t="shared" si="1017"/>
        <v>1960.0594809999998</v>
      </c>
      <c r="CY450" s="486">
        <f t="shared" si="1017"/>
        <v>1956.7101959999998</v>
      </c>
      <c r="CZ450" s="486">
        <f t="shared" si="1017"/>
        <v>1954.0060049999997</v>
      </c>
      <c r="DA450" s="1036">
        <f t="shared" si="1017"/>
        <v>1951.4029359999997</v>
      </c>
      <c r="DB450" s="1036">
        <f t="shared" si="1017"/>
        <v>1943.2722239999998</v>
      </c>
      <c r="DC450" s="486">
        <f t="shared" si="1017"/>
        <v>1935.1454369999997</v>
      </c>
      <c r="DD450" s="486">
        <f t="shared" si="1017"/>
        <v>1920.7926419999999</v>
      </c>
      <c r="DE450" s="486">
        <f t="shared" si="1017"/>
        <v>1909.6207329999997</v>
      </c>
      <c r="DF450" s="486">
        <f t="shared" ref="DF450" si="1018">+DE454</f>
        <v>1901.2591919999998</v>
      </c>
      <c r="DG450" s="486">
        <f t="shared" ref="DG450" si="1019">+DF454</f>
        <v>1897.5093794906252</v>
      </c>
      <c r="DH450" s="486">
        <f t="shared" ref="DH450" si="1020">+DG454</f>
        <v>1893.7595669812506</v>
      </c>
      <c r="DI450" s="486">
        <f t="shared" ref="DI450" si="1021">+DH454</f>
        <v>1890.009754471876</v>
      </c>
    </row>
    <row r="451" spans="1:113">
      <c r="A451" s="834"/>
      <c r="B451" s="830"/>
      <c r="C451" s="6"/>
      <c r="D451" s="6"/>
      <c r="E451" s="6"/>
      <c r="F451" s="6"/>
      <c r="G451" s="6"/>
      <c r="H451" s="6"/>
      <c r="I451" s="6"/>
      <c r="J451" s="6"/>
      <c r="K451" s="6"/>
      <c r="L451" s="6"/>
      <c r="M451" s="6"/>
      <c r="N451" s="6"/>
      <c r="O451" s="6"/>
      <c r="P451" s="6"/>
      <c r="Q451" s="6"/>
      <c r="R451" s="6"/>
      <c r="S451" s="6"/>
      <c r="T451" s="6"/>
      <c r="U451" s="6"/>
      <c r="V451" s="6"/>
      <c r="W451" s="6"/>
      <c r="X451" s="6"/>
      <c r="Y451" s="6"/>
      <c r="Z451" s="6"/>
      <c r="AA451" s="6"/>
      <c r="AB451" s="6"/>
      <c r="AD451" s="662"/>
      <c r="AE451" s="362"/>
      <c r="AF451" s="362"/>
      <c r="AG451" s="662"/>
      <c r="AH451" s="662"/>
      <c r="AI451" s="362"/>
      <c r="AJ451" s="312"/>
      <c r="AK451" s="312"/>
      <c r="AL451" s="312"/>
      <c r="AM451" s="312"/>
      <c r="AN451" s="312"/>
      <c r="AO451" s="312"/>
      <c r="AP451" s="486"/>
      <c r="AQ451" s="486"/>
      <c r="AR451" s="486"/>
      <c r="AS451" s="486"/>
      <c r="AT451" s="486"/>
      <c r="AU451" s="486"/>
      <c r="AV451" s="486"/>
      <c r="AW451" s="486"/>
      <c r="AX451" s="486"/>
      <c r="AY451" s="486"/>
      <c r="AZ451" s="486"/>
      <c r="BA451" s="486"/>
      <c r="BB451" s="486"/>
      <c r="BC451" s="486"/>
      <c r="BD451" s="486"/>
      <c r="BE451" s="486"/>
      <c r="BF451" s="486"/>
      <c r="BG451" s="486"/>
      <c r="BH451" s="486"/>
      <c r="BI451" s="486"/>
      <c r="BJ451" s="486"/>
      <c r="BK451" s="486"/>
      <c r="BL451" s="486"/>
      <c r="BM451" s="486"/>
      <c r="BN451" s="486"/>
      <c r="BO451" s="486"/>
      <c r="BP451" s="486"/>
      <c r="BQ451" s="486"/>
      <c r="BR451" s="486"/>
      <c r="BS451" s="486"/>
      <c r="BT451" s="486"/>
      <c r="BU451" s="486"/>
      <c r="BV451" s="486"/>
      <c r="BW451" s="486"/>
      <c r="BX451" s="486"/>
      <c r="BY451" s="486"/>
      <c r="BZ451" s="486"/>
      <c r="CA451" s="486"/>
      <c r="CB451" s="486"/>
      <c r="CC451" s="486"/>
      <c r="CD451" s="486"/>
      <c r="CE451" s="486"/>
      <c r="CF451" s="486"/>
      <c r="CG451" s="486"/>
      <c r="CH451" s="663"/>
      <c r="CI451" s="663"/>
      <c r="CJ451" s="663"/>
      <c r="CK451" s="663"/>
      <c r="CL451" s="486"/>
      <c r="CM451" s="486"/>
      <c r="CN451" s="486"/>
      <c r="CO451" s="486"/>
      <c r="CP451" s="486"/>
      <c r="CQ451" s="486"/>
      <c r="CR451" s="486"/>
      <c r="CS451" s="486"/>
      <c r="CT451" s="486"/>
      <c r="CU451" s="486"/>
      <c r="CV451" s="663"/>
      <c r="CW451" s="486"/>
      <c r="CX451" s="486"/>
      <c r="CY451" s="486"/>
      <c r="CZ451" s="486"/>
      <c r="DA451" s="1036"/>
      <c r="DB451" s="1036"/>
      <c r="DC451" s="486"/>
      <c r="DD451" s="486"/>
      <c r="DE451" s="486"/>
      <c r="DF451" s="486"/>
      <c r="DG451" s="486"/>
      <c r="DH451" s="486"/>
      <c r="DI451" s="486"/>
    </row>
    <row r="452" spans="1:113">
      <c r="A452" s="362" t="s">
        <v>198</v>
      </c>
      <c r="B452" s="830"/>
      <c r="C452" s="831">
        <f>-C462</f>
        <v>-137.56</v>
      </c>
      <c r="D452" s="831">
        <f>-D462</f>
        <v>-84.6</v>
      </c>
      <c r="E452" s="831">
        <f>-E462</f>
        <v>-134.4</v>
      </c>
      <c r="F452" s="833">
        <f>-F462</f>
        <v>-18.671399999999998</v>
      </c>
      <c r="G452" s="833">
        <f t="shared" ref="G452:W452" si="1022">-G447</f>
        <v>0</v>
      </c>
      <c r="H452" s="833">
        <f t="shared" si="1022"/>
        <v>0</v>
      </c>
      <c r="I452" s="833">
        <f t="shared" si="1022"/>
        <v>0</v>
      </c>
      <c r="J452" s="833">
        <f t="shared" si="1022"/>
        <v>0</v>
      </c>
      <c r="K452" s="833">
        <f t="shared" si="1022"/>
        <v>-53.45</v>
      </c>
      <c r="L452" s="833">
        <f t="shared" si="1022"/>
        <v>5.9096945551128819</v>
      </c>
      <c r="M452" s="833">
        <f t="shared" si="1022"/>
        <v>5.298013245033113</v>
      </c>
      <c r="N452" s="833">
        <f t="shared" si="1022"/>
        <v>-49.422718808193665</v>
      </c>
      <c r="O452" s="833">
        <f t="shared" si="1022"/>
        <v>-33.770287141073659</v>
      </c>
      <c r="P452" s="833">
        <f t="shared" si="1022"/>
        <v>-17.586685159500696</v>
      </c>
      <c r="Q452" s="833">
        <f t="shared" si="1022"/>
        <v>-22.631959508315255</v>
      </c>
      <c r="R452" s="833">
        <f t="shared" si="1022"/>
        <v>-10.688790275901988</v>
      </c>
      <c r="S452" s="833">
        <f t="shared" si="1022"/>
        <v>-16.758094165091368</v>
      </c>
      <c r="T452" s="833">
        <f t="shared" si="1022"/>
        <v>-41.50080332510916</v>
      </c>
      <c r="U452" s="833">
        <f t="shared" si="1022"/>
        <v>-13.808102146406021</v>
      </c>
      <c r="V452" s="833">
        <f t="shared" si="1022"/>
        <v>-26.81184882797286</v>
      </c>
      <c r="W452" s="833">
        <f t="shared" si="1022"/>
        <v>-26.030921192206662</v>
      </c>
      <c r="X452" s="833">
        <f>-X447</f>
        <v>-25.272739021559865</v>
      </c>
      <c r="Y452" s="833">
        <f>-Y447</f>
        <v>-24.536639826757149</v>
      </c>
      <c r="Z452" s="833">
        <f>-Z447</f>
        <v>-23.821980414327331</v>
      </c>
      <c r="AA452" s="833">
        <f>-AA447</f>
        <v>-23.12813632458964</v>
      </c>
      <c r="AB452" s="833">
        <f>-AB447</f>
        <v>-22.454501286009361</v>
      </c>
      <c r="AD452" s="662"/>
      <c r="AE452" s="362"/>
      <c r="AF452" s="362"/>
      <c r="AG452" s="662"/>
      <c r="AH452" s="662"/>
      <c r="AI452" s="362"/>
      <c r="AJ452" s="312"/>
      <c r="AK452" s="312"/>
      <c r="AL452" s="312"/>
      <c r="AM452" s="312"/>
      <c r="AN452" s="312"/>
      <c r="AO452" s="312"/>
      <c r="AP452" s="486"/>
      <c r="AQ452" s="486"/>
      <c r="AR452" s="486"/>
      <c r="AS452" s="486"/>
      <c r="AT452" s="486"/>
      <c r="AU452" s="486"/>
      <c r="AV452" s="486"/>
      <c r="AW452" s="486"/>
      <c r="AX452" s="486"/>
      <c r="AY452" s="486"/>
      <c r="AZ452" s="486"/>
      <c r="BA452" s="486"/>
      <c r="BB452" s="486"/>
      <c r="BC452" s="486"/>
      <c r="BD452" s="486"/>
      <c r="BE452" s="486"/>
      <c r="BF452" s="486"/>
      <c r="BG452" s="486"/>
      <c r="BH452" s="486"/>
      <c r="BI452" s="486"/>
      <c r="BJ452" s="486"/>
      <c r="BK452" s="486"/>
      <c r="BL452" s="486"/>
      <c r="BM452" s="486"/>
      <c r="BN452" s="486"/>
      <c r="BO452" s="486"/>
      <c r="BP452" s="486"/>
      <c r="BQ452" s="486"/>
      <c r="BR452" s="486"/>
      <c r="BS452" s="486"/>
      <c r="BT452" s="486"/>
      <c r="BU452" s="486"/>
      <c r="BV452" s="486">
        <f>-BV447</f>
        <v>0</v>
      </c>
      <c r="BW452" s="486">
        <f>-BW447</f>
        <v>0</v>
      </c>
      <c r="BX452" s="486">
        <f>-BX447</f>
        <v>0</v>
      </c>
      <c r="BY452" s="486">
        <v>0</v>
      </c>
      <c r="BZ452" s="486">
        <f>-BZ447</f>
        <v>0</v>
      </c>
      <c r="CA452" s="486">
        <f>-CA447</f>
        <v>0</v>
      </c>
      <c r="CB452" s="486">
        <f>-CB447</f>
        <v>0</v>
      </c>
      <c r="CC452" s="486">
        <v>0</v>
      </c>
      <c r="CD452" s="486">
        <f>-CD447</f>
        <v>0</v>
      </c>
      <c r="CE452" s="486">
        <f>-CE447</f>
        <v>-22.755818248984117</v>
      </c>
      <c r="CF452" s="486">
        <f>-CF447</f>
        <v>-14.8</v>
      </c>
      <c r="CG452" s="486">
        <f>-CG447</f>
        <v>-11.745689655172415</v>
      </c>
      <c r="CH452" s="663">
        <f>+-CH447</f>
        <v>-9.9</v>
      </c>
      <c r="CI452" s="663">
        <f>+-CI447</f>
        <v>-2</v>
      </c>
      <c r="CJ452" s="663">
        <f>+-CJ447</f>
        <v>-7.6496350364963508</v>
      </c>
      <c r="CK452" s="663">
        <f>+-CK447</f>
        <v>-15.258433921386567</v>
      </c>
      <c r="CL452" s="486">
        <f t="shared" ref="CL452:DE452" si="1023">-CL447</f>
        <v>-1.6740088105726874</v>
      </c>
      <c r="CM452" s="486">
        <f t="shared" si="1023"/>
        <v>-3.7220843672456572</v>
      </c>
      <c r="CN452" s="486">
        <f t="shared" si="1023"/>
        <v>-4.4892086330935248</v>
      </c>
      <c r="CO452" s="486">
        <f t="shared" si="1023"/>
        <v>-6.7596566523605146</v>
      </c>
      <c r="CP452" s="486">
        <f t="shared" si="1023"/>
        <v>-7.5597554196775993</v>
      </c>
      <c r="CQ452" s="486">
        <f t="shared" si="1023"/>
        <v>-3.2416502946954813</v>
      </c>
      <c r="CR452" s="486">
        <f t="shared" si="1023"/>
        <v>-6.4147422439934694</v>
      </c>
      <c r="CS452" s="486">
        <f t="shared" si="1023"/>
        <v>-5.2514643506362351</v>
      </c>
      <c r="CT452" s="486">
        <f t="shared" si="1023"/>
        <v>-3.6205921176692439</v>
      </c>
      <c r="CU452" s="486">
        <f t="shared" si="1023"/>
        <v>-5.1935229067930493</v>
      </c>
      <c r="CV452" s="663">
        <f t="shared" si="1023"/>
        <v>-1.257204</v>
      </c>
      <c r="CW452" s="486">
        <f t="shared" si="1023"/>
        <v>-0.617761</v>
      </c>
      <c r="CX452" s="486">
        <f t="shared" si="1023"/>
        <v>-3.3723900000000002</v>
      </c>
      <c r="CY452" s="486">
        <f t="shared" si="1023"/>
        <v>-2.7005931938807368</v>
      </c>
      <c r="CZ452" s="486">
        <f t="shared" ref="CZ452:DA452" si="1024">-CZ447</f>
        <v>-2.5819115204590064</v>
      </c>
      <c r="DA452" s="1036">
        <f t="shared" si="1024"/>
        <v>-8.0459770114942533</v>
      </c>
      <c r="DB452" s="1036">
        <f t="shared" si="1023"/>
        <v>-7.6773024940783063</v>
      </c>
      <c r="DC452" s="486">
        <f t="shared" si="1023"/>
        <v>-14.41317776252574</v>
      </c>
      <c r="DD452" s="486">
        <f t="shared" si="1023"/>
        <v>-11.163406383291662</v>
      </c>
      <c r="DE452" s="486">
        <f t="shared" si="1023"/>
        <v>-8.369581520923953</v>
      </c>
      <c r="DF452" s="486">
        <f t="shared" ref="DF452:DI452" si="1025">-DF447</f>
        <v>-3.7498125093745314</v>
      </c>
      <c r="DG452" s="486">
        <f t="shared" si="1025"/>
        <v>-3.7498125093745314</v>
      </c>
      <c r="DH452" s="486">
        <f t="shared" si="1025"/>
        <v>-3.7498125093745314</v>
      </c>
      <c r="DI452" s="486">
        <f t="shared" si="1025"/>
        <v>-3.7498125093745314</v>
      </c>
    </row>
    <row r="453" spans="1:113">
      <c r="A453" s="362" t="s">
        <v>199</v>
      </c>
      <c r="B453" s="830"/>
      <c r="C453" s="831">
        <f>+C463</f>
        <v>7.94</v>
      </c>
      <c r="D453" s="831">
        <f>+D463</f>
        <v>28.18</v>
      </c>
      <c r="E453" s="831">
        <f>+E463</f>
        <v>21.155000000000001</v>
      </c>
      <c r="F453" s="831">
        <f>+F463</f>
        <v>16.675270000000001</v>
      </c>
      <c r="G453" s="831">
        <f>+G463</f>
        <v>22.264054000000002</v>
      </c>
      <c r="H453" s="833">
        <f>H463</f>
        <v>24.736923000000001</v>
      </c>
      <c r="I453" s="833">
        <f>I463</f>
        <v>12.816528999999999</v>
      </c>
      <c r="J453" s="833">
        <f>J463</f>
        <v>10.595834</v>
      </c>
      <c r="K453" s="833">
        <v>7.1448219999999996</v>
      </c>
      <c r="L453" s="833">
        <f ca="1">L463</f>
        <v>0</v>
      </c>
      <c r="M453" s="833">
        <f ca="1">M463</f>
        <v>0</v>
      </c>
      <c r="N453" s="833">
        <v>0</v>
      </c>
      <c r="O453" s="833">
        <v>1</v>
      </c>
      <c r="P453" s="833">
        <v>-0.69344357884438068</v>
      </c>
      <c r="Q453" s="833">
        <f>+Q450+Q452-Q454</f>
        <v>0</v>
      </c>
      <c r="R453" s="833">
        <f>+R454-R450-R452</f>
        <v>1.7749849016006696</v>
      </c>
      <c r="S453" s="833">
        <f>+S454-S450-S452</f>
        <v>-2.9162834908586177E-2</v>
      </c>
      <c r="T453" s="833">
        <f>+T454-T450-T452</f>
        <v>-0.51222867489090618</v>
      </c>
      <c r="U453" s="833">
        <f t="shared" ref="U453:AB453" si="1026">+T453</f>
        <v>-0.51222867489090618</v>
      </c>
      <c r="V453" s="833">
        <f t="shared" si="1026"/>
        <v>-0.51222867489090618</v>
      </c>
      <c r="W453" s="833">
        <f t="shared" si="1026"/>
        <v>-0.51222867489090618</v>
      </c>
      <c r="X453" s="833">
        <f t="shared" si="1026"/>
        <v>-0.51222867489090618</v>
      </c>
      <c r="Y453" s="833">
        <f t="shared" si="1026"/>
        <v>-0.51222867489090618</v>
      </c>
      <c r="Z453" s="833">
        <f t="shared" si="1026"/>
        <v>-0.51222867489090618</v>
      </c>
      <c r="AA453" s="833">
        <f t="shared" si="1026"/>
        <v>-0.51222867489090618</v>
      </c>
      <c r="AB453" s="833">
        <f t="shared" si="1026"/>
        <v>-0.51222867489090618</v>
      </c>
      <c r="AD453" s="662"/>
      <c r="AE453" s="362"/>
      <c r="AF453" s="362"/>
      <c r="AG453" s="662"/>
      <c r="AH453" s="662"/>
      <c r="AI453" s="664"/>
      <c r="AJ453" s="665"/>
      <c r="AK453" s="665"/>
      <c r="AL453" s="312"/>
      <c r="AM453" s="666"/>
      <c r="AN453" s="666"/>
      <c r="AO453" s="666"/>
      <c r="AP453" s="486"/>
      <c r="AQ453" s="486"/>
      <c r="AR453" s="486"/>
      <c r="AS453" s="486"/>
      <c r="AT453" s="486"/>
      <c r="AU453" s="486"/>
      <c r="AV453" s="486"/>
      <c r="AW453" s="486"/>
      <c r="AX453" s="486"/>
      <c r="AY453" s="486"/>
      <c r="AZ453" s="486"/>
      <c r="BA453" s="486"/>
      <c r="BB453" s="486"/>
      <c r="BC453" s="486"/>
      <c r="BD453" s="486"/>
      <c r="BE453" s="486"/>
      <c r="BF453" s="486"/>
      <c r="BG453" s="486"/>
      <c r="BH453" s="486"/>
      <c r="BI453" s="486"/>
      <c r="BJ453" s="486"/>
      <c r="BK453" s="486"/>
      <c r="BL453" s="486"/>
      <c r="BM453" s="486"/>
      <c r="BN453" s="486"/>
      <c r="BO453" s="486"/>
      <c r="BP453" s="486"/>
      <c r="BQ453" s="486"/>
      <c r="BR453" s="486"/>
      <c r="BS453" s="486"/>
      <c r="BT453" s="486"/>
      <c r="BU453" s="486"/>
      <c r="BV453" s="486">
        <v>0</v>
      </c>
      <c r="BW453" s="486">
        <v>0</v>
      </c>
      <c r="BX453" s="486">
        <v>0</v>
      </c>
      <c r="BY453" s="486">
        <v>0</v>
      </c>
      <c r="BZ453" s="486">
        <v>0</v>
      </c>
      <c r="CA453" s="486">
        <v>0</v>
      </c>
      <c r="CB453" s="486">
        <v>0</v>
      </c>
      <c r="CC453" s="486">
        <v>0</v>
      </c>
      <c r="CD453" s="486">
        <v>0</v>
      </c>
      <c r="CE453" s="486">
        <v>0</v>
      </c>
      <c r="CF453" s="486">
        <v>0</v>
      </c>
      <c r="CG453" s="486">
        <v>0</v>
      </c>
      <c r="CH453" s="485">
        <v>0</v>
      </c>
      <c r="CI453" s="485">
        <v>0</v>
      </c>
      <c r="CJ453" s="485">
        <v>0</v>
      </c>
      <c r="CK453" s="485">
        <v>1</v>
      </c>
      <c r="CL453" s="486">
        <f t="shared" ref="CL453:CY453" si="1027">CL454-CL452-CL450</f>
        <v>13.452703672612188</v>
      </c>
      <c r="CM453" s="486">
        <f t="shared" si="1027"/>
        <v>-0.14116363275434196</v>
      </c>
      <c r="CN453" s="486">
        <f t="shared" si="1027"/>
        <v>-2.9441366906439725E-2</v>
      </c>
      <c r="CO453" s="486">
        <f t="shared" si="1027"/>
        <v>-0.67403434763923542</v>
      </c>
      <c r="CP453" s="486">
        <f t="shared" si="1027"/>
        <v>1.4277554196776236</v>
      </c>
      <c r="CQ453" s="486">
        <f t="shared" si="1027"/>
        <v>-3.1075705304601797E-2</v>
      </c>
      <c r="CR453" s="486">
        <f t="shared" si="1027"/>
        <v>-2.0998756006520125E-2</v>
      </c>
      <c r="CS453" s="486">
        <f t="shared" si="1027"/>
        <v>-0.28707464936360338</v>
      </c>
      <c r="CT453" s="486">
        <f t="shared" si="1027"/>
        <v>-0.69109488233084448</v>
      </c>
      <c r="CU453" s="486">
        <f t="shared" si="1027"/>
        <v>-2.9540932068812253E-3</v>
      </c>
      <c r="CV453" s="486">
        <f t="shared" si="1027"/>
        <v>-2.9714000000012675E-2</v>
      </c>
      <c r="CW453" s="486">
        <f t="shared" si="1027"/>
        <v>-2.1990000000187138E-3</v>
      </c>
      <c r="CX453" s="486">
        <f t="shared" si="1027"/>
        <v>2.3104999999986831E-2</v>
      </c>
      <c r="CY453" s="486">
        <f t="shared" si="1027"/>
        <v>-3.5978061193873145E-3</v>
      </c>
      <c r="CZ453" s="486">
        <f t="shared" ref="CZ453:DC453" si="1028">CZ454-CZ452-CZ450</f>
        <v>-2.1157479540988788E-2</v>
      </c>
      <c r="DA453" s="1036">
        <f t="shared" si="1028"/>
        <v>-8.4734988505715592E-2</v>
      </c>
      <c r="DB453" s="1036">
        <f t="shared" si="1028"/>
        <v>-0.44948450592187328</v>
      </c>
      <c r="DC453" s="1036">
        <f t="shared" si="1028"/>
        <v>6.0382762525932776E-2</v>
      </c>
      <c r="DD453" s="1036">
        <v>0</v>
      </c>
      <c r="DE453" s="484">
        <v>0</v>
      </c>
      <c r="DF453" s="484">
        <v>0</v>
      </c>
      <c r="DG453" s="484">
        <v>0</v>
      </c>
      <c r="DH453" s="484">
        <v>0</v>
      </c>
      <c r="DI453" s="484">
        <v>0</v>
      </c>
    </row>
    <row r="454" spans="1:113">
      <c r="A454" s="139" t="s">
        <v>201</v>
      </c>
      <c r="C454" s="831">
        <f>+C466-C464</f>
        <v>2208.9</v>
      </c>
      <c r="D454" s="831">
        <f t="shared" ref="D454:M454" si="1029">SUM(D450:D452)</f>
        <v>2124.3000000000002</v>
      </c>
      <c r="E454" s="831">
        <f t="shared" si="1029"/>
        <v>1989.9</v>
      </c>
      <c r="F454" s="833">
        <f t="shared" si="1029"/>
        <v>2020.588152</v>
      </c>
      <c r="G454" s="833">
        <f t="shared" si="1029"/>
        <v>2020.588152</v>
      </c>
      <c r="H454" s="833">
        <f t="shared" si="1029"/>
        <v>2020.588152</v>
      </c>
      <c r="I454" s="833">
        <f t="shared" si="1029"/>
        <v>2020.588152</v>
      </c>
      <c r="J454" s="833">
        <f t="shared" si="1029"/>
        <v>2020.588152</v>
      </c>
      <c r="K454" s="833">
        <f t="shared" si="1029"/>
        <v>1967.138152</v>
      </c>
      <c r="L454" s="833">
        <f t="shared" si="1029"/>
        <v>1973.047846555113</v>
      </c>
      <c r="M454" s="833">
        <f t="shared" si="1029"/>
        <v>1978.3458598001462</v>
      </c>
      <c r="N454" s="832">
        <v>2044.4190000000001</v>
      </c>
      <c r="O454" s="832">
        <v>2009.1919310421172</v>
      </c>
      <c r="P454" s="833">
        <f t="shared" ref="P454:W454" si="1030">SUM(P450:P452)</f>
        <v>1991.6052458826164</v>
      </c>
      <c r="Q454" s="833">
        <f t="shared" si="1030"/>
        <v>1968.9732863743011</v>
      </c>
      <c r="R454" s="833">
        <f>+CW454</f>
        <v>1960.0594809999998</v>
      </c>
      <c r="S454" s="833">
        <f>+DA454</f>
        <v>1943.2722239999998</v>
      </c>
      <c r="T454" s="833">
        <f>+DE454</f>
        <v>1901.2591919999998</v>
      </c>
      <c r="U454" s="833">
        <f t="shared" si="1030"/>
        <v>1887.4510898535937</v>
      </c>
      <c r="V454" s="833">
        <f t="shared" si="1030"/>
        <v>1860.6392410256208</v>
      </c>
      <c r="W454" s="833">
        <f t="shared" si="1030"/>
        <v>1834.608319833414</v>
      </c>
      <c r="X454" s="833">
        <f>SUM(X450:X452)</f>
        <v>1809.3355808118542</v>
      </c>
      <c r="Y454" s="833">
        <f>SUM(Y450:Y452)</f>
        <v>1784.798940985097</v>
      </c>
      <c r="Z454" s="833">
        <f>SUM(Z450:Z452)</f>
        <v>1760.9769605707697</v>
      </c>
      <c r="AA454" s="833">
        <f>SUM(AA450:AA452)</f>
        <v>1737.8488242461801</v>
      </c>
      <c r="AB454" s="833">
        <f>SUM(AB450:AB452)</f>
        <v>1715.3943229601707</v>
      </c>
      <c r="AD454" s="140"/>
      <c r="AE454" s="139"/>
      <c r="AF454" s="139"/>
      <c r="AG454" s="140"/>
      <c r="AH454" s="140"/>
      <c r="AI454" s="139"/>
      <c r="AJ454" s="141"/>
      <c r="AK454" s="141"/>
      <c r="AL454" s="141"/>
      <c r="AM454" s="141"/>
      <c r="AN454" s="141"/>
      <c r="AO454" s="141"/>
      <c r="AP454" s="142"/>
      <c r="AQ454" s="142"/>
      <c r="AR454" s="142"/>
      <c r="AS454" s="142"/>
      <c r="AT454" s="142"/>
      <c r="AU454" s="142"/>
      <c r="AV454" s="142"/>
      <c r="AW454" s="142"/>
      <c r="AX454" s="142"/>
      <c r="AY454" s="142"/>
      <c r="AZ454" s="142"/>
      <c r="BA454" s="142"/>
      <c r="BB454" s="142"/>
      <c r="BC454" s="142"/>
      <c r="BD454" s="142"/>
      <c r="BE454" s="142"/>
      <c r="BF454" s="142"/>
      <c r="BG454" s="142"/>
      <c r="BH454" s="142"/>
      <c r="BI454" s="142"/>
      <c r="BJ454" s="142"/>
      <c r="BK454" s="142"/>
      <c r="BL454" s="142"/>
      <c r="BM454" s="142"/>
      <c r="BN454" s="142"/>
      <c r="BO454" s="142"/>
      <c r="BP454" s="142"/>
      <c r="BQ454" s="142"/>
      <c r="BR454" s="142"/>
      <c r="BS454" s="142"/>
      <c r="BT454" s="142"/>
      <c r="BU454" s="142"/>
      <c r="BV454" s="142">
        <f>SUM(BV450:BV453)</f>
        <v>1967.138152</v>
      </c>
      <c r="BW454" s="142">
        <f>SUM(BW450:BW453)</f>
        <v>1967.138152</v>
      </c>
      <c r="BX454" s="142">
        <f>SUM(BX450:BX453)</f>
        <v>1967.138152</v>
      </c>
      <c r="BY454" s="142">
        <f>SUM(BY450:BY453)</f>
        <v>1967.138152</v>
      </c>
      <c r="BZ454" s="142">
        <f>BZ456</f>
        <v>2074</v>
      </c>
      <c r="CA454" s="142">
        <f>2805.961317-722.390792</f>
        <v>2083.5705249999996</v>
      </c>
      <c r="CB454" s="142">
        <f>2805.961317-718.422416</f>
        <v>2087.5389009999999</v>
      </c>
      <c r="CC454" s="142">
        <f>SUM(CC450:CC453)</f>
        <v>2080</v>
      </c>
      <c r="CD454" s="142">
        <f>SUM(CD450:CD453)</f>
        <v>2080</v>
      </c>
      <c r="CE454" s="142">
        <f>SUM(CE450:CE453)</f>
        <v>2057.2441817510157</v>
      </c>
      <c r="CF454" s="142">
        <f>SUM(CF450:CF453)</f>
        <v>2042.4441817510158</v>
      </c>
      <c r="CG454" s="142">
        <f>SUM(CG450:CG453)</f>
        <v>2030.6984920958434</v>
      </c>
      <c r="CH454" s="142">
        <f>+CH450+SUM(CH452:CH453)</f>
        <v>2020.7984920958434</v>
      </c>
      <c r="CI454" s="142">
        <f>+CI450+SUM(CI452:CI453)</f>
        <v>2018.7984920958434</v>
      </c>
      <c r="CJ454" s="142">
        <f>+CJ450+SUM(CJ452:CJ453)</f>
        <v>2011.1488570593469</v>
      </c>
      <c r="CK454" s="142">
        <f>+CK450+SUM(CK452:CK453)</f>
        <v>1996.8904231379604</v>
      </c>
      <c r="CL454" s="361">
        <f>2805.961317-797.292199</f>
        <v>2008.6691179999998</v>
      </c>
      <c r="CM454" s="361">
        <f>2805.961317-801.155447</f>
        <v>2004.8058699999997</v>
      </c>
      <c r="CN454" s="361">
        <f>2805.961317-805.674097</f>
        <v>2000.2872199999997</v>
      </c>
      <c r="CO454" s="361">
        <v>1992.853529</v>
      </c>
      <c r="CP454" s="361">
        <f>2805.961317-819.239788</f>
        <v>1986.7215289999999</v>
      </c>
      <c r="CQ454" s="361">
        <f>2805.961317-822.512514</f>
        <v>1983.4488029999998</v>
      </c>
      <c r="CR454" s="667">
        <f>2805.961317-828.948255</f>
        <v>1977.0130619999998</v>
      </c>
      <c r="CS454" s="676">
        <f>2805.961317-834.486794</f>
        <v>1971.4745229999999</v>
      </c>
      <c r="CT454" s="706">
        <f>2805.961317-838.798481</f>
        <v>1967.1628359999997</v>
      </c>
      <c r="CU454" s="706">
        <f>2805.961317-843.994958</f>
        <v>1961.9663589999998</v>
      </c>
      <c r="CV454" s="706">
        <f>2805.961317-845.281876</f>
        <v>1960.6794409999998</v>
      </c>
      <c r="CW454" s="676">
        <f>2805.961317-845.901836</f>
        <v>1960.0594809999998</v>
      </c>
      <c r="CX454" s="676">
        <f>2805.961317-849.251121</f>
        <v>1956.7101959999998</v>
      </c>
      <c r="CY454" s="676">
        <f>2805.961317-851.955312</f>
        <v>1954.0060049999997</v>
      </c>
      <c r="CZ454" s="676">
        <f>2805.961317-854.558381</f>
        <v>1951.4029359999997</v>
      </c>
      <c r="DA454" s="676">
        <f>2805.961317-862.689093</f>
        <v>1943.2722239999998</v>
      </c>
      <c r="DB454" s="676">
        <f>2805.961317-870.81588</f>
        <v>1935.1454369999997</v>
      </c>
      <c r="DC454" s="361">
        <f>2805.961317-885.168675</f>
        <v>1920.7926419999999</v>
      </c>
      <c r="DD454" s="361">
        <f>2805.961317-896.340584</f>
        <v>1909.6207329999997</v>
      </c>
      <c r="DE454" s="1062">
        <f>2805.961317-904.702125</f>
        <v>1901.2591919999998</v>
      </c>
      <c r="DF454" s="142">
        <f t="shared" ref="DF454:DI454" si="1031">SUM(DF450:DF453)</f>
        <v>1897.5093794906252</v>
      </c>
      <c r="DG454" s="142">
        <f t="shared" si="1031"/>
        <v>1893.7595669812506</v>
      </c>
      <c r="DH454" s="142">
        <f t="shared" si="1031"/>
        <v>1890.009754471876</v>
      </c>
      <c r="DI454" s="142">
        <f t="shared" si="1031"/>
        <v>1886.2599419625014</v>
      </c>
    </row>
    <row r="455" spans="1:113">
      <c r="A455" s="301"/>
      <c r="AD455" s="668"/>
      <c r="AE455" s="301"/>
      <c r="AF455" s="301"/>
      <c r="AG455" s="668"/>
      <c r="AH455" s="668"/>
      <c r="AI455" s="669"/>
      <c r="AJ455" s="661"/>
      <c r="AK455" s="661"/>
      <c r="AL455" s="670"/>
      <c r="AM455" s="671"/>
      <c r="AN455" s="671"/>
      <c r="AO455" s="671"/>
      <c r="AP455" s="387"/>
      <c r="AQ455" s="387"/>
      <c r="AR455" s="387"/>
      <c r="AS455" s="387"/>
      <c r="AT455" s="387"/>
      <c r="AU455" s="387"/>
      <c r="AV455" s="387"/>
      <c r="AW455" s="387"/>
      <c r="AX455" s="471"/>
      <c r="AY455" s="471"/>
      <c r="AZ455" s="471"/>
      <c r="BA455" s="471"/>
      <c r="BB455" s="471"/>
      <c r="BC455" s="471"/>
      <c r="BD455" s="471"/>
      <c r="BE455" s="471"/>
      <c r="BF455" s="471"/>
      <c r="BG455" s="387"/>
      <c r="BH455" s="387"/>
      <c r="BI455" s="387"/>
      <c r="BJ455" s="387"/>
      <c r="BK455" s="387"/>
      <c r="BL455" s="387"/>
      <c r="BM455" s="387"/>
      <c r="BN455" s="387"/>
      <c r="BO455" s="387"/>
      <c r="BP455" s="387"/>
      <c r="BQ455" s="387"/>
      <c r="BR455" s="387"/>
      <c r="BS455" s="387"/>
      <c r="BT455" s="387"/>
      <c r="BU455" s="387"/>
      <c r="BV455" s="387"/>
      <c r="BW455" s="387"/>
      <c r="BX455" s="387"/>
      <c r="BY455" s="387"/>
      <c r="BZ455" s="387"/>
      <c r="CA455" s="387"/>
      <c r="CB455" s="387"/>
      <c r="CC455" s="387"/>
      <c r="CD455" s="387"/>
      <c r="CE455" s="387"/>
      <c r="CF455" s="387"/>
      <c r="CG455" s="387"/>
      <c r="CH455" s="482"/>
      <c r="CI455" s="482"/>
      <c r="CJ455" s="482"/>
      <c r="CK455" s="482"/>
      <c r="CL455" s="387"/>
      <c r="CM455" s="387"/>
      <c r="CN455" s="387"/>
      <c r="CO455" s="387"/>
      <c r="CP455" s="387"/>
      <c r="CQ455" s="387"/>
      <c r="CR455" s="387"/>
      <c r="CS455" s="387"/>
      <c r="CT455" s="387"/>
      <c r="CU455" s="387"/>
      <c r="CV455" s="482"/>
      <c r="CW455" s="387"/>
      <c r="CX455" s="387"/>
      <c r="CY455" s="387"/>
      <c r="CZ455" s="387"/>
      <c r="DA455" s="1027"/>
      <c r="DB455" s="387"/>
      <c r="DC455" s="387"/>
      <c r="DD455" s="387"/>
      <c r="DE455" s="387"/>
      <c r="DF455" s="387"/>
      <c r="DG455" s="387"/>
      <c r="DH455" s="387"/>
      <c r="DI455" s="387"/>
    </row>
    <row r="456" spans="1:113">
      <c r="A456" s="362" t="s">
        <v>394</v>
      </c>
      <c r="B456" s="301"/>
      <c r="C456" s="835">
        <v>2260</v>
      </c>
      <c r="D456" s="835">
        <v>2181</v>
      </c>
      <c r="E456" s="836">
        <v>2111</v>
      </c>
      <c r="F456" s="837">
        <v>2028</v>
      </c>
      <c r="G456" s="837">
        <v>2047</v>
      </c>
      <c r="H456" s="837">
        <v>2070</v>
      </c>
      <c r="I456" s="837">
        <v>2087</v>
      </c>
      <c r="J456" s="837">
        <v>2101</v>
      </c>
      <c r="K456" s="837">
        <v>2075</v>
      </c>
      <c r="L456" s="838">
        <v>2065</v>
      </c>
      <c r="M456" s="838">
        <v>2077</v>
      </c>
      <c r="N456" s="838">
        <v>2062</v>
      </c>
      <c r="O456" s="838">
        <v>2024</v>
      </c>
      <c r="P456" s="838">
        <v>1998.75</v>
      </c>
      <c r="Q456" s="838">
        <f t="shared" ref="Q456:AB456" si="1032">AVERAGE(Q450,Q454)</f>
        <v>1980.2892661284586</v>
      </c>
      <c r="R456" s="838">
        <f t="shared" si="1032"/>
        <v>1964.5163836871504</v>
      </c>
      <c r="S456" s="838">
        <f t="shared" si="1032"/>
        <v>1951.6658524999998</v>
      </c>
      <c r="T456" s="838">
        <f t="shared" ref="T456" si="1033">AVERAGE(T450,T454)</f>
        <v>1922.2657079999999</v>
      </c>
      <c r="U456" s="838">
        <f t="shared" si="1032"/>
        <v>1894.3551409267966</v>
      </c>
      <c r="V456" s="838">
        <f t="shared" si="1032"/>
        <v>1874.0451654396072</v>
      </c>
      <c r="W456" s="838">
        <f t="shared" si="1032"/>
        <v>1847.6237804295174</v>
      </c>
      <c r="X456" s="838">
        <f t="shared" si="1032"/>
        <v>1821.9719503226343</v>
      </c>
      <c r="Y456" s="838">
        <f t="shared" si="1032"/>
        <v>1797.0672608984755</v>
      </c>
      <c r="Z456" s="838">
        <f t="shared" si="1032"/>
        <v>1772.8879507779334</v>
      </c>
      <c r="AA456" s="838">
        <f t="shared" si="1032"/>
        <v>1749.4128924084748</v>
      </c>
      <c r="AB456" s="838">
        <f t="shared" si="1032"/>
        <v>1726.6215736031754</v>
      </c>
      <c r="AD456" s="662"/>
      <c r="AE456" s="362"/>
      <c r="AF456" s="362"/>
      <c r="AG456" s="662"/>
      <c r="AH456" s="662"/>
      <c r="AI456" s="672"/>
      <c r="AJ456" s="673"/>
      <c r="AK456" s="673"/>
      <c r="AL456" s="674"/>
      <c r="AM456" s="674"/>
      <c r="AN456" s="674"/>
      <c r="AO456" s="674"/>
      <c r="AP456" s="486"/>
      <c r="AQ456" s="486"/>
      <c r="AR456" s="486"/>
      <c r="AS456" s="486"/>
      <c r="AT456" s="486"/>
      <c r="AU456" s="486"/>
      <c r="AV456" s="486"/>
      <c r="AW456" s="486"/>
      <c r="AX456" s="486"/>
      <c r="AY456" s="486"/>
      <c r="AZ456" s="486"/>
      <c r="BA456" s="486"/>
      <c r="BB456" s="486"/>
      <c r="BC456" s="486"/>
      <c r="BD456" s="486"/>
      <c r="BE456" s="486"/>
      <c r="BF456" s="486"/>
      <c r="BG456" s="486"/>
      <c r="BH456" s="486"/>
      <c r="BI456" s="486"/>
      <c r="BJ456" s="486"/>
      <c r="BK456" s="486"/>
      <c r="BL456" s="486"/>
      <c r="BM456" s="486"/>
      <c r="BN456" s="486"/>
      <c r="BO456" s="486"/>
      <c r="BP456" s="486"/>
      <c r="BQ456" s="486"/>
      <c r="BR456" s="486"/>
      <c r="BS456" s="486"/>
      <c r="BT456" s="486"/>
      <c r="BU456" s="486"/>
      <c r="BV456" s="486">
        <f t="shared" ref="BV456:CB456" si="1034">BV57</f>
        <v>2061</v>
      </c>
      <c r="BW456" s="486">
        <f t="shared" si="1034"/>
        <v>2061</v>
      </c>
      <c r="BX456" s="486">
        <f t="shared" si="1034"/>
        <v>2066</v>
      </c>
      <c r="BY456" s="486">
        <f t="shared" si="1034"/>
        <v>1967.138152</v>
      </c>
      <c r="BZ456" s="486">
        <f t="shared" si="1034"/>
        <v>2074</v>
      </c>
      <c r="CA456" s="486">
        <f t="shared" si="1034"/>
        <v>2076</v>
      </c>
      <c r="CB456" s="486">
        <f t="shared" si="1034"/>
        <v>2078</v>
      </c>
      <c r="CC456" s="486">
        <f>AVERAGE(CC454,CC450)</f>
        <v>2080</v>
      </c>
      <c r="CD456" s="486">
        <f>CD57</f>
        <v>2082</v>
      </c>
      <c r="CE456" s="486">
        <f>CE57</f>
        <v>2073.7926753569209</v>
      </c>
      <c r="CF456" s="486">
        <f>CF57</f>
        <v>2053.6215402415819</v>
      </c>
      <c r="CG456" s="486">
        <f>AVERAGE(CG454,CG450)</f>
        <v>2036.5713369234295</v>
      </c>
      <c r="CH456" s="486">
        <f t="shared" ref="CH456:DA456" si="1035">CH57</f>
        <v>2034.9307609999996</v>
      </c>
      <c r="CI456" s="486">
        <f t="shared" ca="1" si="1035"/>
        <v>2034.9307609999996</v>
      </c>
      <c r="CJ456" s="486">
        <f t="shared" si="1035"/>
        <v>2024</v>
      </c>
      <c r="CK456" s="486">
        <f t="shared" si="1035"/>
        <v>2013</v>
      </c>
      <c r="CL456" s="486">
        <f t="shared" si="1035"/>
        <v>2003</v>
      </c>
      <c r="CM456" s="486">
        <f t="shared" si="1035"/>
        <v>2002</v>
      </c>
      <c r="CN456" s="486">
        <f t="shared" si="1035"/>
        <v>1998</v>
      </c>
      <c r="CO456" s="486">
        <f t="shared" si="1035"/>
        <v>1992</v>
      </c>
      <c r="CP456" s="486">
        <f t="shared" si="1035"/>
        <v>1986</v>
      </c>
      <c r="CQ456" s="486">
        <f t="shared" si="1035"/>
        <v>1980</v>
      </c>
      <c r="CR456" s="486">
        <f t="shared" si="1035"/>
        <v>1976</v>
      </c>
      <c r="CS456" s="486">
        <f t="shared" si="1035"/>
        <v>1970</v>
      </c>
      <c r="CT456" s="486">
        <f t="shared" si="1035"/>
        <v>1966</v>
      </c>
      <c r="CU456" s="486">
        <f t="shared" si="1035"/>
        <v>1962</v>
      </c>
      <c r="CV456" s="663">
        <f t="shared" si="1035"/>
        <v>1958</v>
      </c>
      <c r="CW456" s="663">
        <f t="shared" si="1035"/>
        <v>1961</v>
      </c>
      <c r="CX456" s="663">
        <f t="shared" si="1035"/>
        <v>1956</v>
      </c>
      <c r="CY456" s="663">
        <f t="shared" si="1035"/>
        <v>1954</v>
      </c>
      <c r="CZ456" s="663">
        <f t="shared" si="1035"/>
        <v>1952</v>
      </c>
      <c r="DA456" s="663">
        <f t="shared" si="1035"/>
        <v>1946</v>
      </c>
      <c r="DB456" s="663">
        <f t="shared" ref="DB456:DC456" si="1036">DB57</f>
        <v>1939</v>
      </c>
      <c r="DC456" s="663">
        <f t="shared" si="1036"/>
        <v>1933</v>
      </c>
      <c r="DD456" s="663">
        <f t="shared" ref="DD456:DE456" si="1037">DD57</f>
        <v>1917.7075356170212</v>
      </c>
      <c r="DE456" s="663">
        <f t="shared" si="1037"/>
        <v>1904.9141585037503</v>
      </c>
      <c r="DF456" s="486">
        <f>AVERAGE(DF454,DF450)</f>
        <v>1899.3842857453124</v>
      </c>
      <c r="DG456" s="486">
        <f>AVERAGE(DG454,DG450)</f>
        <v>1895.634473235938</v>
      </c>
      <c r="DH456" s="486">
        <f>AVERAGE(DH454,DH450)</f>
        <v>1891.8846607265632</v>
      </c>
      <c r="DI456" s="486">
        <f>+AVERAGE(DI450,DI454)</f>
        <v>1888.1348482171888</v>
      </c>
    </row>
    <row r="457" spans="1:113">
      <c r="A457" s="362" t="s">
        <v>213</v>
      </c>
      <c r="B457" s="301"/>
      <c r="C457" s="839">
        <f t="shared" ref="C457:J457" si="1038">+C458-C456</f>
        <v>12</v>
      </c>
      <c r="D457" s="839">
        <f t="shared" si="1038"/>
        <v>29</v>
      </c>
      <c r="E457" s="839">
        <f t="shared" si="1038"/>
        <v>18</v>
      </c>
      <c r="F457" s="839">
        <f t="shared" si="1038"/>
        <v>9.5</v>
      </c>
      <c r="G457" s="839">
        <f t="shared" si="1038"/>
        <v>16</v>
      </c>
      <c r="H457" s="839">
        <f t="shared" si="1038"/>
        <v>19.5</v>
      </c>
      <c r="I457" s="839">
        <f t="shared" si="1038"/>
        <v>17.5</v>
      </c>
      <c r="J457" s="839">
        <f t="shared" si="1038"/>
        <v>15</v>
      </c>
      <c r="K457" s="835">
        <v>12</v>
      </c>
      <c r="L457" s="835">
        <v>6</v>
      </c>
      <c r="M457" s="839">
        <f t="shared" ref="M457:R457" si="1039">M458-M456</f>
        <v>2.5</v>
      </c>
      <c r="N457" s="839">
        <f t="shared" si="1039"/>
        <v>2</v>
      </c>
      <c r="O457" s="839">
        <f t="shared" si="1039"/>
        <v>0</v>
      </c>
      <c r="P457" s="839">
        <f t="shared" si="1039"/>
        <v>0</v>
      </c>
      <c r="Q457" s="839">
        <f t="shared" si="1039"/>
        <v>-2.2892661284586211</v>
      </c>
      <c r="R457" s="839">
        <f t="shared" si="1039"/>
        <v>-2.7663836871504373</v>
      </c>
      <c r="S457" s="839">
        <f>+S456-S458</f>
        <v>-0.33414750000019922</v>
      </c>
      <c r="T457" s="839">
        <f>+T456-T458</f>
        <v>17.265707999999904</v>
      </c>
      <c r="U457" s="835">
        <f t="shared" ref="U457:AB457" si="1040">T457</f>
        <v>17.265707999999904</v>
      </c>
      <c r="V457" s="835">
        <f t="shared" si="1040"/>
        <v>17.265707999999904</v>
      </c>
      <c r="W457" s="835">
        <f t="shared" si="1040"/>
        <v>17.265707999999904</v>
      </c>
      <c r="X457" s="835">
        <f t="shared" si="1040"/>
        <v>17.265707999999904</v>
      </c>
      <c r="Y457" s="835">
        <f t="shared" si="1040"/>
        <v>17.265707999999904</v>
      </c>
      <c r="Z457" s="835">
        <f t="shared" si="1040"/>
        <v>17.265707999999904</v>
      </c>
      <c r="AA457" s="835">
        <f t="shared" si="1040"/>
        <v>17.265707999999904</v>
      </c>
      <c r="AB457" s="835">
        <f t="shared" si="1040"/>
        <v>17.265707999999904</v>
      </c>
      <c r="AD457" s="662"/>
      <c r="AE457" s="362"/>
      <c r="AF457" s="362"/>
      <c r="AG457" s="662"/>
      <c r="AH457" s="662"/>
      <c r="AI457" s="662"/>
      <c r="AJ457" s="675"/>
      <c r="AK457" s="675"/>
      <c r="AL457" s="138"/>
      <c r="AM457" s="138"/>
      <c r="AN457" s="675"/>
      <c r="AO457" s="675"/>
      <c r="AP457" s="486"/>
      <c r="AQ457" s="486"/>
      <c r="AR457" s="486"/>
      <c r="AS457" s="486"/>
      <c r="AT457" s="486"/>
      <c r="AU457" s="486"/>
      <c r="AV457" s="486"/>
      <c r="AW457" s="486"/>
      <c r="AX457" s="486"/>
      <c r="AY457" s="486"/>
      <c r="AZ457" s="486"/>
      <c r="BA457" s="486"/>
      <c r="BB457" s="486"/>
      <c r="BC457" s="486"/>
      <c r="BD457" s="486"/>
      <c r="BE457" s="486"/>
      <c r="BF457" s="486"/>
      <c r="BG457" s="486"/>
      <c r="BH457" s="486"/>
      <c r="BI457" s="486"/>
      <c r="BJ457" s="486"/>
      <c r="BK457" s="486"/>
      <c r="BL457" s="486"/>
      <c r="BM457" s="486"/>
      <c r="BN457" s="486"/>
      <c r="BO457" s="486"/>
      <c r="BP457" s="486"/>
      <c r="BQ457" s="486"/>
      <c r="BR457" s="486"/>
      <c r="BS457" s="486"/>
      <c r="BT457" s="486"/>
      <c r="BU457" s="486"/>
      <c r="BV457" s="486">
        <f>BV458-BV456</f>
        <v>6</v>
      </c>
      <c r="BW457" s="486">
        <f>BV457</f>
        <v>6</v>
      </c>
      <c r="BX457" s="486">
        <f>BW457</f>
        <v>6</v>
      </c>
      <c r="BY457" s="486">
        <f>BX457</f>
        <v>6</v>
      </c>
      <c r="BZ457" s="486">
        <f t="shared" ref="BZ457:CG457" si="1041">BZ458-BZ456</f>
        <v>3</v>
      </c>
      <c r="CA457" s="486">
        <f t="shared" si="1041"/>
        <v>3</v>
      </c>
      <c r="CB457" s="486">
        <f t="shared" si="1041"/>
        <v>2</v>
      </c>
      <c r="CC457" s="486">
        <f t="shared" si="1041"/>
        <v>2</v>
      </c>
      <c r="CD457" s="486">
        <f t="shared" si="1041"/>
        <v>2</v>
      </c>
      <c r="CE457" s="486">
        <f t="shared" si="1041"/>
        <v>2</v>
      </c>
      <c r="CF457" s="486">
        <f t="shared" si="1041"/>
        <v>0.37845975841810287</v>
      </c>
      <c r="CG457" s="486">
        <f t="shared" si="1041"/>
        <v>6.4286630765705013</v>
      </c>
      <c r="CH457" s="486">
        <f t="shared" ref="CH457:CP457" si="1042">CH458-CH456</f>
        <v>-0.93076099999962025</v>
      </c>
      <c r="CI457" s="486">
        <f t="shared" ca="1" si="1042"/>
        <v>-4.9307609999996203</v>
      </c>
      <c r="CJ457" s="486">
        <f t="shared" si="1042"/>
        <v>0</v>
      </c>
      <c r="CK457" s="486">
        <f t="shared" si="1042"/>
        <v>0</v>
      </c>
      <c r="CL457" s="486">
        <f t="shared" si="1042"/>
        <v>0</v>
      </c>
      <c r="CM457" s="486">
        <f t="shared" si="1042"/>
        <v>0</v>
      </c>
      <c r="CN457" s="486">
        <f t="shared" si="1042"/>
        <v>0</v>
      </c>
      <c r="CO457" s="486">
        <f t="shared" si="1042"/>
        <v>0</v>
      </c>
      <c r="CP457" s="486">
        <f t="shared" si="1042"/>
        <v>0</v>
      </c>
      <c r="CQ457" s="486">
        <f t="shared" ref="CQ457:CV457" si="1043">CQ458-CQ456</f>
        <v>0</v>
      </c>
      <c r="CR457" s="486">
        <f t="shared" si="1043"/>
        <v>0</v>
      </c>
      <c r="CS457" s="486">
        <f t="shared" si="1043"/>
        <v>0</v>
      </c>
      <c r="CT457" s="486">
        <f t="shared" si="1043"/>
        <v>0</v>
      </c>
      <c r="CU457" s="486">
        <f t="shared" si="1043"/>
        <v>0</v>
      </c>
      <c r="CV457" s="663">
        <f t="shared" si="1043"/>
        <v>0</v>
      </c>
      <c r="CW457" s="663">
        <f>CW458-CW456</f>
        <v>0</v>
      </c>
      <c r="CX457" s="663">
        <f>CX458-CX456</f>
        <v>0</v>
      </c>
      <c r="CY457" s="663">
        <f>CY458-CY456</f>
        <v>0</v>
      </c>
      <c r="CZ457" s="663">
        <f t="shared" ref="CZ457:DB457" si="1044">CZ458-CZ456</f>
        <v>0</v>
      </c>
      <c r="DA457" s="663">
        <f t="shared" si="1044"/>
        <v>0</v>
      </c>
      <c r="DB457" s="663">
        <f t="shared" si="1044"/>
        <v>0</v>
      </c>
      <c r="DC457" s="663">
        <f t="shared" ref="DC457" si="1045">DC458-DC456</f>
        <v>0</v>
      </c>
      <c r="DD457" s="663">
        <f t="shared" ref="DD457:DE457" si="1046">DD458-DD456</f>
        <v>-2.7075356170212217</v>
      </c>
      <c r="DE457" s="663">
        <f t="shared" si="1046"/>
        <v>0</v>
      </c>
      <c r="DF457" s="484">
        <v>1.1000000000000001</v>
      </c>
      <c r="DG457" s="484">
        <v>1.1000000000000001</v>
      </c>
      <c r="DH457" s="484">
        <v>1.1000000000000001</v>
      </c>
      <c r="DI457" s="484">
        <v>1.1000000000000001</v>
      </c>
    </row>
    <row r="458" spans="1:113">
      <c r="A458" s="139" t="s">
        <v>236</v>
      </c>
      <c r="B458" s="301"/>
      <c r="C458" s="831">
        <v>2272</v>
      </c>
      <c r="D458" s="831">
        <v>2210</v>
      </c>
      <c r="E458" s="831">
        <v>2129</v>
      </c>
      <c r="F458" s="833">
        <f>F58</f>
        <v>2037.5</v>
      </c>
      <c r="G458" s="833">
        <f>G58</f>
        <v>2063</v>
      </c>
      <c r="H458" s="833">
        <f>H58</f>
        <v>2089.5</v>
      </c>
      <c r="I458" s="833">
        <f>I58</f>
        <v>2104.5</v>
      </c>
      <c r="J458" s="833">
        <f>J58</f>
        <v>2116</v>
      </c>
      <c r="K458" s="833">
        <f>K456+K457</f>
        <v>2087</v>
      </c>
      <c r="L458" s="833">
        <f>L456+L457</f>
        <v>2071</v>
      </c>
      <c r="M458" s="833">
        <v>2079.5</v>
      </c>
      <c r="N458" s="833">
        <v>2064</v>
      </c>
      <c r="O458" s="833">
        <v>2024</v>
      </c>
      <c r="P458" s="912">
        <v>1998.75</v>
      </c>
      <c r="Q458" s="913">
        <f>+Q58</f>
        <v>1978</v>
      </c>
      <c r="R458" s="913">
        <f>+R58</f>
        <v>1961.75</v>
      </c>
      <c r="S458" s="913">
        <f>+S58</f>
        <v>1952</v>
      </c>
      <c r="T458" s="913">
        <f>+T58</f>
        <v>1905</v>
      </c>
      <c r="U458" s="833">
        <f t="shared" ref="U458:AB458" si="1047">U456+U457</f>
        <v>1911.6208489267965</v>
      </c>
      <c r="V458" s="833">
        <f t="shared" si="1047"/>
        <v>1891.3108734396071</v>
      </c>
      <c r="W458" s="833">
        <f t="shared" si="1047"/>
        <v>1864.8894884295173</v>
      </c>
      <c r="X458" s="833">
        <f t="shared" si="1047"/>
        <v>1839.2376583226342</v>
      </c>
      <c r="Y458" s="833">
        <f t="shared" si="1047"/>
        <v>1814.3329688984754</v>
      </c>
      <c r="Z458" s="833">
        <f t="shared" si="1047"/>
        <v>1790.1536587779333</v>
      </c>
      <c r="AA458" s="833">
        <f t="shared" si="1047"/>
        <v>1766.6786004084747</v>
      </c>
      <c r="AB458" s="833">
        <f t="shared" si="1047"/>
        <v>1743.8872816031753</v>
      </c>
      <c r="AD458" s="140"/>
      <c r="AE458" s="139"/>
      <c r="AF458" s="139"/>
      <c r="AG458" s="140"/>
      <c r="AH458" s="140"/>
      <c r="AI458" s="139"/>
      <c r="AJ458" s="141"/>
      <c r="AK458" s="141"/>
      <c r="AL458" s="141"/>
      <c r="AM458" s="141"/>
      <c r="AN458" s="141"/>
      <c r="AO458" s="141"/>
      <c r="AP458" s="142"/>
      <c r="AQ458" s="142"/>
      <c r="AR458" s="142"/>
      <c r="AS458" s="142"/>
      <c r="AT458" s="142"/>
      <c r="AU458" s="142"/>
      <c r="AV458" s="142"/>
      <c r="AW458" s="142"/>
      <c r="AX458" s="142"/>
      <c r="AY458" s="142"/>
      <c r="AZ458" s="142"/>
      <c r="BA458" s="142"/>
      <c r="BB458" s="142"/>
      <c r="BC458" s="142"/>
      <c r="BD458" s="142"/>
      <c r="BE458" s="142"/>
      <c r="BF458" s="142"/>
      <c r="BG458" s="142"/>
      <c r="BH458" s="142"/>
      <c r="BI458" s="142"/>
      <c r="BJ458" s="142"/>
      <c r="BK458" s="142"/>
      <c r="BL458" s="142"/>
      <c r="BM458" s="142"/>
      <c r="BN458" s="142"/>
      <c r="BO458" s="142"/>
      <c r="BP458" s="142"/>
      <c r="BQ458" s="142"/>
      <c r="BR458" s="142"/>
      <c r="BS458" s="142"/>
      <c r="BT458" s="142"/>
      <c r="BU458" s="142"/>
      <c r="BV458" s="142">
        <f t="shared" ref="BV458:DC458" si="1048">BV58</f>
        <v>2067</v>
      </c>
      <c r="BW458" s="142">
        <f t="shared" si="1048"/>
        <v>2067</v>
      </c>
      <c r="BX458" s="142">
        <f t="shared" si="1048"/>
        <v>2072</v>
      </c>
      <c r="BY458" s="142">
        <f t="shared" si="1048"/>
        <v>2073</v>
      </c>
      <c r="BZ458" s="142">
        <f t="shared" si="1048"/>
        <v>2077</v>
      </c>
      <c r="CA458" s="142">
        <f t="shared" si="1048"/>
        <v>2079</v>
      </c>
      <c r="CB458" s="142">
        <f t="shared" si="1048"/>
        <v>2080</v>
      </c>
      <c r="CC458" s="142">
        <f t="shared" si="1048"/>
        <v>2082</v>
      </c>
      <c r="CD458" s="142">
        <f t="shared" si="1048"/>
        <v>2084</v>
      </c>
      <c r="CE458" s="142">
        <f t="shared" si="1048"/>
        <v>2075.7926753569209</v>
      </c>
      <c r="CF458" s="142">
        <f t="shared" si="1048"/>
        <v>2054</v>
      </c>
      <c r="CG458" s="142">
        <f t="shared" si="1048"/>
        <v>2043</v>
      </c>
      <c r="CH458" s="142">
        <f t="shared" si="1048"/>
        <v>2034</v>
      </c>
      <c r="CI458" s="142">
        <f t="shared" si="1048"/>
        <v>2030</v>
      </c>
      <c r="CJ458" s="142">
        <f t="shared" si="1048"/>
        <v>2024</v>
      </c>
      <c r="CK458" s="142">
        <f t="shared" si="1048"/>
        <v>2013</v>
      </c>
      <c r="CL458" s="142">
        <f t="shared" si="1048"/>
        <v>2003</v>
      </c>
      <c r="CM458" s="142">
        <f t="shared" si="1048"/>
        <v>2002</v>
      </c>
      <c r="CN458" s="142">
        <f t="shared" si="1048"/>
        <v>1998</v>
      </c>
      <c r="CO458" s="142">
        <f t="shared" si="1048"/>
        <v>1992</v>
      </c>
      <c r="CP458" s="142">
        <f t="shared" si="1048"/>
        <v>1986</v>
      </c>
      <c r="CQ458" s="142">
        <f t="shared" si="1048"/>
        <v>1980</v>
      </c>
      <c r="CR458" s="142">
        <f t="shared" si="1048"/>
        <v>1976</v>
      </c>
      <c r="CS458" s="142">
        <f t="shared" si="1048"/>
        <v>1970</v>
      </c>
      <c r="CT458" s="142">
        <f t="shared" si="1048"/>
        <v>1966</v>
      </c>
      <c r="CU458" s="142">
        <f t="shared" si="1048"/>
        <v>1962</v>
      </c>
      <c r="CV458" s="715">
        <f t="shared" si="1048"/>
        <v>1958</v>
      </c>
      <c r="CW458" s="715">
        <f t="shared" si="1048"/>
        <v>1961</v>
      </c>
      <c r="CX458" s="715">
        <f t="shared" si="1048"/>
        <v>1956</v>
      </c>
      <c r="CY458" s="715">
        <f t="shared" si="1048"/>
        <v>1954</v>
      </c>
      <c r="CZ458" s="715">
        <f t="shared" si="1048"/>
        <v>1952</v>
      </c>
      <c r="DA458" s="715">
        <f t="shared" si="1048"/>
        <v>1946</v>
      </c>
      <c r="DB458" s="715">
        <f t="shared" si="1048"/>
        <v>1939</v>
      </c>
      <c r="DC458" s="715">
        <f t="shared" si="1048"/>
        <v>1933</v>
      </c>
      <c r="DD458" s="715">
        <f t="shared" ref="DD458:DE458" si="1049">DD58</f>
        <v>1915</v>
      </c>
      <c r="DE458" s="715">
        <f t="shared" si="1049"/>
        <v>1904.9141585037503</v>
      </c>
      <c r="DF458" s="142">
        <f t="shared" ref="DF458:DI458" si="1050">+DF456+DF457</f>
        <v>1900.4842857453123</v>
      </c>
      <c r="DG458" s="142">
        <f t="shared" si="1050"/>
        <v>1896.7344732359379</v>
      </c>
      <c r="DH458" s="142">
        <f t="shared" si="1050"/>
        <v>1892.9846607265631</v>
      </c>
      <c r="DI458" s="142">
        <f t="shared" si="1050"/>
        <v>1889.2348482171888</v>
      </c>
    </row>
    <row r="459" spans="1:113">
      <c r="BX459" s="328"/>
      <c r="BY459" s="328"/>
      <c r="BZ459" s="329"/>
      <c r="CA459" s="329"/>
      <c r="CD459" s="404"/>
      <c r="CE459" s="404"/>
    </row>
    <row r="460" spans="1:113">
      <c r="A460" s="301" t="s">
        <v>237</v>
      </c>
      <c r="B460" s="301"/>
      <c r="C460" s="511"/>
      <c r="D460" s="511"/>
      <c r="E460" s="511"/>
      <c r="F460" s="511"/>
      <c r="G460" s="661"/>
      <c r="H460" s="661"/>
      <c r="I460" s="661"/>
      <c r="J460" s="840"/>
      <c r="K460" s="330"/>
      <c r="L460" s="330"/>
      <c r="M460" s="330"/>
      <c r="N460" s="330"/>
      <c r="O460" s="330"/>
      <c r="P460" s="330"/>
      <c r="Q460" s="394"/>
      <c r="R460" s="330"/>
      <c r="S460" s="330"/>
      <c r="T460" s="330"/>
      <c r="U460" s="330"/>
      <c r="V460" s="330"/>
      <c r="W460" s="330"/>
      <c r="X460" s="330"/>
      <c r="Y460" s="330"/>
      <c r="Z460" s="330"/>
      <c r="AA460" s="330"/>
      <c r="AB460" s="330"/>
      <c r="BX460" s="328"/>
      <c r="BY460" s="328"/>
      <c r="BZ460" s="329"/>
      <c r="CA460" s="329"/>
      <c r="CD460" s="404"/>
      <c r="CE460" s="404"/>
    </row>
    <row r="461" spans="1:113">
      <c r="A461" s="301" t="s">
        <v>238</v>
      </c>
      <c r="B461" s="301"/>
      <c r="C461" s="841">
        <v>467.44</v>
      </c>
      <c r="D461" s="841">
        <f t="shared" ref="D461:W461" si="1051">+C464</f>
        <v>597.05999999999995</v>
      </c>
      <c r="E461" s="841">
        <f t="shared" si="1051"/>
        <v>653.48</v>
      </c>
      <c r="F461" s="841">
        <f t="shared" si="1051"/>
        <v>766.72500000000002</v>
      </c>
      <c r="G461" s="841">
        <f t="shared" si="1051"/>
        <v>768.72113000000002</v>
      </c>
      <c r="H461" s="841">
        <f t="shared" si="1051"/>
        <v>746.43384100000003</v>
      </c>
      <c r="I461" s="841">
        <f t="shared" si="1051"/>
        <v>721.69691799999998</v>
      </c>
      <c r="J461" s="841">
        <f t="shared" si="1051"/>
        <v>708.88038900000004</v>
      </c>
      <c r="K461" s="841">
        <f t="shared" si="1051"/>
        <v>698.28455500000007</v>
      </c>
      <c r="L461" s="841">
        <f t="shared" si="1051"/>
        <v>744.58973300000014</v>
      </c>
      <c r="M461" s="841">
        <f t="shared" ca="1" si="1051"/>
        <v>738.68003844488726</v>
      </c>
      <c r="N461" s="841">
        <f t="shared" ca="1" si="1051"/>
        <v>733.38202519985418</v>
      </c>
      <c r="O461" s="841">
        <f t="shared" ca="1" si="1051"/>
        <v>782.80474400804781</v>
      </c>
      <c r="P461" s="841">
        <f t="shared" ca="1" si="1051"/>
        <v>815.57503114912151</v>
      </c>
      <c r="Q461" s="841">
        <f t="shared" ca="1" si="1051"/>
        <v>833.85515988746658</v>
      </c>
      <c r="R461" s="841">
        <f t="shared" ca="1" si="1051"/>
        <v>856.48711939578186</v>
      </c>
      <c r="S461" s="841">
        <f t="shared" ca="1" si="1051"/>
        <v>865.40092477008318</v>
      </c>
      <c r="T461" s="841">
        <f t="shared" ca="1" si="1051"/>
        <v>882.18818177008313</v>
      </c>
      <c r="U461" s="841">
        <f t="shared" ca="1" si="1051"/>
        <v>924.2012137700832</v>
      </c>
      <c r="V461" s="841">
        <f t="shared" ca="1" si="1051"/>
        <v>938.52154459138012</v>
      </c>
      <c r="W461" s="841">
        <f t="shared" ca="1" si="1051"/>
        <v>965.84562209424394</v>
      </c>
      <c r="X461" s="841">
        <f ca="1">+W464</f>
        <v>992.38877196134149</v>
      </c>
      <c r="Y461" s="841">
        <f ca="1">+X464</f>
        <v>1018.1737396577923</v>
      </c>
      <c r="Z461" s="841">
        <f ca="1">+Y464</f>
        <v>1043.2226081594404</v>
      </c>
      <c r="AA461" s="841">
        <f ca="1">+Z464</f>
        <v>1067.5568172486585</v>
      </c>
      <c r="AB461" s="841">
        <f ca="1">+AA464</f>
        <v>1091.1971822481389</v>
      </c>
      <c r="BX461" s="328"/>
      <c r="BY461" s="328"/>
      <c r="BZ461" s="329"/>
      <c r="CA461" s="329"/>
      <c r="CD461" s="404"/>
      <c r="CE461" s="404"/>
    </row>
    <row r="462" spans="1:113">
      <c r="A462" s="842" t="s">
        <v>295</v>
      </c>
      <c r="B462" s="301"/>
      <c r="C462" s="843">
        <v>137.56</v>
      </c>
      <c r="D462" s="843">
        <v>84.6</v>
      </c>
      <c r="E462" s="843">
        <v>134.4</v>
      </c>
      <c r="F462" s="843">
        <v>18.671399999999998</v>
      </c>
      <c r="G462" s="843">
        <f t="shared" ref="G462:W462" si="1052">+G446/G448</f>
        <v>0</v>
      </c>
      <c r="H462" s="843">
        <f t="shared" si="1052"/>
        <v>0</v>
      </c>
      <c r="I462" s="843">
        <f t="shared" si="1052"/>
        <v>0</v>
      </c>
      <c r="J462" s="843">
        <f t="shared" si="1052"/>
        <v>0</v>
      </c>
      <c r="K462" s="841">
        <f t="shared" si="1052"/>
        <v>53.45</v>
      </c>
      <c r="L462" s="841">
        <f t="shared" si="1052"/>
        <v>-5.9096945551128819</v>
      </c>
      <c r="M462" s="841">
        <f t="shared" si="1052"/>
        <v>-5.298013245033113</v>
      </c>
      <c r="N462" s="841">
        <f t="shared" si="1052"/>
        <v>49.422718808193665</v>
      </c>
      <c r="O462" s="841">
        <f t="shared" si="1052"/>
        <v>33.770287141073659</v>
      </c>
      <c r="P462" s="841">
        <f t="shared" si="1052"/>
        <v>17.586685159500696</v>
      </c>
      <c r="Q462" s="841">
        <f t="shared" si="1052"/>
        <v>22.631959508315255</v>
      </c>
      <c r="R462" s="841">
        <f t="shared" si="1052"/>
        <v>10.688790275901988</v>
      </c>
      <c r="S462" s="841">
        <f t="shared" si="1052"/>
        <v>16.758094165091368</v>
      </c>
      <c r="T462" s="841">
        <f t="shared" si="1052"/>
        <v>41.50080332510916</v>
      </c>
      <c r="U462" s="841">
        <f t="shared" si="1052"/>
        <v>13.808102146406021</v>
      </c>
      <c r="V462" s="841">
        <f t="shared" si="1052"/>
        <v>26.81184882797286</v>
      </c>
      <c r="W462" s="841">
        <f t="shared" si="1052"/>
        <v>26.030921192206662</v>
      </c>
      <c r="X462" s="841">
        <f>+X446/X448</f>
        <v>25.272739021559865</v>
      </c>
      <c r="Y462" s="841">
        <f>+Y446/Y448</f>
        <v>24.536639826757149</v>
      </c>
      <c r="Z462" s="841">
        <f>+Z446/Z448</f>
        <v>23.821980414327331</v>
      </c>
      <c r="AA462" s="841">
        <f>+AA446/AA448</f>
        <v>23.12813632458964</v>
      </c>
      <c r="AB462" s="841">
        <f>+AB446/AB448</f>
        <v>22.454501286009361</v>
      </c>
      <c r="BX462" s="328"/>
      <c r="BY462" s="328"/>
      <c r="BZ462" s="329"/>
      <c r="CA462" s="329"/>
      <c r="CD462" s="404"/>
      <c r="CE462" s="404"/>
    </row>
    <row r="463" spans="1:113">
      <c r="A463" s="842" t="s">
        <v>296</v>
      </c>
      <c r="B463" s="301"/>
      <c r="C463" s="843">
        <v>7.94</v>
      </c>
      <c r="D463" s="843">
        <v>28.18</v>
      </c>
      <c r="E463" s="843">
        <v>21.155000000000001</v>
      </c>
      <c r="F463" s="843">
        <v>16.675270000000001</v>
      </c>
      <c r="G463" s="843">
        <v>22.264054000000002</v>
      </c>
      <c r="H463" s="843">
        <v>24.736923000000001</v>
      </c>
      <c r="I463" s="843">
        <v>12.816528999999999</v>
      </c>
      <c r="J463" s="843">
        <v>10.595834</v>
      </c>
      <c r="K463" s="841">
        <f t="shared" ref="K463:W463" si="1053">+K453</f>
        <v>7.1448219999999996</v>
      </c>
      <c r="L463" s="841">
        <f t="shared" ca="1" si="1053"/>
        <v>0</v>
      </c>
      <c r="M463" s="841">
        <f t="shared" ca="1" si="1053"/>
        <v>0</v>
      </c>
      <c r="N463" s="841">
        <f t="shared" si="1053"/>
        <v>0</v>
      </c>
      <c r="O463" s="841">
        <f t="shared" si="1053"/>
        <v>1</v>
      </c>
      <c r="P463" s="841">
        <f t="shared" si="1053"/>
        <v>-0.69344357884438068</v>
      </c>
      <c r="Q463" s="841">
        <f t="shared" si="1053"/>
        <v>0</v>
      </c>
      <c r="R463" s="841">
        <f t="shared" si="1053"/>
        <v>1.7749849016006696</v>
      </c>
      <c r="S463" s="841">
        <f t="shared" si="1053"/>
        <v>-2.9162834908586177E-2</v>
      </c>
      <c r="T463" s="841">
        <f t="shared" si="1053"/>
        <v>-0.51222867489090618</v>
      </c>
      <c r="U463" s="841">
        <f t="shared" si="1053"/>
        <v>-0.51222867489090618</v>
      </c>
      <c r="V463" s="841">
        <f t="shared" si="1053"/>
        <v>-0.51222867489090618</v>
      </c>
      <c r="W463" s="841">
        <f t="shared" si="1053"/>
        <v>-0.51222867489090618</v>
      </c>
      <c r="X463" s="841">
        <f>+X453</f>
        <v>-0.51222867489090618</v>
      </c>
      <c r="Y463" s="841">
        <f>+Y453</f>
        <v>-0.51222867489090618</v>
      </c>
      <c r="Z463" s="841">
        <f>+Z453</f>
        <v>-0.51222867489090618</v>
      </c>
      <c r="AA463" s="841">
        <f>+AA453</f>
        <v>-0.51222867489090618</v>
      </c>
      <c r="AB463" s="841">
        <f>+AB453</f>
        <v>-0.51222867489090618</v>
      </c>
      <c r="BX463" s="328"/>
      <c r="BY463" s="328"/>
      <c r="BZ463" s="329"/>
      <c r="CA463" s="329"/>
      <c r="CD463" s="404"/>
      <c r="CE463" s="404"/>
    </row>
    <row r="464" spans="1:113">
      <c r="A464" s="301" t="s">
        <v>297</v>
      </c>
      <c r="B464" s="301"/>
      <c r="C464" s="841">
        <f>+C461+C462-C463</f>
        <v>597.05999999999995</v>
      </c>
      <c r="D464" s="841">
        <f>+D461+D462-D463</f>
        <v>653.48</v>
      </c>
      <c r="E464" s="841">
        <f>+E461+E462-E463</f>
        <v>766.72500000000002</v>
      </c>
      <c r="F464" s="841">
        <f>+F461+F462-F463</f>
        <v>768.72113000000002</v>
      </c>
      <c r="G464" s="843">
        <v>746.43384100000003</v>
      </c>
      <c r="H464" s="841">
        <f t="shared" ref="H464:W464" si="1054">+H461+H462-H463</f>
        <v>721.69691799999998</v>
      </c>
      <c r="I464" s="841">
        <f t="shared" si="1054"/>
        <v>708.88038900000004</v>
      </c>
      <c r="J464" s="841">
        <f t="shared" si="1054"/>
        <v>698.28455500000007</v>
      </c>
      <c r="K464" s="841">
        <f t="shared" si="1054"/>
        <v>744.58973300000014</v>
      </c>
      <c r="L464" s="841">
        <f t="shared" ca="1" si="1054"/>
        <v>738.68003844488726</v>
      </c>
      <c r="M464" s="841">
        <f t="shared" ca="1" si="1054"/>
        <v>733.38202519985418</v>
      </c>
      <c r="N464" s="841">
        <f t="shared" ca="1" si="1054"/>
        <v>782.80474400804781</v>
      </c>
      <c r="O464" s="841">
        <f t="shared" ca="1" si="1054"/>
        <v>815.57503114912151</v>
      </c>
      <c r="P464" s="841">
        <f t="shared" ca="1" si="1054"/>
        <v>833.85515988746658</v>
      </c>
      <c r="Q464" s="841">
        <f t="shared" ca="1" si="1054"/>
        <v>856.48711939578186</v>
      </c>
      <c r="R464" s="841">
        <f t="shared" ca="1" si="1054"/>
        <v>865.40092477008318</v>
      </c>
      <c r="S464" s="841">
        <f t="shared" ca="1" si="1054"/>
        <v>882.18818177008313</v>
      </c>
      <c r="T464" s="841">
        <f t="shared" ca="1" si="1054"/>
        <v>924.2012137700832</v>
      </c>
      <c r="U464" s="841">
        <f t="shared" ca="1" si="1054"/>
        <v>938.52154459138012</v>
      </c>
      <c r="V464" s="841">
        <f t="shared" ca="1" si="1054"/>
        <v>965.84562209424394</v>
      </c>
      <c r="W464" s="841">
        <f t="shared" ca="1" si="1054"/>
        <v>992.38877196134149</v>
      </c>
      <c r="X464" s="841">
        <f ca="1">+X461+X462-X463</f>
        <v>1018.1737396577923</v>
      </c>
      <c r="Y464" s="841">
        <f ca="1">+Y461+Y462-Y463</f>
        <v>1043.2226081594404</v>
      </c>
      <c r="Z464" s="841">
        <f ca="1">+Z461+Z462-Z463</f>
        <v>1067.5568172486585</v>
      </c>
      <c r="AA464" s="841">
        <f ca="1">+AA461+AA462-AA463</f>
        <v>1091.1971822481389</v>
      </c>
      <c r="AB464" s="841">
        <f ca="1">+AB461+AB462-AB463</f>
        <v>1114.1639122090392</v>
      </c>
      <c r="BX464" s="328"/>
      <c r="BY464" s="328"/>
      <c r="BZ464" s="329"/>
      <c r="CA464" s="329"/>
      <c r="CD464" s="404"/>
      <c r="CE464" s="404"/>
    </row>
    <row r="465" spans="1:99">
      <c r="A465" s="160"/>
      <c r="B465" s="301"/>
      <c r="C465" s="301"/>
      <c r="D465" s="301"/>
      <c r="E465" s="301"/>
      <c r="F465" s="301"/>
      <c r="G465" s="660"/>
      <c r="H465" s="660"/>
      <c r="I465" s="660"/>
      <c r="J465" s="660"/>
      <c r="K465" s="660"/>
      <c r="L465" s="660"/>
      <c r="M465" s="660"/>
      <c r="N465" s="661"/>
      <c r="O465" s="661"/>
      <c r="P465" s="661"/>
      <c r="Q465" s="661"/>
      <c r="R465" s="661"/>
      <c r="S465" s="661"/>
      <c r="T465" s="661"/>
      <c r="U465" s="661"/>
      <c r="V465" s="661"/>
      <c r="W465" s="661"/>
      <c r="X465" s="661"/>
      <c r="Y465" s="661"/>
      <c r="Z465" s="661"/>
      <c r="AA465" s="661"/>
      <c r="AB465" s="661"/>
      <c r="BX465" s="328"/>
      <c r="BY465" s="328"/>
      <c r="BZ465" s="329"/>
      <c r="CA465" s="329"/>
      <c r="CD465" s="404"/>
      <c r="CE465" s="404"/>
    </row>
    <row r="466" spans="1:99">
      <c r="A466" s="34" t="s">
        <v>293</v>
      </c>
      <c r="B466" s="727">
        <v>2805.96</v>
      </c>
      <c r="C466" s="727">
        <v>2805.96</v>
      </c>
      <c r="D466" s="727">
        <f t="shared" ref="D466:W466" si="1055">+D454+D464</f>
        <v>2777.78</v>
      </c>
      <c r="E466" s="727">
        <f t="shared" si="1055"/>
        <v>2756.625</v>
      </c>
      <c r="F466" s="727">
        <f t="shared" si="1055"/>
        <v>2789.3092820000002</v>
      </c>
      <c r="G466" s="727">
        <f t="shared" si="1055"/>
        <v>2767.0219930000003</v>
      </c>
      <c r="H466" s="727">
        <f t="shared" si="1055"/>
        <v>2742.2850699999999</v>
      </c>
      <c r="I466" s="727">
        <f t="shared" si="1055"/>
        <v>2729.4685410000002</v>
      </c>
      <c r="J466" s="727">
        <f t="shared" si="1055"/>
        <v>2718.872707</v>
      </c>
      <c r="K466" s="727">
        <f t="shared" si="1055"/>
        <v>2711.7278850000002</v>
      </c>
      <c r="L466" s="727">
        <f t="shared" ca="1" si="1055"/>
        <v>2711.7278850000002</v>
      </c>
      <c r="M466" s="727">
        <f t="shared" ca="1" si="1055"/>
        <v>2711.7278850000002</v>
      </c>
      <c r="N466" s="726">
        <f t="shared" ca="1" si="1055"/>
        <v>2827.223744008048</v>
      </c>
      <c r="O466" s="726">
        <f t="shared" ca="1" si="1055"/>
        <v>2824.7669621912387</v>
      </c>
      <c r="P466" s="726">
        <f t="shared" ca="1" si="1055"/>
        <v>2825.4604057700831</v>
      </c>
      <c r="Q466" s="726">
        <f t="shared" ca="1" si="1055"/>
        <v>2825.4604057700831</v>
      </c>
      <c r="R466" s="726">
        <f t="shared" ca="1" si="1055"/>
        <v>2825.4604057700831</v>
      </c>
      <c r="S466" s="726">
        <f t="shared" ca="1" si="1055"/>
        <v>2825.4604057700831</v>
      </c>
      <c r="T466" s="726">
        <f t="shared" ca="1" si="1055"/>
        <v>2825.4604057700831</v>
      </c>
      <c r="U466" s="726">
        <f t="shared" ca="1" si="1055"/>
        <v>2825.9726344449737</v>
      </c>
      <c r="V466" s="726">
        <f t="shared" ca="1" si="1055"/>
        <v>2826.4848631198647</v>
      </c>
      <c r="W466" s="726">
        <f t="shared" ca="1" si="1055"/>
        <v>2826.9970917947558</v>
      </c>
      <c r="X466" s="726">
        <f ca="1">+X454+X464</f>
        <v>2827.5093204696468</v>
      </c>
      <c r="Y466" s="726">
        <f ca="1">+Y454+Y464</f>
        <v>2828.0215491445374</v>
      </c>
      <c r="Z466" s="726">
        <f ca="1">+Z454+Z464</f>
        <v>2828.533777819428</v>
      </c>
      <c r="AA466" s="726">
        <f ca="1">+AA454+AA464</f>
        <v>2829.046006494319</v>
      </c>
      <c r="AB466" s="726">
        <f ca="1">+AB454+AB464</f>
        <v>2829.5582351692101</v>
      </c>
      <c r="BX466" s="328"/>
      <c r="BY466" s="328"/>
      <c r="BZ466" s="329"/>
      <c r="CA466" s="329"/>
      <c r="CD466" s="404"/>
      <c r="CE466" s="404"/>
    </row>
    <row r="467" spans="1:99">
      <c r="A467" s="301"/>
      <c r="B467" s="404"/>
      <c r="C467" s="404"/>
      <c r="D467" s="404"/>
      <c r="E467" s="404"/>
      <c r="F467" s="404"/>
      <c r="G467" s="404"/>
      <c r="H467" s="404"/>
      <c r="I467" s="404"/>
      <c r="J467" s="300"/>
      <c r="K467" s="6"/>
      <c r="L467" s="6"/>
      <c r="M467" s="6"/>
      <c r="N467" s="330"/>
      <c r="O467" s="330"/>
      <c r="P467" s="330"/>
      <c r="Q467" s="394"/>
      <c r="R467" s="330"/>
      <c r="S467" s="330"/>
      <c r="T467" s="330"/>
      <c r="U467" s="330"/>
      <c r="V467" s="330"/>
      <c r="W467" s="330"/>
      <c r="X467" s="330"/>
      <c r="Y467" s="330"/>
      <c r="Z467" s="330"/>
      <c r="AA467" s="330"/>
      <c r="AB467" s="330"/>
      <c r="BX467" s="328"/>
      <c r="BY467" s="328"/>
      <c r="BZ467" s="329"/>
      <c r="CA467" s="329"/>
      <c r="CD467" s="404"/>
      <c r="CE467" s="404"/>
    </row>
    <row r="468" spans="1:99">
      <c r="A468" s="160" t="s">
        <v>432</v>
      </c>
      <c r="B468" s="301"/>
      <c r="C468" s="301">
        <v>180</v>
      </c>
      <c r="D468" s="301">
        <v>955</v>
      </c>
      <c r="E468" s="301">
        <v>717</v>
      </c>
      <c r="F468" s="513">
        <f t="shared" ref="F468:W468" si="1056">+F470+F472</f>
        <v>565.16986953438902</v>
      </c>
      <c r="G468" s="513">
        <f t="shared" si="1056"/>
        <v>830.04771400614527</v>
      </c>
      <c r="H468" s="513">
        <f t="shared" si="1056"/>
        <v>1014.465246377216</v>
      </c>
      <c r="I468" s="513">
        <f t="shared" si="1056"/>
        <v>578.16873887889403</v>
      </c>
      <c r="J468" s="513">
        <f t="shared" si="1056"/>
        <v>525.78962519923437</v>
      </c>
      <c r="K468" s="513">
        <f t="shared" si="1056"/>
        <v>389.99672981331804</v>
      </c>
      <c r="L468" s="513">
        <f t="shared" ca="1" si="1056"/>
        <v>0</v>
      </c>
      <c r="M468" s="513">
        <f t="shared" ca="1" si="1056"/>
        <v>0</v>
      </c>
      <c r="N468" s="841">
        <f t="shared" si="1056"/>
        <v>0</v>
      </c>
      <c r="O468" s="841">
        <f t="shared" si="1056"/>
        <v>79.917206071708875</v>
      </c>
      <c r="P468" s="841">
        <f t="shared" si="1056"/>
        <v>-60.959880728570639</v>
      </c>
      <c r="Q468" s="841">
        <f t="shared" si="1056"/>
        <v>0</v>
      </c>
      <c r="R468" s="841">
        <f t="shared" si="1056"/>
        <v>188.80479126082759</v>
      </c>
      <c r="S468" s="841">
        <f t="shared" si="1056"/>
        <v>-3.4122494494328741</v>
      </c>
      <c r="T468" s="841">
        <f t="shared" si="1056"/>
        <v>-65.927651454152056</v>
      </c>
      <c r="U468" s="841">
        <f t="shared" si="1056"/>
        <v>-72.520416599567284</v>
      </c>
      <c r="V468" s="841">
        <f t="shared" si="1056"/>
        <v>-79.772458259524001</v>
      </c>
      <c r="W468" s="841">
        <f t="shared" si="1056"/>
        <v>-87.749704085476424</v>
      </c>
      <c r="X468" s="841">
        <f t="shared" ref="X468:AB469" si="1057">+X470+X472</f>
        <v>-96.524674494024055</v>
      </c>
      <c r="Y468" s="841">
        <f t="shared" si="1057"/>
        <v>-106.17714194342648</v>
      </c>
      <c r="Z468" s="841">
        <f t="shared" si="1057"/>
        <v>-116.79485613776913</v>
      </c>
      <c r="AA468" s="841">
        <f t="shared" si="1057"/>
        <v>-128.47434175154606</v>
      </c>
      <c r="AB468" s="841">
        <f t="shared" si="1057"/>
        <v>-141.32177592670067</v>
      </c>
      <c r="BX468" s="328"/>
      <c r="BY468" s="328"/>
      <c r="BZ468" s="329"/>
      <c r="CA468" s="329"/>
      <c r="CD468" s="404"/>
      <c r="CE468" s="404"/>
    </row>
    <row r="469" spans="1:99">
      <c r="A469" s="160" t="s">
        <v>433</v>
      </c>
      <c r="B469" s="301"/>
      <c r="C469" s="844">
        <f>+C468/C463</f>
        <v>22.670025188916874</v>
      </c>
      <c r="D469" s="844">
        <f>+D468/D463</f>
        <v>33.889283179559975</v>
      </c>
      <c r="E469" s="844">
        <f>+E468/E463</f>
        <v>33.892696761994799</v>
      </c>
      <c r="F469" s="844">
        <f t="shared" ref="F469:W469" si="1058">+F471+F473</f>
        <v>33.892696761994799</v>
      </c>
      <c r="G469" s="844">
        <f t="shared" si="1058"/>
        <v>37.281966438194281</v>
      </c>
      <c r="H469" s="844">
        <f t="shared" si="1058"/>
        <v>41.010163082013712</v>
      </c>
      <c r="I469" s="844">
        <f t="shared" si="1058"/>
        <v>45.111179390215092</v>
      </c>
      <c r="J469" s="844">
        <f t="shared" si="1058"/>
        <v>49.622297329236602</v>
      </c>
      <c r="K469" s="844">
        <f t="shared" si="1058"/>
        <v>54.584527062160269</v>
      </c>
      <c r="L469" s="844">
        <f t="shared" si="1058"/>
        <v>60.042979768376306</v>
      </c>
      <c r="M469" s="844">
        <f t="shared" si="1058"/>
        <v>66.047277745213933</v>
      </c>
      <c r="N469" s="420">
        <f t="shared" si="1058"/>
        <v>72.65200551973534</v>
      </c>
      <c r="O469" s="420">
        <f t="shared" si="1058"/>
        <v>79.917206071708875</v>
      </c>
      <c r="P469" s="420">
        <f t="shared" si="1058"/>
        <v>87.908926678879766</v>
      </c>
      <c r="Q469" s="420">
        <f t="shared" si="1058"/>
        <v>96.69981934676774</v>
      </c>
      <c r="R469" s="420">
        <f t="shared" si="1058"/>
        <v>106.36980128144452</v>
      </c>
      <c r="S469" s="420">
        <f t="shared" si="1058"/>
        <v>117.006781409589</v>
      </c>
      <c r="T469" s="420">
        <f t="shared" si="1058"/>
        <v>128.70745955054792</v>
      </c>
      <c r="U469" s="420">
        <f t="shared" si="1058"/>
        <v>141.57820550560271</v>
      </c>
      <c r="V469" s="420">
        <f t="shared" si="1058"/>
        <v>155.73602605616298</v>
      </c>
      <c r="W469" s="420">
        <f t="shared" si="1058"/>
        <v>171.3096286617793</v>
      </c>
      <c r="X469" s="420">
        <f t="shared" si="1057"/>
        <v>188.44059152795722</v>
      </c>
      <c r="Y469" s="420">
        <f t="shared" si="1057"/>
        <v>207.28465068075297</v>
      </c>
      <c r="Z469" s="420">
        <f t="shared" si="1057"/>
        <v>228.01311574882831</v>
      </c>
      <c r="AA469" s="420">
        <f t="shared" si="1057"/>
        <v>250.81442732371116</v>
      </c>
      <c r="AB469" s="420">
        <f t="shared" si="1057"/>
        <v>275.89587005608229</v>
      </c>
      <c r="BX469" s="328"/>
      <c r="BY469" s="328"/>
      <c r="BZ469" s="329"/>
      <c r="CA469" s="329"/>
      <c r="CD469" s="404"/>
      <c r="CE469" s="404"/>
    </row>
    <row r="470" spans="1:99">
      <c r="A470" s="160" t="s">
        <v>452</v>
      </c>
      <c r="B470" s="301"/>
      <c r="C470" s="301">
        <v>-37</v>
      </c>
      <c r="D470" s="301">
        <v>208</v>
      </c>
      <c r="E470" s="301">
        <v>154</v>
      </c>
      <c r="F470" s="830">
        <f t="shared" ref="F470:W470" si="1059">+F471*F453</f>
        <v>121.38934436303474</v>
      </c>
      <c r="G470" s="830">
        <f t="shared" si="1059"/>
        <v>178.28082002363507</v>
      </c>
      <c r="H470" s="830">
        <f t="shared" si="1059"/>
        <v>217.8907223739069</v>
      </c>
      <c r="I470" s="830">
        <f t="shared" si="1059"/>
        <v>124.1812911957457</v>
      </c>
      <c r="J470" s="830">
        <f t="shared" si="1059"/>
        <v>112.93110499397781</v>
      </c>
      <c r="K470" s="830">
        <f t="shared" si="1059"/>
        <v>83.764987993376522</v>
      </c>
      <c r="L470" s="830">
        <f t="shared" ca="1" si="1059"/>
        <v>0</v>
      </c>
      <c r="M470" s="830">
        <f t="shared" ca="1" si="1059"/>
        <v>0</v>
      </c>
      <c r="N470" s="833">
        <f t="shared" si="1059"/>
        <v>0</v>
      </c>
      <c r="O470" s="833">
        <f t="shared" si="1059"/>
        <v>17.164922921956993</v>
      </c>
      <c r="P470" s="833">
        <f t="shared" si="1059"/>
        <v>-13.093196139748782</v>
      </c>
      <c r="Q470" s="833">
        <f t="shared" si="1059"/>
        <v>0</v>
      </c>
      <c r="R470" s="833">
        <f t="shared" si="1059"/>
        <v>40.552214580428796</v>
      </c>
      <c r="S470" s="833">
        <f t="shared" si="1059"/>
        <v>-0.73289597658669803</v>
      </c>
      <c r="T470" s="833">
        <f t="shared" si="1059"/>
        <v>-14.160192920417593</v>
      </c>
      <c r="U470" s="833">
        <f t="shared" si="1059"/>
        <v>-15.576212212459355</v>
      </c>
      <c r="V470" s="833">
        <f t="shared" si="1059"/>
        <v>-17.133833433705291</v>
      </c>
      <c r="W470" s="833">
        <f t="shared" si="1059"/>
        <v>-18.847216777075822</v>
      </c>
      <c r="X470" s="833">
        <f>+X471*X453</f>
        <v>-20.731938454783403</v>
      </c>
      <c r="Y470" s="833">
        <f>+Y471*Y453</f>
        <v>-22.805132300261747</v>
      </c>
      <c r="Z470" s="833">
        <f>+Z471*Z453</f>
        <v>-25.085645530287923</v>
      </c>
      <c r="AA470" s="833">
        <f>+AA471*AA453</f>
        <v>-27.594210083316717</v>
      </c>
      <c r="AB470" s="833">
        <f>+AB471*AB453</f>
        <v>-30.353631091648392</v>
      </c>
      <c r="BX470" s="328"/>
      <c r="BY470" s="328"/>
      <c r="BZ470" s="329"/>
      <c r="CA470" s="329"/>
      <c r="CD470" s="404"/>
      <c r="CE470" s="404"/>
    </row>
    <row r="471" spans="1:99">
      <c r="A471" s="160" t="s">
        <v>204</v>
      </c>
      <c r="B471" s="301"/>
      <c r="C471" s="310">
        <f>+C470/C453</f>
        <v>-4.6599496221662466</v>
      </c>
      <c r="D471" s="310">
        <f>+D470/D453</f>
        <v>7.3811213626685594</v>
      </c>
      <c r="E471" s="310">
        <f>+E470/E453</f>
        <v>7.2796029307492311</v>
      </c>
      <c r="F471" s="845">
        <f>+E471</f>
        <v>7.2796029307492311</v>
      </c>
      <c r="G471" s="846">
        <f t="shared" ref="G471:W471" si="1060">+F471*1.1</f>
        <v>8.007563223824155</v>
      </c>
      <c r="H471" s="846">
        <f t="shared" si="1060"/>
        <v>8.8083195462065706</v>
      </c>
      <c r="I471" s="846">
        <f t="shared" si="1060"/>
        <v>9.6891515008272293</v>
      </c>
      <c r="J471" s="846">
        <f t="shared" si="1060"/>
        <v>10.658066650909953</v>
      </c>
      <c r="K471" s="846">
        <f t="shared" si="1060"/>
        <v>11.723873316000949</v>
      </c>
      <c r="L471" s="846">
        <f t="shared" si="1060"/>
        <v>12.896260647601045</v>
      </c>
      <c r="M471" s="846">
        <f t="shared" si="1060"/>
        <v>14.18588671236115</v>
      </c>
      <c r="N471" s="846">
        <f t="shared" si="1060"/>
        <v>15.604475383597267</v>
      </c>
      <c r="O471" s="846">
        <f t="shared" si="1060"/>
        <v>17.164922921956993</v>
      </c>
      <c r="P471" s="846">
        <f t="shared" si="1060"/>
        <v>18.881415214152693</v>
      </c>
      <c r="Q471" s="846">
        <f t="shared" si="1060"/>
        <v>20.769556735567964</v>
      </c>
      <c r="R471" s="846">
        <f t="shared" si="1060"/>
        <v>22.846512409124763</v>
      </c>
      <c r="S471" s="846">
        <f t="shared" si="1060"/>
        <v>25.131163650037241</v>
      </c>
      <c r="T471" s="846">
        <f t="shared" si="1060"/>
        <v>27.644280015040966</v>
      </c>
      <c r="U471" s="846">
        <f t="shared" si="1060"/>
        <v>30.408708016545066</v>
      </c>
      <c r="V471" s="846">
        <f t="shared" si="1060"/>
        <v>33.449578818199576</v>
      </c>
      <c r="W471" s="846">
        <f t="shared" si="1060"/>
        <v>36.794536700019535</v>
      </c>
      <c r="X471" s="846">
        <f>+W471*1.1</f>
        <v>40.47399037002149</v>
      </c>
      <c r="Y471" s="846">
        <f>+X471*1.1</f>
        <v>44.521389407023641</v>
      </c>
      <c r="Z471" s="846">
        <f>+Y471*1.1</f>
        <v>48.97352834772601</v>
      </c>
      <c r="AA471" s="846">
        <f>+Z471*1.1</f>
        <v>53.870881182498614</v>
      </c>
      <c r="AB471" s="846">
        <f>+AA471*1.1</f>
        <v>59.257969300748478</v>
      </c>
      <c r="BX471" s="328"/>
      <c r="BY471" s="328"/>
      <c r="BZ471" s="329"/>
      <c r="CA471" s="329"/>
      <c r="CD471" s="404"/>
      <c r="CE471" s="404"/>
    </row>
    <row r="472" spans="1:99">
      <c r="A472" s="160" t="s">
        <v>541</v>
      </c>
      <c r="B472" s="301"/>
      <c r="C472" s="310">
        <f>+C468-C470</f>
        <v>217</v>
      </c>
      <c r="D472" s="310">
        <f>+D468-D470</f>
        <v>747</v>
      </c>
      <c r="E472" s="310">
        <f>+E468-E470</f>
        <v>563</v>
      </c>
      <c r="F472" s="730">
        <f t="shared" ref="F472:W472" si="1061">+F473*F453</f>
        <v>443.78052517135433</v>
      </c>
      <c r="G472" s="730">
        <f t="shared" si="1061"/>
        <v>651.76689398251017</v>
      </c>
      <c r="H472" s="730">
        <f t="shared" si="1061"/>
        <v>796.57452400330908</v>
      </c>
      <c r="I472" s="730">
        <f t="shared" si="1061"/>
        <v>453.98744768314833</v>
      </c>
      <c r="J472" s="730">
        <f t="shared" si="1061"/>
        <v>412.85852020525658</v>
      </c>
      <c r="K472" s="730">
        <f t="shared" si="1061"/>
        <v>306.23174181994153</v>
      </c>
      <c r="L472" s="730">
        <f t="shared" ca="1" si="1061"/>
        <v>0</v>
      </c>
      <c r="M472" s="730">
        <f t="shared" ca="1" si="1061"/>
        <v>0</v>
      </c>
      <c r="N472" s="729">
        <f t="shared" si="1061"/>
        <v>0</v>
      </c>
      <c r="O472" s="729">
        <f t="shared" si="1061"/>
        <v>62.752283149751882</v>
      </c>
      <c r="P472" s="729">
        <f t="shared" si="1061"/>
        <v>-47.866684588821855</v>
      </c>
      <c r="Q472" s="729">
        <f t="shared" si="1061"/>
        <v>0</v>
      </c>
      <c r="R472" s="729">
        <f t="shared" si="1061"/>
        <v>148.25257668039879</v>
      </c>
      <c r="S472" s="729">
        <f t="shared" si="1061"/>
        <v>-2.6793534728461763</v>
      </c>
      <c r="T472" s="729">
        <f t="shared" si="1061"/>
        <v>-51.767458533734469</v>
      </c>
      <c r="U472" s="729">
        <f t="shared" si="1061"/>
        <v>-56.944204387107924</v>
      </c>
      <c r="V472" s="729">
        <f t="shared" si="1061"/>
        <v>-62.638624825818717</v>
      </c>
      <c r="W472" s="729">
        <f t="shared" si="1061"/>
        <v>-68.902487308400595</v>
      </c>
      <c r="X472" s="729">
        <f>+X473*X453</f>
        <v>-75.792736039240651</v>
      </c>
      <c r="Y472" s="729">
        <f>+Y473*Y453</f>
        <v>-83.372009643164731</v>
      </c>
      <c r="Z472" s="729">
        <f>+Z473*Z453</f>
        <v>-91.709210607481211</v>
      </c>
      <c r="AA472" s="729">
        <f>+AA473*AA453</f>
        <v>-100.88013166822934</v>
      </c>
      <c r="AB472" s="729">
        <f>+AB473*AB453</f>
        <v>-110.96814483505229</v>
      </c>
      <c r="BX472" s="328"/>
      <c r="BY472" s="328"/>
      <c r="BZ472" s="329"/>
      <c r="CA472" s="329"/>
      <c r="CD472" s="404"/>
      <c r="CE472" s="404"/>
    </row>
    <row r="473" spans="1:99">
      <c r="A473" s="160" t="s">
        <v>542</v>
      </c>
      <c r="B473" s="669"/>
      <c r="C473" s="669">
        <f>+C472/C453</f>
        <v>27.329974811083122</v>
      </c>
      <c r="D473" s="669">
        <f>+D472/D453</f>
        <v>26.508161816891413</v>
      </c>
      <c r="E473" s="669">
        <f>+E472/E453</f>
        <v>26.613093831245568</v>
      </c>
      <c r="F473" s="843">
        <f>+E473</f>
        <v>26.613093831245568</v>
      </c>
      <c r="G473" s="846">
        <f t="shared" ref="G473:W473" si="1062">+F473*1.1</f>
        <v>29.274403214370128</v>
      </c>
      <c r="H473" s="846">
        <f t="shared" si="1062"/>
        <v>32.201843535807143</v>
      </c>
      <c r="I473" s="846">
        <f t="shared" si="1062"/>
        <v>35.422027889387863</v>
      </c>
      <c r="J473" s="846">
        <f t="shared" si="1062"/>
        <v>38.964230678326651</v>
      </c>
      <c r="K473" s="846">
        <f t="shared" si="1062"/>
        <v>42.860653746159322</v>
      </c>
      <c r="L473" s="846">
        <f t="shared" si="1062"/>
        <v>47.146719120775259</v>
      </c>
      <c r="M473" s="846">
        <f t="shared" si="1062"/>
        <v>51.861391032852787</v>
      </c>
      <c r="N473" s="846">
        <f t="shared" si="1062"/>
        <v>57.047530136138072</v>
      </c>
      <c r="O473" s="846">
        <f t="shared" si="1062"/>
        <v>62.752283149751882</v>
      </c>
      <c r="P473" s="846">
        <f t="shared" si="1062"/>
        <v>69.02751146472707</v>
      </c>
      <c r="Q473" s="846">
        <f t="shared" si="1062"/>
        <v>75.93026261119978</v>
      </c>
      <c r="R473" s="846">
        <f t="shared" si="1062"/>
        <v>83.523288872319768</v>
      </c>
      <c r="S473" s="846">
        <f t="shared" si="1062"/>
        <v>91.875617759551758</v>
      </c>
      <c r="T473" s="846">
        <f t="shared" si="1062"/>
        <v>101.06317953550695</v>
      </c>
      <c r="U473" s="846">
        <f t="shared" si="1062"/>
        <v>111.16949748905765</v>
      </c>
      <c r="V473" s="846">
        <f t="shared" si="1062"/>
        <v>122.28644723796342</v>
      </c>
      <c r="W473" s="846">
        <f t="shared" si="1062"/>
        <v>134.51509196175977</v>
      </c>
      <c r="X473" s="846">
        <f>+W473*1.1</f>
        <v>147.96660115793574</v>
      </c>
      <c r="Y473" s="846">
        <f>+X473*1.1</f>
        <v>162.76326127372934</v>
      </c>
      <c r="Z473" s="846">
        <f>+Y473*1.1</f>
        <v>179.0395874011023</v>
      </c>
      <c r="AA473" s="846">
        <f>+Z473*1.1</f>
        <v>196.94354614121255</v>
      </c>
      <c r="AB473" s="846">
        <f>+AA473*1.1</f>
        <v>216.63790075533382</v>
      </c>
      <c r="BX473" s="328"/>
      <c r="BY473" s="328"/>
      <c r="BZ473" s="329"/>
      <c r="CA473" s="329"/>
      <c r="CD473" s="404"/>
      <c r="CE473" s="404"/>
    </row>
    <row r="474" spans="1:99">
      <c r="BX474" s="328"/>
      <c r="BY474" s="328"/>
      <c r="BZ474" s="329"/>
      <c r="CA474" s="329"/>
      <c r="CD474" s="404"/>
      <c r="CE474" s="404"/>
    </row>
    <row r="475" spans="1:99">
      <c r="A475" s="195" t="s">
        <v>643</v>
      </c>
      <c r="B475" s="789"/>
      <c r="C475" s="789"/>
      <c r="D475" s="789"/>
      <c r="E475" s="789"/>
      <c r="F475" s="789"/>
      <c r="G475" s="789"/>
      <c r="H475" s="789"/>
      <c r="I475" s="789"/>
      <c r="J475" s="789"/>
      <c r="K475" s="789"/>
      <c r="L475" s="789"/>
      <c r="M475" s="789"/>
      <c r="N475" s="790"/>
      <c r="O475" s="790"/>
      <c r="P475" s="790"/>
      <c r="Q475" s="790"/>
      <c r="R475" s="790"/>
      <c r="S475" s="790"/>
      <c r="T475" s="790"/>
      <c r="U475" s="790"/>
      <c r="V475" s="790"/>
      <c r="W475" s="790"/>
      <c r="X475" s="790"/>
      <c r="Y475" s="790"/>
      <c r="Z475" s="790"/>
      <c r="AA475" s="790"/>
      <c r="AB475" s="790"/>
    </row>
    <row r="476" spans="1:99">
      <c r="A476" s="34"/>
      <c r="B476" s="301"/>
      <c r="C476" s="301"/>
      <c r="D476" s="301"/>
      <c r="E476" s="301"/>
      <c r="F476" s="301"/>
      <c r="G476" s="301"/>
      <c r="H476" s="301"/>
      <c r="I476" s="301"/>
      <c r="J476" s="301"/>
      <c r="K476" s="301"/>
      <c r="L476" s="301"/>
      <c r="M476" s="301"/>
      <c r="N476" s="511"/>
      <c r="O476" s="511"/>
      <c r="P476" s="511"/>
      <c r="Q476" s="511"/>
      <c r="R476" s="511"/>
      <c r="S476" s="511"/>
      <c r="T476" s="511"/>
      <c r="U476" s="511"/>
      <c r="V476" s="511"/>
      <c r="W476" s="511"/>
      <c r="X476" s="511"/>
      <c r="Y476" s="511"/>
      <c r="Z476" s="511"/>
      <c r="AA476" s="511"/>
      <c r="AB476" s="511"/>
    </row>
    <row r="477" spans="1:99">
      <c r="A477" s="160" t="s">
        <v>463</v>
      </c>
      <c r="B477" s="669"/>
      <c r="C477" s="669"/>
      <c r="D477" s="669"/>
      <c r="E477" s="669"/>
      <c r="F477" s="843"/>
      <c r="G477" s="846"/>
      <c r="H477" s="846"/>
      <c r="I477" s="846"/>
      <c r="J477" s="846"/>
      <c r="K477" s="846"/>
      <c r="L477" s="846"/>
      <c r="M477" s="846"/>
      <c r="N477" s="846"/>
      <c r="O477" s="846"/>
      <c r="P477" s="846"/>
      <c r="Q477" s="846"/>
      <c r="R477" s="846"/>
      <c r="S477" s="846"/>
      <c r="T477" s="846"/>
      <c r="U477" s="846"/>
      <c r="V477" s="846"/>
      <c r="W477" s="846"/>
      <c r="X477" s="846"/>
      <c r="Y477" s="846"/>
      <c r="Z477" s="846"/>
      <c r="AA477" s="846"/>
      <c r="AB477" s="846"/>
    </row>
    <row r="478" spans="1:99">
      <c r="A478" s="221" t="s">
        <v>644</v>
      </c>
      <c r="B478" s="308">
        <f>BS!E9</f>
        <v>5100</v>
      </c>
      <c r="C478" s="308">
        <f>BS!F9</f>
        <v>937</v>
      </c>
      <c r="D478" s="308">
        <f>BS!G9</f>
        <v>453</v>
      </c>
      <c r="E478" s="308">
        <f>BS!H9</f>
        <v>565</v>
      </c>
      <c r="F478" s="308">
        <f>BS!I9</f>
        <v>3777</v>
      </c>
      <c r="G478" s="308">
        <f>BS!J9</f>
        <v>5025.0859542196376</v>
      </c>
      <c r="H478" s="308">
        <f>BS!K9</f>
        <v>5539.0859542196376</v>
      </c>
      <c r="I478" s="308">
        <f>BS!M9</f>
        <v>4781</v>
      </c>
      <c r="J478" s="308">
        <f>BS!O9</f>
        <v>4842</v>
      </c>
      <c r="K478" s="308">
        <f>BS!P9</f>
        <v>7916</v>
      </c>
      <c r="L478" s="308">
        <f>BS!Q9</f>
        <v>1871</v>
      </c>
      <c r="M478" s="308">
        <f>BS!R9</f>
        <v>2314</v>
      </c>
      <c r="N478" s="308">
        <f>BS!S9</f>
        <v>3270</v>
      </c>
      <c r="O478" s="308">
        <f>BS!T9</f>
        <v>2900</v>
      </c>
      <c r="P478" s="308">
        <f>BS!U9</f>
        <v>3175</v>
      </c>
      <c r="Q478" s="307">
        <f>BS!V9</f>
        <v>3321</v>
      </c>
      <c r="R478" s="307">
        <f>BS!W9</f>
        <v>2369</v>
      </c>
      <c r="S478" s="307">
        <f>BS!X9</f>
        <v>4569</v>
      </c>
      <c r="T478" s="307">
        <f>BS!Y9</f>
        <v>2552.1467633093089</v>
      </c>
      <c r="U478" s="307">
        <f ca="1">BS!Z9</f>
        <v>2613.2334015667384</v>
      </c>
      <c r="V478" s="307">
        <f ca="1">BS!AA9</f>
        <v>1741.760527501714</v>
      </c>
      <c r="W478" s="307">
        <f ca="1">BS!AB9</f>
        <v>2026.5150601692931</v>
      </c>
      <c r="X478" s="307">
        <f ca="1">BS!AC9</f>
        <v>2298.6383035061026</v>
      </c>
      <c r="Y478" s="307">
        <f ca="1">BS!AD9</f>
        <v>2670.2970396530927</v>
      </c>
      <c r="Z478" s="307">
        <f ca="1">BS!AE9</f>
        <v>3145.8174403456178</v>
      </c>
      <c r="AA478" s="307">
        <f ca="1">BS!AF9</f>
        <v>3729.4488796870337</v>
      </c>
      <c r="AB478" s="307">
        <f ca="1">BS!AG9</f>
        <v>4425.519479161183</v>
      </c>
    </row>
    <row r="479" spans="1:99">
      <c r="A479" s="221" t="s">
        <v>160</v>
      </c>
      <c r="B479" s="847">
        <v>254</v>
      </c>
      <c r="C479" s="307">
        <f t="shared" ref="C479:I479" si="1063">-C31</f>
        <v>359</v>
      </c>
      <c r="D479" s="307">
        <f t="shared" si="1063"/>
        <v>241</v>
      </c>
      <c r="E479" s="307">
        <f t="shared" si="1063"/>
        <v>193</v>
      </c>
      <c r="F479" s="307">
        <f t="shared" si="1063"/>
        <v>217</v>
      </c>
      <c r="G479" s="307">
        <f t="shared" si="1063"/>
        <v>241</v>
      </c>
      <c r="H479" s="307">
        <f t="shared" si="1063"/>
        <v>444</v>
      </c>
      <c r="I479" s="307">
        <f t="shared" si="1063"/>
        <v>755</v>
      </c>
      <c r="J479" s="307">
        <f>-J31-231</f>
        <v>232.34000000000003</v>
      </c>
      <c r="K479" s="307">
        <f t="shared" ref="K479:R479" ca="1" si="1064">-K31</f>
        <v>125.26597224699461</v>
      </c>
      <c r="L479" s="307">
        <f t="shared" si="1064"/>
        <v>57.567083333333358</v>
      </c>
      <c r="M479" s="307">
        <f t="shared" si="1064"/>
        <v>22.50458333333313</v>
      </c>
      <c r="N479" s="307">
        <f t="shared" si="1064"/>
        <v>21.960000000000036</v>
      </c>
      <c r="O479" s="307">
        <f t="shared" si="1064"/>
        <v>107.59249999999997</v>
      </c>
      <c r="P479" s="307">
        <f t="shared" si="1064"/>
        <v>4</v>
      </c>
      <c r="Q479" s="307">
        <f t="shared" si="1064"/>
        <v>2</v>
      </c>
      <c r="R479" s="307">
        <f t="shared" si="1064"/>
        <v>4</v>
      </c>
      <c r="S479" s="307">
        <f t="shared" ref="S479:T479" si="1065">-S31</f>
        <v>13</v>
      </c>
      <c r="T479" s="307">
        <f t="shared" ca="1" si="1065"/>
        <v>13</v>
      </c>
      <c r="U479" s="307">
        <f t="shared" ref="U479:AB479" ca="1" si="1066">U480*AVERAGE(T478:U478)</f>
        <v>12.913450412190118</v>
      </c>
      <c r="V479" s="307">
        <f t="shared" ca="1" si="1066"/>
        <v>10.887484822671132</v>
      </c>
      <c r="W479" s="307">
        <f t="shared" ca="1" si="1066"/>
        <v>9.4206889691775171</v>
      </c>
      <c r="X479" s="307">
        <f t="shared" ca="1" si="1066"/>
        <v>10.812883409188489</v>
      </c>
      <c r="Y479" s="307">
        <f t="shared" ca="1" si="1066"/>
        <v>12.422338357897988</v>
      </c>
      <c r="Z479" s="307">
        <f t="shared" ca="1" si="1066"/>
        <v>14.540286199996777</v>
      </c>
      <c r="AA479" s="307">
        <f t="shared" ca="1" si="1066"/>
        <v>17.188165800081631</v>
      </c>
      <c r="AB479" s="307">
        <f t="shared" ca="1" si="1066"/>
        <v>20.387420897120542</v>
      </c>
      <c r="CU479" s="11">
        <f>+R485/AVERAGE(CU480,R483)</f>
        <v>5.8686809994189425E-2</v>
      </c>
    </row>
    <row r="480" spans="1:99">
      <c r="A480" s="221" t="s">
        <v>159</v>
      </c>
      <c r="B480" s="302">
        <f>B479/AVERAGE(B478,BS!D9)</f>
        <v>5.5331663217514433E-2</v>
      </c>
      <c r="C480" s="302">
        <f t="shared" ref="C480:H480" si="1067">C479/AVERAGE(B478:C478)</f>
        <v>0.11893324498923306</v>
      </c>
      <c r="D480" s="302">
        <f t="shared" si="1067"/>
        <v>0.34676258992805753</v>
      </c>
      <c r="E480" s="302">
        <f t="shared" si="1067"/>
        <v>0.37917485265225931</v>
      </c>
      <c r="F480" s="302">
        <f t="shared" si="1067"/>
        <v>9.9953938277291571E-2</v>
      </c>
      <c r="G480" s="302">
        <f t="shared" si="1067"/>
        <v>5.4759747008484246E-2</v>
      </c>
      <c r="H480" s="302">
        <f t="shared" si="1067"/>
        <v>8.4057700659965026E-2</v>
      </c>
      <c r="I480" s="302">
        <f>I479/AVERAGE(H478,I478)</f>
        <v>0.14631661080134675</v>
      </c>
      <c r="J480" s="302">
        <f>J479/AVERAGE(I478,J478)</f>
        <v>4.8288475527382323E-2</v>
      </c>
      <c r="K480" s="302">
        <f t="shared" ref="K480:T480" ca="1" si="1068">K479/AVERAGE(J478:K478)</f>
        <v>1.9637242866749428E-2</v>
      </c>
      <c r="L480" s="302">
        <f t="shared" si="1068"/>
        <v>1.1763989646129224E-2</v>
      </c>
      <c r="M480" s="302">
        <f t="shared" si="1068"/>
        <v>1.075487853444833E-2</v>
      </c>
      <c r="N480" s="302">
        <f t="shared" si="1068"/>
        <v>7.8653295128939954E-3</v>
      </c>
      <c r="O480" s="302">
        <f t="shared" si="1068"/>
        <v>3.4876012965964334E-2</v>
      </c>
      <c r="P480" s="302">
        <f t="shared" si="1068"/>
        <v>1.3168724279835392E-3</v>
      </c>
      <c r="Q480" s="302">
        <f t="shared" si="1068"/>
        <v>6.1576354679802956E-4</v>
      </c>
      <c r="R480" s="302">
        <f t="shared" si="1068"/>
        <v>1.4059753954305801E-3</v>
      </c>
      <c r="S480" s="302">
        <f t="shared" si="1068"/>
        <v>3.7474776592678004E-3</v>
      </c>
      <c r="T480" s="302">
        <f t="shared" ca="1" si="1068"/>
        <v>3.6510973392601996E-3</v>
      </c>
      <c r="U480" s="902">
        <v>5.0000000000000001E-3</v>
      </c>
      <c r="V480" s="902">
        <v>5.0000000000000001E-3</v>
      </c>
      <c r="W480" s="902">
        <v>5.0000000000000001E-3</v>
      </c>
      <c r="X480" s="902">
        <v>5.0000000000000001E-3</v>
      </c>
      <c r="Y480" s="902">
        <v>5.0000000000000001E-3</v>
      </c>
      <c r="Z480" s="902">
        <v>5.0000000000000001E-3</v>
      </c>
      <c r="AA480" s="902">
        <v>5.0000000000000001E-3</v>
      </c>
      <c r="AB480" s="902">
        <v>5.0000000000000001E-3</v>
      </c>
      <c r="CU480" s="6">
        <v>12843</v>
      </c>
    </row>
    <row r="481" spans="1:104">
      <c r="A481" s="160"/>
      <c r="B481" s="669"/>
      <c r="C481" s="669"/>
      <c r="D481" s="669"/>
      <c r="E481" s="669"/>
      <c r="F481" s="843"/>
      <c r="G481" s="846"/>
      <c r="H481" s="846"/>
      <c r="I481" s="846"/>
      <c r="J481" s="846"/>
      <c r="K481" s="846"/>
      <c r="L481" s="846"/>
      <c r="M481" s="846"/>
      <c r="N481" s="846"/>
      <c r="O481" s="846"/>
      <c r="P481" s="846"/>
      <c r="Q481" s="846"/>
      <c r="R481" s="846"/>
      <c r="S481" s="903"/>
      <c r="T481" s="903"/>
      <c r="U481" s="846"/>
      <c r="V481" s="846"/>
      <c r="W481" s="846"/>
      <c r="X481" s="846"/>
      <c r="Y481" s="846"/>
      <c r="Z481" s="846"/>
      <c r="AA481" s="846"/>
      <c r="AB481" s="846"/>
      <c r="CV481" s="330"/>
      <c r="CW481" s="330" t="s">
        <v>216</v>
      </c>
      <c r="CX481" s="330"/>
    </row>
    <row r="482" spans="1:104">
      <c r="A482" s="160" t="s">
        <v>4</v>
      </c>
      <c r="B482" s="669"/>
      <c r="C482" s="669"/>
      <c r="D482" s="669"/>
      <c r="E482" s="669"/>
      <c r="F482" s="843"/>
      <c r="G482" s="846"/>
      <c r="H482" s="846"/>
      <c r="I482" s="846"/>
      <c r="J482" s="846"/>
      <c r="K482" s="846"/>
      <c r="L482" s="846"/>
      <c r="M482" s="846"/>
      <c r="N482" s="846"/>
      <c r="O482" s="846"/>
      <c r="P482" s="848"/>
      <c r="Q482" s="848"/>
      <c r="R482" s="848"/>
      <c r="S482" s="904"/>
      <c r="T482" s="909"/>
      <c r="U482" s="848"/>
      <c r="V482" s="848"/>
      <c r="W482" s="848"/>
      <c r="X482" s="848"/>
      <c r="Y482" s="848"/>
      <c r="Z482" s="848"/>
      <c r="AA482" s="848"/>
      <c r="AB482" s="848"/>
      <c r="CU482" s="6" t="s">
        <v>682</v>
      </c>
      <c r="CV482" s="174" t="s">
        <v>680</v>
      </c>
      <c r="CW482" s="174" t="s">
        <v>252</v>
      </c>
      <c r="CX482" s="330"/>
    </row>
    <row r="483" spans="1:104">
      <c r="A483" s="221" t="s">
        <v>645</v>
      </c>
      <c r="B483" s="830">
        <f>BS!D75</f>
        <v>13953</v>
      </c>
      <c r="C483" s="830">
        <f>BS!E75</f>
        <v>13522</v>
      </c>
      <c r="D483" s="830">
        <f>BS!F75</f>
        <v>28095</v>
      </c>
      <c r="E483" s="830">
        <f>BS!G75</f>
        <v>21590</v>
      </c>
      <c r="F483" s="830">
        <f>BS!H75</f>
        <v>23320</v>
      </c>
      <c r="G483" s="830">
        <f>BS!I75</f>
        <v>24539</v>
      </c>
      <c r="H483" s="830">
        <f>BS!J75</f>
        <v>22980</v>
      </c>
      <c r="I483" s="830">
        <f>BS!K75</f>
        <v>23933</v>
      </c>
      <c r="J483" s="830">
        <f t="shared" ref="J483:W483" si="1069">I484</f>
        <v>8485</v>
      </c>
      <c r="K483" s="830">
        <f t="shared" si="1069"/>
        <v>4739</v>
      </c>
      <c r="L483" s="830">
        <f t="shared" si="1069"/>
        <v>7474</v>
      </c>
      <c r="M483" s="830">
        <f t="shared" si="1069"/>
        <v>11960</v>
      </c>
      <c r="N483" s="830">
        <f t="shared" si="1069"/>
        <v>12194</v>
      </c>
      <c r="O483" s="830">
        <f t="shared" si="1069"/>
        <v>13689</v>
      </c>
      <c r="P483" s="830">
        <f t="shared" si="1069"/>
        <v>13878</v>
      </c>
      <c r="Q483" s="830">
        <f t="shared" si="1069"/>
        <v>14517</v>
      </c>
      <c r="R483" s="830">
        <f t="shared" si="1069"/>
        <v>14693</v>
      </c>
      <c r="S483" s="905">
        <f t="shared" si="1069"/>
        <v>12919</v>
      </c>
      <c r="T483" s="905">
        <f t="shared" si="1069"/>
        <v>13881</v>
      </c>
      <c r="U483" s="830">
        <f t="shared" si="1069"/>
        <v>12881</v>
      </c>
      <c r="V483" s="830">
        <f t="shared" si="1069"/>
        <v>11881</v>
      </c>
      <c r="W483" s="830">
        <f t="shared" si="1069"/>
        <v>10881</v>
      </c>
      <c r="X483" s="830">
        <f>W484</f>
        <v>10881</v>
      </c>
      <c r="Y483" s="830">
        <f>X484</f>
        <v>10881</v>
      </c>
      <c r="Z483" s="830">
        <f>Y484</f>
        <v>10881</v>
      </c>
      <c r="AA483" s="830">
        <f>Z484</f>
        <v>10881</v>
      </c>
      <c r="AB483" s="830">
        <f>AA484</f>
        <v>10881</v>
      </c>
      <c r="CT483" s="6" t="s">
        <v>678</v>
      </c>
      <c r="CU483" s="7">
        <f>+R484</f>
        <v>12919</v>
      </c>
      <c r="CV483" s="12">
        <f>+R486</f>
        <v>5.8525278864261912E-2</v>
      </c>
      <c r="CW483" s="908">
        <f>+CV483*CU483</f>
        <v>756.08807764739959</v>
      </c>
      <c r="CX483" s="331"/>
      <c r="CZ483" s="11"/>
    </row>
    <row r="484" spans="1:104">
      <c r="A484" s="221" t="s">
        <v>646</v>
      </c>
      <c r="B484" s="830">
        <f>BS!E75</f>
        <v>13522</v>
      </c>
      <c r="C484" s="830">
        <f>BS!F75</f>
        <v>28095</v>
      </c>
      <c r="D484" s="830">
        <f>BS!G75</f>
        <v>21590</v>
      </c>
      <c r="E484" s="830">
        <f>BS!H75</f>
        <v>23320</v>
      </c>
      <c r="F484" s="830">
        <f>BS!I75</f>
        <v>24539</v>
      </c>
      <c r="G484" s="830">
        <f>BS!J75</f>
        <v>22980</v>
      </c>
      <c r="H484" s="830">
        <f>BS!K75</f>
        <v>23933</v>
      </c>
      <c r="I484" s="830">
        <f>BS!M75</f>
        <v>8485</v>
      </c>
      <c r="J484" s="830">
        <f>BS!O75</f>
        <v>4739</v>
      </c>
      <c r="K484" s="830">
        <f>BS!P75</f>
        <v>7474</v>
      </c>
      <c r="L484" s="830">
        <f>BS!Q75</f>
        <v>11960</v>
      </c>
      <c r="M484" s="830">
        <f>BS!R75</f>
        <v>12194</v>
      </c>
      <c r="N484" s="830">
        <f>BS!S75</f>
        <v>13689</v>
      </c>
      <c r="O484" s="830">
        <f>BS!T75</f>
        <v>13878</v>
      </c>
      <c r="P484" s="830">
        <f>BS!U75</f>
        <v>14517</v>
      </c>
      <c r="Q484" s="830">
        <f>BS!V75</f>
        <v>14693</v>
      </c>
      <c r="R484" s="830">
        <f>BS!W75</f>
        <v>12919</v>
      </c>
      <c r="S484" s="905">
        <f>BS!X75</f>
        <v>13881</v>
      </c>
      <c r="T484" s="905">
        <f>BS!Y75</f>
        <v>12881</v>
      </c>
      <c r="U484" s="830">
        <f>BS!Z75</f>
        <v>11881</v>
      </c>
      <c r="V484" s="830">
        <f>BS!AA75</f>
        <v>10881</v>
      </c>
      <c r="W484" s="830">
        <f>BS!AB75</f>
        <v>10881</v>
      </c>
      <c r="X484" s="830">
        <f>BS!AC75</f>
        <v>10881</v>
      </c>
      <c r="Y484" s="830">
        <f>BS!AD75</f>
        <v>10881</v>
      </c>
      <c r="Z484" s="830">
        <f>BS!AE75</f>
        <v>10881</v>
      </c>
      <c r="AA484" s="830">
        <f>BS!AF75</f>
        <v>10881</v>
      </c>
      <c r="AB484" s="830">
        <f>BS!AG75</f>
        <v>10881</v>
      </c>
      <c r="CT484" s="6" t="s">
        <v>679</v>
      </c>
      <c r="CU484" s="7">
        <f>+BS!T293</f>
        <v>932.58799999999997</v>
      </c>
      <c r="CV484" s="12">
        <f>+CW484/CU484</f>
        <v>0.10081891038700905</v>
      </c>
      <c r="CW484" s="907">
        <f>+BS!Y293</f>
        <v>94.022505999999993</v>
      </c>
      <c r="CX484" s="331"/>
      <c r="CY484" s="184"/>
      <c r="CZ484" s="11"/>
    </row>
    <row r="485" spans="1:104">
      <c r="A485" s="221" t="s">
        <v>65</v>
      </c>
      <c r="B485" s="830">
        <f t="shared" ref="B485:H485" si="1070">B30</f>
        <v>0</v>
      </c>
      <c r="C485" s="830">
        <f t="shared" si="1070"/>
        <v>1078</v>
      </c>
      <c r="D485" s="830">
        <f t="shared" si="1070"/>
        <v>1659</v>
      </c>
      <c r="E485" s="830">
        <f t="shared" si="1070"/>
        <v>1327</v>
      </c>
      <c r="F485" s="830">
        <f t="shared" si="1070"/>
        <v>1367</v>
      </c>
      <c r="G485" s="830">
        <f t="shared" si="1070"/>
        <v>1417</v>
      </c>
      <c r="H485" s="830">
        <f t="shared" si="1070"/>
        <v>1632</v>
      </c>
      <c r="I485" s="830">
        <f>BS!M200</f>
        <v>1053</v>
      </c>
      <c r="J485" s="830">
        <f>BS!O200</f>
        <v>343.34000000000003</v>
      </c>
      <c r="K485" s="830">
        <f>BS!P200</f>
        <v>237</v>
      </c>
      <c r="L485" s="830">
        <f>BS!Q200</f>
        <v>1157.5670833333334</v>
      </c>
      <c r="M485" s="830">
        <f>BS!R200</f>
        <v>1156.5045833333331</v>
      </c>
      <c r="N485" s="830">
        <f>BS!S200</f>
        <v>1178.96</v>
      </c>
      <c r="O485" s="830">
        <f>BS!T200</f>
        <v>1233.5925</v>
      </c>
      <c r="P485" s="830">
        <v>1053</v>
      </c>
      <c r="Q485" s="830">
        <v>857</v>
      </c>
      <c r="R485" s="830">
        <v>808</v>
      </c>
      <c r="S485" s="1089">
        <v>718.24</v>
      </c>
      <c r="T485" s="905">
        <f t="shared" ref="T485:AB485" si="1071">T486*AVERAGE(T483:T484)</f>
        <v>695.81200000000001</v>
      </c>
      <c r="U485" s="830">
        <f t="shared" si="1071"/>
        <v>693.33600000000001</v>
      </c>
      <c r="V485" s="830">
        <f t="shared" si="1071"/>
        <v>637.33600000000001</v>
      </c>
      <c r="W485" s="830">
        <f t="shared" si="1071"/>
        <v>609.33600000000001</v>
      </c>
      <c r="X485" s="830">
        <f t="shared" si="1071"/>
        <v>609.33600000000001</v>
      </c>
      <c r="Y485" s="830">
        <f t="shared" si="1071"/>
        <v>609.33600000000001</v>
      </c>
      <c r="Z485" s="830">
        <f t="shared" si="1071"/>
        <v>609.33600000000001</v>
      </c>
      <c r="AA485" s="830">
        <f t="shared" si="1071"/>
        <v>609.33600000000001</v>
      </c>
      <c r="AB485" s="830">
        <f t="shared" si="1071"/>
        <v>609.33600000000001</v>
      </c>
      <c r="CT485" s="6" t="s">
        <v>672</v>
      </c>
      <c r="CU485" s="7">
        <f>+BS!T298</f>
        <v>2000</v>
      </c>
      <c r="CV485" s="12">
        <f>+CW485/CU485</f>
        <v>3.5624999999999997E-2</v>
      </c>
      <c r="CW485" s="907">
        <f>+BS!V298</f>
        <v>71.25</v>
      </c>
      <c r="CX485" s="331"/>
    </row>
    <row r="486" spans="1:104">
      <c r="A486" s="221" t="s">
        <v>66</v>
      </c>
      <c r="B486" s="302">
        <f t="shared" ref="B486:S486" si="1072">B485/AVERAGE(B483:B484)</f>
        <v>0</v>
      </c>
      <c r="C486" s="302">
        <f t="shared" si="1072"/>
        <v>5.1805752456928658E-2</v>
      </c>
      <c r="D486" s="302">
        <f t="shared" si="1072"/>
        <v>6.6780718526718325E-2</v>
      </c>
      <c r="E486" s="302">
        <f t="shared" si="1072"/>
        <v>5.9095969717212204E-2</v>
      </c>
      <c r="F486" s="302">
        <f t="shared" si="1072"/>
        <v>5.7126141373618336E-2</v>
      </c>
      <c r="G486" s="302">
        <f t="shared" si="1072"/>
        <v>5.9639302173867294E-2</v>
      </c>
      <c r="H486" s="302">
        <f t="shared" si="1072"/>
        <v>6.9575597382388679E-2</v>
      </c>
      <c r="I486" s="303">
        <f t="shared" si="1072"/>
        <v>6.4963908939478066E-2</v>
      </c>
      <c r="J486" s="303">
        <f t="shared" si="1072"/>
        <v>5.1926799758015736E-2</v>
      </c>
      <c r="K486" s="303">
        <f t="shared" si="1072"/>
        <v>3.8811102923114717E-2</v>
      </c>
      <c r="L486" s="303">
        <f t="shared" si="1072"/>
        <v>0.11912803162841755</v>
      </c>
      <c r="M486" s="303">
        <f t="shared" si="1072"/>
        <v>9.5760916066352009E-2</v>
      </c>
      <c r="N486" s="303">
        <f t="shared" si="1072"/>
        <v>9.1099177066027895E-2</v>
      </c>
      <c r="O486" s="303">
        <f t="shared" si="1072"/>
        <v>8.9497769071716179E-2</v>
      </c>
      <c r="P486" s="303">
        <f t="shared" si="1072"/>
        <v>7.4167987321711565E-2</v>
      </c>
      <c r="Q486" s="303">
        <f t="shared" si="1072"/>
        <v>5.8678534748373846E-2</v>
      </c>
      <c r="R486" s="303">
        <f t="shared" si="1072"/>
        <v>5.8525278864261912E-2</v>
      </c>
      <c r="S486" s="303">
        <f t="shared" si="1072"/>
        <v>5.3600000000000002E-2</v>
      </c>
      <c r="T486" s="906">
        <v>5.1999999999999998E-2</v>
      </c>
      <c r="U486" s="305">
        <v>5.6000000000000001E-2</v>
      </c>
      <c r="V486" s="305">
        <f>U486</f>
        <v>5.6000000000000001E-2</v>
      </c>
      <c r="W486" s="305">
        <f>V486</f>
        <v>5.6000000000000001E-2</v>
      </c>
      <c r="X486" s="305">
        <f t="shared" ref="X486:AB486" si="1073">+W486</f>
        <v>5.6000000000000001E-2</v>
      </c>
      <c r="Y486" s="305">
        <f t="shared" si="1073"/>
        <v>5.6000000000000001E-2</v>
      </c>
      <c r="Z486" s="305">
        <f t="shared" si="1073"/>
        <v>5.6000000000000001E-2</v>
      </c>
      <c r="AA486" s="305">
        <f t="shared" si="1073"/>
        <v>5.6000000000000001E-2</v>
      </c>
      <c r="AB486" s="305">
        <f t="shared" si="1073"/>
        <v>5.6000000000000001E-2</v>
      </c>
      <c r="CT486" s="6" t="s">
        <v>683</v>
      </c>
      <c r="CU486" s="7">
        <f>+CU483-CU484+CU485</f>
        <v>13986.412</v>
      </c>
      <c r="CV486" s="25">
        <f>+CW486/CU486</f>
        <v>5.2430571303590912E-2</v>
      </c>
      <c r="CW486" s="907">
        <f>+CW483-CW484+CW485</f>
        <v>733.31557164739957</v>
      </c>
      <c r="CX486" s="331"/>
    </row>
    <row r="487" spans="1:104">
      <c r="A487" s="160"/>
      <c r="B487" s="669"/>
      <c r="C487" s="669"/>
      <c r="D487" s="669"/>
      <c r="E487" s="669"/>
      <c r="F487" s="843"/>
      <c r="G487" s="846"/>
      <c r="H487" s="846"/>
      <c r="I487" s="846"/>
      <c r="J487" s="846"/>
      <c r="K487" s="846"/>
      <c r="L487" s="846"/>
      <c r="M487" s="846"/>
      <c r="N487" s="846"/>
      <c r="O487" s="846"/>
      <c r="P487" s="848"/>
      <c r="Q487" s="848"/>
      <c r="R487" s="848"/>
      <c r="S487" s="904"/>
      <c r="T487" s="904"/>
      <c r="U487" s="848"/>
      <c r="V487" s="848"/>
      <c r="W487" s="848"/>
      <c r="X487" s="848"/>
      <c r="Y487" s="848"/>
      <c r="Z487" s="848"/>
      <c r="AA487" s="848"/>
      <c r="AB487" s="848"/>
      <c r="CT487" s="6" t="s">
        <v>681</v>
      </c>
      <c r="CU487" s="7">
        <f>+AVERAGE(CU486,CU483)</f>
        <v>13452.706</v>
      </c>
      <c r="CV487" s="12">
        <f>+CX487/CU487</f>
        <v>0</v>
      </c>
      <c r="CW487" s="330"/>
      <c r="CX487" s="331"/>
    </row>
    <row r="488" spans="1:104">
      <c r="A488" s="221" t="s">
        <v>470</v>
      </c>
      <c r="B488" s="830"/>
      <c r="C488" s="830"/>
      <c r="D488" s="830"/>
      <c r="E488" s="830"/>
      <c r="F488" s="830"/>
      <c r="G488" s="830"/>
      <c r="H488" s="830"/>
      <c r="I488" s="830"/>
      <c r="J488" s="830"/>
      <c r="K488" s="830"/>
      <c r="L488" s="830"/>
      <c r="M488" s="830"/>
      <c r="N488" s="830">
        <f t="shared" ref="N488:W488" si="1074">N485-N479</f>
        <v>1157</v>
      </c>
      <c r="O488" s="830">
        <f t="shared" si="1074"/>
        <v>1126</v>
      </c>
      <c r="P488" s="830">
        <f t="shared" si="1074"/>
        <v>1049</v>
      </c>
      <c r="Q488" s="830">
        <f t="shared" si="1074"/>
        <v>855</v>
      </c>
      <c r="R488" s="830">
        <f t="shared" si="1074"/>
        <v>804</v>
      </c>
      <c r="S488" s="905">
        <f t="shared" si="1074"/>
        <v>705.24</v>
      </c>
      <c r="T488" s="905">
        <f t="shared" ca="1" si="1074"/>
        <v>682.81200000000001</v>
      </c>
      <c r="U488" s="830">
        <f t="shared" ca="1" si="1074"/>
        <v>680.42254958780984</v>
      </c>
      <c r="V488" s="830">
        <f t="shared" ca="1" si="1074"/>
        <v>626.44851517732889</v>
      </c>
      <c r="W488" s="830">
        <f t="shared" ca="1" si="1074"/>
        <v>599.91531103082252</v>
      </c>
      <c r="X488" s="830">
        <f ca="1">X485-X479</f>
        <v>598.52311659081147</v>
      </c>
      <c r="Y488" s="830">
        <f ca="1">Y485-Y479</f>
        <v>596.91366164210206</v>
      </c>
      <c r="Z488" s="830">
        <f ca="1">Z485-Z479</f>
        <v>594.79571380000323</v>
      </c>
      <c r="AA488" s="830">
        <f ca="1">AA485-AA479</f>
        <v>592.14783419991841</v>
      </c>
      <c r="AB488" s="830">
        <f ca="1">AB485-AB479</f>
        <v>588.94857910287942</v>
      </c>
    </row>
    <row r="489" spans="1:104">
      <c r="A489" s="15"/>
      <c r="U489" s="3">
        <f>170*4</f>
        <v>680</v>
      </c>
    </row>
    <row r="490" spans="1:104">
      <c r="A490" s="195" t="s">
        <v>462</v>
      </c>
      <c r="B490" s="789"/>
      <c r="C490" s="789"/>
      <c r="D490" s="789"/>
      <c r="E490" s="789"/>
      <c r="F490" s="789"/>
      <c r="G490" s="789"/>
      <c r="H490" s="789"/>
      <c r="I490" s="789"/>
      <c r="J490" s="789"/>
      <c r="K490" s="789"/>
      <c r="L490" s="789"/>
      <c r="M490" s="789"/>
      <c r="N490" s="790"/>
      <c r="O490" s="790"/>
      <c r="P490" s="790"/>
      <c r="Q490" s="790"/>
      <c r="R490" s="790"/>
      <c r="S490" s="790"/>
      <c r="T490" s="790"/>
      <c r="U490" s="790"/>
      <c r="V490" s="790"/>
      <c r="W490" s="790"/>
      <c r="X490" s="790"/>
      <c r="Y490" s="790"/>
      <c r="Z490" s="790"/>
      <c r="AA490" s="790"/>
      <c r="AB490" s="790"/>
    </row>
    <row r="491" spans="1:104">
      <c r="A491" s="34"/>
      <c r="B491" s="301"/>
      <c r="C491" s="301"/>
      <c r="D491" s="301"/>
      <c r="E491" s="301"/>
      <c r="F491" s="301"/>
      <c r="G491" s="301"/>
      <c r="H491" s="301"/>
      <c r="I491" s="301"/>
      <c r="J491" s="301"/>
      <c r="K491" s="301"/>
      <c r="L491" s="301"/>
      <c r="M491" s="301"/>
      <c r="N491" s="511"/>
      <c r="O491" s="511"/>
      <c r="P491" s="511"/>
      <c r="Q491" s="511"/>
      <c r="R491" s="511"/>
      <c r="S491" s="511"/>
      <c r="T491" s="511"/>
      <c r="U491" s="511"/>
      <c r="V491" s="511"/>
      <c r="W491" s="511"/>
      <c r="X491" s="511"/>
      <c r="Y491" s="511"/>
      <c r="Z491" s="511"/>
      <c r="AA491" s="511"/>
      <c r="AB491" s="511"/>
    </row>
    <row r="492" spans="1:104">
      <c r="A492" s="967" t="s">
        <v>640</v>
      </c>
      <c r="B492" s="307"/>
      <c r="C492" s="307">
        <f>-CFS!E36</f>
        <v>4500</v>
      </c>
      <c r="D492" s="307">
        <f>-CFS!F36</f>
        <v>4769</v>
      </c>
      <c r="E492" s="307">
        <f>-CFS!G36</f>
        <v>5068</v>
      </c>
      <c r="F492" s="307">
        <f t="shared" ref="F492:W492" si="1075">+F498*F456</f>
        <v>5313.3600000000006</v>
      </c>
      <c r="G492" s="307">
        <f t="shared" si="1075"/>
        <v>5772.54</v>
      </c>
      <c r="H492" s="307">
        <f t="shared" si="1075"/>
        <v>6334.1999999999989</v>
      </c>
      <c r="I492" s="307">
        <f t="shared" si="1075"/>
        <v>6928.8399999999992</v>
      </c>
      <c r="J492" s="307">
        <f t="shared" si="1075"/>
        <v>6408.0499999999993</v>
      </c>
      <c r="K492" s="307">
        <f t="shared" si="1075"/>
        <v>3486.0000000000005</v>
      </c>
      <c r="L492" s="307">
        <f t="shared" si="1075"/>
        <v>2725.8</v>
      </c>
      <c r="M492" s="307">
        <f t="shared" si="1075"/>
        <v>3011.65</v>
      </c>
      <c r="N492" s="311">
        <f t="shared" si="1075"/>
        <v>3237.3399999999997</v>
      </c>
      <c r="O492" s="311">
        <f t="shared" si="1075"/>
        <v>3452.88</v>
      </c>
      <c r="P492" s="311">
        <f t="shared" si="1075"/>
        <v>3676.0292984189723</v>
      </c>
      <c r="Q492" s="311">
        <f t="shared" si="1075"/>
        <v>3947.10414375443</v>
      </c>
      <c r="R492" s="311">
        <f t="shared" si="1075"/>
        <v>4263.0005526011164</v>
      </c>
      <c r="S492" s="311">
        <f t="shared" si="1075"/>
        <v>4586.4147533749992</v>
      </c>
      <c r="T492" s="311">
        <f t="shared" si="1075"/>
        <v>4976.8014164970073</v>
      </c>
      <c r="U492" s="311">
        <f t="shared" ca="1" si="1075"/>
        <v>5586.5181056968231</v>
      </c>
      <c r="V492" s="311">
        <f t="shared" ca="1" si="1075"/>
        <v>6201.9166288488786</v>
      </c>
      <c r="W492" s="311">
        <f t="shared" ca="1" si="1075"/>
        <v>6682.4985637595146</v>
      </c>
      <c r="X492" s="311">
        <f ca="1">+X498*X456</f>
        <v>7135.235056097029</v>
      </c>
      <c r="Y492" s="311">
        <f ca="1">+Y498*Y456</f>
        <v>7551.4162028773681</v>
      </c>
      <c r="Z492" s="311">
        <f ca="1">+Z498*Z456</f>
        <v>7968.7271282790734</v>
      </c>
      <c r="AA492" s="311">
        <f ca="1">+AA498*AA456</f>
        <v>8388.7871332356935</v>
      </c>
      <c r="AB492" s="311">
        <f ca="1">+AB498*AB456</f>
        <v>8813.1214562944679</v>
      </c>
    </row>
    <row r="493" spans="1:104">
      <c r="A493" s="968" t="s">
        <v>641</v>
      </c>
      <c r="B493" s="301"/>
      <c r="C493" s="302">
        <f t="shared" ref="C493:W493" si="1076">+C492/C45</f>
        <v>0.54414432506804711</v>
      </c>
      <c r="D493" s="302">
        <f t="shared" si="1076"/>
        <v>0.54474810397618134</v>
      </c>
      <c r="E493" s="302">
        <f t="shared" si="1076"/>
        <v>0.53106172483902281</v>
      </c>
      <c r="F493" s="302">
        <f t="shared" si="1076"/>
        <v>0.58436071900997399</v>
      </c>
      <c r="G493" s="302">
        <f t="shared" si="1076"/>
        <v>0.58621251338118685</v>
      </c>
      <c r="H493" s="302">
        <f t="shared" si="1076"/>
        <v>0.66302363360970951</v>
      </c>
      <c r="I493" s="302">
        <f t="shared" si="1076"/>
        <v>0.58431650486038489</v>
      </c>
      <c r="J493" s="302">
        <f t="shared" si="1076"/>
        <v>1.9908904504449123</v>
      </c>
      <c r="K493" s="302">
        <f t="shared" ca="1" si="1076"/>
        <v>1.0107458975345871</v>
      </c>
      <c r="L493" s="302">
        <f t="shared" si="1076"/>
        <v>0.74874272856310653</v>
      </c>
      <c r="M493" s="302">
        <f t="shared" si="1076"/>
        <v>0.76051767676767679</v>
      </c>
      <c r="N493" s="303">
        <f t="shared" si="1076"/>
        <v>0.76507828171586401</v>
      </c>
      <c r="O493" s="303">
        <f t="shared" si="1076"/>
        <v>0.77021637296453271</v>
      </c>
      <c r="P493" s="303">
        <f t="shared" si="1076"/>
        <v>0.77178864128048963</v>
      </c>
      <c r="Q493" s="303">
        <f t="shared" si="1076"/>
        <v>0.76881654533588428</v>
      </c>
      <c r="R493" s="303">
        <f t="shared" si="1076"/>
        <v>0.7745277166789819</v>
      </c>
      <c r="S493" s="303">
        <f t="shared" si="1076"/>
        <v>0.77447057638888861</v>
      </c>
      <c r="T493" s="303">
        <f t="shared" si="1076"/>
        <v>0.76331310068972502</v>
      </c>
      <c r="U493" s="303">
        <f t="shared" ca="1" si="1076"/>
        <v>0.73984525139313884</v>
      </c>
      <c r="V493" s="303">
        <f t="shared" ca="1" si="1076"/>
        <v>0.7584646977546825</v>
      </c>
      <c r="W493" s="303">
        <f t="shared" ca="1" si="1076"/>
        <v>0.75940427109158715</v>
      </c>
      <c r="X493" s="303">
        <f ca="1">+X492/X45</f>
        <v>0.76488475818934132</v>
      </c>
      <c r="Y493" s="303">
        <f ca="1">+Y492/Y45</f>
        <v>0.76604043114171072</v>
      </c>
      <c r="Z493" s="303">
        <f ca="1">+Z492/Z45</f>
        <v>0.76699974211939759</v>
      </c>
      <c r="AA493" s="303">
        <f ca="1">+AA492/AA45</f>
        <v>0.76780228240315429</v>
      </c>
      <c r="AB493" s="303">
        <f ca="1">+AB492/AB45</f>
        <v>0.76847259495927189</v>
      </c>
    </row>
    <row r="494" spans="1:104">
      <c r="A494" s="967"/>
      <c r="B494" s="849"/>
      <c r="C494" s="849"/>
      <c r="D494" s="849"/>
      <c r="E494" s="849"/>
      <c r="F494" s="849"/>
      <c r="G494" s="849"/>
      <c r="H494" s="849"/>
      <c r="I494" s="849"/>
      <c r="J494" s="983"/>
      <c r="K494" s="983"/>
      <c r="L494" s="983"/>
      <c r="M494" s="983"/>
      <c r="N494" s="983"/>
      <c r="O494" s="983"/>
      <c r="P494" s="983"/>
      <c r="Q494" s="850"/>
      <c r="R494" s="850"/>
      <c r="S494" s="850"/>
      <c r="T494" s="850"/>
      <c r="U494" s="850"/>
      <c r="V494" s="850"/>
      <c r="W494" s="850"/>
      <c r="X494" s="850"/>
      <c r="Y494" s="850"/>
      <c r="Z494" s="850"/>
      <c r="AA494" s="850"/>
      <c r="AB494" s="850"/>
    </row>
    <row r="495" spans="1:104">
      <c r="A495" s="969" t="s">
        <v>294</v>
      </c>
      <c r="B495" s="727"/>
      <c r="C495" s="727">
        <f t="shared" ref="C495:W495" si="1077">+C492+C446</f>
        <v>8097</v>
      </c>
      <c r="D495" s="727">
        <f t="shared" si="1077"/>
        <v>8729</v>
      </c>
      <c r="E495" s="727">
        <f t="shared" si="1077"/>
        <v>11288</v>
      </c>
      <c r="F495" s="727">
        <f t="shared" si="1077"/>
        <v>6002.3600000000006</v>
      </c>
      <c r="G495" s="727">
        <f t="shared" si="1077"/>
        <v>5772.54</v>
      </c>
      <c r="H495" s="727">
        <f t="shared" si="1077"/>
        <v>6334.1999999999989</v>
      </c>
      <c r="I495" s="727">
        <f t="shared" si="1077"/>
        <v>6928.8399999999992</v>
      </c>
      <c r="J495" s="727">
        <f t="shared" si="1077"/>
        <v>6408.0499999999993</v>
      </c>
      <c r="K495" s="727">
        <f t="shared" si="1077"/>
        <v>4652</v>
      </c>
      <c r="L495" s="727">
        <f t="shared" si="1077"/>
        <v>2636.8</v>
      </c>
      <c r="M495" s="727">
        <f t="shared" si="1077"/>
        <v>2907.65</v>
      </c>
      <c r="N495" s="726">
        <f t="shared" si="1077"/>
        <v>4564.34</v>
      </c>
      <c r="O495" s="726">
        <f t="shared" si="1077"/>
        <v>4534.88</v>
      </c>
      <c r="P495" s="726">
        <f t="shared" si="1077"/>
        <v>4310.0292984189728</v>
      </c>
      <c r="Q495" s="726">
        <f t="shared" si="1077"/>
        <v>4886.10414375443</v>
      </c>
      <c r="R495" s="726">
        <f t="shared" si="1077"/>
        <v>4817.0005526011164</v>
      </c>
      <c r="S495" s="726">
        <f t="shared" si="1077"/>
        <v>5650.2185709749992</v>
      </c>
      <c r="T495" s="726">
        <f t="shared" si="1077"/>
        <v>7894.8014164970073</v>
      </c>
      <c r="U495" s="726">
        <f t="shared" ca="1" si="1077"/>
        <v>6586.5181056968231</v>
      </c>
      <c r="V495" s="726">
        <f t="shared" ca="1" si="1077"/>
        <v>8201.9166288488777</v>
      </c>
      <c r="W495" s="726">
        <f t="shared" ca="1" si="1077"/>
        <v>8682.4985637595146</v>
      </c>
      <c r="X495" s="726">
        <f ca="1">+X492+X446</f>
        <v>9135.2350560970299</v>
      </c>
      <c r="Y495" s="726">
        <f ca="1">+Y492+Y446</f>
        <v>9551.4162028773681</v>
      </c>
      <c r="Z495" s="726">
        <f ca="1">+Z492+Z446</f>
        <v>9968.7271282790734</v>
      </c>
      <c r="AA495" s="726">
        <f ca="1">+AA492+AA446</f>
        <v>10388.787133235694</v>
      </c>
      <c r="AB495" s="726">
        <f ca="1">+AB492+AB446</f>
        <v>10813.121456294468</v>
      </c>
    </row>
    <row r="496" spans="1:104">
      <c r="A496" s="968" t="s">
        <v>182</v>
      </c>
      <c r="B496" s="301"/>
      <c r="C496" s="302">
        <f t="shared" ref="C496:W496" si="1078">+C495/C45</f>
        <v>0.97909702223910611</v>
      </c>
      <c r="D496" s="302">
        <f t="shared" si="1078"/>
        <v>0.99708664281989656</v>
      </c>
      <c r="E496" s="302">
        <f t="shared" si="1078"/>
        <v>1.1828383484575551</v>
      </c>
      <c r="F496" s="302">
        <f t="shared" si="1078"/>
        <v>0.66013660007165098</v>
      </c>
      <c r="G496" s="302">
        <f t="shared" si="1078"/>
        <v>0.58621251338118685</v>
      </c>
      <c r="H496" s="302">
        <f t="shared" si="1078"/>
        <v>0.66302363360970951</v>
      </c>
      <c r="I496" s="302">
        <f t="shared" si="1078"/>
        <v>0.58431650486038489</v>
      </c>
      <c r="J496" s="302">
        <f t="shared" si="1078"/>
        <v>1.9908904504449123</v>
      </c>
      <c r="K496" s="302">
        <f t="shared" ca="1" si="1078"/>
        <v>1.3488209739905046</v>
      </c>
      <c r="L496" s="302">
        <f t="shared" si="1078"/>
        <v>0.72429555604783891</v>
      </c>
      <c r="M496" s="302">
        <f t="shared" si="1078"/>
        <v>0.73425505050505058</v>
      </c>
      <c r="N496" s="303">
        <f t="shared" si="1078"/>
        <v>1.0786872569353196</v>
      </c>
      <c r="O496" s="303">
        <f t="shared" si="1078"/>
        <v>1.0115726076288201</v>
      </c>
      <c r="P496" s="303">
        <f t="shared" si="1078"/>
        <v>0.90489802612197623</v>
      </c>
      <c r="Q496" s="303">
        <f t="shared" si="1078"/>
        <v>0.95171487022875534</v>
      </c>
      <c r="R496" s="303">
        <f t="shared" si="1078"/>
        <v>0.87518178644642375</v>
      </c>
      <c r="S496" s="303">
        <f t="shared" si="1078"/>
        <v>0.95410647939462989</v>
      </c>
      <c r="T496" s="303">
        <f t="shared" si="1078"/>
        <v>1.2108591129596638</v>
      </c>
      <c r="U496" s="303">
        <f t="shared" ca="1" si="1078"/>
        <v>0.87227930734628889</v>
      </c>
      <c r="V496" s="303">
        <f t="shared" ca="1" si="1078"/>
        <v>1.0030551181504042</v>
      </c>
      <c r="W496" s="303">
        <f t="shared" ca="1" si="1078"/>
        <v>0.98668580773417891</v>
      </c>
      <c r="X496" s="303">
        <f ca="1">+X495/X45</f>
        <v>0.97928127131773524</v>
      </c>
      <c r="Y496" s="303">
        <f ca="1">+Y495/Y45</f>
        <v>0.96892699190360354</v>
      </c>
      <c r="Z496" s="303">
        <f ca="1">+Z495/Z45</f>
        <v>0.95950219069678755</v>
      </c>
      <c r="AA496" s="303">
        <f ca="1">+AA495/AA45</f>
        <v>0.95085670259726895</v>
      </c>
      <c r="AB496" s="303">
        <f ca="1">+AB495/AB45</f>
        <v>0.94286542473479196</v>
      </c>
    </row>
    <row r="497" spans="1:28">
      <c r="A497" s="968"/>
      <c r="B497" s="301"/>
      <c r="C497" s="302"/>
      <c r="D497" s="302"/>
      <c r="E497" s="302"/>
      <c r="F497" s="302"/>
      <c r="G497" s="302"/>
      <c r="H497" s="302"/>
      <c r="I497" s="302"/>
      <c r="J497" s="302"/>
      <c r="K497" s="302"/>
      <c r="L497" s="302"/>
      <c r="M497" s="302"/>
      <c r="N497" s="303"/>
      <c r="O497" s="303"/>
      <c r="P497" s="303"/>
      <c r="Q497" s="303"/>
      <c r="R497" s="303"/>
      <c r="S497" s="303"/>
      <c r="T497" s="303"/>
      <c r="U497" s="303"/>
      <c r="V497" s="303"/>
      <c r="W497" s="303"/>
      <c r="X497" s="303"/>
      <c r="Y497" s="303"/>
      <c r="Z497" s="303"/>
      <c r="AA497" s="303"/>
      <c r="AB497" s="303"/>
    </row>
    <row r="498" spans="1:28">
      <c r="A498" s="968" t="s">
        <v>642</v>
      </c>
      <c r="B498" s="301"/>
      <c r="C498" s="844">
        <f t="shared" ref="C498:W498" si="1079">C506</f>
        <v>2.02</v>
      </c>
      <c r="D498" s="844">
        <f t="shared" si="1079"/>
        <v>2.2200000000000002</v>
      </c>
      <c r="E498" s="844">
        <f t="shared" si="1079"/>
        <v>2.44</v>
      </c>
      <c r="F498" s="844">
        <f t="shared" si="1079"/>
        <v>2.62</v>
      </c>
      <c r="G498" s="844">
        <f t="shared" si="1079"/>
        <v>2.82</v>
      </c>
      <c r="H498" s="844">
        <f t="shared" si="1079"/>
        <v>3.0599999999999996</v>
      </c>
      <c r="I498" s="844">
        <f t="shared" si="1079"/>
        <v>3.32</v>
      </c>
      <c r="J498" s="844">
        <f t="shared" si="1079"/>
        <v>3.05</v>
      </c>
      <c r="K498" s="844">
        <f t="shared" si="1079"/>
        <v>1.6800000000000002</v>
      </c>
      <c r="L498" s="844">
        <f t="shared" si="1079"/>
        <v>1.32</v>
      </c>
      <c r="M498" s="844">
        <f t="shared" si="1079"/>
        <v>1.45</v>
      </c>
      <c r="N498" s="844">
        <f t="shared" si="1079"/>
        <v>1.5699999999999998</v>
      </c>
      <c r="O498" s="844">
        <f t="shared" si="1079"/>
        <v>1.7059683794466403</v>
      </c>
      <c r="P498" s="844">
        <f t="shared" si="1079"/>
        <v>1.8391641267887291</v>
      </c>
      <c r="Q498" s="844">
        <f t="shared" si="1079"/>
        <v>1.9931957473420889</v>
      </c>
      <c r="R498" s="844">
        <f t="shared" si="1079"/>
        <v>2.17</v>
      </c>
      <c r="S498" s="844">
        <f t="shared" si="1079"/>
        <v>2.3499999999999996</v>
      </c>
      <c r="T498" s="844">
        <f t="shared" si="1079"/>
        <v>2.5890288713910761</v>
      </c>
      <c r="U498" s="844">
        <f t="shared" ca="1" si="1079"/>
        <v>2.9490342043064155</v>
      </c>
      <c r="V498" s="844">
        <f t="shared" ca="1" si="1079"/>
        <v>3.309374151286292</v>
      </c>
      <c r="W498" s="844">
        <f t="shared" ca="1" si="1079"/>
        <v>3.6168069682487163</v>
      </c>
      <c r="X498" s="844">
        <f ca="1">X506</f>
        <v>3.9162156447213818</v>
      </c>
      <c r="Y498" s="844">
        <f ca="1">Y506</f>
        <v>4.2020776668659048</v>
      </c>
      <c r="Z498" s="844">
        <f ca="1">Z506</f>
        <v>4.4947720045039734</v>
      </c>
      <c r="AA498" s="844">
        <f ca="1">AA506</f>
        <v>4.7952013899283497</v>
      </c>
      <c r="AB498" s="844">
        <f ca="1">AB506</f>
        <v>5.1042576966665205</v>
      </c>
    </row>
    <row r="499" spans="1:28">
      <c r="A499" s="970" t="s">
        <v>513</v>
      </c>
      <c r="B499" s="301"/>
      <c r="C499" s="733"/>
      <c r="D499" s="375">
        <f>+D498/C498-1</f>
        <v>9.9009900990099098E-2</v>
      </c>
      <c r="E499" s="375">
        <f>+E498/D498-1</f>
        <v>9.9099099099098975E-2</v>
      </c>
      <c r="F499" s="217">
        <f t="shared" ref="F499:W499" si="1080">F498/E498-1</f>
        <v>7.3770491803278659E-2</v>
      </c>
      <c r="G499" s="217">
        <f t="shared" si="1080"/>
        <v>7.6335877862595325E-2</v>
      </c>
      <c r="H499" s="217">
        <f t="shared" si="1080"/>
        <v>8.5106382978723305E-2</v>
      </c>
      <c r="I499" s="217">
        <f t="shared" si="1080"/>
        <v>8.4967320261438051E-2</v>
      </c>
      <c r="J499" s="217">
        <f t="shared" si="1080"/>
        <v>-8.1325301204819289E-2</v>
      </c>
      <c r="K499" s="217">
        <f t="shared" si="1080"/>
        <v>-0.44918032786885242</v>
      </c>
      <c r="L499" s="217">
        <f t="shared" si="1080"/>
        <v>-0.2142857142857143</v>
      </c>
      <c r="M499" s="217">
        <f t="shared" si="1080"/>
        <v>9.8484848484848397E-2</v>
      </c>
      <c r="N499" s="217">
        <f t="shared" si="1080"/>
        <v>8.2758620689655116E-2</v>
      </c>
      <c r="O499" s="217">
        <f t="shared" si="1080"/>
        <v>8.6604063341809256E-2</v>
      </c>
      <c r="P499" s="217">
        <f t="shared" si="1080"/>
        <v>7.8076328346304402E-2</v>
      </c>
      <c r="Q499" s="217">
        <f t="shared" si="1080"/>
        <v>8.3750883518104891E-2</v>
      </c>
      <c r="R499" s="217">
        <f t="shared" si="1080"/>
        <v>8.8703908230628237E-2</v>
      </c>
      <c r="S499" s="217">
        <f t="shared" si="1080"/>
        <v>8.2949308755760232E-2</v>
      </c>
      <c r="T499" s="217">
        <f t="shared" si="1080"/>
        <v>0.10171441335790488</v>
      </c>
      <c r="U499" s="217">
        <f t="shared" ca="1" si="1080"/>
        <v>0.139050335395414</v>
      </c>
      <c r="V499" s="217">
        <f t="shared" ca="1" si="1080"/>
        <v>0.12218913787221575</v>
      </c>
      <c r="W499" s="217">
        <f t="shared" ca="1" si="1080"/>
        <v>9.2897570026323928E-2</v>
      </c>
      <c r="X499" s="217">
        <f ca="1">X498/W498-1</f>
        <v>8.2782597772322219E-2</v>
      </c>
      <c r="Y499" s="217">
        <f ca="1">Y498/X498-1</f>
        <v>7.299445384981107E-2</v>
      </c>
      <c r="Z499" s="217">
        <f ca="1">Z498/Y498-1</f>
        <v>6.965467105618095E-2</v>
      </c>
      <c r="AA499" s="217">
        <f ca="1">AA498/Z498-1</f>
        <v>6.6839738505831248E-2</v>
      </c>
      <c r="AB499" s="217">
        <f ca="1">AB498/AA498-1</f>
        <v>6.4451163070502249E-2</v>
      </c>
    </row>
    <row r="500" spans="1:28">
      <c r="A500" s="301"/>
      <c r="B500" s="301"/>
      <c r="C500" s="301"/>
      <c r="D500" s="301"/>
      <c r="E500" s="301"/>
      <c r="F500" s="301"/>
      <c r="G500" s="851"/>
      <c r="H500" s="852"/>
      <c r="I500" s="304"/>
      <c r="J500" s="301"/>
      <c r="K500" s="300"/>
      <c r="L500" s="300"/>
      <c r="M500" s="300"/>
      <c r="N500" s="840"/>
      <c r="O500" s="840"/>
      <c r="P500" s="840"/>
      <c r="Q500" s="511"/>
      <c r="R500" s="840"/>
      <c r="S500" s="840"/>
      <c r="T500" s="840"/>
      <c r="U500" s="840"/>
      <c r="V500" s="840"/>
      <c r="W500" s="840"/>
      <c r="X500" s="840"/>
      <c r="Y500" s="840"/>
      <c r="Z500" s="840"/>
      <c r="AA500" s="840"/>
      <c r="AB500" s="840"/>
    </row>
    <row r="501" spans="1:28">
      <c r="A501" s="931" t="s">
        <v>309</v>
      </c>
      <c r="B501" s="301"/>
      <c r="C501" s="310"/>
      <c r="D501" s="310"/>
      <c r="E501" s="310"/>
      <c r="F501" s="404"/>
      <c r="G501" s="404"/>
      <c r="H501" s="404"/>
      <c r="I501" s="301"/>
      <c r="J501" s="300"/>
      <c r="K501" s="6"/>
      <c r="L501" s="6"/>
      <c r="M501" s="6"/>
      <c r="N501" s="330"/>
      <c r="O501" s="840"/>
      <c r="P501" s="840"/>
      <c r="Q501" s="511"/>
      <c r="R501" s="840"/>
      <c r="S501" s="840"/>
      <c r="T501" s="840"/>
      <c r="U501" s="840"/>
      <c r="V501" s="840"/>
      <c r="W501" s="840"/>
      <c r="X501" s="840"/>
      <c r="Y501" s="840"/>
      <c r="Z501" s="840"/>
      <c r="AA501" s="840"/>
      <c r="AB501" s="840"/>
    </row>
    <row r="502" spans="1:28">
      <c r="A502" s="966" t="s">
        <v>602</v>
      </c>
      <c r="B502" s="853">
        <v>0.44</v>
      </c>
      <c r="C502" s="853">
        <v>0.48</v>
      </c>
      <c r="D502" s="853">
        <v>0.53</v>
      </c>
      <c r="E502" s="853">
        <v>0.57999999999999996</v>
      </c>
      <c r="F502" s="853">
        <v>0.64</v>
      </c>
      <c r="G502" s="853">
        <v>0.68</v>
      </c>
      <c r="H502" s="853">
        <v>0.73</v>
      </c>
      <c r="I502" s="853">
        <v>0.8</v>
      </c>
      <c r="J502" s="853">
        <v>0.86</v>
      </c>
      <c r="K502" s="853">
        <v>0.75</v>
      </c>
      <c r="L502" s="853">
        <f>K505</f>
        <v>0.32</v>
      </c>
      <c r="M502" s="853">
        <v>0.35</v>
      </c>
      <c r="N502" s="853">
        <f>M505</f>
        <v>0.375</v>
      </c>
      <c r="O502" s="853">
        <f>N505</f>
        <v>0.41</v>
      </c>
      <c r="P502" s="853">
        <f>O505</f>
        <v>0.44298418972332015</v>
      </c>
      <c r="Q502" s="853">
        <f>P505</f>
        <v>0.47659787367104445</v>
      </c>
      <c r="R502" s="853">
        <v>0.52</v>
      </c>
      <c r="S502" s="854">
        <v>0.56499999999999995</v>
      </c>
      <c r="T502" s="853">
        <f t="shared" ref="T502:AB502" si="1081">S505</f>
        <v>0.61</v>
      </c>
      <c r="U502" s="853">
        <f t="shared" si="1081"/>
        <v>0.68451443569553805</v>
      </c>
      <c r="V502" s="853">
        <f t="shared" ca="1" si="1081"/>
        <v>0.79000266645766981</v>
      </c>
      <c r="W502" s="853">
        <f t="shared" ca="1" si="1081"/>
        <v>0.86468440918547618</v>
      </c>
      <c r="X502" s="853">
        <f t="shared" ca="1" si="1081"/>
        <v>0.94371907493888207</v>
      </c>
      <c r="Y502" s="853">
        <f t="shared" ca="1" si="1081"/>
        <v>1.0143887474218087</v>
      </c>
      <c r="Z502" s="853">
        <f t="shared" ca="1" si="1081"/>
        <v>1.0866500860111434</v>
      </c>
      <c r="AA502" s="853">
        <f t="shared" ca="1" si="1081"/>
        <v>1.160735916240843</v>
      </c>
      <c r="AB502" s="853">
        <f t="shared" ca="1" si="1081"/>
        <v>1.2368647787233318</v>
      </c>
    </row>
    <row r="503" spans="1:28">
      <c r="A503" s="931" t="s">
        <v>603</v>
      </c>
      <c r="B503" s="854">
        <v>0.44</v>
      </c>
      <c r="C503" s="854">
        <v>0.48</v>
      </c>
      <c r="D503" s="854">
        <v>0.53</v>
      </c>
      <c r="E503" s="854">
        <v>0.57999999999999996</v>
      </c>
      <c r="F503" s="854">
        <v>0.64</v>
      </c>
      <c r="G503" s="854">
        <v>0.68</v>
      </c>
      <c r="H503" s="854">
        <v>0.73</v>
      </c>
      <c r="I503" s="854">
        <v>0.8</v>
      </c>
      <c r="J503" s="854">
        <v>0.69</v>
      </c>
      <c r="K503" s="854">
        <v>0.28999999999999998</v>
      </c>
      <c r="L503" s="854">
        <f>L502</f>
        <v>0.32</v>
      </c>
      <c r="M503" s="854">
        <v>0.35</v>
      </c>
      <c r="N503" s="854">
        <f>N502</f>
        <v>0.375</v>
      </c>
      <c r="O503" s="854">
        <f>O502</f>
        <v>0.41</v>
      </c>
      <c r="P503" s="854">
        <f>P502</f>
        <v>0.44298418972332015</v>
      </c>
      <c r="Q503" s="854">
        <f>Q502</f>
        <v>0.47659787367104445</v>
      </c>
      <c r="R503" s="854">
        <v>0.52</v>
      </c>
      <c r="S503" s="854">
        <v>0.56499999999999995</v>
      </c>
      <c r="T503" s="854">
        <f t="shared" ref="T503:AB503" si="1082">T502</f>
        <v>0.61</v>
      </c>
      <c r="U503" s="854">
        <f t="shared" si="1082"/>
        <v>0.68451443569553805</v>
      </c>
      <c r="V503" s="854">
        <f t="shared" ca="1" si="1082"/>
        <v>0.79000266645766981</v>
      </c>
      <c r="W503" s="854">
        <f t="shared" ca="1" si="1082"/>
        <v>0.86468440918547618</v>
      </c>
      <c r="X503" s="854">
        <f t="shared" ca="1" si="1082"/>
        <v>0.94371907493888207</v>
      </c>
      <c r="Y503" s="854">
        <f t="shared" ca="1" si="1082"/>
        <v>1.0143887474218087</v>
      </c>
      <c r="Z503" s="854">
        <f t="shared" ca="1" si="1082"/>
        <v>1.0866500860111434</v>
      </c>
      <c r="AA503" s="854">
        <f t="shared" ca="1" si="1082"/>
        <v>1.160735916240843</v>
      </c>
      <c r="AB503" s="854">
        <f t="shared" ca="1" si="1082"/>
        <v>1.2368647787233318</v>
      </c>
    </row>
    <row r="504" spans="1:28">
      <c r="A504" s="931" t="s">
        <v>604</v>
      </c>
      <c r="B504" s="854">
        <v>0.48</v>
      </c>
      <c r="C504" s="854">
        <v>0.53</v>
      </c>
      <c r="D504" s="854">
        <v>0.57999999999999996</v>
      </c>
      <c r="E504" s="854">
        <v>0.64</v>
      </c>
      <c r="F504" s="854">
        <v>0.68</v>
      </c>
      <c r="G504" s="854">
        <v>0.73</v>
      </c>
      <c r="H504" s="854">
        <v>0.8</v>
      </c>
      <c r="I504" s="854">
        <v>0.86</v>
      </c>
      <c r="J504" s="854">
        <v>0.75</v>
      </c>
      <c r="K504" s="854">
        <v>0.32</v>
      </c>
      <c r="L504" s="854">
        <v>0.34</v>
      </c>
      <c r="M504" s="854">
        <f>1.5/4</f>
        <v>0.375</v>
      </c>
      <c r="N504" s="854">
        <f>1.64/4</f>
        <v>0.41</v>
      </c>
      <c r="O504" s="854">
        <f>O47*0.8/4</f>
        <v>0.44298418972332015</v>
      </c>
      <c r="P504" s="854">
        <f>P47*0.8/4</f>
        <v>0.47659787367104445</v>
      </c>
      <c r="Q504" s="854">
        <v>0.52</v>
      </c>
      <c r="R504" s="854">
        <v>0.56499999999999995</v>
      </c>
      <c r="S504" s="854">
        <v>0.61</v>
      </c>
      <c r="T504" s="854">
        <f t="shared" ref="T504:AB504" si="1083">T47*0.8/4</f>
        <v>0.68451443569553805</v>
      </c>
      <c r="U504" s="854">
        <f t="shared" ca="1" si="1083"/>
        <v>0.79000266645766981</v>
      </c>
      <c r="V504" s="854">
        <f t="shared" ca="1" si="1083"/>
        <v>0.86468440918547618</v>
      </c>
      <c r="W504" s="854">
        <f t="shared" ca="1" si="1083"/>
        <v>0.94371907493888207</v>
      </c>
      <c r="X504" s="854">
        <f t="shared" ca="1" si="1083"/>
        <v>1.0143887474218087</v>
      </c>
      <c r="Y504" s="854">
        <f t="shared" ca="1" si="1083"/>
        <v>1.0866500860111434</v>
      </c>
      <c r="Z504" s="854">
        <f t="shared" ca="1" si="1083"/>
        <v>1.160735916240843</v>
      </c>
      <c r="AA504" s="854">
        <f t="shared" ca="1" si="1083"/>
        <v>1.2368647787233318</v>
      </c>
      <c r="AB504" s="854">
        <f t="shared" ca="1" si="1083"/>
        <v>1.3152640696099283</v>
      </c>
    </row>
    <row r="505" spans="1:28">
      <c r="A505" s="931" t="s">
        <v>605</v>
      </c>
      <c r="B505" s="854">
        <v>0.48</v>
      </c>
      <c r="C505" s="854">
        <v>0.53</v>
      </c>
      <c r="D505" s="854">
        <v>0.57999999999999996</v>
      </c>
      <c r="E505" s="854">
        <v>0.64</v>
      </c>
      <c r="F505" s="854">
        <v>0.68</v>
      </c>
      <c r="G505" s="854">
        <v>0.73</v>
      </c>
      <c r="H505" s="854">
        <v>0.8</v>
      </c>
      <c r="I505" s="854">
        <v>0.86</v>
      </c>
      <c r="J505" s="854">
        <v>0.75</v>
      </c>
      <c r="K505" s="854">
        <v>0.32</v>
      </c>
      <c r="L505" s="854">
        <v>0.34</v>
      </c>
      <c r="M505" s="854">
        <f>M504</f>
        <v>0.375</v>
      </c>
      <c r="N505" s="854">
        <f>N504</f>
        <v>0.41</v>
      </c>
      <c r="O505" s="854">
        <f>O504</f>
        <v>0.44298418972332015</v>
      </c>
      <c r="P505" s="854">
        <f>P504</f>
        <v>0.47659787367104445</v>
      </c>
      <c r="Q505" s="854">
        <v>0.52</v>
      </c>
      <c r="R505" s="854">
        <v>0.56499999999999995</v>
      </c>
      <c r="S505" s="854">
        <v>0.61</v>
      </c>
      <c r="T505" s="854">
        <f t="shared" ref="T505:AB505" si="1084">T504</f>
        <v>0.68451443569553805</v>
      </c>
      <c r="U505" s="854">
        <f t="shared" ca="1" si="1084"/>
        <v>0.79000266645766981</v>
      </c>
      <c r="V505" s="854">
        <f t="shared" ca="1" si="1084"/>
        <v>0.86468440918547618</v>
      </c>
      <c r="W505" s="854">
        <f t="shared" ca="1" si="1084"/>
        <v>0.94371907493888207</v>
      </c>
      <c r="X505" s="854">
        <f t="shared" ca="1" si="1084"/>
        <v>1.0143887474218087</v>
      </c>
      <c r="Y505" s="854">
        <f t="shared" ca="1" si="1084"/>
        <v>1.0866500860111434</v>
      </c>
      <c r="Z505" s="854">
        <f t="shared" ca="1" si="1084"/>
        <v>1.160735916240843</v>
      </c>
      <c r="AA505" s="854">
        <f t="shared" ca="1" si="1084"/>
        <v>1.2368647787233318</v>
      </c>
      <c r="AB505" s="854">
        <f t="shared" ca="1" si="1084"/>
        <v>1.3152640696099283</v>
      </c>
    </row>
    <row r="506" spans="1:28">
      <c r="A506" s="931" t="s">
        <v>214</v>
      </c>
      <c r="B506" s="548">
        <v>1.84</v>
      </c>
      <c r="C506" s="548">
        <v>2.02</v>
      </c>
      <c r="D506" s="548">
        <v>2.2200000000000002</v>
      </c>
      <c r="E506" s="548">
        <v>2.44</v>
      </c>
      <c r="F506" s="548">
        <v>2.62</v>
      </c>
      <c r="G506" s="548">
        <f t="shared" ref="G506:W506" si="1085">SUM(G502:G505)</f>
        <v>2.82</v>
      </c>
      <c r="H506" s="548">
        <f t="shared" si="1085"/>
        <v>3.0599999999999996</v>
      </c>
      <c r="I506" s="548">
        <f t="shared" si="1085"/>
        <v>3.32</v>
      </c>
      <c r="J506" s="548">
        <f t="shared" si="1085"/>
        <v>3.05</v>
      </c>
      <c r="K506" s="548">
        <f t="shared" si="1085"/>
        <v>1.6800000000000002</v>
      </c>
      <c r="L506" s="548">
        <f t="shared" si="1085"/>
        <v>1.32</v>
      </c>
      <c r="M506" s="548">
        <f t="shared" si="1085"/>
        <v>1.45</v>
      </c>
      <c r="N506" s="548">
        <f t="shared" si="1085"/>
        <v>1.5699999999999998</v>
      </c>
      <c r="O506" s="548">
        <f t="shared" si="1085"/>
        <v>1.7059683794466403</v>
      </c>
      <c r="P506" s="548">
        <f t="shared" si="1085"/>
        <v>1.8391641267887291</v>
      </c>
      <c r="Q506" s="548">
        <f t="shared" si="1085"/>
        <v>1.9931957473420889</v>
      </c>
      <c r="R506" s="548">
        <f t="shared" si="1085"/>
        <v>2.17</v>
      </c>
      <c r="S506" s="548">
        <f t="shared" si="1085"/>
        <v>2.3499999999999996</v>
      </c>
      <c r="T506" s="548">
        <f t="shared" si="1085"/>
        <v>2.5890288713910761</v>
      </c>
      <c r="U506" s="548">
        <f t="shared" ca="1" si="1085"/>
        <v>2.9490342043064155</v>
      </c>
      <c r="V506" s="548">
        <f t="shared" ca="1" si="1085"/>
        <v>3.309374151286292</v>
      </c>
      <c r="W506" s="548">
        <f t="shared" ca="1" si="1085"/>
        <v>3.6168069682487163</v>
      </c>
      <c r="X506" s="548">
        <f ca="1">SUM(X502:X505)</f>
        <v>3.9162156447213818</v>
      </c>
      <c r="Y506" s="548">
        <f ca="1">SUM(Y502:Y505)</f>
        <v>4.2020776668659048</v>
      </c>
      <c r="Z506" s="548">
        <f ca="1">SUM(Z502:Z505)</f>
        <v>4.4947720045039734</v>
      </c>
      <c r="AA506" s="548">
        <f ca="1">SUM(AA502:AA505)</f>
        <v>4.7952013899283497</v>
      </c>
      <c r="AB506" s="548">
        <f ca="1">SUM(AB502:AB505)</f>
        <v>5.1042576966665205</v>
      </c>
    </row>
    <row r="507" spans="1:28">
      <c r="A507" s="15"/>
      <c r="I507" s="15"/>
      <c r="J507" s="15"/>
      <c r="N507" s="18"/>
      <c r="O507" s="18"/>
      <c r="P507" s="18"/>
      <c r="Q507" s="343"/>
      <c r="R507" s="18"/>
      <c r="S507" s="18"/>
      <c r="T507" s="18"/>
      <c r="U507" s="18"/>
      <c r="V507" s="18"/>
      <c r="W507" s="18"/>
      <c r="X507" s="18"/>
      <c r="Y507" s="18"/>
      <c r="Z507" s="18"/>
      <c r="AA507" s="18"/>
      <c r="AB507" s="18"/>
    </row>
    <row r="508" spans="1:28">
      <c r="A508" s="195" t="s">
        <v>170</v>
      </c>
      <c r="B508" s="789"/>
      <c r="C508" s="789"/>
      <c r="D508" s="789"/>
      <c r="E508" s="789"/>
      <c r="F508" s="789"/>
      <c r="G508" s="790"/>
      <c r="H508" s="790"/>
      <c r="I508" s="790"/>
      <c r="J508" s="790"/>
      <c r="K508" s="790"/>
      <c r="L508" s="790"/>
      <c r="M508" s="790"/>
      <c r="N508" s="790"/>
      <c r="O508" s="790"/>
      <c r="P508" s="790"/>
      <c r="Q508" s="790"/>
      <c r="R508" s="790"/>
      <c r="S508" s="790"/>
      <c r="T508" s="790"/>
      <c r="U508" s="790"/>
      <c r="V508" s="790"/>
      <c r="W508" s="790"/>
      <c r="X508" s="790"/>
      <c r="Y508" s="790"/>
      <c r="Z508" s="790"/>
      <c r="AA508" s="790"/>
      <c r="AB508" s="790"/>
    </row>
    <row r="509" spans="1:28">
      <c r="A509" s="34"/>
      <c r="B509" s="301"/>
      <c r="C509" s="301"/>
      <c r="D509" s="301"/>
      <c r="E509" s="301"/>
      <c r="F509" s="301"/>
      <c r="G509" s="511"/>
      <c r="H509" s="511"/>
      <c r="I509" s="511"/>
      <c r="J509" s="511"/>
      <c r="K509" s="511"/>
      <c r="L509" s="511"/>
      <c r="M509" s="511"/>
      <c r="N509" s="511"/>
      <c r="O509" s="511"/>
      <c r="P509" s="511"/>
      <c r="Q509" s="511"/>
      <c r="R509" s="511"/>
      <c r="S509" s="511"/>
      <c r="T509" s="511"/>
      <c r="U509" s="511"/>
      <c r="V509" s="511"/>
      <c r="W509" s="511"/>
      <c r="X509" s="511"/>
      <c r="Y509" s="511"/>
      <c r="Z509" s="511"/>
      <c r="AA509" s="511"/>
      <c r="AB509" s="511"/>
    </row>
    <row r="510" spans="1:28">
      <c r="A510" s="931" t="s">
        <v>533</v>
      </c>
      <c r="B510" s="855"/>
      <c r="C510" s="855"/>
      <c r="D510" s="855"/>
      <c r="E510" s="855"/>
      <c r="F510" s="856"/>
      <c r="G510" s="65"/>
      <c r="H510" s="65"/>
      <c r="I510" s="857"/>
      <c r="J510" s="857">
        <v>1813</v>
      </c>
      <c r="K510" s="857">
        <v>2001</v>
      </c>
      <c r="L510" s="857">
        <v>1881</v>
      </c>
      <c r="M510" s="857">
        <v>1910</v>
      </c>
      <c r="N510" s="857">
        <v>2408</v>
      </c>
      <c r="O510" s="675">
        <v>3400</v>
      </c>
      <c r="P510" s="858">
        <v>3860.313168503274</v>
      </c>
      <c r="Q510" s="1055">
        <v>4387.1293464629161</v>
      </c>
      <c r="R510" s="675">
        <f t="shared" ref="R510:S510" si="1086">Q510*1.1</f>
        <v>4825.8422811092078</v>
      </c>
      <c r="S510" s="675">
        <f t="shared" si="1086"/>
        <v>5308.4265092201285</v>
      </c>
      <c r="T510" s="675"/>
      <c r="U510" s="675"/>
      <c r="V510" s="675"/>
      <c r="W510" s="675"/>
      <c r="X510" s="675">
        <f>W510*1.1</f>
        <v>0</v>
      </c>
      <c r="Y510" s="675">
        <f>X510*1.1</f>
        <v>0</v>
      </c>
      <c r="Z510" s="675">
        <f>Y510*1.1</f>
        <v>0</v>
      </c>
      <c r="AA510" s="675">
        <f>Z510*1.1</f>
        <v>0</v>
      </c>
      <c r="AB510" s="675">
        <f>AA510*1.1</f>
        <v>0</v>
      </c>
    </row>
    <row r="511" spans="1:28">
      <c r="A511" s="301" t="s">
        <v>535</v>
      </c>
      <c r="B511" s="404"/>
      <c r="C511" s="404"/>
      <c r="D511" s="404"/>
      <c r="E511" s="404"/>
      <c r="F511" s="404"/>
      <c r="G511" s="486"/>
      <c r="H511" s="486"/>
      <c r="I511" s="183"/>
      <c r="J511" s="183">
        <f t="shared" ref="J511:Q511" si="1087">(J510/4)+(K510*3/4)</f>
        <v>1954</v>
      </c>
      <c r="K511" s="486">
        <f t="shared" si="1087"/>
        <v>1911</v>
      </c>
      <c r="L511" s="486">
        <f t="shared" si="1087"/>
        <v>1902.75</v>
      </c>
      <c r="M511" s="486">
        <f t="shared" si="1087"/>
        <v>2283.5</v>
      </c>
      <c r="N511" s="859">
        <f t="shared" si="1087"/>
        <v>3152</v>
      </c>
      <c r="O511" s="859">
        <f t="shared" si="1087"/>
        <v>3745.2348763774553</v>
      </c>
      <c r="P511" s="859">
        <f t="shared" si="1087"/>
        <v>4255.4253019730058</v>
      </c>
      <c r="Q511" s="666">
        <f t="shared" si="1087"/>
        <v>4716.1640474476353</v>
      </c>
      <c r="R511" s="859">
        <v>1206.4605702773019</v>
      </c>
      <c r="S511" s="859">
        <v>1327.1066273050321</v>
      </c>
      <c r="T511" s="859"/>
      <c r="U511" s="859"/>
      <c r="V511" s="859"/>
      <c r="W511" s="859"/>
      <c r="X511" s="859">
        <v>0</v>
      </c>
      <c r="Y511" s="859">
        <v>0</v>
      </c>
      <c r="Z511" s="859">
        <v>0</v>
      </c>
      <c r="AA511" s="859">
        <v>0</v>
      </c>
      <c r="AB511" s="859">
        <v>0</v>
      </c>
    </row>
    <row r="512" spans="1:28">
      <c r="A512" s="931" t="s">
        <v>152</v>
      </c>
      <c r="B512" s="860"/>
      <c r="C512" s="855"/>
      <c r="D512" s="855"/>
      <c r="E512" s="855"/>
      <c r="F512" s="861"/>
      <c r="G512" s="862"/>
      <c r="H512" s="862"/>
      <c r="I512" s="863"/>
      <c r="J512" s="774">
        <v>0.28699999999999998</v>
      </c>
      <c r="K512" s="774">
        <v>0.28499999999999998</v>
      </c>
      <c r="L512" s="774">
        <f>K512</f>
        <v>0.28499999999999998</v>
      </c>
      <c r="M512" s="774">
        <v>0.27300000000000002</v>
      </c>
      <c r="N512" s="774">
        <f>M512</f>
        <v>0.27300000000000002</v>
      </c>
      <c r="O512" s="774">
        <f>N512</f>
        <v>0.27300000000000002</v>
      </c>
      <c r="P512" s="774">
        <v>0.26900000000000002</v>
      </c>
      <c r="Q512" s="774">
        <f t="shared" ref="Q512:S512" si="1088">P512</f>
        <v>0.26900000000000002</v>
      </c>
      <c r="R512" s="774">
        <f t="shared" si="1088"/>
        <v>0.26900000000000002</v>
      </c>
      <c r="S512" s="774">
        <f t="shared" si="1088"/>
        <v>0.26900000000000002</v>
      </c>
      <c r="T512" s="774"/>
      <c r="U512" s="774"/>
      <c r="V512" s="774"/>
      <c r="W512" s="774"/>
      <c r="X512" s="774">
        <f>W512</f>
        <v>0</v>
      </c>
      <c r="Y512" s="774">
        <f>X512</f>
        <v>0</v>
      </c>
      <c r="Z512" s="774">
        <f>Y512</f>
        <v>0</v>
      </c>
      <c r="AA512" s="774">
        <f>Z512</f>
        <v>0</v>
      </c>
      <c r="AB512" s="774">
        <f>AA512</f>
        <v>0</v>
      </c>
    </row>
    <row r="513" spans="1:28">
      <c r="A513" s="931" t="s">
        <v>627</v>
      </c>
      <c r="B513" s="855"/>
      <c r="C513" s="855"/>
      <c r="D513" s="855"/>
      <c r="E513" s="855"/>
      <c r="F513" s="856"/>
      <c r="G513" s="864"/>
      <c r="H513" s="864"/>
      <c r="I513" s="865"/>
      <c r="J513" s="865">
        <f t="shared" ref="J513:S513" si="1089">J511*J512</f>
        <v>560.798</v>
      </c>
      <c r="K513" s="865">
        <f t="shared" si="1089"/>
        <v>544.63499999999999</v>
      </c>
      <c r="L513" s="865">
        <f t="shared" si="1089"/>
        <v>542.28374999999994</v>
      </c>
      <c r="M513" s="865">
        <f t="shared" si="1089"/>
        <v>623.39550000000008</v>
      </c>
      <c r="N513" s="865">
        <f t="shared" si="1089"/>
        <v>860.49600000000009</v>
      </c>
      <c r="O513" s="865">
        <f t="shared" si="1089"/>
        <v>1022.4491212510454</v>
      </c>
      <c r="P513" s="865">
        <f t="shared" si="1089"/>
        <v>1144.7094062307388</v>
      </c>
      <c r="Q513" s="865">
        <f t="shared" si="1089"/>
        <v>1268.648128763414</v>
      </c>
      <c r="R513" s="865">
        <f t="shared" si="1089"/>
        <v>324.53789340459423</v>
      </c>
      <c r="S513" s="865">
        <f t="shared" si="1089"/>
        <v>356.99168274505365</v>
      </c>
      <c r="T513" s="865"/>
      <c r="U513" s="865"/>
      <c r="V513" s="865"/>
      <c r="W513" s="865"/>
      <c r="X513" s="865">
        <f>X511*X512</f>
        <v>0</v>
      </c>
      <c r="Y513" s="865">
        <f>Y511*Y512</f>
        <v>0</v>
      </c>
      <c r="Z513" s="865">
        <f>Z511*Z512</f>
        <v>0</v>
      </c>
      <c r="AA513" s="865">
        <f>AA511*AA512</f>
        <v>0</v>
      </c>
      <c r="AB513" s="865">
        <f>AB511*AB512</f>
        <v>0</v>
      </c>
    </row>
    <row r="514" spans="1:28">
      <c r="A514" s="931" t="s">
        <v>151</v>
      </c>
      <c r="B514" s="855"/>
      <c r="C514" s="855"/>
      <c r="D514" s="855"/>
      <c r="E514" s="855"/>
      <c r="F514" s="856"/>
      <c r="G514" s="864"/>
      <c r="H514" s="866"/>
      <c r="I514" s="866"/>
      <c r="J514" s="867">
        <v>510</v>
      </c>
      <c r="K514" s="865"/>
      <c r="L514" s="865"/>
      <c r="M514" s="865"/>
      <c r="N514" s="865"/>
      <c r="O514" s="865"/>
      <c r="P514" s="865"/>
      <c r="Q514" s="865"/>
      <c r="R514" s="865"/>
      <c r="S514" s="865"/>
      <c r="T514" s="865"/>
      <c r="U514" s="865"/>
      <c r="V514" s="865"/>
      <c r="W514" s="865"/>
      <c r="X514" s="865"/>
      <c r="Y514" s="865"/>
      <c r="Z514" s="865"/>
      <c r="AA514" s="865"/>
      <c r="AB514" s="865"/>
    </row>
    <row r="515" spans="1:28">
      <c r="A515" s="931" t="s">
        <v>312</v>
      </c>
      <c r="B515" s="855"/>
      <c r="C515" s="855"/>
      <c r="D515" s="855"/>
      <c r="E515" s="855"/>
      <c r="F515" s="856"/>
      <c r="G515" s="864"/>
      <c r="H515" s="868"/>
      <c r="I515" s="868"/>
      <c r="J515" s="868">
        <f>J514/J513</f>
        <v>0.9094183645448094</v>
      </c>
      <c r="K515" s="868"/>
      <c r="L515" s="869"/>
      <c r="M515" s="869"/>
      <c r="N515" s="865"/>
      <c r="O515" s="865"/>
      <c r="P515" s="865"/>
      <c r="Q515" s="865"/>
      <c r="R515" s="865"/>
      <c r="S515" s="865"/>
      <c r="T515" s="865"/>
      <c r="U515" s="865"/>
      <c r="V515" s="865"/>
      <c r="W515" s="865"/>
      <c r="X515" s="865"/>
      <c r="Y515" s="865"/>
      <c r="Z515" s="865"/>
      <c r="AA515" s="865"/>
      <c r="AB515" s="865"/>
    </row>
    <row r="516" spans="1:28">
      <c r="A516" s="301"/>
      <c r="B516" s="870"/>
      <c r="C516" s="870"/>
      <c r="D516" s="870"/>
      <c r="E516" s="870"/>
      <c r="F516" s="870"/>
      <c r="G516" s="870"/>
      <c r="H516" s="870"/>
      <c r="I516" s="870"/>
      <c r="J516" s="870"/>
      <c r="K516" s="870"/>
      <c r="L516" s="870"/>
      <c r="M516" s="870"/>
      <c r="N516" s="870"/>
      <c r="O516" s="870"/>
      <c r="P516" s="870"/>
      <c r="Q516" s="870"/>
      <c r="R516" s="870"/>
      <c r="S516" s="870"/>
      <c r="T516" s="870"/>
      <c r="U516" s="870"/>
      <c r="V516" s="870"/>
      <c r="W516" s="870"/>
      <c r="X516" s="870"/>
      <c r="Y516" s="870"/>
      <c r="Z516" s="870"/>
      <c r="AA516" s="870"/>
      <c r="AB516" s="870"/>
    </row>
    <row r="517" spans="1:28">
      <c r="A517" s="301"/>
      <c r="B517" s="870"/>
      <c r="C517" s="870"/>
      <c r="D517" s="870"/>
      <c r="E517" s="870"/>
      <c r="F517" s="870"/>
      <c r="G517" s="870"/>
      <c r="H517" s="870"/>
      <c r="I517" s="870"/>
      <c r="J517" s="870"/>
      <c r="K517" s="870"/>
      <c r="L517" s="870"/>
      <c r="M517" s="870"/>
      <c r="N517" s="870"/>
      <c r="O517" s="870"/>
      <c r="P517" s="870"/>
      <c r="Q517" s="870"/>
      <c r="R517" s="870"/>
      <c r="S517" s="870"/>
      <c r="T517" s="870"/>
      <c r="U517" s="870"/>
      <c r="V517" s="870"/>
      <c r="W517" s="870"/>
      <c r="X517" s="870"/>
      <c r="Y517" s="870"/>
      <c r="Z517" s="870"/>
      <c r="AA517" s="870"/>
      <c r="AB517" s="870"/>
    </row>
    <row r="518" spans="1:28">
      <c r="A518" s="195" t="s">
        <v>239</v>
      </c>
      <c r="B518" s="871"/>
      <c r="C518" s="871"/>
      <c r="D518" s="871"/>
      <c r="E518" s="871"/>
      <c r="F518" s="871"/>
      <c r="G518" s="871"/>
      <c r="H518" s="871"/>
      <c r="I518" s="871"/>
      <c r="J518" s="871"/>
      <c r="K518" s="871"/>
      <c r="L518" s="871"/>
      <c r="M518" s="871"/>
      <c r="N518" s="871"/>
      <c r="O518" s="871"/>
      <c r="P518" s="871"/>
      <c r="Q518" s="871"/>
      <c r="R518" s="871"/>
      <c r="S518" s="871"/>
      <c r="T518" s="871"/>
      <c r="U518" s="871"/>
      <c r="V518" s="871"/>
      <c r="W518" s="871"/>
      <c r="X518" s="871"/>
      <c r="Y518" s="871"/>
      <c r="Z518" s="871"/>
      <c r="AA518" s="871"/>
      <c r="AB518" s="871"/>
    </row>
    <row r="519" spans="1:28">
      <c r="A519" s="849" t="s">
        <v>128</v>
      </c>
      <c r="B519" s="850"/>
      <c r="C519" s="850"/>
      <c r="D519" s="311"/>
      <c r="E519" s="311"/>
      <c r="F519" s="311"/>
      <c r="G519" s="311"/>
      <c r="H519" s="311"/>
      <c r="I519" s="311"/>
      <c r="J519" s="311">
        <v>300</v>
      </c>
      <c r="K519" s="311">
        <f t="shared" ref="K519:W519" si="1090">J519</f>
        <v>300</v>
      </c>
      <c r="L519" s="311">
        <f t="shared" si="1090"/>
        <v>300</v>
      </c>
      <c r="M519" s="311">
        <f t="shared" si="1090"/>
        <v>300</v>
      </c>
      <c r="N519" s="311">
        <f t="shared" si="1090"/>
        <v>300</v>
      </c>
      <c r="O519" s="311">
        <f t="shared" si="1090"/>
        <v>300</v>
      </c>
      <c r="P519" s="311">
        <f t="shared" si="1090"/>
        <v>300</v>
      </c>
      <c r="Q519" s="311">
        <f t="shared" si="1090"/>
        <v>300</v>
      </c>
      <c r="R519" s="311">
        <f t="shared" si="1090"/>
        <v>300</v>
      </c>
      <c r="S519" s="311">
        <f t="shared" si="1090"/>
        <v>300</v>
      </c>
      <c r="T519" s="311">
        <f t="shared" si="1090"/>
        <v>300</v>
      </c>
      <c r="U519" s="311">
        <f t="shared" si="1090"/>
        <v>300</v>
      </c>
      <c r="V519" s="311">
        <f t="shared" si="1090"/>
        <v>300</v>
      </c>
      <c r="W519" s="311">
        <f t="shared" si="1090"/>
        <v>300</v>
      </c>
      <c r="X519" s="311">
        <f t="shared" ref="X519:AB520" si="1091">W519</f>
        <v>300</v>
      </c>
      <c r="Y519" s="311">
        <f t="shared" si="1091"/>
        <v>300</v>
      </c>
      <c r="Z519" s="311">
        <f t="shared" si="1091"/>
        <v>300</v>
      </c>
      <c r="AA519" s="311">
        <f t="shared" si="1091"/>
        <v>300</v>
      </c>
      <c r="AB519" s="311">
        <f t="shared" si="1091"/>
        <v>300</v>
      </c>
    </row>
    <row r="520" spans="1:28">
      <c r="A520" s="727" t="s">
        <v>256</v>
      </c>
      <c r="B520" s="726"/>
      <c r="C520" s="726"/>
      <c r="D520" s="311"/>
      <c r="E520" s="311"/>
      <c r="F520" s="311"/>
      <c r="G520" s="311"/>
      <c r="H520" s="311"/>
      <c r="I520" s="311"/>
      <c r="J520" s="311">
        <v>101</v>
      </c>
      <c r="K520" s="311">
        <f>J520+239</f>
        <v>340</v>
      </c>
      <c r="L520" s="311">
        <f>K520+((N520-K520)/3)</f>
        <v>593.33333333333337</v>
      </c>
      <c r="M520" s="311">
        <f>L520+((N520-K520)/3)</f>
        <v>846.66666666666674</v>
      </c>
      <c r="N520" s="311">
        <v>1100</v>
      </c>
      <c r="O520" s="311">
        <f t="shared" ref="O520:W520" si="1092">N520</f>
        <v>1100</v>
      </c>
      <c r="P520" s="311">
        <f t="shared" si="1092"/>
        <v>1100</v>
      </c>
      <c r="Q520" s="311">
        <f t="shared" si="1092"/>
        <v>1100</v>
      </c>
      <c r="R520" s="311">
        <f t="shared" si="1092"/>
        <v>1100</v>
      </c>
      <c r="S520" s="311">
        <f t="shared" si="1092"/>
        <v>1100</v>
      </c>
      <c r="T520" s="311">
        <f t="shared" si="1092"/>
        <v>1100</v>
      </c>
      <c r="U520" s="311">
        <f t="shared" si="1092"/>
        <v>1100</v>
      </c>
      <c r="V520" s="311">
        <f t="shared" si="1092"/>
        <v>1100</v>
      </c>
      <c r="W520" s="311">
        <f t="shared" si="1092"/>
        <v>1100</v>
      </c>
      <c r="X520" s="311">
        <f t="shared" si="1091"/>
        <v>1100</v>
      </c>
      <c r="Y520" s="311">
        <f t="shared" si="1091"/>
        <v>1100</v>
      </c>
      <c r="Z520" s="311">
        <f t="shared" si="1091"/>
        <v>1100</v>
      </c>
      <c r="AA520" s="311">
        <f t="shared" si="1091"/>
        <v>1100</v>
      </c>
      <c r="AB520" s="311">
        <f t="shared" si="1091"/>
        <v>1100</v>
      </c>
    </row>
    <row r="521" spans="1:28">
      <c r="A521" s="727" t="s">
        <v>515</v>
      </c>
      <c r="B521" s="726"/>
      <c r="C521" s="726"/>
      <c r="D521" s="311"/>
      <c r="E521" s="311"/>
      <c r="F521" s="311"/>
      <c r="G521" s="311"/>
      <c r="H521" s="311"/>
      <c r="I521" s="311"/>
      <c r="J521" s="311"/>
      <c r="K521" s="311"/>
      <c r="L521" s="311"/>
      <c r="M521" s="311">
        <f>N521/2</f>
        <v>78</v>
      </c>
      <c r="N521" s="311">
        <v>156</v>
      </c>
      <c r="O521" s="311">
        <v>156</v>
      </c>
      <c r="P521" s="311">
        <v>156</v>
      </c>
      <c r="Q521" s="311">
        <v>156</v>
      </c>
      <c r="R521" s="311">
        <v>156</v>
      </c>
      <c r="S521" s="311">
        <v>156</v>
      </c>
      <c r="T521" s="311">
        <v>156</v>
      </c>
      <c r="U521" s="311">
        <v>156</v>
      </c>
      <c r="V521" s="311">
        <v>156</v>
      </c>
      <c r="W521" s="311">
        <v>156</v>
      </c>
      <c r="X521" s="311">
        <v>156</v>
      </c>
      <c r="Y521" s="311">
        <v>156</v>
      </c>
      <c r="Z521" s="311">
        <v>156</v>
      </c>
      <c r="AA521" s="311">
        <v>156</v>
      </c>
      <c r="AB521" s="311">
        <v>156</v>
      </c>
    </row>
    <row r="522" spans="1:28">
      <c r="A522" s="34" t="s">
        <v>429</v>
      </c>
      <c r="B522" s="47"/>
      <c r="C522" s="47"/>
      <c r="D522" s="192"/>
      <c r="E522" s="192"/>
      <c r="F522" s="192"/>
      <c r="G522" s="193"/>
      <c r="H522" s="193"/>
      <c r="I522" s="196"/>
      <c r="J522" s="220">
        <f t="shared" ref="J522:W522" si="1093">SUM(J519:J521)</f>
        <v>401</v>
      </c>
      <c r="K522" s="220">
        <f t="shared" si="1093"/>
        <v>640</v>
      </c>
      <c r="L522" s="220">
        <f t="shared" si="1093"/>
        <v>893.33333333333337</v>
      </c>
      <c r="M522" s="220">
        <f t="shared" si="1093"/>
        <v>1224.6666666666667</v>
      </c>
      <c r="N522" s="220">
        <f t="shared" si="1093"/>
        <v>1556</v>
      </c>
      <c r="O522" s="220">
        <f t="shared" si="1093"/>
        <v>1556</v>
      </c>
      <c r="P522" s="220">
        <f t="shared" si="1093"/>
        <v>1556</v>
      </c>
      <c r="Q522" s="196">
        <f t="shared" si="1093"/>
        <v>1556</v>
      </c>
      <c r="R522" s="220">
        <f t="shared" si="1093"/>
        <v>1556</v>
      </c>
      <c r="S522" s="220">
        <f t="shared" si="1093"/>
        <v>1556</v>
      </c>
      <c r="T522" s="220">
        <f t="shared" si="1093"/>
        <v>1556</v>
      </c>
      <c r="U522" s="220">
        <f t="shared" si="1093"/>
        <v>1556</v>
      </c>
      <c r="V522" s="220">
        <f t="shared" si="1093"/>
        <v>1556</v>
      </c>
      <c r="W522" s="220">
        <f t="shared" si="1093"/>
        <v>1556</v>
      </c>
      <c r="X522" s="220">
        <f>SUM(X519:X521)</f>
        <v>1556</v>
      </c>
      <c r="Y522" s="220">
        <f>SUM(Y519:Y521)</f>
        <v>1556</v>
      </c>
      <c r="Z522" s="220">
        <f>SUM(Z519:Z521)</f>
        <v>1556</v>
      </c>
      <c r="AA522" s="220">
        <f>SUM(AA519:AA521)</f>
        <v>1556</v>
      </c>
      <c r="AB522" s="220">
        <f>SUM(AB519:AB521)</f>
        <v>1556</v>
      </c>
    </row>
    <row r="523" spans="1:28">
      <c r="A523" s="931"/>
      <c r="B523" s="404"/>
      <c r="C523" s="404"/>
      <c r="D523" s="404"/>
      <c r="E523" s="404"/>
      <c r="F523" s="404"/>
      <c r="G523" s="404"/>
      <c r="H523" s="404"/>
      <c r="I523" s="301"/>
      <c r="J523" s="730"/>
      <c r="K523" s="730"/>
      <c r="L523" s="730"/>
      <c r="M523" s="730"/>
      <c r="N523" s="729"/>
      <c r="O523" s="729"/>
      <c r="P523" s="729"/>
      <c r="Q523" s="729"/>
      <c r="R523" s="729"/>
      <c r="S523" s="729"/>
      <c r="T523" s="729"/>
      <c r="U523" s="729"/>
      <c r="V523" s="729"/>
      <c r="W523" s="729"/>
      <c r="X523" s="729"/>
      <c r="Y523" s="729"/>
      <c r="Z523" s="729"/>
      <c r="AA523" s="729"/>
      <c r="AB523" s="729"/>
    </row>
    <row r="524" spans="1:28">
      <c r="A524" s="931" t="s">
        <v>81</v>
      </c>
      <c r="B524" s="404"/>
      <c r="C524" s="404"/>
      <c r="D524" s="404"/>
      <c r="E524" s="404"/>
      <c r="F524" s="404"/>
      <c r="G524" s="404"/>
      <c r="H524" s="404"/>
      <c r="I524" s="301">
        <v>282</v>
      </c>
      <c r="J524" s="730">
        <v>269</v>
      </c>
      <c r="K524" s="730">
        <v>232</v>
      </c>
      <c r="L524" s="730">
        <v>177</v>
      </c>
      <c r="M524" s="730">
        <v>144</v>
      </c>
      <c r="N524" s="729"/>
      <c r="O524" s="729"/>
      <c r="P524" s="729"/>
      <c r="Q524" s="729"/>
      <c r="R524" s="729"/>
      <c r="S524" s="729"/>
      <c r="T524" s="729"/>
      <c r="U524" s="729"/>
      <c r="V524" s="729"/>
      <c r="W524" s="729"/>
      <c r="X524" s="729"/>
      <c r="Y524" s="729"/>
      <c r="Z524" s="729"/>
      <c r="AA524" s="729"/>
      <c r="AB524" s="729"/>
    </row>
    <row r="525" spans="1:28">
      <c r="A525" s="971" t="s">
        <v>82</v>
      </c>
      <c r="B525" s="404"/>
      <c r="C525" s="404"/>
      <c r="D525" s="404"/>
      <c r="E525" s="404"/>
      <c r="F525" s="404"/>
      <c r="G525" s="404"/>
      <c r="H525" s="404"/>
      <c r="I525" s="302">
        <f>I524/I161</f>
        <v>1.8980951739920576E-2</v>
      </c>
      <c r="J525" s="302">
        <f>J524/J11</f>
        <v>1.7683407835919013E-2</v>
      </c>
      <c r="K525" s="302">
        <f>K524/K11</f>
        <v>1.4815760904272304E-2</v>
      </c>
      <c r="L525" s="302">
        <f>L524/L11</f>
        <v>1.0520684736091298E-2</v>
      </c>
      <c r="M525" s="302">
        <f>M524/M11</f>
        <v>8.5247454416291727E-3</v>
      </c>
      <c r="N525" s="729"/>
      <c r="O525" s="729"/>
      <c r="P525" s="729"/>
      <c r="Q525" s="729"/>
      <c r="R525" s="729"/>
      <c r="S525" s="729"/>
      <c r="T525" s="729"/>
      <c r="U525" s="729"/>
      <c r="V525" s="729"/>
      <c r="W525" s="729"/>
      <c r="X525" s="729"/>
      <c r="Y525" s="729"/>
      <c r="Z525" s="729"/>
      <c r="AA525" s="729"/>
      <c r="AB525" s="729"/>
    </row>
    <row r="526" spans="1:28">
      <c r="A526" s="971"/>
      <c r="B526" s="404"/>
      <c r="C526" s="404"/>
      <c r="D526" s="404"/>
      <c r="E526" s="404"/>
      <c r="F526" s="404"/>
      <c r="G526" s="404"/>
      <c r="H526" s="404"/>
      <c r="I526" s="301"/>
      <c r="J526" s="302"/>
      <c r="K526" s="302"/>
      <c r="L526" s="302"/>
      <c r="M526" s="302"/>
      <c r="N526" s="729"/>
      <c r="O526" s="729"/>
      <c r="P526" s="729"/>
      <c r="Q526" s="729"/>
      <c r="R526" s="729"/>
      <c r="S526" s="729"/>
      <c r="T526" s="729"/>
      <c r="U526" s="729"/>
      <c r="V526" s="729"/>
      <c r="W526" s="729"/>
      <c r="X526" s="729"/>
      <c r="Y526" s="729"/>
      <c r="Z526" s="729"/>
      <c r="AA526" s="729"/>
      <c r="AB526" s="729"/>
    </row>
    <row r="527" spans="1:28">
      <c r="A527" s="931" t="s">
        <v>324</v>
      </c>
      <c r="B527" s="404"/>
      <c r="C527" s="404"/>
      <c r="D527" s="404"/>
      <c r="E527" s="404"/>
      <c r="F527" s="404"/>
      <c r="G527" s="404"/>
      <c r="H527" s="404"/>
      <c r="I527" s="301">
        <v>7</v>
      </c>
      <c r="J527" s="730">
        <v>5</v>
      </c>
      <c r="K527" s="730">
        <v>6</v>
      </c>
      <c r="L527" s="730">
        <v>6</v>
      </c>
      <c r="M527" s="730">
        <v>6</v>
      </c>
      <c r="N527" s="729"/>
      <c r="O527" s="729"/>
      <c r="P527" s="729"/>
      <c r="Q527" s="729"/>
      <c r="R527" s="729"/>
      <c r="S527" s="729"/>
      <c r="T527" s="729"/>
      <c r="U527" s="729"/>
      <c r="V527" s="729"/>
      <c r="W527" s="729"/>
      <c r="X527" s="729"/>
      <c r="Y527" s="729"/>
      <c r="Z527" s="729"/>
      <c r="AA527" s="729"/>
      <c r="AB527" s="729"/>
    </row>
    <row r="528" spans="1:28">
      <c r="A528" s="971" t="s">
        <v>82</v>
      </c>
      <c r="B528" s="404"/>
      <c r="C528" s="404"/>
      <c r="D528" s="404"/>
      <c r="E528" s="404"/>
      <c r="F528" s="404"/>
      <c r="G528" s="404"/>
      <c r="H528" s="404"/>
      <c r="I528" s="302">
        <f>I527/I161</f>
        <v>4.711583765228512E-4</v>
      </c>
      <c r="J528" s="302">
        <f>J527/J11</f>
        <v>3.2868787799105966E-4</v>
      </c>
      <c r="K528" s="302">
        <f>K527/K11</f>
        <v>3.831662302829044E-4</v>
      </c>
      <c r="L528" s="302">
        <f>L527/L11</f>
        <v>3.566333808844508E-4</v>
      </c>
      <c r="M528" s="302">
        <f>M527/M11</f>
        <v>3.5519772673454892E-4</v>
      </c>
      <c r="N528" s="729"/>
      <c r="O528" s="729"/>
      <c r="P528" s="729"/>
      <c r="Q528" s="729"/>
      <c r="R528" s="729"/>
      <c r="S528" s="729"/>
      <c r="T528" s="729"/>
      <c r="U528" s="729"/>
      <c r="V528" s="729"/>
      <c r="W528" s="729"/>
      <c r="X528" s="729"/>
      <c r="Y528" s="729"/>
      <c r="Z528" s="729"/>
      <c r="AA528" s="729"/>
      <c r="AB528" s="729"/>
    </row>
    <row r="529" spans="1:113">
      <c r="A529" s="931"/>
      <c r="B529" s="404"/>
      <c r="C529" s="404"/>
      <c r="D529" s="404"/>
      <c r="E529" s="404"/>
      <c r="F529" s="404"/>
      <c r="G529" s="404"/>
      <c r="H529" s="404"/>
      <c r="I529" s="301"/>
      <c r="J529" s="730"/>
      <c r="K529" s="302"/>
      <c r="L529" s="302"/>
      <c r="M529" s="302"/>
      <c r="N529" s="729"/>
      <c r="O529" s="729"/>
      <c r="P529" s="729"/>
      <c r="Q529" s="729"/>
      <c r="R529" s="729"/>
      <c r="S529" s="729"/>
      <c r="T529" s="729"/>
      <c r="U529" s="729"/>
      <c r="V529" s="729"/>
      <c r="W529" s="729"/>
      <c r="X529" s="729"/>
      <c r="Y529" s="729"/>
      <c r="Z529" s="729"/>
      <c r="AA529" s="729"/>
      <c r="AB529" s="729"/>
    </row>
    <row r="530" spans="1:113">
      <c r="A530" s="931" t="s">
        <v>325</v>
      </c>
      <c r="B530" s="404"/>
      <c r="C530" s="404"/>
      <c r="D530" s="404"/>
      <c r="E530" s="404"/>
      <c r="F530" s="404"/>
      <c r="G530" s="404"/>
      <c r="H530" s="404"/>
      <c r="I530" s="301">
        <v>195</v>
      </c>
      <c r="J530" s="730">
        <v>200</v>
      </c>
      <c r="K530" s="730">
        <v>179</v>
      </c>
      <c r="L530" s="730">
        <v>220</v>
      </c>
      <c r="M530" s="730">
        <v>259</v>
      </c>
      <c r="N530" s="729"/>
      <c r="O530" s="729"/>
      <c r="P530" s="729"/>
      <c r="Q530" s="729"/>
      <c r="R530" s="729"/>
      <c r="S530" s="729"/>
      <c r="T530" s="729"/>
      <c r="U530" s="729"/>
      <c r="V530" s="729"/>
      <c r="W530" s="729"/>
      <c r="X530" s="729"/>
      <c r="Y530" s="729"/>
      <c r="Z530" s="729"/>
      <c r="AA530" s="729"/>
      <c r="AB530" s="729"/>
    </row>
    <row r="531" spans="1:113">
      <c r="A531" s="971" t="s">
        <v>82</v>
      </c>
      <c r="B531" s="404"/>
      <c r="C531" s="404"/>
      <c r="D531" s="404"/>
      <c r="E531" s="404"/>
      <c r="F531" s="404"/>
      <c r="G531" s="404"/>
      <c r="H531" s="404"/>
      <c r="I531" s="302">
        <f>I530/I161</f>
        <v>1.3125126203136569E-2</v>
      </c>
      <c r="J531" s="302">
        <f>J530/J11</f>
        <v>1.3147515119642388E-2</v>
      </c>
      <c r="K531" s="302">
        <f>K530/K11</f>
        <v>1.1431125870106649E-2</v>
      </c>
      <c r="L531" s="302">
        <f>L530/L11</f>
        <v>1.307655729909653E-2</v>
      </c>
      <c r="M531" s="302">
        <f>M530/M11</f>
        <v>1.5332701870708027E-2</v>
      </c>
      <c r="N531" s="729"/>
      <c r="O531" s="729"/>
      <c r="P531" s="729"/>
      <c r="Q531" s="729"/>
      <c r="R531" s="729"/>
      <c r="S531" s="729"/>
      <c r="T531" s="729"/>
      <c r="U531" s="729"/>
      <c r="V531" s="729"/>
      <c r="W531" s="729"/>
      <c r="X531" s="729"/>
      <c r="Y531" s="729"/>
      <c r="Z531" s="729"/>
      <c r="AA531" s="729"/>
      <c r="AB531" s="729"/>
    </row>
    <row r="532" spans="1:113">
      <c r="A532" s="931"/>
      <c r="B532" s="404"/>
      <c r="C532" s="404"/>
      <c r="D532" s="404"/>
      <c r="E532" s="404"/>
      <c r="F532" s="404"/>
      <c r="G532" s="404"/>
      <c r="H532" s="404"/>
      <c r="I532" s="301"/>
      <c r="J532" s="730"/>
      <c r="K532" s="302"/>
      <c r="L532" s="302"/>
      <c r="M532" s="302"/>
      <c r="N532" s="729"/>
      <c r="O532" s="729"/>
      <c r="P532" s="729"/>
      <c r="Q532" s="729"/>
      <c r="R532" s="729"/>
      <c r="S532" s="729"/>
      <c r="T532" s="729"/>
      <c r="U532" s="729"/>
      <c r="V532" s="729"/>
      <c r="W532" s="729"/>
      <c r="X532" s="729"/>
      <c r="Y532" s="729"/>
      <c r="Z532" s="729"/>
      <c r="AA532" s="729"/>
      <c r="AB532" s="729"/>
    </row>
    <row r="533" spans="1:113">
      <c r="A533" s="301" t="s">
        <v>125</v>
      </c>
      <c r="B533" s="413">
        <f t="shared" ref="B533:W533" si="1094">+B161</f>
        <v>17079.902999999998</v>
      </c>
      <c r="C533" s="413">
        <f t="shared" si="1094"/>
        <v>15365.7595</v>
      </c>
      <c r="D533" s="413">
        <f t="shared" si="1094"/>
        <v>16404</v>
      </c>
      <c r="E533" s="413">
        <f t="shared" si="1094"/>
        <v>15093</v>
      </c>
      <c r="F533" s="413">
        <f t="shared" si="1094"/>
        <v>13351.000000000002</v>
      </c>
      <c r="G533" s="413">
        <f t="shared" si="1094"/>
        <v>13817</v>
      </c>
      <c r="H533" s="413">
        <f t="shared" si="1094"/>
        <v>14475</v>
      </c>
      <c r="I533" s="413">
        <f t="shared" si="1094"/>
        <v>14857</v>
      </c>
      <c r="J533" s="413">
        <f t="shared" si="1094"/>
        <v>15033</v>
      </c>
      <c r="K533" s="413">
        <f t="shared" si="1094"/>
        <v>15117</v>
      </c>
      <c r="L533" s="413">
        <f t="shared" si="1094"/>
        <v>14454</v>
      </c>
      <c r="M533" s="413">
        <f t="shared" si="1094"/>
        <v>14495</v>
      </c>
      <c r="N533" s="413">
        <f t="shared" si="1094"/>
        <v>14484</v>
      </c>
      <c r="O533" s="413">
        <f t="shared" si="1094"/>
        <v>14700</v>
      </c>
      <c r="P533" s="413">
        <f t="shared" si="1094"/>
        <v>14678</v>
      </c>
      <c r="Q533" s="413">
        <f t="shared" si="1094"/>
        <v>14940</v>
      </c>
      <c r="R533" s="413">
        <f t="shared" si="1094"/>
        <v>15764</v>
      </c>
      <c r="S533" s="413">
        <f t="shared" si="1094"/>
        <v>15959</v>
      </c>
      <c r="T533" s="413">
        <f t="shared" si="1094"/>
        <v>15961.310990358097</v>
      </c>
      <c r="U533" s="413">
        <f t="shared" si="1094"/>
        <v>15859.158600019806</v>
      </c>
      <c r="V533" s="413">
        <f t="shared" si="1094"/>
        <v>15951.33995938242</v>
      </c>
      <c r="W533" s="413">
        <f t="shared" si="1094"/>
        <v>16085.729998540211</v>
      </c>
      <c r="X533" s="413">
        <f>+X161</f>
        <v>16224.968077407577</v>
      </c>
      <c r="Y533" s="413">
        <f>+Y161</f>
        <v>16365.411401085617</v>
      </c>
      <c r="Z533" s="413">
        <f>+Z161</f>
        <v>16507.070402173413</v>
      </c>
      <c r="AA533" s="413">
        <f>+AA161</f>
        <v>16649.955603574628</v>
      </c>
      <c r="AB533" s="413">
        <f>+AB161</f>
        <v>16794.077619279167</v>
      </c>
      <c r="AD533" s="413">
        <f t="shared" ref="AD533:CO533" si="1095">+AD161</f>
        <v>2682</v>
      </c>
      <c r="AE533" s="413">
        <f t="shared" si="1095"/>
        <v>3035</v>
      </c>
      <c r="AF533" s="413">
        <f t="shared" si="1095"/>
        <v>3411</v>
      </c>
      <c r="AG533" s="413">
        <f t="shared" si="1095"/>
        <v>3446</v>
      </c>
      <c r="AH533" s="413">
        <f t="shared" si="1095"/>
        <v>3871</v>
      </c>
      <c r="AI533" s="413">
        <f t="shared" si="1095"/>
        <v>4108</v>
      </c>
      <c r="AJ533" s="413">
        <f t="shared" si="1095"/>
        <v>4492</v>
      </c>
      <c r="AK533" s="413">
        <f t="shared" si="1095"/>
        <v>4610</v>
      </c>
      <c r="AL533" s="413">
        <f t="shared" si="1095"/>
        <v>4557</v>
      </c>
      <c r="AM533" s="413">
        <f t="shared" si="1095"/>
        <v>4789</v>
      </c>
      <c r="AN533" s="413">
        <f t="shared" si="1095"/>
        <v>4915</v>
      </c>
      <c r="AO533" s="413">
        <f t="shared" si="1095"/>
        <v>4796</v>
      </c>
      <c r="AP533" s="413">
        <f t="shared" si="1095"/>
        <v>3700.058</v>
      </c>
      <c r="AQ533" s="413">
        <f t="shared" si="1095"/>
        <v>4202</v>
      </c>
      <c r="AR533" s="413">
        <f t="shared" si="1095"/>
        <v>4264</v>
      </c>
      <c r="AS533" s="413">
        <f t="shared" si="1095"/>
        <v>4246</v>
      </c>
      <c r="AT533" s="413">
        <f t="shared" si="1095"/>
        <v>3998.15</v>
      </c>
      <c r="AU533" s="413">
        <f t="shared" si="1095"/>
        <v>3970</v>
      </c>
      <c r="AV533" s="413">
        <f t="shared" si="1095"/>
        <v>4040</v>
      </c>
      <c r="AW533" s="413">
        <f t="shared" si="1095"/>
        <v>3093</v>
      </c>
      <c r="AX533" s="413">
        <f t="shared" si="1095"/>
        <v>2951</v>
      </c>
      <c r="AY533" s="413">
        <f t="shared" si="1095"/>
        <v>3546.8999999999996</v>
      </c>
      <c r="AZ533" s="413">
        <f t="shared" si="1095"/>
        <v>3476</v>
      </c>
      <c r="BA533" s="413">
        <f t="shared" si="1095"/>
        <v>3284.65</v>
      </c>
      <c r="BB533" s="413">
        <f t="shared" si="1095"/>
        <v>3152</v>
      </c>
      <c r="BC533" s="413">
        <f t="shared" si="1095"/>
        <v>3624</v>
      </c>
      <c r="BD533" s="413">
        <f t="shared" si="1095"/>
        <v>3551</v>
      </c>
      <c r="BE533" s="413">
        <f t="shared" si="1095"/>
        <v>3490</v>
      </c>
      <c r="BF533" s="413">
        <f t="shared" si="1095"/>
        <v>3301</v>
      </c>
      <c r="BG533" s="413">
        <f t="shared" si="1095"/>
        <v>3819</v>
      </c>
      <c r="BH533" s="413">
        <f t="shared" si="1095"/>
        <v>3786</v>
      </c>
      <c r="BI533" s="413">
        <f t="shared" si="1095"/>
        <v>3569</v>
      </c>
      <c r="BJ533" s="413">
        <f t="shared" si="1095"/>
        <v>3468</v>
      </c>
      <c r="BK533" s="413">
        <f t="shared" si="1095"/>
        <v>3854</v>
      </c>
      <c r="BL533" s="413">
        <f t="shared" si="1095"/>
        <v>3892</v>
      </c>
      <c r="BM533" s="413">
        <f t="shared" si="1095"/>
        <v>3643</v>
      </c>
      <c r="BN533" s="413">
        <f t="shared" si="1095"/>
        <v>3445</v>
      </c>
      <c r="BO533" s="413">
        <f t="shared" si="1095"/>
        <v>3910</v>
      </c>
      <c r="BP533" s="413">
        <f t="shared" si="1095"/>
        <v>4017</v>
      </c>
      <c r="BQ533" s="413">
        <f t="shared" si="1095"/>
        <v>3661</v>
      </c>
      <c r="BR533" s="413">
        <f t="shared" si="1095"/>
        <v>3439</v>
      </c>
      <c r="BS533" s="413">
        <f t="shared" si="1095"/>
        <v>3950</v>
      </c>
      <c r="BT533" s="413">
        <f t="shared" si="1095"/>
        <v>4104</v>
      </c>
      <c r="BU533" s="413">
        <f t="shared" si="1095"/>
        <v>3624</v>
      </c>
      <c r="BV533" s="413">
        <f t="shared" si="1095"/>
        <v>3216</v>
      </c>
      <c r="BW533" s="413">
        <f t="shared" si="1095"/>
        <v>3972</v>
      </c>
      <c r="BX533" s="413">
        <f t="shared" si="1095"/>
        <v>3727</v>
      </c>
      <c r="BY533" s="413">
        <f t="shared" si="1095"/>
        <v>3539</v>
      </c>
      <c r="BZ533" s="413">
        <f t="shared" si="1095"/>
        <v>3392</v>
      </c>
      <c r="CA533" s="413">
        <f t="shared" si="1095"/>
        <v>3742</v>
      </c>
      <c r="CB533" s="413">
        <f t="shared" si="1095"/>
        <v>3876</v>
      </c>
      <c r="CC533" s="413">
        <f t="shared" si="1095"/>
        <v>3485</v>
      </c>
      <c r="CD533" s="413">
        <f t="shared" si="1095"/>
        <v>3392</v>
      </c>
      <c r="CE533" s="413">
        <f t="shared" si="1095"/>
        <v>3854</v>
      </c>
      <c r="CF533" s="413">
        <f t="shared" si="1095"/>
        <v>3644</v>
      </c>
      <c r="CG533" s="413">
        <f t="shared" si="1095"/>
        <v>3594</v>
      </c>
      <c r="CH533" s="413">
        <f t="shared" si="1095"/>
        <v>3345</v>
      </c>
      <c r="CI533" s="413">
        <f t="shared" si="1095"/>
        <v>3890</v>
      </c>
      <c r="CJ533" s="413">
        <f t="shared" si="1095"/>
        <v>3738</v>
      </c>
      <c r="CK533" s="413">
        <f t="shared" si="1095"/>
        <v>3727</v>
      </c>
      <c r="CL533" s="413">
        <f t="shared" si="1095"/>
        <v>3327</v>
      </c>
      <c r="CM533" s="413">
        <f t="shared" si="1095"/>
        <v>3805</v>
      </c>
      <c r="CN533" s="413">
        <f t="shared" si="1095"/>
        <v>3899</v>
      </c>
      <c r="CO533" s="413">
        <f t="shared" si="1095"/>
        <v>3647</v>
      </c>
      <c r="CP533" s="413">
        <f t="shared" ref="CP533:DE533" si="1096">+CP161</f>
        <v>3358</v>
      </c>
      <c r="CQ533" s="413">
        <f t="shared" si="1096"/>
        <v>3814</v>
      </c>
      <c r="CR533" s="413">
        <f t="shared" si="1096"/>
        <v>4002</v>
      </c>
      <c r="CS533" s="413">
        <f t="shared" si="1096"/>
        <v>3766</v>
      </c>
      <c r="CT533" s="413">
        <f t="shared" si="1096"/>
        <v>3589</v>
      </c>
      <c r="CU533" s="413">
        <f t="shared" si="1096"/>
        <v>4126</v>
      </c>
      <c r="CV533" s="413">
        <f t="shared" si="1096"/>
        <v>4195</v>
      </c>
      <c r="CW533" s="413">
        <f t="shared" si="1096"/>
        <v>3854</v>
      </c>
      <c r="CX533" s="413">
        <f t="shared" si="1096"/>
        <v>3778</v>
      </c>
      <c r="CY533" s="413">
        <f t="shared" si="1096"/>
        <v>4063</v>
      </c>
      <c r="CZ533" s="413">
        <f t="shared" si="1096"/>
        <v>4310</v>
      </c>
      <c r="DA533" s="413">
        <f t="shared" si="1096"/>
        <v>3808</v>
      </c>
      <c r="DB533" s="413">
        <f t="shared" si="1096"/>
        <v>3825</v>
      </c>
      <c r="DC533" s="413">
        <f t="shared" si="1096"/>
        <v>4177</v>
      </c>
      <c r="DD533" s="413">
        <f t="shared" si="1096"/>
        <v>4213</v>
      </c>
      <c r="DE533" s="413">
        <f t="shared" si="1096"/>
        <v>3746.3109903580994</v>
      </c>
      <c r="DF533" s="413">
        <f t="shared" ref="DF533:DI533" si="1097">+DF161</f>
        <v>3713.4247499999997</v>
      </c>
      <c r="DG533" s="413">
        <f t="shared" si="1097"/>
        <v>4128.6512249999996</v>
      </c>
      <c r="DH533" s="413">
        <f t="shared" si="1097"/>
        <v>4207.8390749999999</v>
      </c>
      <c r="DI533" s="413">
        <f t="shared" si="1097"/>
        <v>3809.2435500198062</v>
      </c>
    </row>
    <row r="534" spans="1:113">
      <c r="A534" s="302" t="s">
        <v>123</v>
      </c>
      <c r="B534" s="412"/>
      <c r="C534" s="412"/>
      <c r="D534" s="412"/>
      <c r="E534" s="412"/>
      <c r="F534" s="412"/>
      <c r="G534" s="412"/>
      <c r="H534" s="412"/>
      <c r="I534" s="412">
        <f t="shared" ref="I534:Q534" si="1098">+I533/I11</f>
        <v>0.21126500199078552</v>
      </c>
      <c r="J534" s="412">
        <f t="shared" si="1098"/>
        <v>0.98823297396792009</v>
      </c>
      <c r="K534" s="412">
        <f t="shared" si="1098"/>
        <v>0.96538731719777759</v>
      </c>
      <c r="L534" s="412">
        <f t="shared" si="1098"/>
        <v>0.85912981455064197</v>
      </c>
      <c r="M534" s="412">
        <f t="shared" si="1098"/>
        <v>0.85809850816954769</v>
      </c>
      <c r="N534" s="412">
        <f t="shared" si="1098"/>
        <v>0.8483570549991214</v>
      </c>
      <c r="O534" s="412">
        <f t="shared" si="1098"/>
        <v>0.84</v>
      </c>
      <c r="P534" s="412">
        <f t="shared" si="1098"/>
        <v>0.83100266092962694</v>
      </c>
      <c r="Q534" s="412">
        <f t="shared" si="1098"/>
        <v>0.83252823421355449</v>
      </c>
      <c r="R534" s="412">
        <f t="shared" ref="R534:W534" si="1099">R533/R11</f>
        <v>0.83748773062231296</v>
      </c>
      <c r="S534" s="412">
        <f t="shared" si="1099"/>
        <v>0.82530899312199413</v>
      </c>
      <c r="T534" s="412">
        <f t="shared" si="1099"/>
        <v>0.8187807012597772</v>
      </c>
      <c r="U534" s="412">
        <f t="shared" si="1099"/>
        <v>0.80953558783841528</v>
      </c>
      <c r="V534" s="412">
        <f t="shared" si="1099"/>
        <v>0.80280485976635096</v>
      </c>
      <c r="W534" s="412">
        <f t="shared" si="1099"/>
        <v>0.79576468307191439</v>
      </c>
      <c r="X534" s="412">
        <f>X533/X11</f>
        <v>0.78790261549600826</v>
      </c>
      <c r="Y534" s="412">
        <f>Y533/Y11</f>
        <v>0.7798218928431323</v>
      </c>
      <c r="Z534" s="412">
        <f>Z533/Z11</f>
        <v>0.77152270978339188</v>
      </c>
      <c r="AA534" s="412">
        <f>AA533/AA11</f>
        <v>0.7630057794213555</v>
      </c>
      <c r="AB534" s="412">
        <f>AB533/AB11</f>
        <v>0.7542723589897079</v>
      </c>
      <c r="AD534" s="412">
        <f t="shared" ref="AD534:CO534" si="1100">AD533/AD11</f>
        <v>0.14641336390435636</v>
      </c>
      <c r="AE534" s="412">
        <f t="shared" si="1100"/>
        <v>0.16054803216250529</v>
      </c>
      <c r="AF534" s="412">
        <f t="shared" si="1100"/>
        <v>0.18419915757641214</v>
      </c>
      <c r="AG534" s="412">
        <f t="shared" si="1100"/>
        <v>0.18755782942361074</v>
      </c>
      <c r="AH534" s="412">
        <f t="shared" si="1100"/>
        <v>0.19928953871499178</v>
      </c>
      <c r="AI534" s="412">
        <f t="shared" si="1100"/>
        <v>0.20839040227261199</v>
      </c>
      <c r="AJ534" s="412">
        <f t="shared" si="1100"/>
        <v>0.2269947950881803</v>
      </c>
      <c r="AK534" s="412">
        <f t="shared" si="1100"/>
        <v>0.24256774533017628</v>
      </c>
      <c r="AL534" s="412">
        <f t="shared" si="1100"/>
        <v>0.22644603458556947</v>
      </c>
      <c r="AM534" s="412">
        <f t="shared" si="1100"/>
        <v>0.23145328886955682</v>
      </c>
      <c r="AN534" s="412">
        <f t="shared" si="1100"/>
        <v>0.24689807605364947</v>
      </c>
      <c r="AO534" s="412">
        <f t="shared" si="1100"/>
        <v>0.25009125514939773</v>
      </c>
      <c r="AP534" s="412">
        <f t="shared" si="1100"/>
        <v>0.24016993379202908</v>
      </c>
      <c r="AQ534" s="412">
        <f t="shared" si="1100"/>
        <v>0.25584510472479299</v>
      </c>
      <c r="AR534" s="412">
        <f t="shared" si="1100"/>
        <v>0.26917492582538982</v>
      </c>
      <c r="AS534" s="412">
        <f t="shared" si="1100"/>
        <v>0.26917712691771267</v>
      </c>
      <c r="AT534" s="412">
        <f t="shared" si="1100"/>
        <v>0.2523606640156536</v>
      </c>
      <c r="AU534" s="412">
        <f t="shared" si="1100"/>
        <v>0.24248717322257513</v>
      </c>
      <c r="AV534" s="412">
        <f t="shared" si="1100"/>
        <v>0.26192946058091288</v>
      </c>
      <c r="AW534" s="412">
        <f t="shared" si="1100"/>
        <v>0.21578066136458771</v>
      </c>
      <c r="AX534" s="412">
        <f t="shared" si="1100"/>
        <v>0.20538697104677059</v>
      </c>
      <c r="AY534" s="412">
        <f t="shared" si="1100"/>
        <v>0.23057420902430617</v>
      </c>
      <c r="AZ534" s="412">
        <f t="shared" si="1100"/>
        <v>0.22875946034879896</v>
      </c>
      <c r="BA534" s="412">
        <f t="shared" si="1100"/>
        <v>0.21431880464570013</v>
      </c>
      <c r="BB534" s="412">
        <f t="shared" si="1100"/>
        <v>0.20437009660896063</v>
      </c>
      <c r="BC534" s="412">
        <f t="shared" si="1100"/>
        <v>0.2224950884086444</v>
      </c>
      <c r="BD534" s="412">
        <f t="shared" si="1100"/>
        <v>0.22331928809508836</v>
      </c>
      <c r="BE534" s="412">
        <f t="shared" si="1100"/>
        <v>0.21409729464450034</v>
      </c>
      <c r="BF534" s="412">
        <f t="shared" si="1100"/>
        <v>0.20135415395876541</v>
      </c>
      <c r="BG534" s="412">
        <f t="shared" si="1100"/>
        <v>0.22164828786999419</v>
      </c>
      <c r="BH534" s="412">
        <f t="shared" si="1100"/>
        <v>0.22002673330621259</v>
      </c>
      <c r="BI534" s="412">
        <f t="shared" si="1100"/>
        <v>0.2008441193021947</v>
      </c>
      <c r="BJ534" s="412">
        <f t="shared" si="1100"/>
        <v>0.20765223639303035</v>
      </c>
      <c r="BK534" s="412">
        <f t="shared" si="1100"/>
        <v>0.21628598686794995</v>
      </c>
      <c r="BL534" s="412">
        <f t="shared" si="1100"/>
        <v>0.22180429703083149</v>
      </c>
      <c r="BM534" s="412">
        <f t="shared" si="1100"/>
        <v>0.20306577480490523</v>
      </c>
      <c r="BN534" s="412">
        <f t="shared" si="1100"/>
        <v>1</v>
      </c>
      <c r="BO534" s="412">
        <f t="shared" si="1100"/>
        <v>1</v>
      </c>
      <c r="BP534" s="412">
        <f t="shared" si="1100"/>
        <v>1</v>
      </c>
      <c r="BQ534" s="412">
        <f t="shared" si="1100"/>
        <v>1</v>
      </c>
      <c r="BR534" s="412">
        <f t="shared" si="1100"/>
        <v>0.95501249652874198</v>
      </c>
      <c r="BS534" s="412">
        <f t="shared" si="1100"/>
        <v>0.97003929273084477</v>
      </c>
      <c r="BT534" s="412">
        <f t="shared" si="1100"/>
        <v>0.96701225259189449</v>
      </c>
      <c r="BU534" s="412">
        <f t="shared" si="1100"/>
        <v>0.968466060929984</v>
      </c>
      <c r="BV534" s="412">
        <f t="shared" si="1100"/>
        <v>0.84365162644281222</v>
      </c>
      <c r="BW534" s="412">
        <f t="shared" si="1100"/>
        <v>0.86460600783630825</v>
      </c>
      <c r="BX534" s="412">
        <f t="shared" si="1100"/>
        <v>0.86313107920333487</v>
      </c>
      <c r="BY534" s="412">
        <f t="shared" si="1100"/>
        <v>0.86317073170731706</v>
      </c>
      <c r="BZ534" s="412">
        <f t="shared" si="1100"/>
        <v>0.8585168311819793</v>
      </c>
      <c r="CA534" s="412">
        <f t="shared" si="1100"/>
        <v>0.86201336097673342</v>
      </c>
      <c r="CB534" s="412">
        <f t="shared" si="1100"/>
        <v>0.86886348352387355</v>
      </c>
      <c r="CC534" s="412">
        <f t="shared" si="1100"/>
        <v>0.84199081903841511</v>
      </c>
      <c r="CD534" s="412">
        <f t="shared" si="1100"/>
        <v>0.86025868627948265</v>
      </c>
      <c r="CE534" s="412">
        <f t="shared" si="1100"/>
        <v>0.85796972395369542</v>
      </c>
      <c r="CF534" s="412">
        <f t="shared" si="1100"/>
        <v>0.84176484176484179</v>
      </c>
      <c r="CG534" s="412">
        <f t="shared" si="1100"/>
        <v>0.83406822928753777</v>
      </c>
      <c r="CH534" s="412">
        <f t="shared" si="1100"/>
        <v>0.83750625938908363</v>
      </c>
      <c r="CI534" s="412">
        <f t="shared" si="1100"/>
        <v>0.8493449781659389</v>
      </c>
      <c r="CJ534" s="412">
        <f t="shared" si="1100"/>
        <v>0.8369905956112853</v>
      </c>
      <c r="CK534" s="412">
        <f t="shared" si="1100"/>
        <v>0.8356502242152466</v>
      </c>
      <c r="CL534" s="412">
        <f t="shared" si="1100"/>
        <v>0.83740246664988671</v>
      </c>
      <c r="CM534" s="412">
        <f t="shared" si="1100"/>
        <v>0.84069818824569154</v>
      </c>
      <c r="CN534" s="412">
        <f t="shared" si="1100"/>
        <v>0.81911764705882351</v>
      </c>
      <c r="CO534" s="412">
        <f t="shared" si="1100"/>
        <v>0.82811080835604001</v>
      </c>
      <c r="CP534" s="412">
        <f t="shared" ref="CP534:DE534" si="1101">CP533/CP11</f>
        <v>0.8377538423667733</v>
      </c>
      <c r="CQ534" s="412">
        <f t="shared" si="1101"/>
        <v>0.83439072413038717</v>
      </c>
      <c r="CR534" s="412">
        <f t="shared" si="1101"/>
        <v>0.84199452977067113</v>
      </c>
      <c r="CS534" s="412">
        <f t="shared" si="1101"/>
        <v>0.8163884673748103</v>
      </c>
      <c r="CT534" s="412">
        <f t="shared" si="1101"/>
        <v>0.84012172284644193</v>
      </c>
      <c r="CU534" s="412">
        <f t="shared" si="1101"/>
        <v>0.84635612953942385</v>
      </c>
      <c r="CV534" s="412">
        <f t="shared" si="1101"/>
        <v>0.842707914825231</v>
      </c>
      <c r="CW534" s="412">
        <f t="shared" si="1101"/>
        <v>0.82035852503890172</v>
      </c>
      <c r="CX534" s="412">
        <f t="shared" si="1101"/>
        <v>0.83399558498896242</v>
      </c>
      <c r="CY534" s="412">
        <f t="shared" si="1101"/>
        <v>0.83241139110837947</v>
      </c>
      <c r="CZ534" s="412">
        <f t="shared" si="1101"/>
        <v>0.82996341228576931</v>
      </c>
      <c r="DA534" s="412">
        <f>DA533/DA11</f>
        <v>0.8045637016691316</v>
      </c>
      <c r="DB534" s="412">
        <f t="shared" si="1101"/>
        <v>0.83351492699934626</v>
      </c>
      <c r="DC534" s="412">
        <f t="shared" si="1101"/>
        <v>0.82419100236779796</v>
      </c>
      <c r="DD534" s="412">
        <f t="shared" si="1101"/>
        <v>0.82236970525082964</v>
      </c>
      <c r="DE534" s="412">
        <f t="shared" si="1101"/>
        <v>0.7947201931179676</v>
      </c>
      <c r="DF534" s="412">
        <f t="shared" ref="DF534:DI534" si="1102">DF533/DF11</f>
        <v>0.81528571260849569</v>
      </c>
      <c r="DG534" s="412">
        <f t="shared" si="1102"/>
        <v>0.81592155005735223</v>
      </c>
      <c r="DH534" s="412">
        <f t="shared" si="1102"/>
        <v>0.81405784079139965</v>
      </c>
      <c r="DI534" s="412">
        <f t="shared" si="1102"/>
        <v>0.79250083513407099</v>
      </c>
    </row>
    <row r="535" spans="1:113">
      <c r="A535" s="301" t="s">
        <v>124</v>
      </c>
      <c r="B535" s="413"/>
      <c r="C535" s="413"/>
      <c r="D535" s="413"/>
      <c r="E535" s="413"/>
      <c r="F535" s="413"/>
      <c r="G535" s="413"/>
      <c r="H535" s="413"/>
      <c r="I535" s="413">
        <f>J535</f>
        <v>421.97547988430188</v>
      </c>
      <c r="J535" s="413">
        <f t="shared" ref="J535:W535" si="1103">J534*J27</f>
        <v>421.97547988430188</v>
      </c>
      <c r="K535" s="413">
        <f t="shared" si="1103"/>
        <v>266.44689954658662</v>
      </c>
      <c r="L535" s="413">
        <f t="shared" si="1103"/>
        <v>175.26248216833096</v>
      </c>
      <c r="M535" s="413">
        <f t="shared" si="1103"/>
        <v>185.34927776462231</v>
      </c>
      <c r="N535" s="413">
        <f t="shared" si="1103"/>
        <v>217.17940607977508</v>
      </c>
      <c r="O535" s="413">
        <f t="shared" si="1103"/>
        <v>191.51999999999998</v>
      </c>
      <c r="P535" s="413">
        <f t="shared" si="1103"/>
        <v>195.28562531846234</v>
      </c>
      <c r="Q535" s="413">
        <f t="shared" si="1103"/>
        <v>200.63930444546662</v>
      </c>
      <c r="R535" s="413">
        <f t="shared" si="1103"/>
        <v>198.48459215748818</v>
      </c>
      <c r="S535" s="413">
        <f t="shared" si="1103"/>
        <v>183.2185964730827</v>
      </c>
      <c r="T535" s="413">
        <f t="shared" si="1103"/>
        <v>173.58150866707277</v>
      </c>
      <c r="U535" s="413">
        <f t="shared" si="1103"/>
        <v>170.0024734460672</v>
      </c>
      <c r="V535" s="413">
        <f t="shared" si="1103"/>
        <v>165.21724013991502</v>
      </c>
      <c r="W535" s="413">
        <f t="shared" si="1103"/>
        <v>160.49300434067595</v>
      </c>
      <c r="X535" s="413">
        <f>X534*X27</f>
        <v>155.72920408162295</v>
      </c>
      <c r="Y535" s="413">
        <f>Y534*Y27</f>
        <v>151.04940573018177</v>
      </c>
      <c r="Z535" s="413">
        <f>Z534*Z27</f>
        <v>146.4530387411067</v>
      </c>
      <c r="AA535" s="413">
        <f>AA534*AA27</f>
        <v>141.93959981367715</v>
      </c>
      <c r="AB535" s="413">
        <f>AB534*AB27</f>
        <v>137.5086497108523</v>
      </c>
      <c r="AD535" s="413">
        <f t="shared" ref="AD535:CO535" si="1104">AD534*AD27</f>
        <v>21.376351130036028</v>
      </c>
      <c r="AE535" s="413">
        <f t="shared" si="1104"/>
        <v>23.440012695725773</v>
      </c>
      <c r="AF535" s="413">
        <f t="shared" si="1104"/>
        <v>28.366670266767471</v>
      </c>
      <c r="AG535" s="413">
        <f t="shared" si="1104"/>
        <v>36.198661078756871</v>
      </c>
      <c r="AH535" s="413">
        <f t="shared" si="1104"/>
        <v>24.711902800658979</v>
      </c>
      <c r="AI535" s="413">
        <f t="shared" si="1104"/>
        <v>23.13133465225993</v>
      </c>
      <c r="AJ535" s="413">
        <f t="shared" si="1104"/>
        <v>34.276214058315226</v>
      </c>
      <c r="AK535" s="413">
        <f t="shared" si="1104"/>
        <v>50.939226519337019</v>
      </c>
      <c r="AL535" s="413">
        <f t="shared" si="1104"/>
        <v>48.685897435897438</v>
      </c>
      <c r="AM535" s="413">
        <f t="shared" si="1104"/>
        <v>47.216470929389594</v>
      </c>
      <c r="AN535" s="413">
        <f t="shared" si="1104"/>
        <v>50.614105590998143</v>
      </c>
      <c r="AO535" s="413">
        <f t="shared" si="1104"/>
        <v>51.268707305626535</v>
      </c>
      <c r="AP535" s="413">
        <f t="shared" si="1104"/>
        <v>50.435686096326108</v>
      </c>
      <c r="AQ535" s="413">
        <f t="shared" si="1104"/>
        <v>43.237822698490014</v>
      </c>
      <c r="AR535" s="413">
        <f t="shared" si="1104"/>
        <v>55.180859794204913</v>
      </c>
      <c r="AS535" s="413">
        <f t="shared" si="1104"/>
        <v>48.990237099023709</v>
      </c>
      <c r="AT535" s="413">
        <f t="shared" si="1104"/>
        <v>42.648952218645462</v>
      </c>
      <c r="AU535" s="413">
        <f t="shared" si="1104"/>
        <v>40.980332274615193</v>
      </c>
      <c r="AV535" s="413">
        <f t="shared" si="1104"/>
        <v>43.48029045643154</v>
      </c>
      <c r="AW535" s="413">
        <f t="shared" si="1104"/>
        <v>38.6247383842612</v>
      </c>
      <c r="AX535" s="413">
        <f t="shared" si="1104"/>
        <v>37.483122216035632</v>
      </c>
      <c r="AY535" s="413">
        <f t="shared" si="1104"/>
        <v>42.246959448478499</v>
      </c>
      <c r="AZ535" s="413">
        <f t="shared" si="1104"/>
        <v>40.261665021388616</v>
      </c>
      <c r="BA535" s="413">
        <f t="shared" si="1104"/>
        <v>34.719646352603419</v>
      </c>
      <c r="BB535" s="413">
        <f t="shared" si="1104"/>
        <v>33.516695843869542</v>
      </c>
      <c r="BC535" s="413">
        <f t="shared" si="1104"/>
        <v>36.489194499017685</v>
      </c>
      <c r="BD535" s="413">
        <f t="shared" si="1104"/>
        <v>36.847682535689579</v>
      </c>
      <c r="BE535" s="413">
        <f t="shared" si="1104"/>
        <v>33.827372553831054</v>
      </c>
      <c r="BF535" s="413">
        <f t="shared" si="1104"/>
        <v>32.015310479443698</v>
      </c>
      <c r="BG535" s="413">
        <f t="shared" si="1104"/>
        <v>36.571967498549043</v>
      </c>
      <c r="BH535" s="413">
        <f t="shared" si="1104"/>
        <v>35.20427732899401</v>
      </c>
      <c r="BI535" s="413">
        <f t="shared" si="1104"/>
        <v>47.600056274620144</v>
      </c>
      <c r="BJ535" s="413">
        <f t="shared" si="1104"/>
        <v>31.770792168133642</v>
      </c>
      <c r="BK535" s="413">
        <f t="shared" si="1104"/>
        <v>35.254615859475841</v>
      </c>
      <c r="BL535" s="413">
        <f t="shared" si="1104"/>
        <v>36.819513307118029</v>
      </c>
      <c r="BM535" s="413">
        <f t="shared" si="1104"/>
        <v>39.800891861761428</v>
      </c>
      <c r="BN535" s="413">
        <f t="shared" si="1104"/>
        <v>110</v>
      </c>
      <c r="BO535" s="413">
        <f t="shared" si="1104"/>
        <v>116</v>
      </c>
      <c r="BP535" s="413">
        <f t="shared" si="1104"/>
        <v>115</v>
      </c>
      <c r="BQ535" s="413">
        <f t="shared" si="1104"/>
        <v>86</v>
      </c>
      <c r="BR535" s="413">
        <f t="shared" si="1104"/>
        <v>92.636212163287979</v>
      </c>
      <c r="BS535" s="413">
        <f t="shared" si="1104"/>
        <v>70.812868369351662</v>
      </c>
      <c r="BT535" s="413">
        <f t="shared" si="1104"/>
        <v>63.822808671065033</v>
      </c>
      <c r="BU535" s="413">
        <f t="shared" si="1104"/>
        <v>38.73864243719936</v>
      </c>
      <c r="BV535" s="413">
        <f t="shared" si="1104"/>
        <v>44.713536201469047</v>
      </c>
      <c r="BW535" s="413">
        <f t="shared" si="1104"/>
        <v>43.230300391815412</v>
      </c>
      <c r="BX535" s="413">
        <f t="shared" si="1104"/>
        <v>30.20958777211672</v>
      </c>
      <c r="BY535" s="413">
        <f t="shared" si="1104"/>
        <v>56.969268292682926</v>
      </c>
      <c r="BZ535" s="413">
        <f t="shared" si="1104"/>
        <v>40.35029106555303</v>
      </c>
      <c r="CA535" s="413">
        <f t="shared" si="1104"/>
        <v>44.824694770790138</v>
      </c>
      <c r="CB535" s="413">
        <f t="shared" si="1104"/>
        <v>37.361129791526565</v>
      </c>
      <c r="CC535" s="413">
        <f t="shared" si="1104"/>
        <v>62.307320608842716</v>
      </c>
      <c r="CD535" s="413">
        <f t="shared" si="1104"/>
        <v>43.012934313974135</v>
      </c>
      <c r="CE535" s="413">
        <f t="shared" si="1104"/>
        <v>52.336153161175417</v>
      </c>
      <c r="CF535" s="413">
        <f t="shared" si="1104"/>
        <v>52.18942018942019</v>
      </c>
      <c r="CG535" s="413">
        <f t="shared" si="1104"/>
        <v>69.227663030865628</v>
      </c>
      <c r="CH535" s="413">
        <f t="shared" si="1104"/>
        <v>42.712819228843266</v>
      </c>
      <c r="CI535" s="413">
        <f t="shared" si="1104"/>
        <v>46.713973799126641</v>
      </c>
      <c r="CJ535" s="413">
        <f t="shared" si="1104"/>
        <v>51.056426332288403</v>
      </c>
      <c r="CK535" s="413">
        <f t="shared" si="1104"/>
        <v>50.974663677130039</v>
      </c>
      <c r="CL535" s="413">
        <f t="shared" si="1104"/>
        <v>46.057135665743772</v>
      </c>
      <c r="CM535" s="413">
        <f t="shared" si="1104"/>
        <v>48.76049491825011</v>
      </c>
      <c r="CN535" s="413">
        <f t="shared" si="1104"/>
        <v>49.147058823529413</v>
      </c>
      <c r="CO535" s="413">
        <f t="shared" si="1104"/>
        <v>51.34287011807448</v>
      </c>
      <c r="CP535" s="413">
        <f t="shared" ref="CP535:DD535" si="1105">CP534*CP27</f>
        <v>43.563199803072209</v>
      </c>
      <c r="CQ535" s="413">
        <f t="shared" si="1105"/>
        <v>57.572959964996713</v>
      </c>
      <c r="CR535" s="413">
        <f t="shared" si="1105"/>
        <v>44.625710077845568</v>
      </c>
      <c r="CS535" s="413">
        <f t="shared" si="1105"/>
        <v>54.698027314112288</v>
      </c>
      <c r="CT535" s="413">
        <f t="shared" si="1105"/>
        <v>44.526451310861425</v>
      </c>
      <c r="CU535" s="413">
        <f t="shared" si="1105"/>
        <v>50.781367772365428</v>
      </c>
      <c r="CV535" s="413">
        <f t="shared" si="1105"/>
        <v>44.66351948573724</v>
      </c>
      <c r="CW535" s="413">
        <f t="shared" si="1105"/>
        <v>58.245455277762019</v>
      </c>
      <c r="CX535" s="413">
        <f t="shared" si="1105"/>
        <v>42.533774834437082</v>
      </c>
      <c r="CY535" s="413">
        <f t="shared" si="1105"/>
        <v>34.961278426551935</v>
      </c>
      <c r="CZ535" s="413">
        <f t="shared" si="1105"/>
        <v>47.307914500288852</v>
      </c>
      <c r="DA535" s="413">
        <f t="shared" si="1105"/>
        <v>57.928586520177475</v>
      </c>
      <c r="DB535" s="413">
        <f t="shared" si="1105"/>
        <v>35.841141860971888</v>
      </c>
      <c r="DC535" s="413">
        <f t="shared" si="1105"/>
        <v>46.154696132596683</v>
      </c>
      <c r="DD535" s="413">
        <f t="shared" si="1105"/>
        <v>46.052703494046462</v>
      </c>
      <c r="DE535" s="413">
        <f>DE534*DE$27</f>
        <v>45.299051007724152</v>
      </c>
      <c r="DF535" s="413">
        <f t="shared" ref="DF535:DH535" si="1106">DF534*DF27</f>
        <v>34.726556532333561</v>
      </c>
      <c r="DG535" s="413">
        <f t="shared" si="1106"/>
        <v>45.2605539088418</v>
      </c>
      <c r="DH535" s="413">
        <f t="shared" si="1106"/>
        <v>45.157170791070094</v>
      </c>
      <c r="DI535" s="413">
        <f>DI534*DI$27</f>
        <v>44.746391493183168</v>
      </c>
    </row>
    <row r="536" spans="1:113">
      <c r="A536" s="301"/>
      <c r="B536" s="306"/>
      <c r="C536" s="306"/>
      <c r="D536" s="306"/>
      <c r="E536" s="306"/>
      <c r="F536" s="306"/>
      <c r="G536" s="306"/>
      <c r="H536" s="306"/>
      <c r="I536" s="306"/>
      <c r="J536" s="620"/>
      <c r="K536" s="6"/>
      <c r="L536" s="6"/>
      <c r="M536" s="6"/>
      <c r="N536" s="330"/>
      <c r="O536" s="330"/>
      <c r="P536" s="330"/>
      <c r="Q536" s="330"/>
      <c r="R536" s="330"/>
      <c r="S536" s="330"/>
      <c r="T536" s="330"/>
      <c r="U536" s="330"/>
      <c r="V536" s="330"/>
      <c r="W536" s="330"/>
      <c r="X536" s="330"/>
      <c r="Y536" s="330"/>
      <c r="Z536" s="330"/>
      <c r="AA536" s="330"/>
      <c r="AB536" s="330"/>
    </row>
    <row r="537" spans="1:113">
      <c r="A537" s="301" t="s">
        <v>684</v>
      </c>
      <c r="B537" s="404"/>
      <c r="C537" s="404"/>
      <c r="D537" s="404"/>
      <c r="E537" s="404"/>
      <c r="F537" s="404"/>
      <c r="G537" s="404"/>
      <c r="H537" s="404"/>
      <c r="I537" s="301"/>
      <c r="J537" s="730"/>
      <c r="K537" s="730"/>
      <c r="L537" s="730"/>
      <c r="M537" s="730"/>
      <c r="N537" s="729"/>
      <c r="O537" s="729"/>
      <c r="P537" s="729"/>
      <c r="Q537" s="729"/>
      <c r="R537" s="729"/>
      <c r="S537" s="729"/>
      <c r="T537" s="729"/>
      <c r="U537" s="729"/>
      <c r="V537" s="729"/>
      <c r="W537" s="729"/>
      <c r="X537" s="729"/>
      <c r="Y537" s="729"/>
      <c r="Z537" s="729"/>
      <c r="AA537" s="729"/>
      <c r="AB537" s="729"/>
      <c r="AD537" s="413"/>
      <c r="AE537" s="413"/>
      <c r="AF537" s="413"/>
      <c r="AG537" s="413"/>
      <c r="AH537" s="413"/>
      <c r="AI537" s="413"/>
      <c r="AJ537" s="413"/>
      <c r="AK537" s="413"/>
      <c r="AL537" s="413"/>
      <c r="AM537" s="413"/>
      <c r="AN537" s="413"/>
      <c r="AO537" s="413"/>
      <c r="AP537" s="413"/>
      <c r="AQ537" s="413"/>
      <c r="AR537" s="413"/>
      <c r="AS537" s="413"/>
      <c r="AT537" s="413"/>
      <c r="AU537" s="413"/>
      <c r="AV537" s="413"/>
      <c r="AW537" s="413"/>
      <c r="AX537" s="413"/>
      <c r="AY537" s="413"/>
      <c r="AZ537" s="413"/>
      <c r="BA537" s="413"/>
      <c r="BB537" s="413"/>
      <c r="BC537" s="413"/>
      <c r="BD537" s="413"/>
      <c r="BE537" s="413"/>
      <c r="BF537" s="413"/>
      <c r="BG537" s="413"/>
      <c r="BH537" s="413"/>
      <c r="BI537" s="413"/>
      <c r="BJ537" s="413"/>
      <c r="BK537" s="413"/>
      <c r="BL537" s="413"/>
      <c r="BM537" s="413"/>
      <c r="BN537" s="413"/>
      <c r="BO537" s="413"/>
      <c r="BP537" s="413"/>
      <c r="BQ537" s="413"/>
      <c r="BR537" s="413"/>
      <c r="BS537" s="413"/>
      <c r="BT537" s="413"/>
      <c r="BU537" s="413"/>
      <c r="BV537" s="413">
        <f>+BV163</f>
        <v>286</v>
      </c>
      <c r="BW537" s="413">
        <f>+BW163</f>
        <v>349</v>
      </c>
      <c r="BX537" s="413">
        <f>+BX163</f>
        <v>326</v>
      </c>
      <c r="BY537" s="413">
        <f>+BY163</f>
        <v>317</v>
      </c>
      <c r="BZ537" s="413">
        <f>+BZ163</f>
        <v>355</v>
      </c>
      <c r="CA537" s="413">
        <f t="shared" ref="CA537:DD537" si="1107">+CA163</f>
        <v>363</v>
      </c>
      <c r="CB537" s="413">
        <f t="shared" si="1107"/>
        <v>363</v>
      </c>
      <c r="CC537" s="413">
        <f t="shared" si="1107"/>
        <v>366</v>
      </c>
      <c r="CD537" s="413">
        <f t="shared" si="1107"/>
        <v>353</v>
      </c>
      <c r="CE537" s="413">
        <f t="shared" si="1107"/>
        <v>377</v>
      </c>
      <c r="CF537" s="413">
        <f t="shared" si="1107"/>
        <v>398</v>
      </c>
      <c r="CG537" s="413">
        <f t="shared" si="1107"/>
        <v>391</v>
      </c>
      <c r="CH537" s="413">
        <f t="shared" si="1107"/>
        <v>353</v>
      </c>
      <c r="CI537" s="413">
        <f t="shared" si="1107"/>
        <v>399</v>
      </c>
      <c r="CJ537" s="413">
        <f t="shared" si="1107"/>
        <v>408</v>
      </c>
      <c r="CK537" s="413">
        <f t="shared" si="1107"/>
        <v>418</v>
      </c>
      <c r="CL537" s="413">
        <f t="shared" si="1107"/>
        <v>364</v>
      </c>
      <c r="CM537" s="413">
        <f t="shared" si="1107"/>
        <v>425</v>
      </c>
      <c r="CN537" s="413">
        <f t="shared" si="1107"/>
        <v>448</v>
      </c>
      <c r="CO537" s="413">
        <f t="shared" si="1107"/>
        <v>411</v>
      </c>
      <c r="CP537" s="413">
        <f t="shared" si="1107"/>
        <v>385</v>
      </c>
      <c r="CQ537" s="413">
        <f t="shared" si="1107"/>
        <v>428</v>
      </c>
      <c r="CR537" s="413">
        <f t="shared" si="1107"/>
        <v>430</v>
      </c>
      <c r="CS537" s="413">
        <f t="shared" si="1107"/>
        <v>428</v>
      </c>
      <c r="CT537" s="413">
        <f t="shared" si="1107"/>
        <v>398</v>
      </c>
      <c r="CU537" s="413">
        <f t="shared" si="1107"/>
        <v>447</v>
      </c>
      <c r="CV537" s="413">
        <f t="shared" si="1107"/>
        <v>448</v>
      </c>
      <c r="CW537" s="413">
        <f t="shared" si="1107"/>
        <v>453</v>
      </c>
      <c r="CX537" s="413">
        <f t="shared" si="1107"/>
        <v>447</v>
      </c>
      <c r="CY537" s="413">
        <f t="shared" si="1107"/>
        <v>488</v>
      </c>
      <c r="CZ537" s="413">
        <f t="shared" si="1107"/>
        <v>493</v>
      </c>
      <c r="DA537" s="413">
        <f t="shared" si="1107"/>
        <v>488</v>
      </c>
      <c r="DB537" s="413">
        <f t="shared" si="1107"/>
        <v>436</v>
      </c>
      <c r="DC537" s="413">
        <f t="shared" si="1107"/>
        <v>530</v>
      </c>
      <c r="DD537" s="413">
        <f t="shared" si="1107"/>
        <v>515</v>
      </c>
      <c r="DE537" s="413">
        <f>+DE163</f>
        <v>542</v>
      </c>
      <c r="DF537" s="413">
        <f t="shared" ref="DF537:DH537" si="1108">+DF163</f>
        <v>496.33534220848679</v>
      </c>
      <c r="DG537" s="413">
        <f t="shared" si="1108"/>
        <v>557.52509211933909</v>
      </c>
      <c r="DH537" s="413">
        <f t="shared" si="1108"/>
        <v>549.58448294306436</v>
      </c>
      <c r="DI537" s="413">
        <f>+DI163</f>
        <v>548.61258272910959</v>
      </c>
    </row>
    <row r="538" spans="1:113">
      <c r="A538" s="302" t="s">
        <v>123</v>
      </c>
      <c r="B538" s="404"/>
      <c r="C538" s="404"/>
      <c r="D538" s="404"/>
      <c r="E538" s="404"/>
      <c r="F538" s="404"/>
      <c r="G538" s="404"/>
      <c r="H538" s="404"/>
      <c r="I538" s="301"/>
      <c r="J538" s="730"/>
      <c r="K538" s="730"/>
      <c r="L538" s="730"/>
      <c r="M538" s="730"/>
      <c r="N538" s="729"/>
      <c r="O538" s="729"/>
      <c r="P538" s="729"/>
      <c r="Q538" s="729"/>
      <c r="R538" s="729"/>
      <c r="S538" s="729"/>
      <c r="T538" s="729"/>
      <c r="U538" s="729"/>
      <c r="V538" s="729"/>
      <c r="W538" s="729"/>
      <c r="X538" s="729"/>
      <c r="Y538" s="729"/>
      <c r="Z538" s="729"/>
      <c r="AA538" s="729"/>
      <c r="AB538" s="729"/>
      <c r="AD538" s="412"/>
      <c r="AE538" s="412"/>
      <c r="AF538" s="412"/>
      <c r="AG538" s="412"/>
      <c r="AH538" s="412"/>
      <c r="AI538" s="412"/>
      <c r="AJ538" s="412"/>
      <c r="AK538" s="412"/>
      <c r="AL538" s="412"/>
      <c r="AM538" s="412"/>
      <c r="AN538" s="412"/>
      <c r="AO538" s="412"/>
      <c r="AP538" s="412"/>
      <c r="AQ538" s="412"/>
      <c r="AR538" s="412"/>
      <c r="AS538" s="412"/>
      <c r="AT538" s="412"/>
      <c r="AU538" s="412"/>
      <c r="AV538" s="412"/>
      <c r="AW538" s="412"/>
      <c r="AX538" s="412"/>
      <c r="AY538" s="412"/>
      <c r="AZ538" s="412"/>
      <c r="BA538" s="412"/>
      <c r="BB538" s="412"/>
      <c r="BC538" s="412"/>
      <c r="BD538" s="412"/>
      <c r="BE538" s="412"/>
      <c r="BF538" s="412"/>
      <c r="BG538" s="412"/>
      <c r="BH538" s="412"/>
      <c r="BI538" s="412"/>
      <c r="BJ538" s="412"/>
      <c r="BK538" s="412"/>
      <c r="BL538" s="412"/>
      <c r="BM538" s="412"/>
      <c r="BN538" s="412"/>
      <c r="BO538" s="412"/>
      <c r="BP538" s="412"/>
      <c r="BQ538" s="412"/>
      <c r="BR538" s="412"/>
      <c r="BS538" s="412"/>
      <c r="BT538" s="412"/>
      <c r="BU538" s="412"/>
      <c r="BV538" s="412">
        <f>BV537/BV11</f>
        <v>7.5026232948583418E-2</v>
      </c>
      <c r="BW538" s="412">
        <f>BW537/BW11</f>
        <v>7.5968654767087501E-2</v>
      </c>
      <c r="BX538" s="412">
        <f>BX537/BX11</f>
        <v>7.5497915701713755E-2</v>
      </c>
      <c r="BY538" s="412">
        <f>BY537/BY11</f>
        <v>7.7317073170731707E-2</v>
      </c>
      <c r="BZ538" s="412">
        <f>BZ537/BZ11</f>
        <v>8.9850670716274367E-2</v>
      </c>
      <c r="CA538" s="412">
        <f t="shared" ref="CA538:DD538" si="1109">CA537/CA11</f>
        <v>8.3621285418106428E-2</v>
      </c>
      <c r="CB538" s="412">
        <f t="shared" si="1109"/>
        <v>8.1371889710827164E-2</v>
      </c>
      <c r="CC538" s="412">
        <f t="shared" si="1109"/>
        <v>8.84271563179512E-2</v>
      </c>
      <c r="CD538" s="412">
        <f t="shared" si="1109"/>
        <v>8.952574182094851E-2</v>
      </c>
      <c r="CE538" s="412">
        <f t="shared" si="1109"/>
        <v>8.3926981300089049E-2</v>
      </c>
      <c r="CF538" s="412">
        <f t="shared" si="1109"/>
        <v>9.1938091938091937E-2</v>
      </c>
      <c r="CG538" s="412">
        <f t="shared" si="1109"/>
        <v>9.0740310977024827E-2</v>
      </c>
      <c r="CH538" s="412">
        <f t="shared" si="1109"/>
        <v>8.838257386079118E-2</v>
      </c>
      <c r="CI538" s="412">
        <f t="shared" si="1109"/>
        <v>8.711790393013101E-2</v>
      </c>
      <c r="CJ538" s="412">
        <f t="shared" si="1109"/>
        <v>9.1356918943125837E-2</v>
      </c>
      <c r="CK538" s="412">
        <f t="shared" si="1109"/>
        <v>9.3721973094170408E-2</v>
      </c>
      <c r="CL538" s="412">
        <f t="shared" si="1109"/>
        <v>9.1618424364460105E-2</v>
      </c>
      <c r="CM538" s="412">
        <f t="shared" si="1109"/>
        <v>9.3901900132567384E-2</v>
      </c>
      <c r="CN538" s="412">
        <f t="shared" si="1109"/>
        <v>9.4117647058823528E-2</v>
      </c>
      <c r="CO538" s="412">
        <f t="shared" si="1109"/>
        <v>9.3324250681198914E-2</v>
      </c>
      <c r="CP538" s="412">
        <f t="shared" si="1109"/>
        <v>9.6049800271354291E-2</v>
      </c>
      <c r="CQ538" s="412">
        <f t="shared" si="1109"/>
        <v>9.3633778166703124E-2</v>
      </c>
      <c r="CR538" s="412">
        <f t="shared" si="1109"/>
        <v>9.046917736166632E-2</v>
      </c>
      <c r="CS538" s="412">
        <f t="shared" si="1109"/>
        <v>9.2781270323000223E-2</v>
      </c>
      <c r="CT538" s="412">
        <f t="shared" si="1109"/>
        <v>9.3164794007490642E-2</v>
      </c>
      <c r="CU538" s="412">
        <f t="shared" si="1109"/>
        <v>9.169199949203162E-2</v>
      </c>
      <c r="CV538" s="412">
        <f t="shared" si="1109"/>
        <v>8.9995982322217755E-2</v>
      </c>
      <c r="CW538" s="412">
        <f t="shared" si="1109"/>
        <v>9.6425119834619225E-2</v>
      </c>
      <c r="CX538" s="412">
        <f t="shared" si="1109"/>
        <v>9.8675496688741718E-2</v>
      </c>
      <c r="CY538" s="412">
        <f t="shared" si="1109"/>
        <v>9.9979512395001024E-2</v>
      </c>
      <c r="CZ538" s="412">
        <f t="shared" si="1109"/>
        <v>9.4935490082803775E-2</v>
      </c>
      <c r="DA538" s="412">
        <f t="shared" si="1109"/>
        <v>0.10310585252482569</v>
      </c>
      <c r="DB538" s="412">
        <f t="shared" si="1109"/>
        <v>9.5009806057964705E-2</v>
      </c>
      <c r="DC538" s="412">
        <f t="shared" si="1109"/>
        <v>0.10457774269928966</v>
      </c>
      <c r="DD538" s="412">
        <f t="shared" si="1109"/>
        <v>0.10052703494046457</v>
      </c>
      <c r="DE538" s="412">
        <f>DE537/DE11</f>
        <v>0.11497666525243955</v>
      </c>
      <c r="DF538" s="412">
        <f t="shared" ref="DF538:DH538" si="1110">DF537/DF11</f>
        <v>0.10897086662796325</v>
      </c>
      <c r="DG538" s="412">
        <f t="shared" si="1110"/>
        <v>0.11018047119198819</v>
      </c>
      <c r="DH538" s="412">
        <f t="shared" si="1110"/>
        <v>0.1063238278705059</v>
      </c>
      <c r="DI538" s="412">
        <f>DI537/DI11</f>
        <v>0.1141370784694558</v>
      </c>
    </row>
    <row r="539" spans="1:113">
      <c r="A539" s="301" t="s">
        <v>124</v>
      </c>
      <c r="B539" s="404"/>
      <c r="C539" s="404"/>
      <c r="D539" s="404"/>
      <c r="E539" s="404"/>
      <c r="F539" s="404"/>
      <c r="G539" s="404"/>
      <c r="H539" s="404"/>
      <c r="I539" s="301"/>
      <c r="J539" s="730"/>
      <c r="K539" s="730"/>
      <c r="L539" s="730"/>
      <c r="M539" s="730"/>
      <c r="N539" s="729"/>
      <c r="O539" s="729"/>
      <c r="P539" s="729"/>
      <c r="Q539" s="729"/>
      <c r="R539" s="729"/>
      <c r="S539" s="729"/>
      <c r="T539" s="729"/>
      <c r="U539" s="729"/>
      <c r="V539" s="729"/>
      <c r="W539" s="729"/>
      <c r="X539" s="729"/>
      <c r="Y539" s="729"/>
      <c r="Z539" s="729"/>
      <c r="AA539" s="729"/>
      <c r="AB539" s="729"/>
      <c r="AD539" s="413"/>
      <c r="AE539" s="413"/>
      <c r="AF539" s="413"/>
      <c r="AG539" s="413"/>
      <c r="AH539" s="413"/>
      <c r="AI539" s="413"/>
      <c r="AJ539" s="413"/>
      <c r="AK539" s="413"/>
      <c r="AL539" s="413"/>
      <c r="AM539" s="413"/>
      <c r="AN539" s="413"/>
      <c r="AO539" s="413"/>
      <c r="AP539" s="413"/>
      <c r="AQ539" s="413"/>
      <c r="AR539" s="413"/>
      <c r="AS539" s="413"/>
      <c r="AT539" s="413"/>
      <c r="AU539" s="413"/>
      <c r="AV539" s="413"/>
      <c r="AW539" s="413"/>
      <c r="AX539" s="413"/>
      <c r="AY539" s="413"/>
      <c r="AZ539" s="413"/>
      <c r="BA539" s="413"/>
      <c r="BB539" s="413"/>
      <c r="BC539" s="413"/>
      <c r="BD539" s="413"/>
      <c r="BE539" s="413"/>
      <c r="BF539" s="413"/>
      <c r="BG539" s="413"/>
      <c r="BH539" s="413"/>
      <c r="BI539" s="413"/>
      <c r="BJ539" s="413"/>
      <c r="BK539" s="413"/>
      <c r="BL539" s="413"/>
      <c r="BM539" s="413"/>
      <c r="BN539" s="413"/>
      <c r="BO539" s="413"/>
      <c r="BP539" s="413"/>
      <c r="BQ539" s="413"/>
      <c r="BR539" s="413"/>
      <c r="BS539" s="413"/>
      <c r="BT539" s="413"/>
      <c r="BU539" s="413"/>
      <c r="BV539" s="413">
        <f>BV538*BV$27</f>
        <v>3.9763903462749211</v>
      </c>
      <c r="BW539" s="413">
        <f>BW538*BW$27</f>
        <v>3.798432738354375</v>
      </c>
      <c r="BX539" s="413">
        <f>BX538*BX$27</f>
        <v>2.6424270495599815</v>
      </c>
      <c r="BY539" s="413">
        <f>BY538*BY$27</f>
        <v>5.1029268292682923</v>
      </c>
      <c r="BZ539" s="413">
        <f>BZ538*BZ$27</f>
        <v>4.2229815236648953</v>
      </c>
      <c r="CA539" s="413">
        <f t="shared" ref="CA539:DD539" si="1111">CA538*CA$27</f>
        <v>4.3483068417415343</v>
      </c>
      <c r="CB539" s="413">
        <f t="shared" si="1111"/>
        <v>3.4989912575655682</v>
      </c>
      <c r="CC539" s="413">
        <f t="shared" si="1111"/>
        <v>6.5436095675283887</v>
      </c>
      <c r="CD539" s="413">
        <f t="shared" si="1111"/>
        <v>4.4762870910474257</v>
      </c>
      <c r="CE539" s="413">
        <f t="shared" si="1111"/>
        <v>5.1195458593054317</v>
      </c>
      <c r="CF539" s="413">
        <f t="shared" si="1111"/>
        <v>5.7001617001616998</v>
      </c>
      <c r="CG539" s="413">
        <f t="shared" si="1111"/>
        <v>7.5314458110930609</v>
      </c>
      <c r="CH539" s="413">
        <f t="shared" si="1111"/>
        <v>4.5075112669003499</v>
      </c>
      <c r="CI539" s="413">
        <f t="shared" si="1111"/>
        <v>4.7914847161572052</v>
      </c>
      <c r="CJ539" s="413">
        <f t="shared" si="1111"/>
        <v>5.5727720555306757</v>
      </c>
      <c r="CK539" s="413">
        <f t="shared" si="1111"/>
        <v>5.717040358744395</v>
      </c>
      <c r="CL539" s="413">
        <f t="shared" si="1111"/>
        <v>5.0390133400453054</v>
      </c>
      <c r="CM539" s="413">
        <f t="shared" si="1111"/>
        <v>5.4463102076889083</v>
      </c>
      <c r="CN539" s="413">
        <f t="shared" si="1111"/>
        <v>5.6470588235294112</v>
      </c>
      <c r="CO539" s="413">
        <f t="shared" si="1111"/>
        <v>5.7861035422343328</v>
      </c>
      <c r="CP539" s="413">
        <f t="shared" si="1111"/>
        <v>4.9945896141104233</v>
      </c>
      <c r="CQ539" s="413">
        <f t="shared" si="1111"/>
        <v>6.4607306935025157</v>
      </c>
      <c r="CR539" s="413">
        <f t="shared" si="1111"/>
        <v>4.7948664001683152</v>
      </c>
      <c r="CS539" s="413">
        <f t="shared" si="1111"/>
        <v>6.2163451116410151</v>
      </c>
      <c r="CT539" s="413">
        <f t="shared" si="1111"/>
        <v>4.9377340823970037</v>
      </c>
      <c r="CU539" s="413">
        <f t="shared" si="1111"/>
        <v>5.5015199695218975</v>
      </c>
      <c r="CV539" s="413">
        <f t="shared" si="1111"/>
        <v>4.7697870630775414</v>
      </c>
      <c r="CW539" s="413">
        <f t="shared" si="1111"/>
        <v>6.8461835082579645</v>
      </c>
      <c r="CX539" s="413">
        <f t="shared" si="1111"/>
        <v>5.032450331125828</v>
      </c>
      <c r="CY539" s="413">
        <f t="shared" si="1111"/>
        <v>4.1991395205900428</v>
      </c>
      <c r="CZ539" s="413">
        <f t="shared" si="1111"/>
        <v>5.4113229347198155</v>
      </c>
      <c r="DA539" s="413">
        <f t="shared" si="1111"/>
        <v>7.4236213817874503</v>
      </c>
      <c r="DB539" s="413">
        <f t="shared" si="1111"/>
        <v>4.0854216604924822</v>
      </c>
      <c r="DC539" s="413">
        <f t="shared" si="1111"/>
        <v>5.8563535911602207</v>
      </c>
      <c r="DD539" s="413">
        <f t="shared" si="1111"/>
        <v>5.629513956666016</v>
      </c>
      <c r="DE539" s="413">
        <f>DE538*DE$27</f>
        <v>6.553669919389054</v>
      </c>
      <c r="DF539" s="413">
        <f t="shared" ref="DF539:DH539" si="1112">DF538*DF$27</f>
        <v>4.6415421021250385</v>
      </c>
      <c r="DG539" s="413">
        <f t="shared" si="1112"/>
        <v>6.1118978359329299</v>
      </c>
      <c r="DH539" s="413">
        <f t="shared" si="1112"/>
        <v>5.8979632818733458</v>
      </c>
      <c r="DI539" s="413">
        <f>DI538*DI$27</f>
        <v>6.4444378739593695</v>
      </c>
    </row>
    <row r="540" spans="1:113">
      <c r="A540" s="301"/>
      <c r="B540" s="404"/>
      <c r="C540" s="404"/>
      <c r="D540" s="404"/>
      <c r="E540" s="404"/>
      <c r="F540" s="404"/>
      <c r="G540" s="404"/>
      <c r="H540" s="404"/>
      <c r="I540" s="301"/>
      <c r="J540" s="300"/>
      <c r="K540" s="6"/>
      <c r="L540" s="6"/>
      <c r="M540" s="6"/>
      <c r="N540" s="330"/>
      <c r="O540" s="330"/>
      <c r="P540" s="330"/>
      <c r="Q540" s="330"/>
      <c r="R540" s="330"/>
      <c r="S540" s="330"/>
      <c r="T540" s="330"/>
      <c r="U540" s="330"/>
      <c r="V540" s="330"/>
      <c r="W540" s="330"/>
      <c r="X540" s="330"/>
      <c r="Y540" s="330"/>
      <c r="Z540" s="330"/>
      <c r="AA540" s="330"/>
      <c r="AB540" s="330"/>
    </row>
    <row r="541" spans="1:113">
      <c r="A541" s="301"/>
      <c r="B541" s="404"/>
      <c r="C541" s="404"/>
      <c r="D541" s="404"/>
      <c r="E541" s="404"/>
      <c r="F541" s="404"/>
      <c r="G541" s="404"/>
      <c r="H541" s="404"/>
      <c r="I541" s="301"/>
      <c r="J541" s="300"/>
      <c r="K541" s="6"/>
      <c r="L541" s="6"/>
      <c r="M541" s="6"/>
      <c r="N541" s="330"/>
      <c r="O541" s="330"/>
      <c r="P541" s="330"/>
      <c r="Q541" s="330"/>
      <c r="R541" s="330"/>
      <c r="S541" s="330"/>
      <c r="T541" s="330"/>
      <c r="U541" s="330"/>
      <c r="V541" s="330"/>
      <c r="W541" s="330"/>
      <c r="X541" s="330"/>
      <c r="Y541" s="330"/>
      <c r="Z541" s="330"/>
      <c r="AA541" s="330"/>
      <c r="AB541" s="330"/>
    </row>
    <row r="542" spans="1:113">
      <c r="A542" s="972" t="s">
        <v>86</v>
      </c>
      <c r="B542" s="404"/>
      <c r="C542" s="404"/>
      <c r="D542" s="404"/>
      <c r="E542" s="404"/>
      <c r="F542" s="404"/>
      <c r="G542" s="404"/>
      <c r="H542" s="404"/>
      <c r="I542" s="301"/>
      <c r="J542" s="300"/>
      <c r="K542" s="6"/>
      <c r="L542" s="6"/>
      <c r="M542" s="6"/>
      <c r="N542" s="330" t="s">
        <v>618</v>
      </c>
      <c r="O542" s="330" t="s">
        <v>618</v>
      </c>
      <c r="P542" s="330" t="s">
        <v>618</v>
      </c>
      <c r="Q542" s="330" t="s">
        <v>618</v>
      </c>
      <c r="R542" s="330" t="s">
        <v>618</v>
      </c>
      <c r="S542" s="330" t="s">
        <v>618</v>
      </c>
      <c r="T542" s="330" t="s">
        <v>618</v>
      </c>
      <c r="U542" s="330" t="s">
        <v>618</v>
      </c>
      <c r="V542" s="330" t="s">
        <v>618</v>
      </c>
      <c r="W542" s="330" t="s">
        <v>618</v>
      </c>
      <c r="X542" s="330" t="s">
        <v>618</v>
      </c>
      <c r="Y542" s="330" t="s">
        <v>618</v>
      </c>
      <c r="Z542" s="330" t="s">
        <v>618</v>
      </c>
      <c r="AA542" s="330" t="s">
        <v>618</v>
      </c>
      <c r="AB542" s="330" t="s">
        <v>618</v>
      </c>
    </row>
    <row r="543" spans="1:113">
      <c r="A543" s="972" t="s">
        <v>305</v>
      </c>
      <c r="B543" s="404"/>
      <c r="C543" s="404"/>
      <c r="D543" s="404"/>
      <c r="E543" s="404"/>
      <c r="F543" s="404"/>
      <c r="G543" s="404"/>
      <c r="H543" s="404"/>
      <c r="I543" s="301"/>
      <c r="J543" s="300"/>
      <c r="K543" s="6"/>
      <c r="L543" s="6"/>
      <c r="M543" s="6"/>
      <c r="N543" s="330" t="s">
        <v>618</v>
      </c>
      <c r="O543" s="330" t="s">
        <v>618</v>
      </c>
      <c r="P543" s="330" t="s">
        <v>618</v>
      </c>
      <c r="Q543" s="330" t="s">
        <v>618</v>
      </c>
      <c r="R543" s="330" t="s">
        <v>618</v>
      </c>
      <c r="S543" s="330" t="s">
        <v>618</v>
      </c>
      <c r="T543" s="330" t="s">
        <v>618</v>
      </c>
      <c r="U543" s="330" t="s">
        <v>618</v>
      </c>
      <c r="V543" s="330" t="s">
        <v>618</v>
      </c>
      <c r="W543" s="330" t="s">
        <v>618</v>
      </c>
      <c r="X543" s="330" t="s">
        <v>618</v>
      </c>
      <c r="Y543" s="330" t="s">
        <v>618</v>
      </c>
      <c r="Z543" s="330" t="s">
        <v>618</v>
      </c>
      <c r="AA543" s="330" t="s">
        <v>618</v>
      </c>
      <c r="AB543" s="330" t="s">
        <v>618</v>
      </c>
    </row>
    <row r="544" spans="1:113">
      <c r="A544" s="972" t="s">
        <v>485</v>
      </c>
      <c r="B544" s="404"/>
      <c r="C544" s="404"/>
      <c r="D544" s="404"/>
      <c r="E544" s="404"/>
      <c r="F544" s="404"/>
      <c r="G544" s="404"/>
      <c r="H544" s="404"/>
      <c r="I544" s="301"/>
      <c r="J544" s="300"/>
      <c r="K544" s="6"/>
      <c r="L544" s="6"/>
      <c r="M544" s="6"/>
      <c r="N544" s="330" t="s">
        <v>618</v>
      </c>
      <c r="O544" s="330" t="s">
        <v>618</v>
      </c>
      <c r="P544" s="330" t="s">
        <v>618</v>
      </c>
      <c r="Q544" s="330" t="s">
        <v>618</v>
      </c>
      <c r="R544" s="330" t="s">
        <v>618</v>
      </c>
      <c r="S544" s="330" t="s">
        <v>618</v>
      </c>
      <c r="T544" s="330" t="s">
        <v>618</v>
      </c>
      <c r="U544" s="330" t="s">
        <v>618</v>
      </c>
      <c r="V544" s="330" t="s">
        <v>618</v>
      </c>
      <c r="W544" s="330" t="s">
        <v>618</v>
      </c>
      <c r="X544" s="330" t="s">
        <v>618</v>
      </c>
      <c r="Y544" s="330" t="s">
        <v>618</v>
      </c>
      <c r="Z544" s="330" t="s">
        <v>618</v>
      </c>
      <c r="AA544" s="330" t="s">
        <v>618</v>
      </c>
      <c r="AB544" s="330" t="s">
        <v>618</v>
      </c>
    </row>
    <row r="545" spans="1:102">
      <c r="A545" s="972" t="s">
        <v>259</v>
      </c>
      <c r="B545" s="404"/>
      <c r="C545" s="404"/>
      <c r="D545" s="404"/>
      <c r="E545" s="404"/>
      <c r="F545" s="404"/>
      <c r="G545" s="404"/>
      <c r="H545" s="404"/>
      <c r="I545" s="301"/>
      <c r="J545" s="300"/>
      <c r="K545" s="6"/>
      <c r="L545" s="6"/>
      <c r="M545" s="6"/>
      <c r="N545" s="330" t="s">
        <v>618</v>
      </c>
      <c r="O545" s="330" t="s">
        <v>618</v>
      </c>
      <c r="P545" s="330" t="s">
        <v>618</v>
      </c>
      <c r="Q545" s="330" t="s">
        <v>618</v>
      </c>
      <c r="R545" s="330" t="s">
        <v>618</v>
      </c>
      <c r="S545" s="330" t="s">
        <v>618</v>
      </c>
      <c r="T545" s="330" t="s">
        <v>618</v>
      </c>
      <c r="U545" s="330" t="s">
        <v>618</v>
      </c>
      <c r="V545" s="330" t="s">
        <v>618</v>
      </c>
      <c r="W545" s="330" t="s">
        <v>618</v>
      </c>
      <c r="X545" s="330" t="s">
        <v>618</v>
      </c>
      <c r="Y545" s="330" t="s">
        <v>618</v>
      </c>
      <c r="Z545" s="330" t="s">
        <v>618</v>
      </c>
      <c r="AA545" s="330" t="s">
        <v>618</v>
      </c>
      <c r="AB545" s="330" t="s">
        <v>618</v>
      </c>
    </row>
    <row r="546" spans="1:102">
      <c r="A546" s="972" t="s">
        <v>93</v>
      </c>
      <c r="B546" s="404"/>
      <c r="C546" s="404"/>
      <c r="D546" s="404"/>
      <c r="E546" s="404"/>
      <c r="F546" s="404"/>
      <c r="G546" s="404"/>
      <c r="H546" s="404"/>
      <c r="I546" s="301"/>
      <c r="J546" s="300"/>
      <c r="K546" s="6"/>
      <c r="L546" s="6"/>
      <c r="M546" s="6"/>
      <c r="N546" s="330" t="s">
        <v>618</v>
      </c>
      <c r="O546" s="330" t="s">
        <v>618</v>
      </c>
      <c r="P546" s="330" t="s">
        <v>618</v>
      </c>
      <c r="Q546" s="330" t="s">
        <v>618</v>
      </c>
      <c r="R546" s="330" t="s">
        <v>618</v>
      </c>
      <c r="S546" s="330" t="s">
        <v>618</v>
      </c>
      <c r="T546" s="330" t="s">
        <v>618</v>
      </c>
      <c r="U546" s="330" t="s">
        <v>618</v>
      </c>
      <c r="V546" s="330" t="s">
        <v>618</v>
      </c>
      <c r="W546" s="330" t="s">
        <v>618</v>
      </c>
      <c r="X546" s="330" t="s">
        <v>618</v>
      </c>
      <c r="Y546" s="330" t="s">
        <v>618</v>
      </c>
      <c r="Z546" s="330" t="s">
        <v>618</v>
      </c>
      <c r="AA546" s="330" t="s">
        <v>618</v>
      </c>
      <c r="AB546" s="330" t="s">
        <v>618</v>
      </c>
    </row>
    <row r="547" spans="1:102">
      <c r="A547" s="972" t="s">
        <v>260</v>
      </c>
      <c r="B547" s="404"/>
      <c r="C547" s="404"/>
      <c r="D547" s="404"/>
      <c r="E547" s="404"/>
      <c r="F547" s="404"/>
      <c r="G547" s="404"/>
      <c r="H547" s="404"/>
      <c r="I547" s="301"/>
      <c r="J547" s="300"/>
      <c r="K547" s="6"/>
      <c r="L547" s="6"/>
      <c r="M547" s="6"/>
      <c r="N547" s="330" t="s">
        <v>618</v>
      </c>
      <c r="O547" s="330" t="s">
        <v>618</v>
      </c>
      <c r="P547" s="330" t="s">
        <v>618</v>
      </c>
      <c r="Q547" s="330" t="s">
        <v>618</v>
      </c>
      <c r="R547" s="330" t="s">
        <v>618</v>
      </c>
      <c r="S547" s="330" t="s">
        <v>618</v>
      </c>
      <c r="T547" s="330" t="s">
        <v>618</v>
      </c>
      <c r="U547" s="330" t="s">
        <v>618</v>
      </c>
      <c r="V547" s="330" t="s">
        <v>618</v>
      </c>
      <c r="W547" s="330" t="s">
        <v>618</v>
      </c>
      <c r="X547" s="330" t="s">
        <v>618</v>
      </c>
      <c r="Y547" s="330" t="s">
        <v>618</v>
      </c>
      <c r="Z547" s="330" t="s">
        <v>618</v>
      </c>
      <c r="AA547" s="330" t="s">
        <v>618</v>
      </c>
      <c r="AB547" s="330" t="s">
        <v>618</v>
      </c>
    </row>
    <row r="548" spans="1:102">
      <c r="A548" s="972" t="s">
        <v>261</v>
      </c>
      <c r="B548" s="404"/>
      <c r="C548" s="404"/>
      <c r="D548" s="404"/>
      <c r="E548" s="404"/>
      <c r="F548" s="404"/>
      <c r="G548" s="404"/>
      <c r="H548" s="404"/>
      <c r="I548" s="301"/>
      <c r="J548" s="300"/>
      <c r="K548" s="6"/>
      <c r="L548" s="6"/>
      <c r="M548" s="6"/>
      <c r="N548" s="330" t="s">
        <v>618</v>
      </c>
      <c r="O548" s="330" t="s">
        <v>618</v>
      </c>
      <c r="P548" s="330" t="s">
        <v>618</v>
      </c>
      <c r="Q548" s="330" t="s">
        <v>618</v>
      </c>
      <c r="R548" s="330" t="s">
        <v>618</v>
      </c>
      <c r="S548" s="330" t="s">
        <v>618</v>
      </c>
      <c r="T548" s="330" t="s">
        <v>618</v>
      </c>
      <c r="U548" s="330" t="s">
        <v>618</v>
      </c>
      <c r="V548" s="330" t="s">
        <v>618</v>
      </c>
      <c r="W548" s="330" t="s">
        <v>618</v>
      </c>
      <c r="X548" s="330" t="s">
        <v>618</v>
      </c>
      <c r="Y548" s="330" t="s">
        <v>618</v>
      </c>
      <c r="Z548" s="330" t="s">
        <v>618</v>
      </c>
      <c r="AA548" s="330" t="s">
        <v>618</v>
      </c>
      <c r="AB548" s="330" t="s">
        <v>618</v>
      </c>
    </row>
    <row r="549" spans="1:102">
      <c r="A549" s="973" t="s">
        <v>328</v>
      </c>
      <c r="B549" s="872"/>
      <c r="C549" s="873"/>
      <c r="D549" s="874" t="s">
        <v>618</v>
      </c>
      <c r="E549" s="874" t="s">
        <v>618</v>
      </c>
      <c r="F549" s="874" t="s">
        <v>618</v>
      </c>
      <c r="G549" s="874" t="s">
        <v>618</v>
      </c>
      <c r="H549" s="874" t="s">
        <v>618</v>
      </c>
      <c r="I549" s="874" t="s">
        <v>618</v>
      </c>
      <c r="J549" s="874" t="s">
        <v>618</v>
      </c>
      <c r="K549" s="874" t="s">
        <v>618</v>
      </c>
      <c r="L549" s="874" t="s">
        <v>618</v>
      </c>
      <c r="M549" s="874" t="s">
        <v>618</v>
      </c>
      <c r="N549" s="875" t="s">
        <v>618</v>
      </c>
      <c r="O549" s="875" t="s">
        <v>618</v>
      </c>
      <c r="P549" s="875" t="s">
        <v>618</v>
      </c>
      <c r="Q549" s="875" t="s">
        <v>618</v>
      </c>
      <c r="R549" s="875" t="s">
        <v>618</v>
      </c>
      <c r="S549" s="875" t="s">
        <v>618</v>
      </c>
      <c r="T549" s="875" t="s">
        <v>618</v>
      </c>
      <c r="U549" s="875" t="s">
        <v>618</v>
      </c>
      <c r="V549" s="875" t="s">
        <v>618</v>
      </c>
      <c r="W549" s="875" t="s">
        <v>618</v>
      </c>
      <c r="X549" s="875" t="s">
        <v>618</v>
      </c>
      <c r="Y549" s="875" t="s">
        <v>618</v>
      </c>
      <c r="Z549" s="875" t="s">
        <v>618</v>
      </c>
      <c r="AA549" s="875" t="s">
        <v>618</v>
      </c>
      <c r="AB549" s="875" t="s">
        <v>618</v>
      </c>
    </row>
    <row r="550" spans="1:102">
      <c r="A550" s="973" t="s">
        <v>328</v>
      </c>
      <c r="B550" s="872"/>
      <c r="C550" s="873"/>
      <c r="D550" s="874" t="s">
        <v>618</v>
      </c>
      <c r="E550" s="874" t="s">
        <v>618</v>
      </c>
      <c r="F550" s="874" t="s">
        <v>618</v>
      </c>
      <c r="G550" s="874" t="s">
        <v>618</v>
      </c>
      <c r="H550" s="874" t="s">
        <v>618</v>
      </c>
      <c r="I550" s="874" t="s">
        <v>618</v>
      </c>
      <c r="J550" s="874" t="s">
        <v>618</v>
      </c>
      <c r="K550" s="874" t="s">
        <v>618</v>
      </c>
      <c r="L550" s="874" t="s">
        <v>618</v>
      </c>
      <c r="M550" s="874" t="s">
        <v>618</v>
      </c>
      <c r="N550" s="875" t="s">
        <v>618</v>
      </c>
      <c r="O550" s="875" t="s">
        <v>618</v>
      </c>
      <c r="P550" s="875" t="s">
        <v>618</v>
      </c>
      <c r="Q550" s="875" t="s">
        <v>618</v>
      </c>
      <c r="R550" s="875" t="s">
        <v>618</v>
      </c>
      <c r="S550" s="875" t="s">
        <v>618</v>
      </c>
      <c r="T550" s="875" t="s">
        <v>618</v>
      </c>
      <c r="U550" s="875" t="s">
        <v>618</v>
      </c>
      <c r="V550" s="875" t="s">
        <v>618</v>
      </c>
      <c r="W550" s="875" t="s">
        <v>618</v>
      </c>
      <c r="X550" s="875" t="s">
        <v>618</v>
      </c>
      <c r="Y550" s="875" t="s">
        <v>618</v>
      </c>
      <c r="Z550" s="875" t="s">
        <v>618</v>
      </c>
      <c r="AA550" s="875" t="s">
        <v>618</v>
      </c>
      <c r="AB550" s="875" t="s">
        <v>618</v>
      </c>
    </row>
    <row r="551" spans="1:102">
      <c r="A551" s="974" t="s">
        <v>685</v>
      </c>
      <c r="B551" s="301"/>
      <c r="C551" s="918"/>
      <c r="D551" s="919" t="s">
        <v>618</v>
      </c>
      <c r="E551" s="919" t="s">
        <v>618</v>
      </c>
      <c r="F551" s="919" t="s">
        <v>618</v>
      </c>
      <c r="G551" s="919" t="s">
        <v>618</v>
      </c>
      <c r="H551" s="919" t="s">
        <v>618</v>
      </c>
      <c r="I551" s="919" t="s">
        <v>618</v>
      </c>
      <c r="J551" s="919" t="s">
        <v>618</v>
      </c>
      <c r="K551" s="919" t="s">
        <v>618</v>
      </c>
      <c r="L551" s="919" t="s">
        <v>618</v>
      </c>
      <c r="M551" s="919" t="s">
        <v>618</v>
      </c>
      <c r="N551" s="920" t="s">
        <v>618</v>
      </c>
      <c r="O551" s="920" t="s">
        <v>618</v>
      </c>
      <c r="P551" s="920" t="s">
        <v>618</v>
      </c>
      <c r="Q551" s="920" t="s">
        <v>618</v>
      </c>
      <c r="R551" s="920" t="s">
        <v>618</v>
      </c>
      <c r="S551" s="920" t="s">
        <v>618</v>
      </c>
      <c r="T551" s="920" t="s">
        <v>618</v>
      </c>
      <c r="U551" s="920" t="s">
        <v>618</v>
      </c>
      <c r="V551" s="920" t="s">
        <v>618</v>
      </c>
      <c r="W551" s="920" t="s">
        <v>618</v>
      </c>
      <c r="X551" s="920" t="s">
        <v>618</v>
      </c>
      <c r="Y551" s="920" t="s">
        <v>618</v>
      </c>
      <c r="Z551" s="920" t="s">
        <v>618</v>
      </c>
      <c r="AA551" s="920" t="s">
        <v>618</v>
      </c>
      <c r="AB551" s="920" t="s">
        <v>618</v>
      </c>
    </row>
    <row r="552" spans="1:102">
      <c r="A552" s="931"/>
      <c r="B552" s="301"/>
      <c r="C552" s="876"/>
      <c r="D552" s="740"/>
      <c r="E552" s="876"/>
      <c r="F552" s="740"/>
      <c r="G552" s="739"/>
      <c r="H552" s="739"/>
      <c r="I552" s="877"/>
      <c r="J552" s="300"/>
      <c r="K552" s="6"/>
      <c r="L552" s="6"/>
      <c r="M552" s="6"/>
      <c r="N552" s="330"/>
      <c r="O552" s="330"/>
      <c r="P552" s="330"/>
      <c r="Q552" s="330"/>
      <c r="R552" s="330"/>
      <c r="S552" s="330"/>
      <c r="T552" s="330"/>
      <c r="U552" s="330"/>
      <c r="V552" s="330"/>
      <c r="W552" s="330"/>
      <c r="X552" s="330"/>
      <c r="Y552" s="330"/>
      <c r="Z552" s="330"/>
      <c r="AA552" s="330"/>
      <c r="AB552" s="330"/>
    </row>
    <row r="553" spans="1:102" hidden="1" outlineLevel="1">
      <c r="A553" s="301" t="s">
        <v>466</v>
      </c>
      <c r="B553" s="404"/>
      <c r="C553" s="404"/>
      <c r="D553" s="404"/>
      <c r="E553" s="404"/>
      <c r="F553" s="404"/>
      <c r="G553" s="404"/>
      <c r="H553" s="404"/>
      <c r="I553" s="301"/>
      <c r="J553" s="586"/>
      <c r="K553" s="586">
        <f t="shared" ref="K553:W553" si="1113">+K554/J554-1</f>
        <v>3.0737189337220583E-2</v>
      </c>
      <c r="L553" s="586">
        <f t="shared" si="1113"/>
        <v>5.6487663753521655E-3</v>
      </c>
      <c r="M553" s="586" t="e">
        <f t="shared" si="1113"/>
        <v>#VALUE!</v>
      </c>
      <c r="N553" s="732" t="e">
        <f t="shared" si="1113"/>
        <v>#VALUE!</v>
      </c>
      <c r="O553" s="732" t="e">
        <f t="shared" si="1113"/>
        <v>#VALUE!</v>
      </c>
      <c r="P553" s="732" t="e">
        <f t="shared" si="1113"/>
        <v>#VALUE!</v>
      </c>
      <c r="Q553" s="732" t="e">
        <f t="shared" si="1113"/>
        <v>#VALUE!</v>
      </c>
      <c r="R553" s="732" t="e">
        <f t="shared" si="1113"/>
        <v>#VALUE!</v>
      </c>
      <c r="S553" s="732" t="e">
        <f t="shared" si="1113"/>
        <v>#VALUE!</v>
      </c>
      <c r="T553" s="732" t="e">
        <f t="shared" si="1113"/>
        <v>#VALUE!</v>
      </c>
      <c r="U553" s="732" t="e">
        <f t="shared" si="1113"/>
        <v>#VALUE!</v>
      </c>
      <c r="V553" s="732" t="e">
        <f t="shared" si="1113"/>
        <v>#VALUE!</v>
      </c>
      <c r="W553" s="732" t="e">
        <f t="shared" si="1113"/>
        <v>#VALUE!</v>
      </c>
      <c r="X553" s="732" t="e">
        <f>+X554/W554-1</f>
        <v>#VALUE!</v>
      </c>
      <c r="Y553" s="732" t="e">
        <f>+Y554/X554-1</f>
        <v>#VALUE!</v>
      </c>
      <c r="Z553" s="732" t="e">
        <f>+Z554/Y554-1</f>
        <v>#VALUE!</v>
      </c>
      <c r="AA553" s="732" t="e">
        <f>+AA554/Z554-1</f>
        <v>#VALUE!</v>
      </c>
      <c r="AB553" s="732" t="e">
        <f>+AB554/AA554-1</f>
        <v>#VALUE!</v>
      </c>
    </row>
    <row r="554" spans="1:102" hidden="1" outlineLevel="1">
      <c r="A554" s="301" t="s">
        <v>376</v>
      </c>
      <c r="B554" s="404"/>
      <c r="C554" s="404"/>
      <c r="D554" s="404">
        <v>1882</v>
      </c>
      <c r="E554" s="404">
        <v>3394</v>
      </c>
      <c r="F554" s="540">
        <v>3484</v>
      </c>
      <c r="G554" s="540">
        <v>3163</v>
      </c>
      <c r="H554" s="66">
        <v>0</v>
      </c>
      <c r="I554" s="67">
        <v>0</v>
      </c>
      <c r="J554" s="67">
        <v>2842.4003688232087</v>
      </c>
      <c r="K554" s="67">
        <v>2929.7677671319134</v>
      </c>
      <c r="L554" s="67">
        <v>2946.3173407824788</v>
      </c>
      <c r="M554" s="67" t="s">
        <v>652</v>
      </c>
      <c r="N554" s="133" t="s">
        <v>652</v>
      </c>
      <c r="O554" s="133" t="s">
        <v>652</v>
      </c>
      <c r="P554" s="133" t="s">
        <v>652</v>
      </c>
      <c r="Q554" s="133" t="s">
        <v>652</v>
      </c>
      <c r="R554" s="133" t="s">
        <v>652</v>
      </c>
      <c r="S554" s="133" t="s">
        <v>652</v>
      </c>
      <c r="T554" s="133" t="s">
        <v>652</v>
      </c>
      <c r="U554" s="133" t="s">
        <v>652</v>
      </c>
      <c r="V554" s="133" t="s">
        <v>652</v>
      </c>
      <c r="W554" s="133" t="s">
        <v>652</v>
      </c>
      <c r="X554" s="133" t="s">
        <v>652</v>
      </c>
      <c r="Y554" s="133" t="s">
        <v>652</v>
      </c>
      <c r="Z554" s="133" t="s">
        <v>652</v>
      </c>
      <c r="AA554" s="133" t="s">
        <v>652</v>
      </c>
      <c r="AB554" s="133" t="s">
        <v>652</v>
      </c>
    </row>
    <row r="555" spans="1:102" hidden="1" outlineLevel="1">
      <c r="A555" s="301" t="s">
        <v>467</v>
      </c>
      <c r="B555" s="404"/>
      <c r="C555" s="404"/>
      <c r="D555" s="404">
        <v>311</v>
      </c>
      <c r="E555" s="404">
        <v>572</v>
      </c>
      <c r="F555" s="387">
        <f t="shared" ref="F555:W555" si="1114">+F554*F556</f>
        <v>553.95600000000002</v>
      </c>
      <c r="G555" s="387">
        <f t="shared" si="1114"/>
        <v>477.613</v>
      </c>
      <c r="H555" s="387">
        <f t="shared" si="1114"/>
        <v>0</v>
      </c>
      <c r="I555" s="387">
        <f t="shared" si="1114"/>
        <v>0</v>
      </c>
      <c r="J555" s="730">
        <f t="shared" si="1114"/>
        <v>324.0336420458458</v>
      </c>
      <c r="K555" s="730">
        <f t="shared" si="1114"/>
        <v>333.99352545303816</v>
      </c>
      <c r="L555" s="730">
        <f t="shared" si="1114"/>
        <v>335.8801768492026</v>
      </c>
      <c r="M555" s="730" t="e">
        <f t="shared" si="1114"/>
        <v>#VALUE!</v>
      </c>
      <c r="N555" s="729" t="e">
        <f t="shared" si="1114"/>
        <v>#VALUE!</v>
      </c>
      <c r="O555" s="729" t="e">
        <f t="shared" si="1114"/>
        <v>#VALUE!</v>
      </c>
      <c r="P555" s="729" t="e">
        <f t="shared" si="1114"/>
        <v>#VALUE!</v>
      </c>
      <c r="Q555" s="729" t="e">
        <f t="shared" si="1114"/>
        <v>#VALUE!</v>
      </c>
      <c r="R555" s="729" t="e">
        <f t="shared" si="1114"/>
        <v>#VALUE!</v>
      </c>
      <c r="S555" s="729" t="e">
        <f t="shared" si="1114"/>
        <v>#VALUE!</v>
      </c>
      <c r="T555" s="729" t="e">
        <f t="shared" si="1114"/>
        <v>#VALUE!</v>
      </c>
      <c r="U555" s="729" t="e">
        <f t="shared" si="1114"/>
        <v>#VALUE!</v>
      </c>
      <c r="V555" s="729" t="e">
        <f t="shared" si="1114"/>
        <v>#VALUE!</v>
      </c>
      <c r="W555" s="729" t="e">
        <f t="shared" si="1114"/>
        <v>#VALUE!</v>
      </c>
      <c r="X555" s="729" t="e">
        <f>+X554*X556</f>
        <v>#VALUE!</v>
      </c>
      <c r="Y555" s="729" t="e">
        <f>+Y554*Y556</f>
        <v>#VALUE!</v>
      </c>
      <c r="Z555" s="729" t="e">
        <f>+Z554*Z556</f>
        <v>#VALUE!</v>
      </c>
      <c r="AA555" s="729" t="e">
        <f>+AA554*AA556</f>
        <v>#VALUE!</v>
      </c>
      <c r="AB555" s="729" t="e">
        <f>+AB554*AB556</f>
        <v>#VALUE!</v>
      </c>
    </row>
    <row r="556" spans="1:102" hidden="1" outlineLevel="1">
      <c r="A556" s="301" t="s">
        <v>468</v>
      </c>
      <c r="B556" s="404"/>
      <c r="C556" s="404"/>
      <c r="D556" s="578">
        <f>+D555/D554</f>
        <v>0.16524973432518597</v>
      </c>
      <c r="E556" s="578">
        <f>+E555/E554</f>
        <v>0.16853270477312904</v>
      </c>
      <c r="F556" s="878">
        <v>0.159</v>
      </c>
      <c r="G556" s="878">
        <v>0.151</v>
      </c>
      <c r="H556" s="878">
        <v>0.151</v>
      </c>
      <c r="I556" s="878">
        <f>100%-86.5%</f>
        <v>0.13500000000000001</v>
      </c>
      <c r="J556" s="879">
        <v>0.114</v>
      </c>
      <c r="K556" s="879">
        <v>0.114</v>
      </c>
      <c r="L556" s="879">
        <v>0.114</v>
      </c>
      <c r="M556" s="879">
        <v>0.114</v>
      </c>
      <c r="N556" s="880">
        <v>0.114</v>
      </c>
      <c r="O556" s="880">
        <v>0.114</v>
      </c>
      <c r="P556" s="880">
        <v>0.114</v>
      </c>
      <c r="Q556" s="880">
        <v>0.114</v>
      </c>
      <c r="R556" s="880">
        <v>0.114</v>
      </c>
      <c r="S556" s="880">
        <v>0.114</v>
      </c>
      <c r="T556" s="880">
        <v>0.114</v>
      </c>
      <c r="U556" s="880">
        <v>0.114</v>
      </c>
      <c r="V556" s="880">
        <v>0.114</v>
      </c>
      <c r="W556" s="880">
        <v>0.114</v>
      </c>
      <c r="X556" s="880">
        <v>0.114</v>
      </c>
      <c r="Y556" s="880">
        <v>0.114</v>
      </c>
      <c r="Z556" s="880">
        <v>0.114</v>
      </c>
      <c r="AA556" s="880">
        <v>0.114</v>
      </c>
      <c r="AB556" s="880">
        <v>0.114</v>
      </c>
    </row>
    <row r="557" spans="1:102" hidden="1" outlineLevel="1">
      <c r="A557" s="301"/>
      <c r="B557" s="404"/>
      <c r="C557" s="404"/>
      <c r="D557" s="486">
        <v>2026.462</v>
      </c>
      <c r="E557" s="486">
        <v>3394.44</v>
      </c>
      <c r="F557" s="486">
        <v>3476</v>
      </c>
      <c r="G557" s="486">
        <v>2665</v>
      </c>
      <c r="H557" s="404"/>
      <c r="I557" s="486"/>
      <c r="J557" s="301"/>
      <c r="K557" s="362"/>
      <c r="L557" s="362"/>
      <c r="M557" s="362"/>
      <c r="N557" s="312"/>
      <c r="O557" s="312"/>
      <c r="P557" s="312"/>
      <c r="Q557" s="312"/>
      <c r="R557" s="312"/>
      <c r="S557" s="312"/>
      <c r="T557" s="312"/>
      <c r="U557" s="312"/>
      <c r="V557" s="312"/>
      <c r="W557" s="312"/>
      <c r="X557" s="312"/>
      <c r="Y557" s="312"/>
      <c r="Z557" s="312"/>
      <c r="AA557" s="312"/>
      <c r="AB557" s="312"/>
    </row>
    <row r="558" spans="1:102" hidden="1" outlineLevel="1">
      <c r="A558" s="301" t="s">
        <v>630</v>
      </c>
      <c r="B558" s="404"/>
      <c r="C558" s="404"/>
      <c r="D558" s="404"/>
      <c r="E558" s="404"/>
      <c r="F558" s="404"/>
      <c r="G558" s="404"/>
      <c r="H558" s="540">
        <v>50</v>
      </c>
      <c r="I558" s="540">
        <v>50</v>
      </c>
      <c r="J558" s="309">
        <v>240</v>
      </c>
      <c r="K558" s="309">
        <v>0</v>
      </c>
      <c r="L558" s="309">
        <v>0</v>
      </c>
      <c r="M558" s="309">
        <v>0</v>
      </c>
      <c r="N558" s="881">
        <v>0</v>
      </c>
      <c r="O558" s="881">
        <v>0</v>
      </c>
      <c r="P558" s="881">
        <v>0</v>
      </c>
      <c r="Q558" s="881">
        <v>0</v>
      </c>
      <c r="R558" s="881">
        <v>0</v>
      </c>
      <c r="S558" s="881">
        <v>0</v>
      </c>
      <c r="T558" s="881">
        <v>0</v>
      </c>
      <c r="U558" s="881">
        <v>0</v>
      </c>
      <c r="V558" s="881">
        <v>0</v>
      </c>
      <c r="W558" s="881">
        <v>0</v>
      </c>
      <c r="X558" s="881">
        <v>0</v>
      </c>
      <c r="Y558" s="881">
        <v>0</v>
      </c>
      <c r="Z558" s="881">
        <v>0</v>
      </c>
      <c r="AA558" s="881">
        <v>0</v>
      </c>
      <c r="AB558" s="881">
        <v>0</v>
      </c>
    </row>
    <row r="559" spans="1:102" hidden="1" outlineLevel="1">
      <c r="A559" s="301"/>
      <c r="B559" s="404"/>
      <c r="C559" s="404"/>
      <c r="D559" s="404"/>
      <c r="E559" s="404"/>
      <c r="F559" s="404"/>
      <c r="G559" s="404"/>
      <c r="H559" s="404"/>
      <c r="I559" s="301"/>
      <c r="J559" s="301"/>
      <c r="K559" s="301"/>
      <c r="L559" s="404"/>
      <c r="M559" s="404"/>
      <c r="N559" s="394"/>
      <c r="O559" s="394"/>
      <c r="P559" s="394"/>
      <c r="Q559" s="394"/>
      <c r="R559" s="394"/>
      <c r="S559" s="394"/>
      <c r="T559" s="394"/>
      <c r="U559" s="394"/>
      <c r="V559" s="394"/>
      <c r="W559" s="394"/>
      <c r="X559" s="394"/>
      <c r="Y559" s="394"/>
      <c r="Z559" s="394"/>
      <c r="AA559" s="394"/>
      <c r="AB559" s="394"/>
      <c r="CX559" s="6">
        <f>0.09*19</f>
        <v>1.71</v>
      </c>
    </row>
    <row r="560" spans="1:102" hidden="1" outlineLevel="1">
      <c r="A560" s="301"/>
      <c r="B560" s="471">
        <f>B43</f>
        <v>126</v>
      </c>
      <c r="C560" s="471">
        <f>C43</f>
        <v>127</v>
      </c>
      <c r="D560" s="471">
        <f>D43</f>
        <v>311</v>
      </c>
      <c r="E560" s="471">
        <f>E43</f>
        <v>572</v>
      </c>
      <c r="F560" s="471">
        <f>F43</f>
        <v>405</v>
      </c>
      <c r="G560" s="471" t="e">
        <f>#REF!</f>
        <v>#REF!</v>
      </c>
      <c r="H560" s="471"/>
      <c r="I560" s="471"/>
      <c r="J560" s="471"/>
      <c r="K560" s="6"/>
      <c r="L560" s="6"/>
      <c r="M560" s="6"/>
      <c r="N560" s="330"/>
      <c r="O560" s="330"/>
      <c r="P560" s="330"/>
      <c r="Q560" s="330"/>
      <c r="R560" s="330"/>
      <c r="S560" s="330"/>
      <c r="T560" s="330"/>
      <c r="U560" s="330"/>
      <c r="V560" s="330"/>
      <c r="W560" s="330"/>
      <c r="X560" s="330"/>
      <c r="Y560" s="330"/>
      <c r="Z560" s="330"/>
      <c r="AA560" s="330"/>
      <c r="AB560" s="330"/>
    </row>
    <row r="561" spans="1:19" hidden="1" outlineLevel="1">
      <c r="A561" s="15"/>
      <c r="K561" s="776" t="e">
        <f ca="1">SUM(K563:K568)-(K569-K562)</f>
        <v>#REF!</v>
      </c>
      <c r="L561" s="776"/>
      <c r="M561" s="776"/>
      <c r="N561" s="776"/>
      <c r="O561" s="776"/>
      <c r="P561" s="776"/>
      <c r="Q561" s="776"/>
      <c r="R561" s="776"/>
      <c r="S561" s="776"/>
    </row>
    <row r="562" spans="1:19" hidden="1" outlineLevel="1">
      <c r="A562" s="129" t="s">
        <v>272</v>
      </c>
      <c r="J562" s="360"/>
      <c r="K562" s="329">
        <f t="shared" ref="K562:S562" si="1115">J47</f>
        <v>1.5211178577588074</v>
      </c>
      <c r="L562" s="329">
        <f t="shared" ca="1" si="1115"/>
        <v>1.6525817273363204</v>
      </c>
      <c r="M562" s="329">
        <f t="shared" si="1115"/>
        <v>1.757847803113912</v>
      </c>
      <c r="N562" s="329">
        <f t="shared" si="1115"/>
        <v>1.9043039192113489</v>
      </c>
      <c r="O562" s="329">
        <f t="shared" si="1115"/>
        <v>2.0500891472868217</v>
      </c>
      <c r="P562" s="329">
        <f t="shared" si="1115"/>
        <v>2.2149209486166006</v>
      </c>
      <c r="Q562" s="329">
        <f t="shared" si="1115"/>
        <v>2.3829893683552221</v>
      </c>
      <c r="R562" s="329">
        <f t="shared" si="1115"/>
        <v>2.5955510616784632</v>
      </c>
      <c r="S562" s="329">
        <f t="shared" si="1115"/>
        <v>2.8056582133299348</v>
      </c>
    </row>
    <row r="563" spans="1:19" hidden="1" outlineLevel="1">
      <c r="A563" s="300" t="s">
        <v>273</v>
      </c>
      <c r="J563" s="360"/>
      <c r="K563" s="725">
        <v>5.9882648810974146E-2</v>
      </c>
      <c r="L563" s="725">
        <v>0.13631372689374555</v>
      </c>
      <c r="M563" s="725">
        <v>9.5923132113039919E-2</v>
      </c>
      <c r="N563" s="725">
        <v>7.1367940304962157E-2</v>
      </c>
      <c r="O563" s="725">
        <v>3.0609144035908843E-2</v>
      </c>
      <c r="P563" s="725">
        <v>7.8261701472161369E-2</v>
      </c>
      <c r="Q563" s="725">
        <v>9.8490822216179552E-2</v>
      </c>
      <c r="R563" s="725">
        <v>0.10872230388919088</v>
      </c>
      <c r="S563" s="725">
        <v>8.6928854854785007E-2</v>
      </c>
    </row>
    <row r="564" spans="1:19" hidden="1" outlineLevel="1">
      <c r="A564" s="300" t="s">
        <v>274</v>
      </c>
      <c r="J564" s="360"/>
      <c r="K564" s="725">
        <v>-5.1395239991736001E-2</v>
      </c>
      <c r="L564" s="725">
        <v>-0.2033040635443325</v>
      </c>
      <c r="M564" s="725">
        <v>-9.1319458477030935E-2</v>
      </c>
      <c r="N564" s="725">
        <v>-7.2676147581729841E-2</v>
      </c>
      <c r="O564" s="725">
        <v>-3.1332536881268588E-3</v>
      </c>
      <c r="P564" s="725">
        <v>-8.1087340620915896E-2</v>
      </c>
      <c r="Q564" s="725">
        <v>-6.310810683596936E-2</v>
      </c>
      <c r="R564" s="725">
        <v>1.1457730399031167E-2</v>
      </c>
      <c r="S564" s="725">
        <v>-6.1113351045138181E-2</v>
      </c>
    </row>
    <row r="565" spans="1:19" hidden="1" outlineLevel="1">
      <c r="A565" s="300" t="s">
        <v>276</v>
      </c>
      <c r="J565" s="360"/>
      <c r="K565" s="360" t="e">
        <f t="shared" ref="K565:S565" si="1116">K571-SUM(K563:K564)</f>
        <v>#REF!</v>
      </c>
      <c r="L565" s="360" t="e">
        <f t="shared" ca="1" si="1116"/>
        <v>#REF!</v>
      </c>
      <c r="M565" s="360" t="e">
        <f t="shared" si="1116"/>
        <v>#REF!</v>
      </c>
      <c r="N565" s="360" t="e">
        <f t="shared" si="1116"/>
        <v>#REF!</v>
      </c>
      <c r="O565" s="360" t="e">
        <f t="shared" si="1116"/>
        <v>#REF!</v>
      </c>
      <c r="P565" s="360" t="e">
        <f t="shared" si="1116"/>
        <v>#REF!</v>
      </c>
      <c r="Q565" s="360" t="e">
        <f t="shared" si="1116"/>
        <v>#REF!</v>
      </c>
      <c r="R565" s="360" t="e">
        <f t="shared" si="1116"/>
        <v>#REF!</v>
      </c>
      <c r="S565" s="360">
        <f t="shared" si="1116"/>
        <v>9.6923752874638905E-2</v>
      </c>
    </row>
    <row r="566" spans="1:19" hidden="1" outlineLevel="1">
      <c r="A566" s="300" t="s">
        <v>279</v>
      </c>
      <c r="J566" s="360"/>
      <c r="K566" s="725" t="e">
        <f>(#REF!-#REF!)*(1-J38)/J58</f>
        <v>#REF!</v>
      </c>
      <c r="L566" s="725" t="e">
        <f ca="1">(#REF!-#REF!)*(1-K38)/K58</f>
        <v>#REF!</v>
      </c>
      <c r="M566" s="725" t="e">
        <f>(#REF!-#REF!)*(1-L38)/L58</f>
        <v>#REF!</v>
      </c>
      <c r="N566" s="725" t="e">
        <f>(#REF!-#REF!)*(1-M38)/M58</f>
        <v>#REF!</v>
      </c>
      <c r="O566" s="725" t="e">
        <f>(#REF!-#REF!)*(1-N38)/N58</f>
        <v>#REF!</v>
      </c>
      <c r="P566" s="725" t="e">
        <f>(#REF!-#REF!)*(1-O38)/O58</f>
        <v>#REF!</v>
      </c>
      <c r="Q566" s="725" t="e">
        <f>(#REF!-#REF!)*(1-P38)/P58</f>
        <v>#REF!</v>
      </c>
      <c r="R566" s="725" t="e">
        <f>(R175-#REF!)*(1-Q38)/Q58</f>
        <v>#REF!</v>
      </c>
      <c r="S566" s="725">
        <f>(S175-R175)*(1-R38)/R58</f>
        <v>4.0166598567310592E-2</v>
      </c>
    </row>
    <row r="567" spans="1:19" hidden="1" outlineLevel="1">
      <c r="A567" s="300" t="s">
        <v>277</v>
      </c>
      <c r="J567" s="360"/>
      <c r="K567" s="725" t="e">
        <f>(SUM(#REF!,#REF!)-SUM(#REF!,#REF!))*(1-J38)/J58+(K73-J73)-(SUM(#REF!)-SUM(#REF!))*(1-J38)/J58</f>
        <v>#REF!</v>
      </c>
      <c r="L567" s="725" t="e">
        <f ca="1">(SUM(#REF!,#REF!)-SUM(#REF!,#REF!))*(1-K38)/K58+(L73-K73)-(SUM(#REF!)-SUM(#REF!))*(1-K38)/K58</f>
        <v>#REF!</v>
      </c>
      <c r="M567" s="725" t="e">
        <f ca="1">(SUM(#REF!,#REF!)-SUM(#REF!,#REF!))*(1-L38)/L58+(M73-L73)-(SUM(#REF!)-SUM(#REF!))*(1-L38)/L58</f>
        <v>#REF!</v>
      </c>
      <c r="N567" s="725" t="e">
        <f>(SUM(#REF!,#REF!)-SUM(#REF!,#REF!))*(1-M38)/M58+(N73-M73)-(SUM(#REF!)-SUM(#REF!))*(1-M38)/M58</f>
        <v>#REF!</v>
      </c>
      <c r="O567" s="725" t="e">
        <f>(SUM(#REF!,#REF!)-SUM(#REF!,#REF!))*(1-N38)/N58+(O73-N73)-(SUM(#REF!)-SUM(#REF!))*(1-N38)/N58</f>
        <v>#REF!</v>
      </c>
      <c r="P567" s="725" t="e">
        <f>(SUM(#REF!,#REF!)-SUM(#REF!,#REF!))*(1-O38)/O58+(P73-O73)-(SUM(#REF!)-SUM(#REF!))*(1-O38)/O58</f>
        <v>#REF!</v>
      </c>
      <c r="Q567" s="725" t="e">
        <f>(SUM(#REF!,#REF!)-SUM(#REF!,#REF!))*(1-P38)/P58+(Q73-P73)-(SUM(#REF!)-SUM(#REF!))*(1-P38)/P58</f>
        <v>#REF!</v>
      </c>
      <c r="R567" s="725" t="e">
        <f>(SUM(R176:R176,R177)-SUM(#REF!,#REF!))*(1-Q38)/Q58+(R73-Q73)-(SUM(#REF!)-SUM(#REF!))*(1-Q38)/Q58</f>
        <v>#REF!</v>
      </c>
      <c r="S567" s="725" t="e">
        <f>(SUM(S176:S176,S177)-SUM(R176:R176,R177))*(1-R38)/R58+(S73-R73)-(SUM(S27:S27)-SUM(#REF!))*(1-R38)/R58</f>
        <v>#REF!</v>
      </c>
    </row>
    <row r="568" spans="1:19" hidden="1" outlineLevel="1">
      <c r="A568" s="300" t="s">
        <v>278</v>
      </c>
      <c r="J568" s="360"/>
      <c r="K568" s="329" t="e">
        <f ca="1">(#REF!-#REF!)*(1-J38)/J58+(K45/K58-K45/J58)+((K35*(J38-K38))/J58)</f>
        <v>#REF!</v>
      </c>
      <c r="L568" s="329" t="e">
        <f ca="1">(#REF!-#REF!)*(1-K38)/K58+(L45/L58-L45/K58)+((L35*(K38-L38))/K58)</f>
        <v>#REF!</v>
      </c>
      <c r="M568" s="329" t="e">
        <f>(#REF!-#REF!)*(1-L38)/L58+(M45/M58-M45/L58)+((M35*(L38-M38))/L58)</f>
        <v>#REF!</v>
      </c>
      <c r="N568" s="329" t="e">
        <f>(#REF!-#REF!)*(1-M38)/M58+(N45/N58-N45/M58)+((N35*(M38-N38))/M58)</f>
        <v>#REF!</v>
      </c>
      <c r="O568" s="329" t="e">
        <f>(#REF!-#REF!)*(1-N38)/N58+(O45/O58-O45/N58)+((O35*(N38-O38))/N58)</f>
        <v>#REF!</v>
      </c>
      <c r="P568" s="329" t="e">
        <f>(#REF!-#REF!)*(1-O38)/O58+(P45/P58-P45/O58)+((P35*(O38-P38))/O58)</f>
        <v>#REF!</v>
      </c>
      <c r="Q568" s="329" t="e">
        <f>(#REF!-#REF!)*(1-P38)/P58+(Q45/Q58-Q45/P58)+((Q35*(P38-Q38))/P58)</f>
        <v>#REF!</v>
      </c>
      <c r="R568" s="329" t="e">
        <f>(#REF!-R32)*(1-Q38)/Q58+(R45/R58-R45/Q58)+((R35*(Q38-R38))/Q58)</f>
        <v>#REF!</v>
      </c>
      <c r="S568" s="329">
        <f>(R32-S32)*(1-R38)/R58+(S45/S58-S45/R58)+((S35*(R38-S38))/R58)</f>
        <v>7.5620894521493259E-2</v>
      </c>
    </row>
    <row r="569" spans="1:19" hidden="1" outlineLevel="1">
      <c r="A569" s="300" t="s">
        <v>211</v>
      </c>
      <c r="J569" s="329">
        <f t="shared" ref="J569:S569" si="1117">J47</f>
        <v>1.5211178577588074</v>
      </c>
      <c r="K569" s="329">
        <f t="shared" ca="1" si="1117"/>
        <v>1.6525817273363204</v>
      </c>
      <c r="L569" s="329">
        <f t="shared" si="1117"/>
        <v>1.757847803113912</v>
      </c>
      <c r="M569" s="329">
        <f t="shared" si="1117"/>
        <v>1.9043039192113489</v>
      </c>
      <c r="N569" s="329">
        <f t="shared" si="1117"/>
        <v>2.0500891472868217</v>
      </c>
      <c r="O569" s="329">
        <f t="shared" si="1117"/>
        <v>2.2149209486166006</v>
      </c>
      <c r="P569" s="329">
        <f t="shared" si="1117"/>
        <v>2.3829893683552221</v>
      </c>
      <c r="Q569" s="329">
        <f t="shared" si="1117"/>
        <v>2.5955510616784632</v>
      </c>
      <c r="R569" s="329">
        <f t="shared" si="1117"/>
        <v>2.8056582133299348</v>
      </c>
      <c r="S569" s="329">
        <f t="shared" si="1117"/>
        <v>3.0338114754098364</v>
      </c>
    </row>
    <row r="570" spans="1:19" hidden="1" outlineLevel="1"/>
    <row r="571" spans="1:19" hidden="1" outlineLevel="1">
      <c r="A571" s="300" t="s">
        <v>275</v>
      </c>
      <c r="K571" s="725" t="e">
        <f>(#REF!-#REF!)*(1-J38)/J58</f>
        <v>#REF!</v>
      </c>
      <c r="L571" s="725" t="e">
        <f ca="1">(#REF!-#REF!)*(1-K38)/K58</f>
        <v>#REF!</v>
      </c>
      <c r="M571" s="725" t="e">
        <f>(#REF!-#REF!)*(1-L38)/L58</f>
        <v>#REF!</v>
      </c>
      <c r="N571" s="725" t="e">
        <f>(#REF!-#REF!)*(1-M38)/M58</f>
        <v>#REF!</v>
      </c>
      <c r="O571" s="725" t="e">
        <f>(#REF!-#REF!)*(1-N38)/N58</f>
        <v>#REF!</v>
      </c>
      <c r="P571" s="725" t="e">
        <f>(#REF!-#REF!)*(1-O38)/O58</f>
        <v>#REF!</v>
      </c>
      <c r="Q571" s="725" t="e">
        <f>(#REF!-#REF!)*(1-P38)/P58</f>
        <v>#REF!</v>
      </c>
      <c r="R571" s="725" t="e">
        <f>(R173-#REF!)*(1-Q38)/Q58</f>
        <v>#REF!</v>
      </c>
      <c r="S571" s="725">
        <f>(S173-R173)*(1-R38)/R58</f>
        <v>0.12273925668428573</v>
      </c>
    </row>
    <row r="572" spans="1:19" hidden="1" outlineLevel="1">
      <c r="A572" s="15"/>
    </row>
    <row r="573" spans="1:19" hidden="1" outlineLevel="1">
      <c r="A573" s="129" t="s">
        <v>272</v>
      </c>
    </row>
    <row r="574" spans="1:19" hidden="1" outlineLevel="1">
      <c r="A574" s="300" t="s">
        <v>273</v>
      </c>
      <c r="K574" s="11">
        <f t="shared" ref="K574:S574" si="1118">K563/J$569</f>
        <v>3.9367527312580732E-2</v>
      </c>
      <c r="L574" s="11">
        <f t="shared" ca="1" si="1118"/>
        <v>8.2485316543745163E-2</v>
      </c>
      <c r="M574" s="11">
        <f t="shared" si="1118"/>
        <v>5.456850811720923E-2</v>
      </c>
      <c r="N574" s="11">
        <f t="shared" si="1118"/>
        <v>3.7477179763678994E-2</v>
      </c>
      <c r="O574" s="11">
        <f t="shared" si="1118"/>
        <v>1.4930640492594351E-2</v>
      </c>
      <c r="P574" s="11">
        <f t="shared" si="1118"/>
        <v>3.5333857635434895E-2</v>
      </c>
      <c r="Q574" s="11">
        <f t="shared" si="1118"/>
        <v>4.1330785409319518E-2</v>
      </c>
      <c r="R574" s="11">
        <f t="shared" si="1118"/>
        <v>4.1887946453607237E-2</v>
      </c>
      <c r="S574" s="11">
        <f t="shared" si="1118"/>
        <v>3.0983408613985193E-2</v>
      </c>
    </row>
    <row r="575" spans="1:19" hidden="1" outlineLevel="1">
      <c r="A575" s="300" t="s">
        <v>274</v>
      </c>
      <c r="K575" s="11">
        <f t="shared" ref="K575:S575" si="1119">K564/J$569</f>
        <v>-3.3787809228313835E-2</v>
      </c>
      <c r="L575" s="11">
        <f t="shared" ca="1" si="1119"/>
        <v>-0.12302209335935473</v>
      </c>
      <c r="M575" s="11">
        <f t="shared" si="1119"/>
        <v>-5.1949581934945963E-2</v>
      </c>
      <c r="N575" s="11">
        <f t="shared" si="1119"/>
        <v>-3.8164153761668484E-2</v>
      </c>
      <c r="O575" s="11">
        <f t="shared" si="1119"/>
        <v>-1.5283499706700778E-3</v>
      </c>
      <c r="P575" s="11">
        <f t="shared" si="1119"/>
        <v>-3.6609586753676954E-2</v>
      </c>
      <c r="Q575" s="11">
        <f t="shared" si="1119"/>
        <v>-2.6482747961031651E-2</v>
      </c>
      <c r="R575" s="11">
        <f t="shared" si="1119"/>
        <v>4.4143729507759343E-3</v>
      </c>
      <c r="S575" s="11">
        <f t="shared" si="1119"/>
        <v>-2.1782179580813923E-2</v>
      </c>
    </row>
    <row r="576" spans="1:19" hidden="1" outlineLevel="1">
      <c r="A576" s="300" t="s">
        <v>276</v>
      </c>
      <c r="K576" s="11" t="e">
        <f t="shared" ref="K576:S576" si="1120">K565/J$569</f>
        <v>#REF!</v>
      </c>
      <c r="L576" s="11" t="e">
        <f t="shared" ca="1" si="1120"/>
        <v>#REF!</v>
      </c>
      <c r="M576" s="11" t="e">
        <f t="shared" si="1120"/>
        <v>#REF!</v>
      </c>
      <c r="N576" s="11" t="e">
        <f t="shared" si="1120"/>
        <v>#REF!</v>
      </c>
      <c r="O576" s="11" t="e">
        <f t="shared" si="1120"/>
        <v>#REF!</v>
      </c>
      <c r="P576" s="11" t="e">
        <f t="shared" si="1120"/>
        <v>#REF!</v>
      </c>
      <c r="Q576" s="11" t="e">
        <f t="shared" si="1120"/>
        <v>#REF!</v>
      </c>
      <c r="R576" s="11" t="e">
        <f t="shared" si="1120"/>
        <v>#REF!</v>
      </c>
      <c r="S576" s="11">
        <f t="shared" si="1120"/>
        <v>3.4545816170389335E-2</v>
      </c>
    </row>
    <row r="577" spans="1:113" hidden="1" outlineLevel="1">
      <c r="A577" s="300" t="s">
        <v>279</v>
      </c>
      <c r="K577" s="11" t="e">
        <f t="shared" ref="K577:S577" si="1121">K566/J$569</f>
        <v>#REF!</v>
      </c>
      <c r="L577" s="11" t="e">
        <f t="shared" ca="1" si="1121"/>
        <v>#REF!</v>
      </c>
      <c r="M577" s="11" t="e">
        <f t="shared" si="1121"/>
        <v>#REF!</v>
      </c>
      <c r="N577" s="11" t="e">
        <f t="shared" si="1121"/>
        <v>#REF!</v>
      </c>
      <c r="O577" s="11" t="e">
        <f t="shared" si="1121"/>
        <v>#REF!</v>
      </c>
      <c r="P577" s="11" t="e">
        <f t="shared" si="1121"/>
        <v>#REF!</v>
      </c>
      <c r="Q577" s="11" t="e">
        <f t="shared" si="1121"/>
        <v>#REF!</v>
      </c>
      <c r="R577" s="11" t="e">
        <f t="shared" si="1121"/>
        <v>#REF!</v>
      </c>
      <c r="S577" s="11">
        <f t="shared" si="1121"/>
        <v>1.4316283564575137E-2</v>
      </c>
    </row>
    <row r="578" spans="1:113" hidden="1" outlineLevel="1">
      <c r="A578" s="300" t="s">
        <v>277</v>
      </c>
      <c r="K578" s="11" t="e">
        <f t="shared" ref="K578:S578" si="1122">K567/J$569</f>
        <v>#REF!</v>
      </c>
      <c r="L578" s="11" t="e">
        <f t="shared" ca="1" si="1122"/>
        <v>#REF!</v>
      </c>
      <c r="M578" s="11" t="e">
        <f t="shared" ca="1" si="1122"/>
        <v>#REF!</v>
      </c>
      <c r="N578" s="11" t="e">
        <f t="shared" si="1122"/>
        <v>#REF!</v>
      </c>
      <c r="O578" s="11" t="e">
        <f t="shared" si="1122"/>
        <v>#REF!</v>
      </c>
      <c r="P578" s="11" t="e">
        <f t="shared" si="1122"/>
        <v>#REF!</v>
      </c>
      <c r="Q578" s="11" t="e">
        <f t="shared" si="1122"/>
        <v>#REF!</v>
      </c>
      <c r="R578" s="11" t="e">
        <f t="shared" si="1122"/>
        <v>#REF!</v>
      </c>
      <c r="S578" s="11" t="e">
        <f t="shared" si="1122"/>
        <v>#REF!</v>
      </c>
    </row>
    <row r="579" spans="1:113" hidden="1" outlineLevel="1">
      <c r="A579" s="300" t="s">
        <v>278</v>
      </c>
      <c r="K579" s="11" t="e">
        <f t="shared" ref="K579:S579" ca="1" si="1123">K568/J$569</f>
        <v>#REF!</v>
      </c>
      <c r="L579" s="11" t="e">
        <f t="shared" ca="1" si="1123"/>
        <v>#REF!</v>
      </c>
      <c r="M579" s="11" t="e">
        <f t="shared" si="1123"/>
        <v>#REF!</v>
      </c>
      <c r="N579" s="11" t="e">
        <f t="shared" si="1123"/>
        <v>#REF!</v>
      </c>
      <c r="O579" s="11" t="e">
        <f t="shared" si="1123"/>
        <v>#REF!</v>
      </c>
      <c r="P579" s="11" t="e">
        <f t="shared" si="1123"/>
        <v>#REF!</v>
      </c>
      <c r="Q579" s="11" t="e">
        <f t="shared" si="1123"/>
        <v>#REF!</v>
      </c>
      <c r="R579" s="11" t="e">
        <f t="shared" si="1123"/>
        <v>#REF!</v>
      </c>
      <c r="S579" s="11">
        <f t="shared" si="1123"/>
        <v>2.6952995971573294E-2</v>
      </c>
    </row>
    <row r="580" spans="1:113" hidden="1" outlineLevel="1">
      <c r="A580" s="300" t="s">
        <v>211</v>
      </c>
      <c r="K580" s="11">
        <f t="shared" ref="K580:S580" ca="1" si="1124">K569/J$569-1</f>
        <v>8.6425827497160546E-2</v>
      </c>
      <c r="L580" s="11">
        <f t="shared" ca="1" si="1124"/>
        <v>6.3697954561837244E-2</v>
      </c>
      <c r="M580" s="11">
        <f t="shared" si="1124"/>
        <v>8.3315583885021027E-2</v>
      </c>
      <c r="N580" s="11">
        <f t="shared" si="1124"/>
        <v>7.655565196539027E-2</v>
      </c>
      <c r="O580" s="11">
        <f t="shared" si="1124"/>
        <v>8.0402260334836884E-2</v>
      </c>
      <c r="P580" s="11">
        <f t="shared" si="1124"/>
        <v>7.5880098494528259E-2</v>
      </c>
      <c r="Q580" s="11">
        <f t="shared" si="1124"/>
        <v>8.9199597843759859E-2</v>
      </c>
      <c r="R580" s="11">
        <f t="shared" si="1124"/>
        <v>8.0948957141918854E-2</v>
      </c>
      <c r="S580" s="11">
        <f t="shared" si="1124"/>
        <v>8.131897926694176E-2</v>
      </c>
    </row>
    <row r="581" spans="1:113" collapsed="1">
      <c r="A581" s="15"/>
    </row>
    <row r="582" spans="1:113">
      <c r="A582" s="730" t="s">
        <v>482</v>
      </c>
      <c r="AD582" s="387"/>
      <c r="AE582" s="387"/>
      <c r="AF582" s="387"/>
      <c r="AG582" s="387"/>
      <c r="AH582" s="387"/>
      <c r="AI582" s="387"/>
      <c r="AJ582" s="387"/>
      <c r="AK582" s="387"/>
      <c r="AL582" s="387"/>
      <c r="AM582" s="387"/>
      <c r="AN582" s="387"/>
      <c r="AO582" s="387"/>
      <c r="AP582" s="387"/>
      <c r="AQ582" s="387"/>
      <c r="AR582" s="387"/>
      <c r="AS582" s="387"/>
      <c r="AT582" s="387"/>
      <c r="AU582" s="387"/>
      <c r="AV582" s="387"/>
      <c r="AW582" s="387"/>
      <c r="AX582" s="387"/>
      <c r="AY582" s="387"/>
      <c r="AZ582" s="387"/>
      <c r="BA582" s="387"/>
      <c r="BB582" s="387"/>
      <c r="BC582" s="387"/>
      <c r="BD582" s="387"/>
      <c r="BE582" s="387"/>
      <c r="BF582" s="387"/>
      <c r="BG582" s="387"/>
      <c r="BH582" s="387"/>
      <c r="BI582" s="387"/>
      <c r="BJ582" s="387"/>
      <c r="BK582" s="387"/>
      <c r="BL582" s="387"/>
      <c r="BM582" s="387"/>
      <c r="BN582" s="393">
        <f t="shared" ref="BN582:DE582" si="1125">+BN173/BN187</f>
        <v>1</v>
      </c>
      <c r="BO582" s="393">
        <f t="shared" si="1125"/>
        <v>1</v>
      </c>
      <c r="BP582" s="393">
        <f t="shared" si="1125"/>
        <v>1</v>
      </c>
      <c r="BQ582" s="393">
        <f t="shared" si="1125"/>
        <v>1</v>
      </c>
      <c r="BR582" s="393">
        <f t="shared" si="1125"/>
        <v>0.90109890109890112</v>
      </c>
      <c r="BS582" s="393">
        <f t="shared" si="1125"/>
        <v>0.94425326909841711</v>
      </c>
      <c r="BT582" s="393">
        <f t="shared" si="1125"/>
        <v>0.97289784572619875</v>
      </c>
      <c r="BU582" s="393">
        <f t="shared" si="1125"/>
        <v>0.98514851485148514</v>
      </c>
      <c r="BV582" s="393">
        <f t="shared" si="1125"/>
        <v>0.79088471849865949</v>
      </c>
      <c r="BW582" s="393">
        <f t="shared" si="1125"/>
        <v>0.80756578947368418</v>
      </c>
      <c r="BX582" s="393">
        <f t="shared" si="1125"/>
        <v>0.83420899007589022</v>
      </c>
      <c r="BY582" s="393">
        <f t="shared" si="1125"/>
        <v>0.84098697738176831</v>
      </c>
      <c r="BZ582" s="393">
        <f t="shared" si="1125"/>
        <v>0.82395287958115182</v>
      </c>
      <c r="CA582" s="393">
        <f t="shared" si="1125"/>
        <v>0.82642343836373688</v>
      </c>
      <c r="CB582" s="393">
        <f t="shared" si="1125"/>
        <v>0.83844911147011314</v>
      </c>
      <c r="CC582" s="393">
        <f t="shared" si="1125"/>
        <v>0.77826633165829151</v>
      </c>
      <c r="CD582" s="393">
        <f t="shared" si="1125"/>
        <v>0.84259837601499066</v>
      </c>
      <c r="CE582" s="393">
        <f t="shared" si="1125"/>
        <v>0.83227513227513228</v>
      </c>
      <c r="CF582" s="393">
        <f t="shared" si="1125"/>
        <v>0.78838174273858919</v>
      </c>
      <c r="CG582" s="393">
        <f t="shared" si="1125"/>
        <v>0.81398035817446568</v>
      </c>
      <c r="CH582" s="393">
        <f t="shared" si="1125"/>
        <v>0.81075604494258757</v>
      </c>
      <c r="CI582" s="393">
        <f t="shared" si="1125"/>
        <v>0.81709169287174166</v>
      </c>
      <c r="CJ582" s="393">
        <f t="shared" si="1125"/>
        <v>0.78759947106331851</v>
      </c>
      <c r="CK582" s="393">
        <f t="shared" si="1125"/>
        <v>0.80251274091309666</v>
      </c>
      <c r="CL582" s="393">
        <f t="shared" si="1125"/>
        <v>0.80943120773239485</v>
      </c>
      <c r="CM582" s="393">
        <f t="shared" si="1125"/>
        <v>0.80584718229158381</v>
      </c>
      <c r="CN582" s="393">
        <f t="shared" si="1125"/>
        <v>0.77493431062110973</v>
      </c>
      <c r="CO582" s="393">
        <f t="shared" si="1125"/>
        <v>0.81565470304220955</v>
      </c>
      <c r="CP582" s="393">
        <f t="shared" si="1125"/>
        <v>0.83044497863731814</v>
      </c>
      <c r="CQ582" s="393">
        <f t="shared" si="1125"/>
        <v>0.83385043830676908</v>
      </c>
      <c r="CR582" s="393">
        <f t="shared" si="1125"/>
        <v>0.84775677633148472</v>
      </c>
      <c r="CS582" s="393">
        <f t="shared" si="1125"/>
        <v>0.82668752352685992</v>
      </c>
      <c r="CT582" s="393">
        <f t="shared" si="1125"/>
        <v>0.85342531705677349</v>
      </c>
      <c r="CU582" s="393">
        <f t="shared" si="1125"/>
        <v>0.85145248585370714</v>
      </c>
      <c r="CV582" s="393">
        <f t="shared" si="1125"/>
        <v>0.83922243456913115</v>
      </c>
      <c r="CW582" s="393">
        <f t="shared" si="1125"/>
        <v>0.81405142415359888</v>
      </c>
      <c r="CX582" s="393">
        <f t="shared" si="1125"/>
        <v>0.82772801818112429</v>
      </c>
      <c r="CY582" s="393">
        <f t="shared" si="1125"/>
        <v>0.81855838422459226</v>
      </c>
      <c r="CZ582" s="393">
        <f t="shared" si="1125"/>
        <v>0.81898839453110706</v>
      </c>
      <c r="DA582" s="393">
        <f t="shared" si="1125"/>
        <v>0.81177519430214617</v>
      </c>
      <c r="DB582" s="393">
        <f>+DB173/DB187</f>
        <v>0.84825967174597205</v>
      </c>
      <c r="DC582" s="393">
        <f t="shared" si="1125"/>
        <v>0.82245289363018326</v>
      </c>
      <c r="DD582" s="393">
        <f t="shared" si="1125"/>
        <v>0.8214285714285714</v>
      </c>
      <c r="DE582" s="393">
        <f t="shared" si="1125"/>
        <v>0.7898961695563872</v>
      </c>
      <c r="DF582" s="393">
        <f t="shared" ref="DF582:DI582" si="1126">+DF173/DF187</f>
        <v>0.83090146005994758</v>
      </c>
      <c r="DG582" s="393">
        <f t="shared" si="1126"/>
        <v>0.8227783593812189</v>
      </c>
      <c r="DH582" s="393">
        <f t="shared" si="1126"/>
        <v>0.82216166089520626</v>
      </c>
      <c r="DI582" s="393">
        <f t="shared" si="1126"/>
        <v>0.8040304242861569</v>
      </c>
    </row>
  </sheetData>
  <pageMargins left="0" right="0" top="0" bottom="0" header="0" footer="0"/>
  <pageSetup scale="77" fitToHeight="0" orientation="portrait"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enableFormatConditionsCalculation="0">
    <tabColor indexed="12"/>
    <pageSetUpPr fitToPage="1"/>
  </sheetPr>
  <dimension ref="A1:IQ300"/>
  <sheetViews>
    <sheetView showGridLines="0" zoomScaleNormal="100" workbookViewId="0">
      <pane xSplit="2" ySplit="6" topLeftCell="V7" activePane="bottomRight" state="frozen"/>
      <selection pane="topRight" activeCell="C1" sqref="C1"/>
      <selection pane="bottomLeft" activeCell="A7" sqref="A7"/>
      <selection pane="bottomRight" activeCell="V7" sqref="V7"/>
    </sheetView>
  </sheetViews>
  <sheetFormatPr defaultRowHeight="12.75" outlineLevelRow="1" outlineLevelCol="1"/>
  <cols>
    <col min="1" max="1" width="2.7109375" customWidth="1"/>
    <col min="2" max="2" width="27.85546875" customWidth="1"/>
    <col min="3" max="3" width="9.140625" hidden="1" customWidth="1" outlineLevel="1"/>
    <col min="4" max="16" width="12.7109375" hidden="1" customWidth="1" outlineLevel="1"/>
    <col min="17" max="17" width="12.7109375" hidden="1" customWidth="1" outlineLevel="1" collapsed="1"/>
    <col min="18" max="18" width="12.7109375" hidden="1" customWidth="1" outlineLevel="1"/>
    <col min="19" max="19" width="12.7109375" hidden="1" customWidth="1" outlineLevel="1" collapsed="1"/>
    <col min="20" max="20" width="12.7109375" hidden="1" customWidth="1" outlineLevel="1"/>
    <col min="21" max="21" width="12.7109375" hidden="1" customWidth="1" outlineLevel="1" collapsed="1"/>
    <col min="22" max="22" width="12.7109375" customWidth="1" collapsed="1"/>
    <col min="23" max="28" width="12.7109375" customWidth="1"/>
    <col min="29" max="33" width="12.7109375" hidden="1" customWidth="1" outlineLevel="1"/>
    <col min="34" max="34" width="9.140625" collapsed="1"/>
    <col min="245" max="16384" width="9.140625" style="26"/>
  </cols>
  <sheetData>
    <row r="1" spans="1:251" s="4" customFormat="1" ht="15.75">
      <c r="A1" s="19" t="s">
        <v>431</v>
      </c>
      <c r="AB1" s="396" t="s">
        <v>555</v>
      </c>
      <c r="AJ1" s="9"/>
      <c r="AK1" s="9"/>
      <c r="AL1" s="9"/>
      <c r="AM1" s="9"/>
      <c r="AN1" s="9"/>
      <c r="AO1" s="9"/>
      <c r="AP1" s="9"/>
      <c r="AQ1" s="9"/>
      <c r="AR1" s="9"/>
      <c r="BC1" s="132"/>
      <c r="BH1" s="132"/>
      <c r="BR1" s="132"/>
      <c r="BW1" s="132"/>
      <c r="GY1" s="44"/>
      <c r="GZ1" s="44"/>
      <c r="HA1" s="44"/>
      <c r="HB1" s="44"/>
      <c r="HC1" s="44"/>
      <c r="HD1" s="44"/>
      <c r="HR1"/>
      <c r="HS1"/>
      <c r="HT1"/>
      <c r="HU1"/>
      <c r="HV1"/>
      <c r="HW1"/>
      <c r="HX1"/>
      <c r="HY1"/>
      <c r="HZ1"/>
      <c r="IA1"/>
      <c r="IB1"/>
      <c r="IC1"/>
      <c r="ID1"/>
      <c r="IE1"/>
      <c r="IF1"/>
      <c r="IG1"/>
      <c r="IH1"/>
      <c r="II1"/>
      <c r="IJ1"/>
      <c r="IK1" s="9"/>
      <c r="IL1" s="9"/>
      <c r="IM1" s="9"/>
      <c r="IN1" s="9"/>
      <c r="IO1" s="9"/>
      <c r="IP1" s="9"/>
      <c r="IQ1" s="9"/>
    </row>
    <row r="2" spans="1:251" s="9" customFormat="1">
      <c r="A2" s="10" t="s">
        <v>130</v>
      </c>
      <c r="B2" s="4"/>
      <c r="C2" s="4"/>
      <c r="D2" s="4"/>
      <c r="E2" s="4"/>
      <c r="F2" s="4"/>
      <c r="G2" s="4"/>
      <c r="H2" s="4"/>
      <c r="I2" s="4"/>
      <c r="J2" s="4"/>
      <c r="K2" s="4"/>
      <c r="L2" s="4"/>
      <c r="M2" s="4"/>
      <c r="N2" s="4"/>
      <c r="O2" s="4"/>
      <c r="P2" s="4"/>
      <c r="Q2" s="4"/>
      <c r="R2" s="4"/>
      <c r="S2" s="4"/>
      <c r="T2" s="4"/>
      <c r="U2" s="4"/>
      <c r="V2" s="4"/>
      <c r="AB2" s="397" t="s">
        <v>556</v>
      </c>
      <c r="BC2" s="61"/>
      <c r="BH2" s="61"/>
      <c r="BJ2" s="27"/>
      <c r="BP2" s="24"/>
      <c r="BR2" s="61"/>
      <c r="BW2" s="61"/>
      <c r="HR2"/>
      <c r="HS2"/>
      <c r="HT2"/>
      <c r="HU2"/>
      <c r="HV2"/>
      <c r="HW2"/>
      <c r="HX2"/>
      <c r="HY2"/>
      <c r="HZ2"/>
      <c r="IA2"/>
      <c r="IB2"/>
      <c r="IC2"/>
      <c r="ID2"/>
      <c r="IE2"/>
      <c r="IF2"/>
      <c r="IG2"/>
      <c r="IH2"/>
      <c r="II2"/>
      <c r="IJ2"/>
    </row>
    <row r="3" spans="1:251" s="4" customFormat="1">
      <c r="A3"/>
      <c r="AB3" s="396" t="s">
        <v>557</v>
      </c>
      <c r="AJ3" s="9"/>
      <c r="AK3" s="9"/>
      <c r="AL3" s="9"/>
      <c r="AM3" s="9"/>
      <c r="AN3" s="9"/>
      <c r="AO3" s="9"/>
      <c r="AP3" s="9"/>
      <c r="AQ3" s="9"/>
      <c r="AR3" s="9"/>
      <c r="BC3" s="199"/>
      <c r="BH3" s="199"/>
      <c r="BN3" s="152"/>
      <c r="BQ3" s="24"/>
      <c r="BR3" s="199"/>
      <c r="BW3" s="199"/>
      <c r="HR3"/>
      <c r="HS3"/>
      <c r="HT3"/>
      <c r="HU3"/>
      <c r="HV3"/>
      <c r="HW3"/>
      <c r="HX3"/>
      <c r="HY3"/>
      <c r="HZ3"/>
      <c r="IA3"/>
      <c r="IB3"/>
      <c r="IC3"/>
      <c r="ID3"/>
      <c r="IE3"/>
      <c r="IF3"/>
      <c r="IG3"/>
      <c r="IH3"/>
      <c r="II3"/>
      <c r="IJ3"/>
      <c r="IK3" s="9"/>
      <c r="IL3" s="9"/>
      <c r="IM3" s="9"/>
      <c r="IN3" s="9"/>
      <c r="IO3" s="9"/>
      <c r="IP3" s="9"/>
      <c r="IQ3" s="9"/>
    </row>
    <row r="4" spans="1:251" s="4" customFormat="1">
      <c r="A4" s="169"/>
      <c r="B4" s="333"/>
      <c r="C4" s="333"/>
      <c r="D4" s="333"/>
      <c r="E4" s="333"/>
      <c r="F4" s="333"/>
      <c r="G4" s="333"/>
      <c r="H4" s="333"/>
      <c r="I4" s="333"/>
      <c r="J4" s="333"/>
      <c r="K4" s="333"/>
      <c r="L4" s="333"/>
      <c r="M4" s="333"/>
      <c r="N4" s="333"/>
      <c r="O4" s="333"/>
      <c r="P4" s="333"/>
      <c r="Q4" s="333"/>
      <c r="R4" s="333"/>
      <c r="S4" s="333"/>
      <c r="T4" s="333"/>
      <c r="U4" s="333"/>
      <c r="V4" s="333"/>
      <c r="W4" s="333"/>
      <c r="X4" s="333"/>
      <c r="Z4" s="398"/>
      <c r="AH4" s="333"/>
      <c r="AI4" s="333"/>
      <c r="AJ4" s="333"/>
      <c r="AK4" s="348"/>
      <c r="AL4" s="348"/>
      <c r="AM4" s="348"/>
      <c r="AN4" s="348"/>
      <c r="AO4" s="348"/>
      <c r="AP4" s="338"/>
      <c r="AQ4" s="338"/>
      <c r="AR4" s="338"/>
      <c r="AS4" s="338"/>
      <c r="AT4" s="338"/>
      <c r="AU4" s="338"/>
      <c r="AV4" s="338"/>
      <c r="AW4" s="338"/>
      <c r="AX4" s="338"/>
      <c r="AY4" s="338"/>
      <c r="AZ4" s="338"/>
      <c r="BA4" s="338"/>
      <c r="BB4" s="338"/>
      <c r="BC4" s="338"/>
      <c r="BD4" s="338"/>
      <c r="BE4" s="338"/>
      <c r="BF4" s="338"/>
      <c r="BG4" s="338"/>
      <c r="BH4" s="344"/>
      <c r="BI4" s="338"/>
      <c r="BJ4" s="338"/>
      <c r="BK4" s="338"/>
      <c r="BL4" s="338"/>
      <c r="BM4" s="338"/>
      <c r="BN4" s="338"/>
      <c r="BO4" s="333"/>
      <c r="BP4" s="333"/>
      <c r="BQ4" s="332"/>
      <c r="BR4" s="338"/>
      <c r="BS4" s="356"/>
      <c r="BT4" s="357"/>
      <c r="BU4" s="356"/>
      <c r="BV4" s="332"/>
      <c r="BW4" s="332"/>
      <c r="BX4" s="332"/>
      <c r="BY4" s="332"/>
      <c r="BZ4" s="332"/>
      <c r="CA4" s="332"/>
      <c r="CB4" s="332"/>
      <c r="CC4" s="332"/>
      <c r="CD4" s="332"/>
      <c r="CE4" s="332"/>
      <c r="CF4" s="332"/>
      <c r="CG4" s="332"/>
      <c r="CH4" s="332"/>
      <c r="CI4" s="332"/>
      <c r="CJ4" s="332"/>
      <c r="CK4" s="332"/>
      <c r="CL4" s="332"/>
      <c r="CM4" s="332"/>
      <c r="CN4" s="332"/>
      <c r="CO4" s="332"/>
      <c r="CP4" s="332"/>
      <c r="CQ4" s="332"/>
      <c r="CR4" s="332"/>
      <c r="CS4" s="332"/>
      <c r="CT4" s="332"/>
      <c r="CU4" s="332"/>
      <c r="CV4" s="332"/>
      <c r="CW4" s="332"/>
      <c r="CX4" s="332"/>
      <c r="CY4" s="332"/>
      <c r="CZ4" s="332"/>
      <c r="DA4" s="332"/>
      <c r="DB4" s="332"/>
      <c r="DC4" s="332"/>
      <c r="DD4" s="332"/>
      <c r="DE4" s="332"/>
      <c r="DF4" s="332"/>
      <c r="DG4" s="332"/>
      <c r="DH4" s="332"/>
      <c r="DI4" s="332"/>
      <c r="DJ4" s="332"/>
      <c r="DK4" s="332"/>
      <c r="DL4" s="332"/>
      <c r="DM4" s="332"/>
      <c r="DN4" s="332"/>
      <c r="DO4" s="332"/>
      <c r="DP4" s="332"/>
      <c r="DQ4" s="332"/>
      <c r="DR4" s="332"/>
      <c r="DS4" s="332"/>
      <c r="DT4" s="332"/>
      <c r="DU4" s="332"/>
      <c r="DV4" s="332"/>
      <c r="DW4" s="332"/>
      <c r="DX4" s="332"/>
      <c r="DY4" s="332"/>
      <c r="DZ4" s="332"/>
      <c r="EA4" s="332"/>
      <c r="EB4" s="332"/>
      <c r="EC4" s="332"/>
      <c r="ED4" s="332"/>
      <c r="EE4" s="332"/>
      <c r="EF4" s="332"/>
      <c r="EG4" s="332"/>
      <c r="EH4" s="332"/>
      <c r="EI4" s="332"/>
      <c r="EJ4" s="332"/>
      <c r="EK4" s="332"/>
      <c r="EL4" s="332"/>
      <c r="EM4" s="332"/>
      <c r="EN4" s="332"/>
      <c r="EO4" s="332"/>
      <c r="EP4" s="332"/>
      <c r="EQ4" s="332"/>
      <c r="ER4" s="332"/>
      <c r="ES4" s="332"/>
      <c r="ET4" s="332"/>
      <c r="EU4" s="332"/>
      <c r="EV4" s="332"/>
      <c r="EW4" s="332"/>
      <c r="EX4" s="332"/>
      <c r="EY4" s="332"/>
      <c r="EZ4" s="332"/>
      <c r="FA4" s="332"/>
      <c r="FB4" s="332"/>
      <c r="FC4" s="332"/>
      <c r="FD4" s="332"/>
      <c r="FE4" s="332"/>
      <c r="FF4" s="332"/>
      <c r="FG4" s="332"/>
      <c r="FH4" s="332"/>
      <c r="FI4" s="332"/>
      <c r="FJ4" s="332"/>
      <c r="FK4" s="332"/>
      <c r="FL4" s="332"/>
      <c r="FM4" s="332"/>
      <c r="FN4" s="332"/>
      <c r="FO4" s="332"/>
      <c r="FP4" s="332"/>
      <c r="FQ4" s="332"/>
      <c r="FR4" s="332"/>
      <c r="FS4" s="332"/>
      <c r="FT4" s="332"/>
      <c r="FU4" s="332"/>
      <c r="FV4" s="332"/>
      <c r="FW4" s="332"/>
      <c r="FX4" s="332"/>
      <c r="FY4" s="332"/>
      <c r="FZ4" s="332"/>
      <c r="GA4" s="332"/>
      <c r="GB4" s="332"/>
      <c r="GC4" s="332"/>
      <c r="GD4" s="332"/>
      <c r="GE4" s="332"/>
      <c r="GF4" s="332"/>
      <c r="GG4" s="332"/>
      <c r="GH4" s="332"/>
      <c r="GI4" s="332"/>
      <c r="GJ4" s="332"/>
      <c r="GK4" s="332"/>
      <c r="GL4" s="332"/>
      <c r="GM4" s="332"/>
      <c r="GN4" s="332"/>
      <c r="GO4" s="332"/>
      <c r="GP4" s="332"/>
      <c r="GQ4" s="332"/>
      <c r="GR4" s="332"/>
      <c r="GS4" s="332"/>
      <c r="GT4" s="332"/>
      <c r="GU4" s="332"/>
      <c r="GV4" s="332"/>
      <c r="GW4" s="332"/>
      <c r="GX4" s="332"/>
      <c r="GY4" s="332"/>
      <c r="GZ4" s="332"/>
      <c r="HA4" s="332"/>
      <c r="HB4" s="332"/>
      <c r="HC4" s="332"/>
      <c r="HD4" s="332"/>
      <c r="HE4" s="332"/>
      <c r="HF4" s="332"/>
      <c r="HG4" s="332"/>
      <c r="HH4" s="332"/>
      <c r="HI4" s="332"/>
      <c r="HJ4" s="332"/>
      <c r="HK4" s="332"/>
      <c r="HL4" s="332"/>
      <c r="HM4" s="332"/>
      <c r="HN4" s="332"/>
      <c r="HO4" s="332"/>
      <c r="HP4" s="332"/>
      <c r="HQ4" s="332"/>
      <c r="HR4"/>
      <c r="HS4"/>
      <c r="HT4"/>
      <c r="HU4"/>
      <c r="HV4"/>
      <c r="HW4"/>
      <c r="HX4"/>
      <c r="HY4"/>
      <c r="HZ4"/>
      <c r="IA4"/>
      <c r="IB4"/>
      <c r="IC4"/>
      <c r="ID4"/>
      <c r="IE4"/>
      <c r="IF4"/>
      <c r="IG4"/>
      <c r="IH4"/>
      <c r="II4"/>
      <c r="IJ4"/>
      <c r="IK4" s="9"/>
      <c r="IL4" s="9"/>
      <c r="IM4" s="9"/>
      <c r="IN4" s="9"/>
      <c r="IO4" s="9"/>
      <c r="IP4" s="9"/>
      <c r="IQ4" s="9"/>
    </row>
    <row r="5" spans="1:251" customFormat="1" ht="14.25" hidden="1" customHeight="1" outlineLevel="1"/>
    <row r="6" spans="1:251" s="13" customFormat="1" collapsed="1">
      <c r="A6" s="235" t="s">
        <v>412</v>
      </c>
      <c r="B6" s="236"/>
      <c r="C6" s="236"/>
      <c r="D6" s="237">
        <v>1998</v>
      </c>
      <c r="E6" s="237">
        <v>1999</v>
      </c>
      <c r="F6" s="237">
        <v>2000</v>
      </c>
      <c r="G6" s="237">
        <v>2001</v>
      </c>
      <c r="H6" s="237">
        <v>2002</v>
      </c>
      <c r="I6" s="237">
        <v>2003</v>
      </c>
      <c r="J6" s="237">
        <v>2004</v>
      </c>
      <c r="K6" s="237">
        <v>2005</v>
      </c>
      <c r="L6" s="237">
        <v>2006</v>
      </c>
      <c r="M6" s="237">
        <v>2006</v>
      </c>
      <c r="N6" s="237">
        <v>2007</v>
      </c>
      <c r="O6" s="237">
        <v>2007</v>
      </c>
      <c r="P6" s="237">
        <v>2008</v>
      </c>
      <c r="Q6" s="237">
        <v>2009</v>
      </c>
      <c r="R6" s="237">
        <v>2010</v>
      </c>
      <c r="S6" s="427">
        <v>2011</v>
      </c>
      <c r="T6" s="427">
        <v>2012</v>
      </c>
      <c r="U6" s="976">
        <v>2013</v>
      </c>
      <c r="V6" s="976">
        <v>2014</v>
      </c>
      <c r="W6" s="976">
        <v>2015</v>
      </c>
      <c r="X6" s="427">
        <v>2016</v>
      </c>
      <c r="Y6" s="427" t="s">
        <v>216</v>
      </c>
      <c r="Z6" s="427" t="s">
        <v>217</v>
      </c>
      <c r="AA6" s="427" t="s">
        <v>218</v>
      </c>
      <c r="AB6" s="427" t="s">
        <v>219</v>
      </c>
      <c r="AC6" s="282" t="s">
        <v>687</v>
      </c>
      <c r="AD6" s="282" t="s">
        <v>688</v>
      </c>
      <c r="AE6" s="282" t="s">
        <v>689</v>
      </c>
      <c r="AF6" s="282" t="s">
        <v>690</v>
      </c>
      <c r="AG6" s="282" t="s">
        <v>691</v>
      </c>
      <c r="AH6" s="52"/>
      <c r="AI6" s="52"/>
      <c r="AJ6" s="52"/>
      <c r="AK6" s="52"/>
      <c r="AL6" s="52"/>
      <c r="AM6" s="52"/>
      <c r="AN6" s="52"/>
      <c r="AO6" s="52"/>
      <c r="AP6" s="52"/>
      <c r="AQ6" s="52"/>
      <c r="AR6" s="52"/>
      <c r="AS6" s="52"/>
      <c r="AT6" s="52"/>
      <c r="AU6" s="52"/>
      <c r="AV6" s="52"/>
      <c r="AW6" s="52"/>
      <c r="AX6" s="52"/>
      <c r="AY6" s="52"/>
      <c r="AZ6" s="52"/>
      <c r="BA6" s="52"/>
      <c r="BB6" s="52"/>
      <c r="BC6" s="52"/>
      <c r="BD6" s="52"/>
      <c r="BE6" s="52"/>
      <c r="BF6" s="52"/>
      <c r="BG6" s="52"/>
      <c r="BH6" s="52"/>
      <c r="BI6" s="52"/>
      <c r="BJ6" s="52"/>
      <c r="BK6" s="52"/>
      <c r="BL6" s="52"/>
      <c r="BM6" s="52"/>
      <c r="BN6" s="52"/>
      <c r="BO6" s="52"/>
      <c r="BP6" s="52"/>
      <c r="BQ6" s="52"/>
      <c r="BR6" s="52"/>
      <c r="BS6" s="52"/>
      <c r="BT6" s="52"/>
      <c r="BU6" s="52"/>
      <c r="BV6" s="52"/>
      <c r="BW6" s="52"/>
      <c r="BX6" s="52"/>
      <c r="BY6" s="52"/>
      <c r="BZ6" s="52"/>
      <c r="CA6" s="52"/>
      <c r="CB6" s="52"/>
      <c r="CC6" s="52"/>
      <c r="CD6" s="52"/>
      <c r="CE6" s="52"/>
      <c r="CF6" s="52"/>
      <c r="CG6" s="52"/>
      <c r="CH6" s="52"/>
      <c r="CI6" s="52"/>
      <c r="CJ6" s="52"/>
      <c r="CK6" s="52"/>
      <c r="CL6" s="52"/>
      <c r="CM6" s="52"/>
      <c r="CN6" s="52"/>
      <c r="CO6" s="52"/>
      <c r="CP6" s="52"/>
      <c r="CQ6" s="52"/>
      <c r="CR6" s="52"/>
      <c r="CS6" s="52"/>
      <c r="CT6" s="52"/>
      <c r="CU6" s="52"/>
      <c r="CV6" s="52"/>
      <c r="CW6" s="52"/>
      <c r="CX6" s="52"/>
      <c r="CY6" s="52"/>
      <c r="CZ6" s="52"/>
      <c r="DA6" s="52"/>
      <c r="DB6" s="52"/>
      <c r="DC6" s="52"/>
      <c r="DD6" s="52"/>
      <c r="DE6" s="52"/>
      <c r="DF6" s="52"/>
      <c r="DG6" s="52"/>
      <c r="DH6" s="52"/>
      <c r="DI6" s="52"/>
      <c r="DJ6" s="52"/>
      <c r="DK6" s="52"/>
      <c r="DL6" s="52"/>
      <c r="DM6" s="52"/>
      <c r="DN6" s="52"/>
      <c r="DO6" s="52"/>
      <c r="DP6" s="52"/>
      <c r="DQ6" s="52"/>
      <c r="DR6" s="52"/>
      <c r="DS6" s="52"/>
      <c r="DT6" s="52"/>
      <c r="DU6" s="52"/>
      <c r="DV6" s="52"/>
      <c r="DW6" s="52"/>
      <c r="DX6" s="52"/>
      <c r="DY6" s="52"/>
      <c r="DZ6" s="52"/>
      <c r="EA6" s="52"/>
      <c r="EB6" s="52"/>
      <c r="EC6" s="52"/>
      <c r="ED6" s="52"/>
      <c r="EE6" s="52"/>
      <c r="EF6" s="52"/>
      <c r="EG6" s="52"/>
      <c r="EH6" s="52"/>
      <c r="EI6" s="52"/>
      <c r="EJ6" s="52"/>
      <c r="EK6" s="52"/>
      <c r="EL6" s="52"/>
      <c r="EM6" s="52"/>
      <c r="EN6" s="52"/>
      <c r="EO6" s="52"/>
      <c r="EP6" s="52"/>
      <c r="EQ6" s="52"/>
      <c r="ER6" s="52"/>
      <c r="ES6" s="52"/>
      <c r="ET6" s="52"/>
      <c r="EU6" s="52"/>
      <c r="EV6" s="52"/>
      <c r="EW6" s="52"/>
      <c r="EX6" s="52"/>
      <c r="EY6" s="52"/>
      <c r="EZ6" s="52"/>
      <c r="FA6" s="52"/>
      <c r="FB6" s="52"/>
      <c r="FC6" s="52"/>
      <c r="FD6" s="52"/>
      <c r="FE6" s="52"/>
      <c r="FF6" s="52"/>
      <c r="FG6" s="52"/>
      <c r="FH6" s="52"/>
      <c r="FI6" s="52"/>
      <c r="FJ6" s="52"/>
      <c r="FK6" s="52"/>
      <c r="FL6" s="52"/>
      <c r="FM6" s="52"/>
      <c r="FN6" s="52"/>
      <c r="FO6" s="52"/>
      <c r="FP6" s="52"/>
      <c r="FQ6" s="52"/>
      <c r="FR6" s="52"/>
      <c r="FS6" s="52"/>
      <c r="FT6" s="52"/>
      <c r="FU6" s="52"/>
      <c r="FV6" s="52"/>
      <c r="FW6" s="52"/>
      <c r="FX6" s="52"/>
      <c r="FY6" s="52"/>
      <c r="FZ6" s="52"/>
      <c r="GA6" s="52"/>
      <c r="GB6" s="52"/>
      <c r="GC6" s="52"/>
      <c r="GD6" s="52"/>
      <c r="GE6" s="52"/>
      <c r="GF6" s="52"/>
      <c r="GG6" s="52"/>
      <c r="GH6" s="52"/>
      <c r="GI6" s="52"/>
      <c r="GJ6" s="52"/>
      <c r="GK6" s="52"/>
      <c r="GL6" s="52"/>
      <c r="GM6" s="52"/>
      <c r="GN6" s="52"/>
      <c r="GO6" s="52"/>
      <c r="GP6" s="52"/>
      <c r="GQ6" s="52"/>
      <c r="GR6" s="52"/>
      <c r="GS6" s="52"/>
      <c r="GT6" s="52"/>
      <c r="GU6" s="52"/>
      <c r="GV6" s="52"/>
      <c r="GW6" s="52"/>
      <c r="GX6" s="52"/>
      <c r="GY6" s="52"/>
      <c r="GZ6" s="52"/>
      <c r="HA6" s="52"/>
      <c r="HB6" s="52"/>
      <c r="HC6" s="52"/>
      <c r="HD6" s="52"/>
      <c r="HE6" s="52"/>
      <c r="HF6" s="52"/>
      <c r="HG6" s="52"/>
      <c r="HH6" s="52"/>
      <c r="HI6" s="52"/>
      <c r="HJ6" s="52"/>
      <c r="HK6" s="52"/>
      <c r="HL6" s="52"/>
      <c r="HM6" s="52"/>
      <c r="HN6" s="52"/>
      <c r="HO6" s="52"/>
      <c r="HP6" s="52"/>
      <c r="HQ6" s="52"/>
      <c r="HR6"/>
      <c r="HS6"/>
      <c r="HT6"/>
      <c r="HU6"/>
      <c r="HV6"/>
      <c r="HW6"/>
      <c r="HX6"/>
      <c r="HY6"/>
      <c r="HZ6"/>
      <c r="IA6"/>
      <c r="IB6"/>
      <c r="IC6"/>
      <c r="ID6"/>
      <c r="IE6"/>
      <c r="IF6"/>
      <c r="IG6"/>
      <c r="IH6"/>
      <c r="II6"/>
      <c r="IJ6"/>
      <c r="IK6" s="9"/>
      <c r="IL6" s="9"/>
      <c r="IM6" s="9"/>
      <c r="IN6" s="9"/>
      <c r="IO6" s="9"/>
      <c r="IP6" s="9"/>
      <c r="IQ6" s="9"/>
    </row>
    <row r="7" spans="1:251" s="9" customFormat="1" ht="6" customHeight="1">
      <c r="A7" s="238"/>
      <c r="B7" s="36"/>
      <c r="C7" s="36"/>
      <c r="D7" s="4"/>
      <c r="E7" s="239"/>
      <c r="F7" s="239"/>
      <c r="G7" s="239"/>
      <c r="H7" s="239"/>
      <c r="I7" s="239"/>
      <c r="J7" s="239"/>
      <c r="K7" s="239"/>
      <c r="L7" s="239"/>
      <c r="M7" s="239"/>
      <c r="N7" s="239"/>
      <c r="O7" s="239"/>
      <c r="P7" s="239"/>
      <c r="Q7" s="239"/>
      <c r="R7" s="239"/>
      <c r="S7" s="239"/>
      <c r="T7" s="239"/>
      <c r="U7" s="239"/>
      <c r="V7" s="239"/>
      <c r="W7" s="239"/>
      <c r="X7" s="239"/>
      <c r="Y7" s="239"/>
      <c r="Z7" s="239"/>
      <c r="AA7" s="239"/>
      <c r="AB7" s="239"/>
      <c r="AC7" s="239"/>
      <c r="AD7" s="239"/>
      <c r="AE7" s="239"/>
      <c r="AF7" s="239"/>
      <c r="AG7" s="239"/>
      <c r="AH7" s="32"/>
      <c r="AI7" s="32"/>
      <c r="AJ7" s="32"/>
      <c r="AK7" s="32"/>
      <c r="AL7" s="32"/>
      <c r="AM7" s="32"/>
      <c r="AN7" s="32"/>
      <c r="AO7" s="32"/>
      <c r="AP7" s="32"/>
      <c r="AQ7" s="32"/>
      <c r="AR7" s="32"/>
      <c r="AS7" s="32"/>
      <c r="AT7" s="32"/>
      <c r="AU7" s="32"/>
      <c r="AV7" s="32"/>
      <c r="AW7" s="32"/>
      <c r="AX7" s="32"/>
      <c r="AY7" s="32"/>
      <c r="AZ7" s="32"/>
      <c r="BA7" s="32"/>
      <c r="BB7" s="32"/>
      <c r="BC7" s="32"/>
      <c r="BD7" s="32"/>
      <c r="BE7" s="32"/>
      <c r="BF7" s="32"/>
      <c r="BG7" s="32"/>
      <c r="BH7" s="32"/>
      <c r="BI7" s="32"/>
      <c r="BJ7" s="32"/>
      <c r="BK7" s="32"/>
      <c r="BL7" s="32"/>
      <c r="BM7" s="32"/>
      <c r="BN7" s="32"/>
      <c r="BO7" s="32"/>
      <c r="BP7" s="32"/>
      <c r="BQ7" s="32"/>
      <c r="BR7" s="32"/>
      <c r="BS7" s="32"/>
      <c r="BT7" s="32"/>
      <c r="BU7" s="32"/>
      <c r="BV7" s="32"/>
      <c r="BW7" s="32"/>
      <c r="BX7" s="32"/>
      <c r="BY7" s="32"/>
      <c r="BZ7" s="32"/>
      <c r="CA7" s="32"/>
      <c r="CB7" s="32"/>
      <c r="CC7" s="32"/>
      <c r="CD7" s="32"/>
      <c r="CE7" s="32"/>
      <c r="CF7" s="32"/>
      <c r="CG7" s="32"/>
      <c r="CH7" s="32"/>
      <c r="CI7" s="32"/>
      <c r="CJ7" s="32"/>
      <c r="CK7" s="32"/>
      <c r="CL7" s="32"/>
      <c r="CM7" s="32"/>
      <c r="CN7" s="32"/>
      <c r="CO7" s="32"/>
      <c r="CP7" s="32"/>
      <c r="CQ7" s="32"/>
      <c r="CR7" s="32"/>
      <c r="CS7" s="32"/>
      <c r="CT7" s="32"/>
      <c r="CU7" s="32"/>
      <c r="CV7" s="32"/>
      <c r="CW7" s="32"/>
      <c r="CX7" s="32"/>
      <c r="CY7" s="32"/>
      <c r="CZ7" s="32"/>
      <c r="DA7" s="32"/>
      <c r="DB7" s="32"/>
      <c r="DC7" s="32"/>
      <c r="DD7" s="32"/>
      <c r="DE7" s="32"/>
      <c r="DF7" s="32"/>
      <c r="DG7" s="32"/>
      <c r="DH7" s="32"/>
      <c r="DI7" s="32"/>
      <c r="DJ7" s="32"/>
      <c r="DK7" s="32"/>
      <c r="DL7" s="32"/>
      <c r="DM7" s="32"/>
      <c r="DN7" s="32"/>
      <c r="DO7" s="32"/>
      <c r="DP7" s="32"/>
      <c r="DQ7" s="32"/>
      <c r="DR7" s="32"/>
      <c r="DS7" s="32"/>
      <c r="DT7" s="32"/>
      <c r="DU7" s="32"/>
      <c r="DV7" s="32"/>
      <c r="DW7" s="32"/>
      <c r="DX7" s="32"/>
      <c r="DY7" s="32"/>
      <c r="DZ7" s="32"/>
      <c r="EA7" s="32"/>
      <c r="EB7" s="32"/>
      <c r="EC7" s="32"/>
      <c r="ED7" s="32"/>
      <c r="EE7" s="32"/>
      <c r="EF7" s="32"/>
      <c r="EG7" s="32"/>
      <c r="EH7" s="32"/>
      <c r="EI7" s="32"/>
      <c r="EJ7" s="32"/>
      <c r="EK7" s="32"/>
      <c r="EL7" s="32"/>
      <c r="EM7" s="32"/>
      <c r="EN7" s="32"/>
      <c r="EO7" s="32"/>
      <c r="EP7" s="32"/>
      <c r="EQ7" s="32"/>
      <c r="ER7" s="32"/>
      <c r="ES7" s="32"/>
      <c r="ET7" s="32"/>
      <c r="EU7" s="32"/>
      <c r="EV7" s="32"/>
      <c r="EW7" s="32"/>
      <c r="EX7" s="32"/>
      <c r="EY7" s="32"/>
      <c r="EZ7" s="32"/>
      <c r="FA7" s="32"/>
      <c r="FB7" s="32"/>
      <c r="FC7" s="32"/>
      <c r="FD7" s="32"/>
      <c r="FE7" s="32"/>
      <c r="FF7" s="32"/>
      <c r="FG7" s="32"/>
      <c r="FH7" s="32"/>
      <c r="FI7" s="32"/>
      <c r="FJ7" s="32"/>
      <c r="FK7" s="32"/>
      <c r="FL7" s="32"/>
      <c r="FM7" s="32"/>
      <c r="FN7" s="32"/>
      <c r="FO7" s="32"/>
      <c r="FP7" s="32"/>
      <c r="FQ7" s="32"/>
      <c r="FR7" s="32"/>
      <c r="FS7" s="32"/>
      <c r="FT7" s="32"/>
      <c r="FU7" s="32"/>
      <c r="FV7" s="32"/>
      <c r="FW7" s="32"/>
      <c r="FX7" s="32"/>
      <c r="FY7" s="32"/>
      <c r="FZ7" s="32"/>
      <c r="GA7" s="32"/>
      <c r="GB7" s="32"/>
      <c r="GC7" s="32"/>
      <c r="GD7" s="32"/>
      <c r="GE7" s="32"/>
      <c r="GF7" s="32"/>
      <c r="GG7" s="32"/>
      <c r="GH7" s="32"/>
      <c r="GI7" s="32"/>
      <c r="GJ7" s="32"/>
      <c r="GK7" s="32"/>
      <c r="GL7" s="32"/>
      <c r="GM7" s="32"/>
      <c r="GN7" s="32"/>
      <c r="GO7" s="32"/>
      <c r="GP7" s="32"/>
      <c r="GQ7" s="32"/>
      <c r="GR7" s="32"/>
      <c r="GS7" s="32"/>
      <c r="GT7" s="32"/>
      <c r="GU7" s="32"/>
      <c r="GV7" s="32"/>
      <c r="GW7" s="32"/>
      <c r="GX7" s="32"/>
      <c r="GY7" s="32"/>
      <c r="GZ7" s="32"/>
      <c r="HA7" s="32"/>
      <c r="HB7" s="32"/>
      <c r="HC7" s="32"/>
      <c r="HD7" s="32"/>
      <c r="HE7" s="32"/>
      <c r="HF7" s="32"/>
      <c r="HG7" s="32"/>
      <c r="HH7" s="32"/>
      <c r="HI7" s="32"/>
      <c r="HJ7" s="32"/>
      <c r="HK7" s="32"/>
      <c r="HL7" s="32"/>
      <c r="HM7" s="32"/>
      <c r="HN7" s="32"/>
      <c r="HO7" s="32"/>
      <c r="HP7" s="32"/>
      <c r="HQ7" s="32"/>
      <c r="HR7"/>
      <c r="HS7"/>
      <c r="HT7"/>
      <c r="HU7"/>
      <c r="HV7"/>
      <c r="HW7"/>
      <c r="HX7"/>
      <c r="HY7"/>
      <c r="HZ7"/>
      <c r="IA7"/>
      <c r="IB7"/>
      <c r="IC7"/>
      <c r="ID7"/>
      <c r="IE7"/>
      <c r="IF7"/>
      <c r="IG7"/>
      <c r="IH7"/>
      <c r="II7"/>
      <c r="IJ7"/>
    </row>
    <row r="8" spans="1:251" s="33" customFormat="1">
      <c r="A8" s="45" t="s">
        <v>419</v>
      </c>
      <c r="B8" s="32"/>
      <c r="C8" s="68"/>
      <c r="D8" s="68"/>
      <c r="E8" s="68"/>
      <c r="F8" s="68"/>
      <c r="G8" s="68"/>
      <c r="H8" s="68"/>
      <c r="I8" s="68"/>
      <c r="J8" s="68"/>
      <c r="K8" s="68"/>
      <c r="L8" s="68"/>
      <c r="M8" s="68"/>
      <c r="N8" s="68"/>
      <c r="O8" s="68"/>
      <c r="P8" s="68"/>
      <c r="Q8" s="68"/>
      <c r="R8" s="68"/>
      <c r="S8" s="68"/>
      <c r="T8" s="68"/>
      <c r="U8" s="68"/>
      <c r="V8" s="68"/>
      <c r="W8" s="68"/>
      <c r="X8" s="68"/>
      <c r="Y8" s="68"/>
      <c r="Z8" s="68"/>
      <c r="AA8" s="68"/>
      <c r="AB8" s="68"/>
      <c r="AC8" s="68"/>
      <c r="AD8" s="68"/>
      <c r="AE8" s="68"/>
      <c r="AF8" s="68"/>
      <c r="AG8" s="68"/>
      <c r="AH8" s="43"/>
      <c r="AI8" s="43"/>
      <c r="AJ8" s="43"/>
      <c r="AK8" s="43"/>
      <c r="AL8" s="43"/>
      <c r="AM8" s="43"/>
      <c r="AN8" s="43"/>
      <c r="AO8" s="43"/>
      <c r="AP8" s="43"/>
      <c r="AQ8" s="43"/>
      <c r="AR8" s="43"/>
      <c r="AS8" s="43"/>
      <c r="AT8" s="43"/>
      <c r="AU8" s="43"/>
      <c r="AV8" s="43"/>
      <c r="AW8" s="43"/>
      <c r="AX8" s="43"/>
      <c r="AY8" s="43"/>
      <c r="AZ8" s="43"/>
      <c r="BA8" s="43"/>
      <c r="BB8" s="43"/>
      <c r="BC8" s="43"/>
      <c r="BD8" s="43"/>
      <c r="BE8" s="43"/>
      <c r="BF8" s="43"/>
      <c r="BG8" s="43"/>
      <c r="BH8" s="43"/>
      <c r="BI8" s="43"/>
      <c r="BJ8" s="43"/>
      <c r="BK8" s="43"/>
      <c r="BL8" s="43"/>
      <c r="BM8" s="43"/>
      <c r="BN8" s="43"/>
      <c r="BO8" s="43"/>
      <c r="BP8" s="43"/>
      <c r="BQ8" s="43"/>
      <c r="BR8" s="43"/>
      <c r="BS8" s="43"/>
      <c r="BT8" s="43"/>
      <c r="BU8" s="43"/>
      <c r="BV8" s="43"/>
      <c r="BW8" s="43"/>
      <c r="BX8" s="43"/>
      <c r="BY8" s="43"/>
      <c r="BZ8" s="43"/>
      <c r="CA8" s="43"/>
      <c r="CB8" s="43"/>
      <c r="CC8" s="43"/>
      <c r="CD8" s="43"/>
      <c r="CE8" s="43"/>
      <c r="CF8" s="43"/>
      <c r="CG8" s="43"/>
      <c r="CH8" s="43"/>
      <c r="CI8" s="43"/>
      <c r="CJ8" s="43"/>
      <c r="CK8" s="43"/>
      <c r="CL8" s="43"/>
      <c r="CM8" s="43"/>
      <c r="CN8" s="43"/>
      <c r="CO8" s="43"/>
      <c r="CP8" s="43"/>
      <c r="CQ8" s="43"/>
      <c r="CR8" s="43"/>
      <c r="CS8" s="43"/>
      <c r="CT8" s="43"/>
      <c r="CU8" s="43"/>
      <c r="CV8" s="43"/>
      <c r="CW8" s="43"/>
      <c r="CX8" s="43"/>
      <c r="CY8" s="43"/>
      <c r="CZ8" s="43"/>
      <c r="DA8" s="43"/>
      <c r="DB8" s="43"/>
      <c r="DC8" s="43"/>
      <c r="DD8" s="43"/>
      <c r="DE8" s="43"/>
      <c r="DF8" s="43"/>
      <c r="DG8" s="43"/>
      <c r="DH8" s="43"/>
      <c r="DI8" s="43"/>
      <c r="DJ8" s="43"/>
      <c r="DK8" s="43"/>
      <c r="DL8" s="43"/>
      <c r="DM8" s="43"/>
      <c r="DN8" s="43"/>
      <c r="DO8" s="43"/>
      <c r="DP8" s="43"/>
      <c r="DQ8" s="43"/>
      <c r="DR8" s="43"/>
      <c r="DS8" s="43"/>
      <c r="DT8" s="43"/>
      <c r="DU8" s="43"/>
      <c r="DV8" s="43"/>
      <c r="DW8" s="43"/>
      <c r="DX8" s="43"/>
      <c r="DY8" s="43"/>
      <c r="DZ8" s="43"/>
      <c r="EA8" s="43"/>
      <c r="EB8" s="43"/>
      <c r="EC8" s="43"/>
      <c r="ED8" s="43"/>
      <c r="EE8" s="43"/>
      <c r="EF8" s="43"/>
      <c r="EG8" s="43"/>
      <c r="EH8" s="43"/>
      <c r="EI8" s="43"/>
      <c r="EJ8" s="43"/>
      <c r="EK8" s="43"/>
      <c r="EL8" s="43"/>
      <c r="EM8" s="43"/>
      <c r="EN8" s="43"/>
      <c r="EO8" s="43"/>
      <c r="EP8" s="43"/>
      <c r="EQ8" s="43"/>
      <c r="ER8" s="43"/>
      <c r="ES8" s="43"/>
      <c r="ET8" s="43"/>
      <c r="EU8" s="43"/>
      <c r="EV8" s="43"/>
      <c r="EW8" s="43"/>
      <c r="EX8" s="43"/>
      <c r="EY8" s="43"/>
      <c r="EZ8" s="43"/>
      <c r="FA8" s="43"/>
      <c r="FB8" s="43"/>
      <c r="FC8" s="43"/>
      <c r="FD8" s="43"/>
      <c r="FE8" s="43"/>
      <c r="FF8" s="43"/>
      <c r="FG8" s="43"/>
      <c r="FH8" s="43"/>
      <c r="FI8" s="43"/>
      <c r="FJ8" s="43"/>
      <c r="FK8" s="43"/>
      <c r="FL8" s="43"/>
      <c r="FM8" s="43"/>
      <c r="FN8" s="43"/>
      <c r="FO8" s="43"/>
      <c r="FP8" s="43"/>
      <c r="FQ8" s="43"/>
      <c r="FR8" s="43"/>
      <c r="FS8" s="43"/>
      <c r="FT8" s="43"/>
      <c r="FU8" s="43"/>
      <c r="FV8" s="43"/>
      <c r="FW8" s="43"/>
      <c r="FX8" s="43"/>
      <c r="FY8" s="43"/>
      <c r="FZ8" s="43"/>
      <c r="GA8" s="43"/>
      <c r="GB8" s="43"/>
      <c r="GC8" s="43"/>
      <c r="GD8" s="43"/>
      <c r="GE8" s="43"/>
      <c r="GF8" s="43"/>
      <c r="GG8" s="43"/>
      <c r="GH8" s="43"/>
      <c r="GI8" s="43"/>
      <c r="GJ8" s="43"/>
      <c r="GK8" s="43"/>
      <c r="GL8" s="43"/>
      <c r="GM8" s="43"/>
      <c r="GN8" s="43"/>
      <c r="GO8" s="43"/>
      <c r="GP8" s="43"/>
      <c r="GQ8" s="43"/>
      <c r="GR8" s="43"/>
      <c r="GS8" s="43"/>
      <c r="GT8" s="43"/>
      <c r="GU8" s="43"/>
      <c r="GV8" s="43"/>
      <c r="GW8" s="43"/>
      <c r="GX8" s="43"/>
      <c r="GY8" s="43"/>
      <c r="GZ8" s="43"/>
      <c r="HA8" s="43"/>
      <c r="HB8" s="43"/>
      <c r="HC8" s="43"/>
      <c r="HD8" s="43"/>
      <c r="HE8" s="43"/>
      <c r="HF8" s="43"/>
      <c r="HG8" s="43"/>
      <c r="HH8" s="43"/>
      <c r="HI8" s="43"/>
      <c r="HJ8" s="43"/>
      <c r="HK8" s="43"/>
      <c r="HL8" s="43"/>
      <c r="HM8" s="43"/>
      <c r="HN8" s="43"/>
      <c r="HO8" s="43"/>
      <c r="HP8" s="43"/>
      <c r="HQ8" s="43"/>
      <c r="HR8"/>
      <c r="HS8"/>
      <c r="HT8"/>
      <c r="HU8"/>
      <c r="HV8"/>
      <c r="HW8"/>
      <c r="HX8"/>
      <c r="HY8"/>
      <c r="HZ8"/>
      <c r="IA8"/>
      <c r="IB8"/>
      <c r="IC8"/>
      <c r="ID8"/>
      <c r="IE8"/>
      <c r="IF8"/>
      <c r="IG8"/>
      <c r="IH8"/>
      <c r="II8"/>
      <c r="IJ8"/>
      <c r="IK8" s="32"/>
      <c r="IL8" s="32"/>
      <c r="IM8" s="32"/>
      <c r="IN8" s="32"/>
      <c r="IO8" s="32"/>
      <c r="IP8" s="32"/>
      <c r="IQ8" s="32"/>
    </row>
    <row r="9" spans="1:251" s="33" customFormat="1">
      <c r="A9" s="80"/>
      <c r="B9" s="80" t="s">
        <v>403</v>
      </c>
      <c r="C9" s="68"/>
      <c r="D9" s="156">
        <v>4081</v>
      </c>
      <c r="E9" s="156">
        <v>5100</v>
      </c>
      <c r="F9" s="178">
        <v>937</v>
      </c>
      <c r="G9" s="455">
        <v>453</v>
      </c>
      <c r="H9" s="455">
        <v>565</v>
      </c>
      <c r="I9" s="455">
        <v>3777</v>
      </c>
      <c r="J9" s="178">
        <f>CFS!I49</f>
        <v>5025.0859542196376</v>
      </c>
      <c r="K9" s="178">
        <f>CFS!J49</f>
        <v>5539.0859542196376</v>
      </c>
      <c r="L9" s="178">
        <f>CFS!K49</f>
        <v>4301.0859542196376</v>
      </c>
      <c r="M9" s="455">
        <v>4781</v>
      </c>
      <c r="N9" s="178">
        <f>CFS!M49</f>
        <v>6498</v>
      </c>
      <c r="O9" s="455">
        <v>4842</v>
      </c>
      <c r="P9" s="455">
        <v>7916</v>
      </c>
      <c r="Q9" s="318">
        <v>1871</v>
      </c>
      <c r="R9" s="318">
        <v>2314</v>
      </c>
      <c r="S9" s="318">
        <v>3270</v>
      </c>
      <c r="T9" s="318">
        <v>2900</v>
      </c>
      <c r="U9" s="318">
        <v>3175</v>
      </c>
      <c r="V9" s="318">
        <v>3321</v>
      </c>
      <c r="W9" s="318">
        <v>2369</v>
      </c>
      <c r="X9" s="318">
        <v>4569</v>
      </c>
      <c r="Y9" s="178">
        <f>CFS!X49</f>
        <v>2552.1467633093089</v>
      </c>
      <c r="Z9" s="178">
        <f ca="1">CFS!Y49</f>
        <v>2613.2334015667384</v>
      </c>
      <c r="AA9" s="178">
        <f ca="1">CFS!Z49</f>
        <v>1741.760527501714</v>
      </c>
      <c r="AB9" s="178">
        <f ca="1">CFS!AA49</f>
        <v>2026.5150601692931</v>
      </c>
      <c r="AC9" s="178">
        <f ca="1">CFS!AB49</f>
        <v>2298.6383035061026</v>
      </c>
      <c r="AD9" s="178">
        <f ca="1">CFS!AC49</f>
        <v>2670.2970396530927</v>
      </c>
      <c r="AE9" s="178">
        <f ca="1">CFS!AD49</f>
        <v>3145.8174403456178</v>
      </c>
      <c r="AF9" s="178">
        <f ca="1">CFS!AE49</f>
        <v>3729.4488796870337</v>
      </c>
      <c r="AG9" s="178">
        <f ca="1">CFS!AF49</f>
        <v>4425.519479161183</v>
      </c>
      <c r="AH9" s="43"/>
      <c r="AI9" s="43"/>
      <c r="AJ9" s="43"/>
      <c r="AK9" s="43"/>
      <c r="AL9" s="43"/>
      <c r="AM9" s="43"/>
      <c r="AN9" s="43"/>
      <c r="AO9" s="43"/>
      <c r="AP9" s="43"/>
      <c r="AQ9" s="43"/>
      <c r="AR9" s="43"/>
      <c r="AS9" s="43"/>
      <c r="AT9" s="43"/>
      <c r="AU9" s="43"/>
      <c r="AV9" s="43"/>
      <c r="AW9" s="43"/>
      <c r="AX9" s="43"/>
      <c r="AY9" s="43"/>
      <c r="AZ9" s="43"/>
      <c r="BA9" s="43"/>
      <c r="BB9" s="43"/>
      <c r="BC9" s="43"/>
      <c r="BD9" s="43"/>
      <c r="BE9" s="43"/>
      <c r="BF9" s="43"/>
      <c r="BG9" s="43"/>
      <c r="BH9" s="43"/>
      <c r="BI9" s="43"/>
      <c r="BJ9" s="43"/>
      <c r="BK9" s="43"/>
      <c r="BL9" s="43"/>
      <c r="BM9" s="43"/>
      <c r="BN9" s="43"/>
      <c r="BO9" s="43"/>
      <c r="BP9" s="43"/>
      <c r="BQ9" s="43"/>
      <c r="BR9" s="43"/>
      <c r="BS9" s="43"/>
      <c r="BT9" s="43"/>
      <c r="BU9" s="43"/>
      <c r="BV9" s="43"/>
      <c r="BW9" s="43"/>
      <c r="BX9" s="43"/>
      <c r="BY9" s="43"/>
      <c r="BZ9" s="43"/>
      <c r="CA9" s="43"/>
      <c r="CB9" s="43"/>
      <c r="CC9" s="43"/>
      <c r="CD9" s="43"/>
      <c r="CE9" s="43"/>
      <c r="CF9" s="43"/>
      <c r="CG9" s="43"/>
      <c r="CH9" s="43"/>
      <c r="CI9" s="43"/>
      <c r="CJ9" s="43"/>
      <c r="CK9" s="43"/>
      <c r="CL9" s="43"/>
      <c r="CM9" s="43"/>
      <c r="CN9" s="43"/>
      <c r="CO9" s="43"/>
      <c r="CP9" s="43"/>
      <c r="CQ9" s="43"/>
      <c r="CR9" s="43"/>
      <c r="CS9" s="43"/>
      <c r="CT9" s="43"/>
      <c r="CU9" s="43"/>
      <c r="CV9" s="43"/>
      <c r="CW9" s="43"/>
      <c r="CX9" s="43"/>
      <c r="CY9" s="43"/>
      <c r="CZ9" s="43"/>
      <c r="DA9" s="43"/>
      <c r="DB9" s="43"/>
      <c r="DC9" s="43"/>
      <c r="DD9" s="43"/>
      <c r="DE9" s="43"/>
      <c r="DF9" s="43"/>
      <c r="DG9" s="43"/>
      <c r="DH9" s="43"/>
      <c r="DI9" s="43"/>
      <c r="DJ9" s="43"/>
      <c r="DK9" s="43"/>
      <c r="DL9" s="43"/>
      <c r="DM9" s="43"/>
      <c r="DN9" s="43"/>
      <c r="DO9" s="43"/>
      <c r="DP9" s="43"/>
      <c r="DQ9" s="43"/>
      <c r="DR9" s="43"/>
      <c r="DS9" s="43"/>
      <c r="DT9" s="43"/>
      <c r="DU9" s="43"/>
      <c r="DV9" s="43"/>
      <c r="DW9" s="43"/>
      <c r="DX9" s="43"/>
      <c r="DY9" s="43"/>
      <c r="DZ9" s="43"/>
      <c r="EA9" s="43"/>
      <c r="EB9" s="43"/>
      <c r="EC9" s="43"/>
      <c r="ED9" s="43"/>
      <c r="EE9" s="43"/>
      <c r="EF9" s="43"/>
      <c r="EG9" s="43"/>
      <c r="EH9" s="43"/>
      <c r="EI9" s="43"/>
      <c r="EJ9" s="43"/>
      <c r="EK9" s="43"/>
      <c r="EL9" s="43"/>
      <c r="EM9" s="43"/>
      <c r="EN9" s="43"/>
      <c r="EO9" s="43"/>
      <c r="EP9" s="43"/>
      <c r="EQ9" s="43"/>
      <c r="ER9" s="43"/>
      <c r="ES9" s="43"/>
      <c r="ET9" s="43"/>
      <c r="EU9" s="43"/>
      <c r="EV9" s="43"/>
      <c r="EW9" s="43"/>
      <c r="EX9" s="43"/>
      <c r="EY9" s="43"/>
      <c r="EZ9" s="43"/>
      <c r="FA9" s="43"/>
      <c r="FB9" s="43"/>
      <c r="FC9" s="43"/>
      <c r="FD9" s="43"/>
      <c r="FE9" s="43"/>
      <c r="FF9" s="43"/>
      <c r="FG9" s="43"/>
      <c r="FH9" s="43"/>
      <c r="FI9" s="43"/>
      <c r="FJ9" s="43"/>
      <c r="FK9" s="43"/>
      <c r="FL9" s="43"/>
      <c r="FM9" s="43"/>
      <c r="FN9" s="43"/>
      <c r="FO9" s="43"/>
      <c r="FP9" s="43"/>
      <c r="FQ9" s="43"/>
      <c r="FR9" s="43"/>
      <c r="FS9" s="43"/>
      <c r="FT9" s="43"/>
      <c r="FU9" s="43"/>
      <c r="FV9" s="43"/>
      <c r="FW9" s="43"/>
      <c r="FX9" s="43"/>
      <c r="FY9" s="43"/>
      <c r="FZ9" s="43"/>
      <c r="GA9" s="43"/>
      <c r="GB9" s="43"/>
      <c r="GC9" s="43"/>
      <c r="GD9" s="43"/>
      <c r="GE9" s="43"/>
      <c r="GF9" s="43"/>
      <c r="GG9" s="43"/>
      <c r="GH9" s="43"/>
      <c r="GI9" s="43"/>
      <c r="GJ9" s="43"/>
      <c r="GK9" s="43"/>
      <c r="GL9" s="43"/>
      <c r="GM9" s="43"/>
      <c r="GN9" s="43"/>
      <c r="GO9" s="43"/>
      <c r="GP9" s="43"/>
      <c r="GQ9" s="43"/>
      <c r="GR9" s="43"/>
      <c r="GS9" s="43"/>
      <c r="GT9" s="43"/>
      <c r="GU9" s="43"/>
      <c r="GV9" s="43"/>
      <c r="GW9" s="43"/>
      <c r="GX9" s="43"/>
      <c r="GY9" s="43"/>
      <c r="GZ9" s="43"/>
      <c r="HA9" s="43"/>
      <c r="HB9" s="43"/>
      <c r="HC9" s="43"/>
      <c r="HD9" s="43"/>
      <c r="HE9" s="43"/>
      <c r="HF9" s="43"/>
      <c r="HG9" s="43"/>
      <c r="HH9" s="43"/>
      <c r="HI9" s="43"/>
      <c r="HJ9" s="43"/>
      <c r="HK9" s="43"/>
      <c r="HL9" s="43"/>
      <c r="HM9" s="43"/>
      <c r="HN9" s="43"/>
      <c r="HO9" s="43"/>
      <c r="HP9" s="43"/>
      <c r="HQ9" s="43"/>
      <c r="HR9"/>
      <c r="HS9"/>
      <c r="HT9"/>
      <c r="HU9"/>
      <c r="HV9"/>
      <c r="HW9"/>
      <c r="HX9"/>
      <c r="HY9"/>
      <c r="HZ9"/>
      <c r="IA9"/>
      <c r="IB9"/>
      <c r="IC9"/>
      <c r="ID9"/>
      <c r="IE9"/>
      <c r="IF9"/>
      <c r="IG9"/>
      <c r="IH9"/>
      <c r="II9"/>
      <c r="IJ9"/>
      <c r="IK9" s="32"/>
      <c r="IL9" s="32"/>
      <c r="IM9" s="32"/>
      <c r="IN9" s="32"/>
      <c r="IO9" s="32"/>
      <c r="IP9" s="32"/>
      <c r="IQ9" s="32"/>
    </row>
    <row r="10" spans="1:251" s="33" customFormat="1">
      <c r="A10" s="80"/>
      <c r="B10" s="80" t="s">
        <v>527</v>
      </c>
      <c r="C10" s="68"/>
      <c r="D10" s="456">
        <v>4691</v>
      </c>
      <c r="E10" s="456">
        <v>4313</v>
      </c>
      <c r="F10" s="456">
        <v>5019</v>
      </c>
      <c r="G10" s="456">
        <v>5148</v>
      </c>
      <c r="H10" s="456">
        <v>5139</v>
      </c>
      <c r="I10" s="456">
        <v>5256</v>
      </c>
      <c r="J10" s="456">
        <v>5754</v>
      </c>
      <c r="K10" s="456">
        <v>5361</v>
      </c>
      <c r="L10" s="456">
        <v>6070</v>
      </c>
      <c r="M10" s="456">
        <v>2808</v>
      </c>
      <c r="N10" s="456">
        <v>3323</v>
      </c>
      <c r="O10" s="456">
        <v>83</v>
      </c>
      <c r="P10" s="222">
        <v>44</v>
      </c>
      <c r="Q10" s="222">
        <v>96</v>
      </c>
      <c r="R10" s="222">
        <v>85</v>
      </c>
      <c r="S10" s="222">
        <v>268</v>
      </c>
      <c r="T10" s="222">
        <v>193</v>
      </c>
      <c r="U10" s="222">
        <v>115</v>
      </c>
      <c r="V10" s="318">
        <v>124</v>
      </c>
      <c r="W10" s="318">
        <v>124</v>
      </c>
      <c r="X10" s="318">
        <v>151</v>
      </c>
      <c r="Y10" s="156">
        <f>Y127*IS!T11/365</f>
        <v>214.99097142857144</v>
      </c>
      <c r="Z10" s="156">
        <f>Z127*IS!U11/365</f>
        <v>216.05457010775962</v>
      </c>
      <c r="AA10" s="156">
        <f>AA127*IS!V11/365</f>
        <v>219.13232086646155</v>
      </c>
      <c r="AB10" s="156">
        <f>AB127*IS!W11/365</f>
        <v>222.93352047841859</v>
      </c>
      <c r="AC10" s="156">
        <f>AC127*IS!X11/365</f>
        <v>227.10702547336228</v>
      </c>
      <c r="AD10" s="156">
        <f>AD127*IS!Y11/365</f>
        <v>231.44657806001922</v>
      </c>
      <c r="AE10" s="156">
        <f>AE127*IS!Z11/365</f>
        <v>235.96117482781278</v>
      </c>
      <c r="AF10" s="156">
        <f>AF127*IS!AA11/365</f>
        <v>240.66033260694658</v>
      </c>
      <c r="AG10" s="156">
        <f>AG127*IS!AB11/365</f>
        <v>245.55411900453905</v>
      </c>
      <c r="AH10" s="43"/>
      <c r="AI10" s="43"/>
      <c r="AJ10" s="43"/>
      <c r="AK10" s="43"/>
      <c r="AL10" s="43"/>
      <c r="AM10" s="43"/>
      <c r="AN10" s="43"/>
      <c r="AO10" s="43"/>
      <c r="AP10" s="43"/>
      <c r="AQ10" s="43"/>
      <c r="AR10" s="43"/>
      <c r="AS10" s="43"/>
      <c r="AT10" s="43"/>
      <c r="AU10" s="43"/>
      <c r="AV10" s="43"/>
      <c r="AW10" s="43"/>
      <c r="AX10" s="43"/>
      <c r="AY10" s="43"/>
      <c r="AZ10" s="43"/>
      <c r="BA10" s="43"/>
      <c r="BB10" s="43"/>
      <c r="BC10" s="43"/>
      <c r="BD10" s="43"/>
      <c r="BE10" s="43"/>
      <c r="BF10" s="43"/>
      <c r="BG10" s="43"/>
      <c r="BH10" s="43"/>
      <c r="BI10" s="43"/>
      <c r="BJ10" s="43"/>
      <c r="BK10" s="43"/>
      <c r="BL10" s="43"/>
      <c r="BM10" s="43"/>
      <c r="BN10" s="43"/>
      <c r="BO10" s="43"/>
      <c r="BP10" s="43"/>
      <c r="BQ10" s="43"/>
      <c r="BR10" s="43"/>
      <c r="BS10" s="43"/>
      <c r="BT10" s="43"/>
      <c r="BU10" s="43"/>
      <c r="BV10" s="43"/>
      <c r="BW10" s="43"/>
      <c r="BX10" s="43"/>
      <c r="BY10" s="43"/>
      <c r="BZ10" s="43"/>
      <c r="CA10" s="43"/>
      <c r="CB10" s="43"/>
      <c r="CC10" s="43"/>
      <c r="CD10" s="43"/>
      <c r="CE10" s="43"/>
      <c r="CF10" s="43"/>
      <c r="CG10" s="43"/>
      <c r="CH10" s="43"/>
      <c r="CI10" s="43"/>
      <c r="CJ10" s="43"/>
      <c r="CK10" s="43"/>
      <c r="CL10" s="43"/>
      <c r="CM10" s="43"/>
      <c r="CN10" s="43"/>
      <c r="CO10" s="43"/>
      <c r="CP10" s="43"/>
      <c r="CQ10" s="43"/>
      <c r="CR10" s="43"/>
      <c r="CS10" s="43"/>
      <c r="CT10" s="43"/>
      <c r="CU10" s="43"/>
      <c r="CV10" s="43"/>
      <c r="CW10" s="43"/>
      <c r="CX10" s="43"/>
      <c r="CY10" s="43"/>
      <c r="CZ10" s="43"/>
      <c r="DA10" s="43"/>
      <c r="DB10" s="43"/>
      <c r="DC10" s="43"/>
      <c r="DD10" s="43"/>
      <c r="DE10" s="43"/>
      <c r="DF10" s="43"/>
      <c r="DG10" s="43"/>
      <c r="DH10" s="43"/>
      <c r="DI10" s="43"/>
      <c r="DJ10" s="43"/>
      <c r="DK10" s="43"/>
      <c r="DL10" s="43"/>
      <c r="DM10" s="43"/>
      <c r="DN10" s="43"/>
      <c r="DO10" s="43"/>
      <c r="DP10" s="43"/>
      <c r="DQ10" s="43"/>
      <c r="DR10" s="43"/>
      <c r="DS10" s="43"/>
      <c r="DT10" s="43"/>
      <c r="DU10" s="43"/>
      <c r="DV10" s="43"/>
      <c r="DW10" s="43"/>
      <c r="DX10" s="43"/>
      <c r="DY10" s="43"/>
      <c r="DZ10" s="43"/>
      <c r="EA10" s="43"/>
      <c r="EB10" s="43"/>
      <c r="EC10" s="43"/>
      <c r="ED10" s="43"/>
      <c r="EE10" s="43"/>
      <c r="EF10" s="43"/>
      <c r="EG10" s="43"/>
      <c r="EH10" s="43"/>
      <c r="EI10" s="43"/>
      <c r="EJ10" s="43"/>
      <c r="EK10" s="43"/>
      <c r="EL10" s="43"/>
      <c r="EM10" s="43"/>
      <c r="EN10" s="43"/>
      <c r="EO10" s="43"/>
      <c r="EP10" s="43"/>
      <c r="EQ10" s="43"/>
      <c r="ER10" s="43"/>
      <c r="ES10" s="43"/>
      <c r="ET10" s="43"/>
      <c r="EU10" s="43"/>
      <c r="EV10" s="43"/>
      <c r="EW10" s="43"/>
      <c r="EX10" s="43"/>
      <c r="EY10" s="43"/>
      <c r="EZ10" s="43"/>
      <c r="FA10" s="43"/>
      <c r="FB10" s="43"/>
      <c r="FC10" s="43"/>
      <c r="FD10" s="43"/>
      <c r="FE10" s="43"/>
      <c r="FF10" s="43"/>
      <c r="FG10" s="43"/>
      <c r="FH10" s="43"/>
      <c r="FI10" s="43"/>
      <c r="FJ10" s="43"/>
      <c r="FK10" s="43"/>
      <c r="FL10" s="43"/>
      <c r="FM10" s="43"/>
      <c r="FN10" s="43"/>
      <c r="FO10" s="43"/>
      <c r="FP10" s="43"/>
      <c r="FQ10" s="43"/>
      <c r="FR10" s="43"/>
      <c r="FS10" s="43"/>
      <c r="FT10" s="43"/>
      <c r="FU10" s="43"/>
      <c r="FV10" s="43"/>
      <c r="FW10" s="43"/>
      <c r="FX10" s="43"/>
      <c r="FY10" s="43"/>
      <c r="FZ10" s="43"/>
      <c r="GA10" s="43"/>
      <c r="GB10" s="43"/>
      <c r="GC10" s="43"/>
      <c r="GD10" s="43"/>
      <c r="GE10" s="43"/>
      <c r="GF10" s="43"/>
      <c r="GG10" s="43"/>
      <c r="GH10" s="43"/>
      <c r="GI10" s="43"/>
      <c r="GJ10" s="43"/>
      <c r="GK10" s="43"/>
      <c r="GL10" s="43"/>
      <c r="GM10" s="43"/>
      <c r="GN10" s="43"/>
      <c r="GO10" s="43"/>
      <c r="GP10" s="43"/>
      <c r="GQ10" s="43"/>
      <c r="GR10" s="43"/>
      <c r="GS10" s="43"/>
      <c r="GT10" s="43"/>
      <c r="GU10" s="43"/>
      <c r="GV10" s="43"/>
      <c r="GW10" s="43"/>
      <c r="GX10" s="43"/>
      <c r="GY10" s="43"/>
      <c r="GZ10" s="43"/>
      <c r="HA10" s="43"/>
      <c r="HB10" s="43"/>
      <c r="HC10" s="43"/>
      <c r="HD10" s="43"/>
      <c r="HE10" s="43"/>
      <c r="HF10" s="43"/>
      <c r="HG10" s="43"/>
      <c r="HH10" s="43"/>
      <c r="HI10" s="43"/>
      <c r="HJ10" s="43"/>
      <c r="HK10" s="43"/>
      <c r="HL10" s="43"/>
      <c r="HM10" s="43"/>
      <c r="HN10" s="43"/>
      <c r="HO10" s="43"/>
      <c r="HP10" s="43"/>
      <c r="HQ10" s="43"/>
      <c r="HR10"/>
      <c r="HS10"/>
      <c r="HT10"/>
      <c r="HU10"/>
      <c r="HV10"/>
      <c r="HW10"/>
      <c r="HX10"/>
      <c r="HY10"/>
      <c r="HZ10"/>
      <c r="IA10"/>
      <c r="IB10"/>
      <c r="IC10"/>
      <c r="ID10"/>
      <c r="IE10"/>
      <c r="IF10"/>
      <c r="IG10"/>
      <c r="IH10"/>
      <c r="II10"/>
      <c r="IJ10"/>
      <c r="IK10" s="32"/>
      <c r="IL10" s="32"/>
      <c r="IM10" s="32"/>
      <c r="IN10" s="32"/>
      <c r="IO10" s="32"/>
      <c r="IP10" s="32"/>
      <c r="IQ10" s="32"/>
    </row>
    <row r="11" spans="1:251" s="33" customFormat="1">
      <c r="A11" s="80"/>
      <c r="B11" s="80" t="s">
        <v>283</v>
      </c>
      <c r="C11" s="68"/>
      <c r="D11" s="156"/>
      <c r="E11" s="156">
        <f t="shared" ref="E11:O11" si="0">E12+E13+E14</f>
        <v>9028</v>
      </c>
      <c r="F11" s="156">
        <f t="shared" si="0"/>
        <v>8765</v>
      </c>
      <c r="G11" s="156">
        <f t="shared" si="0"/>
        <v>8923</v>
      </c>
      <c r="H11" s="156">
        <f t="shared" si="0"/>
        <v>9127</v>
      </c>
      <c r="I11" s="156">
        <f t="shared" si="0"/>
        <v>9540</v>
      </c>
      <c r="J11" s="156">
        <f t="shared" si="0"/>
        <v>10041</v>
      </c>
      <c r="K11" s="156">
        <f t="shared" si="0"/>
        <v>10584</v>
      </c>
      <c r="L11" s="156">
        <f t="shared" si="0"/>
        <v>12186</v>
      </c>
      <c r="M11" s="156">
        <f t="shared" si="0"/>
        <v>8680</v>
      </c>
      <c r="N11" s="156">
        <f t="shared" si="0"/>
        <v>10571</v>
      </c>
      <c r="O11" s="156">
        <f t="shared" si="0"/>
        <v>1254</v>
      </c>
      <c r="P11" s="222">
        <v>1069</v>
      </c>
      <c r="Q11" s="222">
        <v>1810</v>
      </c>
      <c r="R11" s="222">
        <v>1803</v>
      </c>
      <c r="S11" s="222">
        <v>1779</v>
      </c>
      <c r="T11" s="222">
        <v>1746</v>
      </c>
      <c r="U11" s="156">
        <v>1879</v>
      </c>
      <c r="V11" s="156">
        <f>SUM(V12:V14)</f>
        <v>2040</v>
      </c>
      <c r="W11" s="156">
        <f>SUM(W12:W14)</f>
        <v>2031</v>
      </c>
      <c r="X11" s="156">
        <f>SUM(X12:X14)</f>
        <v>2051</v>
      </c>
      <c r="Y11" s="156">
        <f>Y128*IS!T13/365</f>
        <v>1675.1561943525815</v>
      </c>
      <c r="Z11" s="156">
        <f>Z128*IS!U13/365</f>
        <v>1710.8762390755335</v>
      </c>
      <c r="AA11" s="156">
        <f>AA128*IS!V13/365</f>
        <v>1653.3504653898833</v>
      </c>
      <c r="AB11" s="156">
        <f>AB128*IS!W13/365</f>
        <v>1567.5118965022039</v>
      </c>
      <c r="AC11" s="156">
        <f>AC128*IS!X13/365</f>
        <v>1510.3202339541872</v>
      </c>
      <c r="AD11" s="156">
        <f>AD128*IS!Y13/365</f>
        <v>1457.5201975092739</v>
      </c>
      <c r="AE11" s="156">
        <f>AE128*IS!Z13/365</f>
        <v>1408.8182974637716</v>
      </c>
      <c r="AF11" s="156">
        <f>AF128*IS!AA13/365</f>
        <v>1363.9451410350448</v>
      </c>
      <c r="AG11" s="156">
        <f>AG128*IS!AB13/365</f>
        <v>1322.6534521851038</v>
      </c>
      <c r="AH11" s="43"/>
      <c r="AI11" s="43"/>
      <c r="AJ11" s="43"/>
      <c r="AK11" s="43"/>
      <c r="AL11" s="43"/>
      <c r="AM11" s="43"/>
      <c r="AN11" s="43"/>
      <c r="AO11" s="43"/>
      <c r="AP11" s="43"/>
      <c r="AQ11" s="43"/>
      <c r="AR11" s="43"/>
      <c r="AS11" s="43"/>
      <c r="AT11" s="43"/>
      <c r="AU11" s="43"/>
      <c r="AV11" s="43"/>
      <c r="AW11" s="43"/>
      <c r="AX11" s="43"/>
      <c r="AY11" s="43"/>
      <c r="AZ11" s="43"/>
      <c r="BA11" s="43"/>
      <c r="BB11" s="43"/>
      <c r="BC11" s="43"/>
      <c r="BD11" s="43"/>
      <c r="BE11" s="43"/>
      <c r="BF11" s="43"/>
      <c r="BG11" s="43"/>
      <c r="BH11" s="43"/>
      <c r="BI11" s="43"/>
      <c r="BJ11" s="43"/>
      <c r="BK11" s="43"/>
      <c r="BL11" s="43"/>
      <c r="BM11" s="43"/>
      <c r="BN11" s="43"/>
      <c r="BO11" s="43"/>
      <c r="BP11" s="43"/>
      <c r="BQ11" s="43"/>
      <c r="BR11" s="43"/>
      <c r="BS11" s="43"/>
      <c r="BT11" s="43"/>
      <c r="BU11" s="43"/>
      <c r="BV11" s="43"/>
      <c r="BW11" s="43"/>
      <c r="BX11" s="43"/>
      <c r="BY11" s="43"/>
      <c r="BZ11" s="43"/>
      <c r="CA11" s="43"/>
      <c r="CB11" s="43"/>
      <c r="CC11" s="43"/>
      <c r="CD11" s="43"/>
      <c r="CE11" s="43"/>
      <c r="CF11" s="43"/>
      <c r="CG11" s="43"/>
      <c r="CH11" s="43"/>
      <c r="CI11" s="43"/>
      <c r="CJ11" s="43"/>
      <c r="CK11" s="43"/>
      <c r="CL11" s="43"/>
      <c r="CM11" s="43"/>
      <c r="CN11" s="43"/>
      <c r="CO11" s="43"/>
      <c r="CP11" s="43"/>
      <c r="CQ11" s="43"/>
      <c r="CR11" s="43"/>
      <c r="CS11" s="43"/>
      <c r="CT11" s="43"/>
      <c r="CU11" s="43"/>
      <c r="CV11" s="43"/>
      <c r="CW11" s="43"/>
      <c r="CX11" s="43"/>
      <c r="CY11" s="43"/>
      <c r="CZ11" s="43"/>
      <c r="DA11" s="43"/>
      <c r="DB11" s="43"/>
      <c r="DC11" s="43"/>
      <c r="DD11" s="43"/>
      <c r="DE11" s="43"/>
      <c r="DF11" s="43"/>
      <c r="DG11" s="43"/>
      <c r="DH11" s="43"/>
      <c r="DI11" s="43"/>
      <c r="DJ11" s="43"/>
      <c r="DK11" s="43"/>
      <c r="DL11" s="43"/>
      <c r="DM11" s="43"/>
      <c r="DN11" s="43"/>
      <c r="DO11" s="43"/>
      <c r="DP11" s="43"/>
      <c r="DQ11" s="43"/>
      <c r="DR11" s="43"/>
      <c r="DS11" s="43"/>
      <c r="DT11" s="43"/>
      <c r="DU11" s="43"/>
      <c r="DV11" s="43"/>
      <c r="DW11" s="43"/>
      <c r="DX11" s="43"/>
      <c r="DY11" s="43"/>
      <c r="DZ11" s="43"/>
      <c r="EA11" s="43"/>
      <c r="EB11" s="43"/>
      <c r="EC11" s="43"/>
      <c r="ED11" s="43"/>
      <c r="EE11" s="43"/>
      <c r="EF11" s="43"/>
      <c r="EG11" s="43"/>
      <c r="EH11" s="43"/>
      <c r="EI11" s="43"/>
      <c r="EJ11" s="43"/>
      <c r="EK11" s="43"/>
      <c r="EL11" s="43"/>
      <c r="EM11" s="43"/>
      <c r="EN11" s="43"/>
      <c r="EO11" s="43"/>
      <c r="EP11" s="43"/>
      <c r="EQ11" s="43"/>
      <c r="ER11" s="43"/>
      <c r="ES11" s="43"/>
      <c r="ET11" s="43"/>
      <c r="EU11" s="43"/>
      <c r="EV11" s="43"/>
      <c r="EW11" s="43"/>
      <c r="EX11" s="43"/>
      <c r="EY11" s="43"/>
      <c r="EZ11" s="43"/>
      <c r="FA11" s="43"/>
      <c r="FB11" s="43"/>
      <c r="FC11" s="43"/>
      <c r="FD11" s="43"/>
      <c r="FE11" s="43"/>
      <c r="FF11" s="43"/>
      <c r="FG11" s="43"/>
      <c r="FH11" s="43"/>
      <c r="FI11" s="43"/>
      <c r="FJ11" s="43"/>
      <c r="FK11" s="43"/>
      <c r="FL11" s="43"/>
      <c r="FM11" s="43"/>
      <c r="FN11" s="43"/>
      <c r="FO11" s="43"/>
      <c r="FP11" s="43"/>
      <c r="FQ11" s="43"/>
      <c r="FR11" s="43"/>
      <c r="FS11" s="43"/>
      <c r="FT11" s="43"/>
      <c r="FU11" s="43"/>
      <c r="FV11" s="43"/>
      <c r="FW11" s="43"/>
      <c r="FX11" s="43"/>
      <c r="FY11" s="43"/>
      <c r="FZ11" s="43"/>
      <c r="GA11" s="43"/>
      <c r="GB11" s="43"/>
      <c r="GC11" s="43"/>
      <c r="GD11" s="43"/>
      <c r="GE11" s="43"/>
      <c r="GF11" s="43"/>
      <c r="GG11" s="43"/>
      <c r="GH11" s="43"/>
      <c r="GI11" s="43"/>
      <c r="GJ11" s="43"/>
      <c r="GK11" s="43"/>
      <c r="GL11" s="43"/>
      <c r="GM11" s="43"/>
      <c r="GN11" s="43"/>
      <c r="GO11" s="43"/>
      <c r="GP11" s="43"/>
      <c r="GQ11" s="43"/>
      <c r="GR11" s="43"/>
      <c r="GS11" s="43"/>
      <c r="GT11" s="43"/>
      <c r="GU11" s="43"/>
      <c r="GV11" s="43"/>
      <c r="GW11" s="43"/>
      <c r="GX11" s="43"/>
      <c r="GY11" s="43"/>
      <c r="GZ11" s="43"/>
      <c r="HA11" s="43"/>
      <c r="HB11" s="43"/>
      <c r="HC11" s="43"/>
      <c r="HD11" s="43"/>
      <c r="HE11" s="43"/>
      <c r="HF11" s="43"/>
      <c r="HG11" s="43"/>
      <c r="HH11" s="43"/>
      <c r="HI11" s="43"/>
      <c r="HJ11" s="43"/>
      <c r="HK11" s="43"/>
      <c r="HL11" s="43"/>
      <c r="HM11" s="43"/>
      <c r="HN11" s="43"/>
      <c r="HO11" s="43"/>
      <c r="HP11" s="43"/>
      <c r="HQ11" s="43"/>
      <c r="HR11"/>
      <c r="HS11"/>
      <c r="HT11"/>
      <c r="HU11"/>
      <c r="HV11"/>
      <c r="HW11"/>
      <c r="HX11"/>
      <c r="HY11"/>
      <c r="HZ11"/>
      <c r="IA11"/>
      <c r="IB11"/>
      <c r="IC11"/>
      <c r="ID11"/>
      <c r="IE11"/>
      <c r="IF11"/>
      <c r="IG11"/>
      <c r="IH11"/>
      <c r="II11"/>
      <c r="IJ11"/>
      <c r="IK11" s="32"/>
      <c r="IL11" s="32"/>
      <c r="IM11" s="32"/>
      <c r="IN11" s="32"/>
      <c r="IO11" s="32"/>
      <c r="IP11" s="32"/>
      <c r="IQ11" s="32"/>
    </row>
    <row r="12" spans="1:251" s="33" customFormat="1" hidden="1" outlineLevel="1">
      <c r="A12" s="80"/>
      <c r="B12" s="80" t="s">
        <v>289</v>
      </c>
      <c r="C12" s="68"/>
      <c r="D12" s="156">
        <v>4729</v>
      </c>
      <c r="E12" s="156">
        <v>4294</v>
      </c>
      <c r="F12" s="156">
        <v>3749</v>
      </c>
      <c r="G12" s="156">
        <v>3827</v>
      </c>
      <c r="H12" s="156">
        <v>3605</v>
      </c>
      <c r="I12" s="156">
        <v>3591</v>
      </c>
      <c r="J12" s="156">
        <v>3643</v>
      </c>
      <c r="K12" s="156">
        <v>4060</v>
      </c>
      <c r="L12" s="156">
        <v>4383</v>
      </c>
      <c r="M12" s="156">
        <v>4383</v>
      </c>
      <c r="N12" s="156">
        <v>4864</v>
      </c>
      <c r="O12" s="156">
        <v>861</v>
      </c>
      <c r="P12" s="156">
        <f>P11*0.395</f>
        <v>422.255</v>
      </c>
      <c r="Q12" s="156">
        <v>993</v>
      </c>
      <c r="R12" s="156">
        <v>960</v>
      </c>
      <c r="S12" s="156">
        <v>934</v>
      </c>
      <c r="T12" s="222">
        <v>876</v>
      </c>
      <c r="U12" s="222">
        <v>933</v>
      </c>
      <c r="V12" s="222">
        <v>991</v>
      </c>
      <c r="W12" s="222">
        <v>957</v>
      </c>
      <c r="X12" s="222">
        <v>892</v>
      </c>
      <c r="Y12" s="156"/>
      <c r="Z12" s="156"/>
      <c r="AA12" s="156"/>
      <c r="AB12" s="156"/>
      <c r="AC12" s="156"/>
      <c r="AD12" s="156"/>
      <c r="AE12" s="156"/>
      <c r="AF12" s="156"/>
      <c r="AG12" s="156"/>
      <c r="AH12" s="43"/>
      <c r="AI12" s="43"/>
      <c r="AJ12" s="43"/>
      <c r="AK12" s="43"/>
      <c r="AL12" s="43"/>
      <c r="AM12" s="43"/>
      <c r="AN12" s="43"/>
      <c r="AO12" s="43"/>
      <c r="AP12" s="43"/>
      <c r="AQ12" s="43"/>
      <c r="AR12" s="43"/>
      <c r="AS12" s="43"/>
      <c r="AT12" s="43"/>
      <c r="AU12" s="43"/>
      <c r="AV12" s="43"/>
      <c r="AW12" s="43"/>
      <c r="AX12" s="43"/>
      <c r="AY12" s="43"/>
      <c r="AZ12" s="43"/>
      <c r="BA12" s="43"/>
      <c r="BB12" s="43"/>
      <c r="BC12" s="43"/>
      <c r="BD12" s="43"/>
      <c r="BE12" s="43"/>
      <c r="BF12" s="43"/>
      <c r="BG12" s="43"/>
      <c r="BH12" s="43"/>
      <c r="BI12" s="43"/>
      <c r="BJ12" s="43"/>
      <c r="BK12" s="43"/>
      <c r="BL12" s="43"/>
      <c r="BM12" s="43"/>
      <c r="BN12" s="43"/>
      <c r="BO12" s="43"/>
      <c r="BP12" s="43"/>
      <c r="BQ12" s="43"/>
      <c r="BR12" s="43"/>
      <c r="BS12" s="43"/>
      <c r="BT12" s="43"/>
      <c r="BU12" s="43"/>
      <c r="BV12" s="43"/>
      <c r="BW12" s="43"/>
      <c r="BX12" s="43"/>
      <c r="BY12" s="43"/>
      <c r="BZ12" s="43"/>
      <c r="CA12" s="43"/>
      <c r="CB12" s="43"/>
      <c r="CC12" s="43"/>
      <c r="CD12" s="43"/>
      <c r="CE12" s="43"/>
      <c r="CF12" s="43"/>
      <c r="CG12" s="43"/>
      <c r="CH12" s="43"/>
      <c r="CI12" s="43"/>
      <c r="CJ12" s="43"/>
      <c r="CK12" s="43"/>
      <c r="CL12" s="43"/>
      <c r="CM12" s="43"/>
      <c r="CN12" s="43"/>
      <c r="CO12" s="43"/>
      <c r="CP12" s="43"/>
      <c r="CQ12" s="43"/>
      <c r="CR12" s="43"/>
      <c r="CS12" s="43"/>
      <c r="CT12" s="43"/>
      <c r="CU12" s="43"/>
      <c r="CV12" s="43"/>
      <c r="CW12" s="43"/>
      <c r="CX12" s="43"/>
      <c r="CY12" s="43"/>
      <c r="CZ12" s="43"/>
      <c r="DA12" s="43"/>
      <c r="DB12" s="43"/>
      <c r="DC12" s="43"/>
      <c r="DD12" s="43"/>
      <c r="DE12" s="43"/>
      <c r="DF12" s="43"/>
      <c r="DG12" s="43"/>
      <c r="DH12" s="43"/>
      <c r="DI12" s="43"/>
      <c r="DJ12" s="43"/>
      <c r="DK12" s="43"/>
      <c r="DL12" s="43"/>
      <c r="DM12" s="43"/>
      <c r="DN12" s="43"/>
      <c r="DO12" s="43"/>
      <c r="DP12" s="43"/>
      <c r="DQ12" s="43"/>
      <c r="DR12" s="43"/>
      <c r="DS12" s="43"/>
      <c r="DT12" s="43"/>
      <c r="DU12" s="43"/>
      <c r="DV12" s="43"/>
      <c r="DW12" s="43"/>
      <c r="DX12" s="43"/>
      <c r="DY12" s="43"/>
      <c r="DZ12" s="43"/>
      <c r="EA12" s="43"/>
      <c r="EB12" s="43"/>
      <c r="EC12" s="43"/>
      <c r="ED12" s="43"/>
      <c r="EE12" s="43"/>
      <c r="EF12" s="43"/>
      <c r="EG12" s="43"/>
      <c r="EH12" s="43"/>
      <c r="EI12" s="43"/>
      <c r="EJ12" s="43"/>
      <c r="EK12" s="43"/>
      <c r="EL12" s="43"/>
      <c r="EM12" s="43"/>
      <c r="EN12" s="43"/>
      <c r="EO12" s="43"/>
      <c r="EP12" s="43"/>
      <c r="EQ12" s="43"/>
      <c r="ER12" s="43"/>
      <c r="ES12" s="43"/>
      <c r="ET12" s="43"/>
      <c r="EU12" s="43"/>
      <c r="EV12" s="43"/>
      <c r="EW12" s="43"/>
      <c r="EX12" s="43"/>
      <c r="EY12" s="43"/>
      <c r="EZ12" s="43"/>
      <c r="FA12" s="43"/>
      <c r="FB12" s="43"/>
      <c r="FC12" s="43"/>
      <c r="FD12" s="43"/>
      <c r="FE12" s="43"/>
      <c r="FF12" s="43"/>
      <c r="FG12" s="43"/>
      <c r="FH12" s="43"/>
      <c r="FI12" s="43"/>
      <c r="FJ12" s="43"/>
      <c r="FK12" s="43"/>
      <c r="FL12" s="43"/>
      <c r="FM12" s="43"/>
      <c r="FN12" s="43"/>
      <c r="FO12" s="43"/>
      <c r="FP12" s="43"/>
      <c r="FQ12" s="43"/>
      <c r="FR12" s="43"/>
      <c r="FS12" s="43"/>
      <c r="FT12" s="43"/>
      <c r="FU12" s="43"/>
      <c r="FV12" s="43"/>
      <c r="FW12" s="43"/>
      <c r="FX12" s="43"/>
      <c r="FY12" s="43"/>
      <c r="FZ12" s="43"/>
      <c r="GA12" s="43"/>
      <c r="GB12" s="43"/>
      <c r="GC12" s="43"/>
      <c r="GD12" s="43"/>
      <c r="GE12" s="43"/>
      <c r="GF12" s="43"/>
      <c r="GG12" s="43"/>
      <c r="GH12" s="43"/>
      <c r="GI12" s="43"/>
      <c r="GJ12" s="43"/>
      <c r="GK12" s="43"/>
      <c r="GL12" s="43"/>
      <c r="GM12" s="43"/>
      <c r="GN12" s="43"/>
      <c r="GO12" s="43"/>
      <c r="GP12" s="43"/>
      <c r="GQ12" s="43"/>
      <c r="GR12" s="43"/>
      <c r="GS12" s="43"/>
      <c r="GT12" s="43"/>
      <c r="GU12" s="43"/>
      <c r="GV12" s="43"/>
      <c r="GW12" s="43"/>
      <c r="GX12" s="43"/>
      <c r="GY12" s="43"/>
      <c r="GZ12" s="43"/>
      <c r="HA12" s="43"/>
      <c r="HB12" s="43"/>
      <c r="HC12" s="43"/>
      <c r="HD12" s="43"/>
      <c r="HE12" s="43"/>
      <c r="HF12" s="43"/>
      <c r="HG12" s="43"/>
      <c r="HH12" s="43"/>
      <c r="HI12" s="43"/>
      <c r="HJ12" s="43"/>
      <c r="HK12" s="43"/>
      <c r="HL12" s="43"/>
      <c r="HM12" s="43"/>
      <c r="HN12" s="43"/>
      <c r="HO12" s="43"/>
      <c r="HP12" s="43"/>
      <c r="HQ12" s="43"/>
      <c r="HR12"/>
      <c r="HS12"/>
      <c r="HT12"/>
      <c r="HU12"/>
      <c r="HV12"/>
      <c r="HW12"/>
      <c r="HX12"/>
      <c r="HY12"/>
      <c r="HZ12"/>
      <c r="IA12"/>
      <c r="IB12"/>
      <c r="IC12"/>
      <c r="ID12"/>
      <c r="IE12"/>
      <c r="IF12"/>
      <c r="IG12"/>
      <c r="IH12"/>
      <c r="II12"/>
      <c r="IJ12"/>
      <c r="IK12" s="32"/>
      <c r="IL12" s="32"/>
      <c r="IM12" s="32"/>
      <c r="IN12" s="32"/>
      <c r="IO12" s="32"/>
      <c r="IP12" s="32"/>
      <c r="IQ12" s="32"/>
    </row>
    <row r="13" spans="1:251" s="33" customFormat="1" hidden="1" outlineLevel="1">
      <c r="A13" s="80"/>
      <c r="B13" s="80" t="s">
        <v>554</v>
      </c>
      <c r="C13" s="68"/>
      <c r="D13" s="156">
        <v>1728</v>
      </c>
      <c r="E13" s="156">
        <v>1794</v>
      </c>
      <c r="F13" s="156">
        <v>1721</v>
      </c>
      <c r="G13" s="156">
        <v>1909</v>
      </c>
      <c r="H13" s="156">
        <v>1935</v>
      </c>
      <c r="I13" s="156">
        <v>2009</v>
      </c>
      <c r="J13" s="156">
        <v>2170</v>
      </c>
      <c r="K13" s="156">
        <v>2232</v>
      </c>
      <c r="L13" s="156">
        <v>2498</v>
      </c>
      <c r="M13" s="156">
        <v>1109</v>
      </c>
      <c r="N13" s="156">
        <v>1365</v>
      </c>
      <c r="O13" s="156">
        <v>160</v>
      </c>
      <c r="P13" s="156">
        <f>P11*0.212</f>
        <v>226.62799999999999</v>
      </c>
      <c r="Q13" s="156">
        <v>157</v>
      </c>
      <c r="R13" s="156">
        <v>160</v>
      </c>
      <c r="S13" s="156">
        <v>170</v>
      </c>
      <c r="T13" s="222">
        <f>173+349</f>
        <v>522</v>
      </c>
      <c r="U13" s="222">
        <f>394+180</f>
        <v>574</v>
      </c>
      <c r="V13" s="222">
        <f>200+429</f>
        <v>629</v>
      </c>
      <c r="W13" s="222">
        <f>181+444</f>
        <v>625</v>
      </c>
      <c r="X13" s="222">
        <f>512+164</f>
        <v>676</v>
      </c>
      <c r="Y13" s="156"/>
      <c r="Z13" s="156"/>
      <c r="AA13" s="156"/>
      <c r="AB13" s="156"/>
      <c r="AC13" s="156"/>
      <c r="AD13" s="156"/>
      <c r="AE13" s="156"/>
      <c r="AF13" s="156"/>
      <c r="AG13" s="156"/>
      <c r="AH13" s="43"/>
      <c r="AI13" s="43"/>
      <c r="AJ13" s="43"/>
      <c r="AK13" s="43"/>
      <c r="AL13" s="43"/>
      <c r="AM13" s="43"/>
      <c r="AN13" s="43"/>
      <c r="AO13" s="43"/>
      <c r="AP13" s="43"/>
      <c r="AQ13" s="43"/>
      <c r="AR13" s="43"/>
      <c r="AS13" s="43"/>
      <c r="AT13" s="43"/>
      <c r="AU13" s="43"/>
      <c r="AV13" s="43"/>
      <c r="AW13" s="43"/>
      <c r="AX13" s="43"/>
      <c r="AY13" s="43"/>
      <c r="AZ13" s="43"/>
      <c r="BA13" s="43"/>
      <c r="BB13" s="43"/>
      <c r="BC13" s="43"/>
      <c r="BD13" s="43"/>
      <c r="BE13" s="43"/>
      <c r="BF13" s="43"/>
      <c r="BG13" s="43"/>
      <c r="BH13" s="43"/>
      <c r="BI13" s="43"/>
      <c r="BJ13" s="43"/>
      <c r="BK13" s="43"/>
      <c r="BL13" s="43"/>
      <c r="BM13" s="43"/>
      <c r="BN13" s="43"/>
      <c r="BO13" s="43"/>
      <c r="BP13" s="43"/>
      <c r="BQ13" s="43"/>
      <c r="BR13" s="43"/>
      <c r="BS13" s="43"/>
      <c r="BT13" s="43"/>
      <c r="BU13" s="43"/>
      <c r="BV13" s="43"/>
      <c r="BW13" s="43"/>
      <c r="BX13" s="43"/>
      <c r="BY13" s="43"/>
      <c r="BZ13" s="43"/>
      <c r="CA13" s="43"/>
      <c r="CB13" s="43"/>
      <c r="CC13" s="43"/>
      <c r="CD13" s="43"/>
      <c r="CE13" s="43"/>
      <c r="CF13" s="43"/>
      <c r="CG13" s="43"/>
      <c r="CH13" s="43"/>
      <c r="CI13" s="43"/>
      <c r="CJ13" s="43"/>
      <c r="CK13" s="43"/>
      <c r="CL13" s="43"/>
      <c r="CM13" s="43"/>
      <c r="CN13" s="43"/>
      <c r="CO13" s="43"/>
      <c r="CP13" s="43"/>
      <c r="CQ13" s="43"/>
      <c r="CR13" s="43"/>
      <c r="CS13" s="43"/>
      <c r="CT13" s="43"/>
      <c r="CU13" s="43"/>
      <c r="CV13" s="43"/>
      <c r="CW13" s="43"/>
      <c r="CX13" s="43"/>
      <c r="CY13" s="43"/>
      <c r="CZ13" s="43"/>
      <c r="DA13" s="43"/>
      <c r="DB13" s="43"/>
      <c r="DC13" s="43"/>
      <c r="DD13" s="43"/>
      <c r="DE13" s="43"/>
      <c r="DF13" s="43"/>
      <c r="DG13" s="43"/>
      <c r="DH13" s="43"/>
      <c r="DI13" s="43"/>
      <c r="DJ13" s="43"/>
      <c r="DK13" s="43"/>
      <c r="DL13" s="43"/>
      <c r="DM13" s="43"/>
      <c r="DN13" s="43"/>
      <c r="DO13" s="43"/>
      <c r="DP13" s="43"/>
      <c r="DQ13" s="43"/>
      <c r="DR13" s="43"/>
      <c r="DS13" s="43"/>
      <c r="DT13" s="43"/>
      <c r="DU13" s="43"/>
      <c r="DV13" s="43"/>
      <c r="DW13" s="43"/>
      <c r="DX13" s="43"/>
      <c r="DY13" s="43"/>
      <c r="DZ13" s="43"/>
      <c r="EA13" s="43"/>
      <c r="EB13" s="43"/>
      <c r="EC13" s="43"/>
      <c r="ED13" s="43"/>
      <c r="EE13" s="43"/>
      <c r="EF13" s="43"/>
      <c r="EG13" s="43"/>
      <c r="EH13" s="43"/>
      <c r="EI13" s="43"/>
      <c r="EJ13" s="43"/>
      <c r="EK13" s="43"/>
      <c r="EL13" s="43"/>
      <c r="EM13" s="43"/>
      <c r="EN13" s="43"/>
      <c r="EO13" s="43"/>
      <c r="EP13" s="43"/>
      <c r="EQ13" s="43"/>
      <c r="ER13" s="43"/>
      <c r="ES13" s="43"/>
      <c r="ET13" s="43"/>
      <c r="EU13" s="43"/>
      <c r="EV13" s="43"/>
      <c r="EW13" s="43"/>
      <c r="EX13" s="43"/>
      <c r="EY13" s="43"/>
      <c r="EZ13" s="43"/>
      <c r="FA13" s="43"/>
      <c r="FB13" s="43"/>
      <c r="FC13" s="43"/>
      <c r="FD13" s="43"/>
      <c r="FE13" s="43"/>
      <c r="FF13" s="43"/>
      <c r="FG13" s="43"/>
      <c r="FH13" s="43"/>
      <c r="FI13" s="43"/>
      <c r="FJ13" s="43"/>
      <c r="FK13" s="43"/>
      <c r="FL13" s="43"/>
      <c r="FM13" s="43"/>
      <c r="FN13" s="43"/>
      <c r="FO13" s="43"/>
      <c r="FP13" s="43"/>
      <c r="FQ13" s="43"/>
      <c r="FR13" s="43"/>
      <c r="FS13" s="43"/>
      <c r="FT13" s="43"/>
      <c r="FU13" s="43"/>
      <c r="FV13" s="43"/>
      <c r="FW13" s="43"/>
      <c r="FX13" s="43"/>
      <c r="FY13" s="43"/>
      <c r="FZ13" s="43"/>
      <c r="GA13" s="43"/>
      <c r="GB13" s="43"/>
      <c r="GC13" s="43"/>
      <c r="GD13" s="43"/>
      <c r="GE13" s="43"/>
      <c r="GF13" s="43"/>
      <c r="GG13" s="43"/>
      <c r="GH13" s="43"/>
      <c r="GI13" s="43"/>
      <c r="GJ13" s="43"/>
      <c r="GK13" s="43"/>
      <c r="GL13" s="43"/>
      <c r="GM13" s="43"/>
      <c r="GN13" s="43"/>
      <c r="GO13" s="43"/>
      <c r="GP13" s="43"/>
      <c r="GQ13" s="43"/>
      <c r="GR13" s="43"/>
      <c r="GS13" s="43"/>
      <c r="GT13" s="43"/>
      <c r="GU13" s="43"/>
      <c r="GV13" s="43"/>
      <c r="GW13" s="43"/>
      <c r="GX13" s="43"/>
      <c r="GY13" s="43"/>
      <c r="GZ13" s="43"/>
      <c r="HA13" s="43"/>
      <c r="HB13" s="43"/>
      <c r="HC13" s="43"/>
      <c r="HD13" s="43"/>
      <c r="HE13" s="43"/>
      <c r="HF13" s="43"/>
      <c r="HG13" s="43"/>
      <c r="HH13" s="43"/>
      <c r="HI13" s="43"/>
      <c r="HJ13" s="43"/>
      <c r="HK13" s="43"/>
      <c r="HL13" s="43"/>
      <c r="HM13" s="43"/>
      <c r="HN13" s="43"/>
      <c r="HO13" s="43"/>
      <c r="HP13" s="43"/>
      <c r="HQ13" s="43"/>
      <c r="HR13"/>
      <c r="HS13"/>
      <c r="HT13"/>
      <c r="HU13"/>
      <c r="HV13"/>
      <c r="HW13"/>
      <c r="HX13"/>
      <c r="HY13"/>
      <c r="HZ13"/>
      <c r="IA13"/>
      <c r="IB13"/>
      <c r="IC13"/>
      <c r="ID13"/>
      <c r="IE13"/>
      <c r="IF13"/>
      <c r="IG13"/>
      <c r="IH13"/>
      <c r="II13"/>
      <c r="IJ13"/>
      <c r="IK13" s="32"/>
      <c r="IL13" s="32"/>
      <c r="IM13" s="32"/>
      <c r="IN13" s="32"/>
      <c r="IO13" s="32"/>
      <c r="IP13" s="32"/>
      <c r="IQ13" s="32"/>
    </row>
    <row r="14" spans="1:251" s="33" customFormat="1" hidden="1" outlineLevel="1">
      <c r="A14" s="80"/>
      <c r="B14" s="80" t="s">
        <v>87</v>
      </c>
      <c r="C14" s="68"/>
      <c r="D14" s="156">
        <v>2988</v>
      </c>
      <c r="E14" s="156">
        <v>2940</v>
      </c>
      <c r="F14" s="156">
        <v>3295</v>
      </c>
      <c r="G14" s="156">
        <v>3187</v>
      </c>
      <c r="H14" s="156">
        <v>3587</v>
      </c>
      <c r="I14" s="156">
        <v>3940</v>
      </c>
      <c r="J14" s="156">
        <v>4228</v>
      </c>
      <c r="K14" s="156">
        <v>4292</v>
      </c>
      <c r="L14" s="156">
        <v>5305</v>
      </c>
      <c r="M14" s="156">
        <v>3188</v>
      </c>
      <c r="N14" s="156">
        <v>4342</v>
      </c>
      <c r="O14" s="156">
        <v>233</v>
      </c>
      <c r="P14" s="156">
        <f>P11*0.393</f>
        <v>420.11700000000002</v>
      </c>
      <c r="Q14" s="156">
        <f>367+293</f>
        <v>660</v>
      </c>
      <c r="R14" s="156">
        <f>299+384</f>
        <v>683</v>
      </c>
      <c r="S14" s="156">
        <f>316+359</f>
        <v>675</v>
      </c>
      <c r="T14" s="222">
        <v>348</v>
      </c>
      <c r="U14" s="222">
        <v>371</v>
      </c>
      <c r="V14" s="222">
        <v>420</v>
      </c>
      <c r="W14" s="222">
        <v>449</v>
      </c>
      <c r="X14" s="222">
        <v>483</v>
      </c>
      <c r="Y14" s="156"/>
      <c r="Z14" s="156"/>
      <c r="AA14" s="156"/>
      <c r="AB14" s="156"/>
      <c r="AC14" s="156"/>
      <c r="AD14" s="156"/>
      <c r="AE14" s="156"/>
      <c r="AF14" s="156"/>
      <c r="AG14" s="156"/>
      <c r="AH14" s="43"/>
      <c r="AI14" s="43"/>
      <c r="AJ14" s="43"/>
      <c r="AK14" s="43"/>
      <c r="AL14" s="43"/>
      <c r="AM14" s="43"/>
      <c r="AN14" s="43"/>
      <c r="AO14" s="43"/>
      <c r="AP14" s="43"/>
      <c r="AQ14" s="43"/>
      <c r="AR14" s="43"/>
      <c r="AS14" s="43"/>
      <c r="AT14" s="43"/>
      <c r="AU14" s="43"/>
      <c r="AV14" s="43"/>
      <c r="AW14" s="43"/>
      <c r="AX14" s="43"/>
      <c r="AY14" s="43"/>
      <c r="AZ14" s="43"/>
      <c r="BA14" s="43"/>
      <c r="BB14" s="43"/>
      <c r="BC14" s="43"/>
      <c r="BD14" s="43"/>
      <c r="BE14" s="43"/>
      <c r="BF14" s="43"/>
      <c r="BG14" s="43"/>
      <c r="BH14" s="43"/>
      <c r="BI14" s="43"/>
      <c r="BJ14" s="43"/>
      <c r="BK14" s="43"/>
      <c r="BL14" s="43"/>
      <c r="BM14" s="43"/>
      <c r="BN14" s="43"/>
      <c r="BO14" s="43"/>
      <c r="BP14" s="43"/>
      <c r="BQ14" s="43"/>
      <c r="BR14" s="43"/>
      <c r="BS14" s="43"/>
      <c r="BT14" s="43"/>
      <c r="BU14" s="43"/>
      <c r="BV14" s="43"/>
      <c r="BW14" s="43"/>
      <c r="BX14" s="43"/>
      <c r="BY14" s="43"/>
      <c r="BZ14" s="43"/>
      <c r="CA14" s="43"/>
      <c r="CB14" s="43"/>
      <c r="CC14" s="43"/>
      <c r="CD14" s="43"/>
      <c r="CE14" s="43"/>
      <c r="CF14" s="43"/>
      <c r="CG14" s="43"/>
      <c r="CH14" s="43"/>
      <c r="CI14" s="43"/>
      <c r="CJ14" s="43"/>
      <c r="CK14" s="43"/>
      <c r="CL14" s="43"/>
      <c r="CM14" s="43"/>
      <c r="CN14" s="43"/>
      <c r="CO14" s="43"/>
      <c r="CP14" s="43"/>
      <c r="CQ14" s="43"/>
      <c r="CR14" s="43"/>
      <c r="CS14" s="43"/>
      <c r="CT14" s="43"/>
      <c r="CU14" s="43"/>
      <c r="CV14" s="43"/>
      <c r="CW14" s="43"/>
      <c r="CX14" s="43"/>
      <c r="CY14" s="43"/>
      <c r="CZ14" s="43"/>
      <c r="DA14" s="43"/>
      <c r="DB14" s="43"/>
      <c r="DC14" s="43"/>
      <c r="DD14" s="43"/>
      <c r="DE14" s="43"/>
      <c r="DF14" s="43"/>
      <c r="DG14" s="43"/>
      <c r="DH14" s="43"/>
      <c r="DI14" s="43"/>
      <c r="DJ14" s="43"/>
      <c r="DK14" s="43"/>
      <c r="DL14" s="43"/>
      <c r="DM14" s="43"/>
      <c r="DN14" s="43"/>
      <c r="DO14" s="43"/>
      <c r="DP14" s="43"/>
      <c r="DQ14" s="43"/>
      <c r="DR14" s="43"/>
      <c r="DS14" s="43"/>
      <c r="DT14" s="43"/>
      <c r="DU14" s="43"/>
      <c r="DV14" s="43"/>
      <c r="DW14" s="43"/>
      <c r="DX14" s="43"/>
      <c r="DY14" s="43"/>
      <c r="DZ14" s="43"/>
      <c r="EA14" s="43"/>
      <c r="EB14" s="43"/>
      <c r="EC14" s="43"/>
      <c r="ED14" s="43"/>
      <c r="EE14" s="43"/>
      <c r="EF14" s="43"/>
      <c r="EG14" s="43"/>
      <c r="EH14" s="43"/>
      <c r="EI14" s="43"/>
      <c r="EJ14" s="43"/>
      <c r="EK14" s="43"/>
      <c r="EL14" s="43"/>
      <c r="EM14" s="43"/>
      <c r="EN14" s="43"/>
      <c r="EO14" s="43"/>
      <c r="EP14" s="43"/>
      <c r="EQ14" s="43"/>
      <c r="ER14" s="43"/>
      <c r="ES14" s="43"/>
      <c r="ET14" s="43"/>
      <c r="EU14" s="43"/>
      <c r="EV14" s="43"/>
      <c r="EW14" s="43"/>
      <c r="EX14" s="43"/>
      <c r="EY14" s="43"/>
      <c r="EZ14" s="43"/>
      <c r="FA14" s="43"/>
      <c r="FB14" s="43"/>
      <c r="FC14" s="43"/>
      <c r="FD14" s="43"/>
      <c r="FE14" s="43"/>
      <c r="FF14" s="43"/>
      <c r="FG14" s="43"/>
      <c r="FH14" s="43"/>
      <c r="FI14" s="43"/>
      <c r="FJ14" s="43"/>
      <c r="FK14" s="43"/>
      <c r="FL14" s="43"/>
      <c r="FM14" s="43"/>
      <c r="FN14" s="43"/>
      <c r="FO14" s="43"/>
      <c r="FP14" s="43"/>
      <c r="FQ14" s="43"/>
      <c r="FR14" s="43"/>
      <c r="FS14" s="43"/>
      <c r="FT14" s="43"/>
      <c r="FU14" s="43"/>
      <c r="FV14" s="43"/>
      <c r="FW14" s="43"/>
      <c r="FX14" s="43"/>
      <c r="FY14" s="43"/>
      <c r="FZ14" s="43"/>
      <c r="GA14" s="43"/>
      <c r="GB14" s="43"/>
      <c r="GC14" s="43"/>
      <c r="GD14" s="43"/>
      <c r="GE14" s="43"/>
      <c r="GF14" s="43"/>
      <c r="GG14" s="43"/>
      <c r="GH14" s="43"/>
      <c r="GI14" s="43"/>
      <c r="GJ14" s="43"/>
      <c r="GK14" s="43"/>
      <c r="GL14" s="43"/>
      <c r="GM14" s="43"/>
      <c r="GN14" s="43"/>
      <c r="GO14" s="43"/>
      <c r="GP14" s="43"/>
      <c r="GQ14" s="43"/>
      <c r="GR14" s="43"/>
      <c r="GS14" s="43"/>
      <c r="GT14" s="43"/>
      <c r="GU14" s="43"/>
      <c r="GV14" s="43"/>
      <c r="GW14" s="43"/>
      <c r="GX14" s="43"/>
      <c r="GY14" s="43"/>
      <c r="GZ14" s="43"/>
      <c r="HA14" s="43"/>
      <c r="HB14" s="43"/>
      <c r="HC14" s="43"/>
      <c r="HD14" s="43"/>
      <c r="HE14" s="43"/>
      <c r="HF14" s="43"/>
      <c r="HG14" s="43"/>
      <c r="HH14" s="43"/>
      <c r="HI14" s="43"/>
      <c r="HJ14" s="43"/>
      <c r="HK14" s="43"/>
      <c r="HL14" s="43"/>
      <c r="HM14" s="43"/>
      <c r="HN14" s="43"/>
      <c r="HO14" s="43"/>
      <c r="HP14" s="43"/>
      <c r="HQ14" s="43"/>
      <c r="HR14"/>
      <c r="HS14"/>
      <c r="HT14"/>
      <c r="HU14"/>
      <c r="HV14"/>
      <c r="HW14"/>
      <c r="HX14"/>
      <c r="HY14"/>
      <c r="HZ14"/>
      <c r="IA14"/>
      <c r="IB14"/>
      <c r="IC14"/>
      <c r="ID14"/>
      <c r="IE14"/>
      <c r="IF14"/>
      <c r="IG14"/>
      <c r="IH14"/>
      <c r="II14"/>
      <c r="IJ14"/>
      <c r="IK14" s="32"/>
      <c r="IL14" s="32"/>
      <c r="IM14" s="32"/>
      <c r="IN14" s="32"/>
      <c r="IO14" s="32"/>
      <c r="IP14" s="32"/>
      <c r="IQ14" s="32"/>
    </row>
    <row r="15" spans="1:251" s="33" customFormat="1" collapsed="1">
      <c r="A15" s="80"/>
      <c r="B15" s="80" t="s">
        <v>98</v>
      </c>
      <c r="C15" s="68"/>
      <c r="D15" s="456">
        <v>2013</v>
      </c>
      <c r="E15" s="456">
        <v>2454</v>
      </c>
      <c r="F15" s="456">
        <v>2517</v>
      </c>
      <c r="G15" s="456">
        <v>2751</v>
      </c>
      <c r="H15" s="456">
        <v>2610</v>
      </c>
      <c r="I15" s="456">
        <v>2809</v>
      </c>
      <c r="J15" s="456">
        <f>1458+2904</f>
        <v>4362</v>
      </c>
      <c r="K15" s="456">
        <v>3578</v>
      </c>
      <c r="L15" s="456">
        <v>2876</v>
      </c>
      <c r="M15" s="456">
        <v>2236</v>
      </c>
      <c r="N15" s="222">
        <v>2498</v>
      </c>
      <c r="O15" s="222">
        <v>1944</v>
      </c>
      <c r="P15" s="222">
        <f>1690+357</f>
        <v>2047</v>
      </c>
      <c r="Q15" s="222">
        <f>1336+660</f>
        <v>1996</v>
      </c>
      <c r="R15" s="222">
        <f>1165+614</f>
        <v>1779</v>
      </c>
      <c r="S15" s="222">
        <f>1207+607</f>
        <v>1814</v>
      </c>
      <c r="T15" s="222">
        <f>1216+260</f>
        <v>1476</v>
      </c>
      <c r="U15" s="222">
        <f>1100+321</f>
        <v>1421</v>
      </c>
      <c r="V15" s="222">
        <f>1143+250</f>
        <v>1393</v>
      </c>
      <c r="W15" s="222">
        <f>1175+387</f>
        <v>1562</v>
      </c>
      <c r="X15" s="222">
        <v>489</v>
      </c>
      <c r="Y15" s="156">
        <f t="shared" ref="Y15:AG15" si="1">X15</f>
        <v>489</v>
      </c>
      <c r="Z15" s="156">
        <f t="shared" si="1"/>
        <v>489</v>
      </c>
      <c r="AA15" s="156">
        <f t="shared" si="1"/>
        <v>489</v>
      </c>
      <c r="AB15" s="156">
        <f t="shared" si="1"/>
        <v>489</v>
      </c>
      <c r="AC15" s="156">
        <f t="shared" si="1"/>
        <v>489</v>
      </c>
      <c r="AD15" s="156">
        <f t="shared" si="1"/>
        <v>489</v>
      </c>
      <c r="AE15" s="156">
        <f t="shared" si="1"/>
        <v>489</v>
      </c>
      <c r="AF15" s="156">
        <f t="shared" si="1"/>
        <v>489</v>
      </c>
      <c r="AG15" s="156">
        <f t="shared" si="1"/>
        <v>489</v>
      </c>
      <c r="AH15" s="43"/>
      <c r="AI15" s="43"/>
      <c r="AJ15" s="43"/>
      <c r="AK15" s="43"/>
      <c r="AL15" s="43"/>
      <c r="AM15" s="43"/>
      <c r="AN15" s="43"/>
      <c r="AO15" s="43"/>
      <c r="AP15" s="43"/>
      <c r="AQ15" s="43"/>
      <c r="AR15" s="43"/>
      <c r="AS15" s="43"/>
      <c r="AT15" s="43"/>
      <c r="AU15" s="43"/>
      <c r="AV15" s="43"/>
      <c r="AW15" s="43"/>
      <c r="AX15" s="43"/>
      <c r="AY15" s="43"/>
      <c r="AZ15" s="43"/>
      <c r="BA15" s="43"/>
      <c r="BB15" s="43"/>
      <c r="BC15" s="43"/>
      <c r="BD15" s="43"/>
      <c r="BE15" s="43"/>
      <c r="BF15" s="43"/>
      <c r="BG15" s="43"/>
      <c r="BH15" s="43"/>
      <c r="BI15" s="43"/>
      <c r="BJ15" s="43"/>
      <c r="BK15" s="43"/>
      <c r="BL15" s="43"/>
      <c r="BM15" s="43"/>
      <c r="BN15" s="43"/>
      <c r="BO15" s="43"/>
      <c r="BP15" s="43"/>
      <c r="BQ15" s="43"/>
      <c r="BR15" s="43"/>
      <c r="BS15" s="43"/>
      <c r="BT15" s="43"/>
      <c r="BU15" s="43"/>
      <c r="BV15" s="43"/>
      <c r="BW15" s="43"/>
      <c r="BX15" s="43"/>
      <c r="BY15" s="43"/>
      <c r="BZ15" s="43"/>
      <c r="CA15" s="43"/>
      <c r="CB15" s="43"/>
      <c r="CC15" s="43"/>
      <c r="CD15" s="43"/>
      <c r="CE15" s="43"/>
      <c r="CF15" s="43"/>
      <c r="CG15" s="43"/>
      <c r="CH15" s="43"/>
      <c r="CI15" s="43"/>
      <c r="CJ15" s="43"/>
      <c r="CK15" s="43"/>
      <c r="CL15" s="43"/>
      <c r="CM15" s="43"/>
      <c r="CN15" s="43"/>
      <c r="CO15" s="43"/>
      <c r="CP15" s="43"/>
      <c r="CQ15" s="43"/>
      <c r="CR15" s="43"/>
      <c r="CS15" s="43"/>
      <c r="CT15" s="43"/>
      <c r="CU15" s="43"/>
      <c r="CV15" s="43"/>
      <c r="CW15" s="43"/>
      <c r="CX15" s="43"/>
      <c r="CY15" s="43"/>
      <c r="CZ15" s="43"/>
      <c r="DA15" s="43"/>
      <c r="DB15" s="43"/>
      <c r="DC15" s="43"/>
      <c r="DD15" s="43"/>
      <c r="DE15" s="43"/>
      <c r="DF15" s="43"/>
      <c r="DG15" s="43"/>
      <c r="DH15" s="43"/>
      <c r="DI15" s="43"/>
      <c r="DJ15" s="43"/>
      <c r="DK15" s="43"/>
      <c r="DL15" s="43"/>
      <c r="DM15" s="43"/>
      <c r="DN15" s="43"/>
      <c r="DO15" s="43"/>
      <c r="DP15" s="43"/>
      <c r="DQ15" s="43"/>
      <c r="DR15" s="43"/>
      <c r="DS15" s="43"/>
      <c r="DT15" s="43"/>
      <c r="DU15" s="43"/>
      <c r="DV15" s="43"/>
      <c r="DW15" s="43"/>
      <c r="DX15" s="43"/>
      <c r="DY15" s="43"/>
      <c r="DZ15" s="43"/>
      <c r="EA15" s="43"/>
      <c r="EB15" s="43"/>
      <c r="EC15" s="43"/>
      <c r="ED15" s="43"/>
      <c r="EE15" s="43"/>
      <c r="EF15" s="43"/>
      <c r="EG15" s="43"/>
      <c r="EH15" s="43"/>
      <c r="EI15" s="43"/>
      <c r="EJ15" s="43"/>
      <c r="EK15" s="43"/>
      <c r="EL15" s="43"/>
      <c r="EM15" s="43"/>
      <c r="EN15" s="43"/>
      <c r="EO15" s="43"/>
      <c r="EP15" s="43"/>
      <c r="EQ15" s="43"/>
      <c r="ER15" s="43"/>
      <c r="ES15" s="43"/>
      <c r="ET15" s="43"/>
      <c r="EU15" s="43"/>
      <c r="EV15" s="43"/>
      <c r="EW15" s="43"/>
      <c r="EX15" s="43"/>
      <c r="EY15" s="43"/>
      <c r="EZ15" s="43"/>
      <c r="FA15" s="43"/>
      <c r="FB15" s="43"/>
      <c r="FC15" s="43"/>
      <c r="FD15" s="43"/>
      <c r="FE15" s="43"/>
      <c r="FF15" s="43"/>
      <c r="FG15" s="43"/>
      <c r="FH15" s="43"/>
      <c r="FI15" s="43"/>
      <c r="FJ15" s="43"/>
      <c r="FK15" s="43"/>
      <c r="FL15" s="43"/>
      <c r="FM15" s="43"/>
      <c r="FN15" s="43"/>
      <c r="FO15" s="43"/>
      <c r="FP15" s="43"/>
      <c r="FQ15" s="43"/>
      <c r="FR15" s="43"/>
      <c r="FS15" s="43"/>
      <c r="FT15" s="43"/>
      <c r="FU15" s="43"/>
      <c r="FV15" s="43"/>
      <c r="FW15" s="43"/>
      <c r="FX15" s="43"/>
      <c r="FY15" s="43"/>
      <c r="FZ15" s="43"/>
      <c r="GA15" s="43"/>
      <c r="GB15" s="43"/>
      <c r="GC15" s="43"/>
      <c r="GD15" s="43"/>
      <c r="GE15" s="43"/>
      <c r="GF15" s="43"/>
      <c r="GG15" s="43"/>
      <c r="GH15" s="43"/>
      <c r="GI15" s="43"/>
      <c r="GJ15" s="43"/>
      <c r="GK15" s="43"/>
      <c r="GL15" s="43"/>
      <c r="GM15" s="43"/>
      <c r="GN15" s="43"/>
      <c r="GO15" s="43"/>
      <c r="GP15" s="43"/>
      <c r="GQ15" s="43"/>
      <c r="GR15" s="43"/>
      <c r="GS15" s="43"/>
      <c r="GT15" s="43"/>
      <c r="GU15" s="43"/>
      <c r="GV15" s="43"/>
      <c r="GW15" s="43"/>
      <c r="GX15" s="43"/>
      <c r="GY15" s="43"/>
      <c r="GZ15" s="43"/>
      <c r="HA15" s="43"/>
      <c r="HB15" s="43"/>
      <c r="HC15" s="43"/>
      <c r="HD15" s="43"/>
      <c r="HE15" s="43"/>
      <c r="HF15" s="43"/>
      <c r="HG15" s="43"/>
      <c r="HH15" s="43"/>
      <c r="HI15" s="43"/>
      <c r="HJ15" s="43"/>
      <c r="HK15" s="43"/>
      <c r="HL15" s="43"/>
      <c r="HM15" s="43"/>
      <c r="HN15" s="43"/>
      <c r="HO15" s="43"/>
      <c r="HP15" s="43"/>
      <c r="HQ15" s="43"/>
      <c r="HR15"/>
      <c r="HS15"/>
      <c r="HT15"/>
      <c r="HU15"/>
      <c r="HV15"/>
      <c r="HW15"/>
      <c r="HX15"/>
      <c r="HY15"/>
      <c r="HZ15"/>
      <c r="IA15"/>
      <c r="IB15"/>
      <c r="IC15"/>
      <c r="ID15"/>
      <c r="IE15"/>
      <c r="IF15"/>
      <c r="IG15"/>
      <c r="IH15"/>
      <c r="II15"/>
      <c r="IJ15"/>
      <c r="IK15" s="32"/>
      <c r="IL15" s="32"/>
      <c r="IM15" s="32"/>
      <c r="IN15" s="32"/>
      <c r="IO15" s="32"/>
      <c r="IP15" s="32"/>
      <c r="IQ15" s="32"/>
    </row>
    <row r="16" spans="1:251" s="37" customFormat="1">
      <c r="A16" s="45" t="s">
        <v>136</v>
      </c>
      <c r="B16" s="34"/>
      <c r="C16" s="139"/>
      <c r="D16" s="196">
        <f>D9+D10+D12+D13+D14+D15</f>
        <v>20230</v>
      </c>
      <c r="E16" s="196">
        <f>E9+E10+E12+E13+E14+E15</f>
        <v>20895</v>
      </c>
      <c r="F16" s="196">
        <f>F9+F10+F12+F13+F14+F15</f>
        <v>17238</v>
      </c>
      <c r="G16" s="196">
        <f>G9+G10+G12+G13+G14+G15</f>
        <v>17275</v>
      </c>
      <c r="H16" s="196">
        <f>H9+H10+H12+H13+H14+H15</f>
        <v>17441</v>
      </c>
      <c r="I16" s="196">
        <f t="shared" ref="I16:W16" si="2">I9+I10+I11+I15</f>
        <v>21382</v>
      </c>
      <c r="J16" s="196">
        <f t="shared" si="2"/>
        <v>25182.085954219638</v>
      </c>
      <c r="K16" s="196">
        <f t="shared" si="2"/>
        <v>25062.085954219638</v>
      </c>
      <c r="L16" s="196">
        <f t="shared" si="2"/>
        <v>25433.085954219638</v>
      </c>
      <c r="M16" s="196">
        <f t="shared" si="2"/>
        <v>18505</v>
      </c>
      <c r="N16" s="196">
        <f t="shared" si="2"/>
        <v>22890</v>
      </c>
      <c r="O16" s="196">
        <f t="shared" si="2"/>
        <v>8123</v>
      </c>
      <c r="P16" s="196">
        <f t="shared" si="2"/>
        <v>11076</v>
      </c>
      <c r="Q16" s="196">
        <f t="shared" si="2"/>
        <v>5773</v>
      </c>
      <c r="R16" s="196">
        <f t="shared" si="2"/>
        <v>5981</v>
      </c>
      <c r="S16" s="196">
        <f t="shared" si="2"/>
        <v>7131</v>
      </c>
      <c r="T16" s="196">
        <f t="shared" si="2"/>
        <v>6315</v>
      </c>
      <c r="U16" s="196">
        <f t="shared" si="2"/>
        <v>6590</v>
      </c>
      <c r="V16" s="196">
        <f t="shared" si="2"/>
        <v>6878</v>
      </c>
      <c r="W16" s="196">
        <f t="shared" si="2"/>
        <v>6086</v>
      </c>
      <c r="X16" s="196">
        <f t="shared" ref="X16:AG16" si="3">X9+X10+X11+X15</f>
        <v>7260</v>
      </c>
      <c r="Y16" s="196">
        <f t="shared" si="3"/>
        <v>4931.2939290904615</v>
      </c>
      <c r="Z16" s="196">
        <f t="shared" ca="1" si="3"/>
        <v>5029.1642107500311</v>
      </c>
      <c r="AA16" s="196">
        <f t="shared" ca="1" si="3"/>
        <v>4103.2433137580592</v>
      </c>
      <c r="AB16" s="196">
        <f t="shared" ca="1" si="3"/>
        <v>4305.9604771499153</v>
      </c>
      <c r="AC16" s="196">
        <f t="shared" ca="1" si="3"/>
        <v>4525.0655629336525</v>
      </c>
      <c r="AD16" s="196">
        <f t="shared" ca="1" si="3"/>
        <v>4848.2638152223863</v>
      </c>
      <c r="AE16" s="196">
        <f t="shared" ca="1" si="3"/>
        <v>5279.596912637202</v>
      </c>
      <c r="AF16" s="196">
        <f t="shared" ca="1" si="3"/>
        <v>5823.0543533290256</v>
      </c>
      <c r="AG16" s="196">
        <f t="shared" ca="1" si="3"/>
        <v>6482.7270503508253</v>
      </c>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c r="BE16" s="129"/>
      <c r="BF16" s="129"/>
      <c r="BG16" s="129"/>
      <c r="BH16" s="129"/>
      <c r="BI16" s="129"/>
      <c r="BJ16" s="129"/>
      <c r="BK16" s="129"/>
      <c r="BL16" s="129"/>
      <c r="BM16" s="129"/>
      <c r="BN16" s="129"/>
      <c r="BO16" s="129"/>
      <c r="BP16" s="129"/>
      <c r="BQ16" s="129"/>
      <c r="BR16" s="129"/>
      <c r="BS16" s="129"/>
      <c r="BT16" s="129"/>
      <c r="BU16" s="129"/>
      <c r="BV16" s="129"/>
      <c r="BW16" s="129"/>
      <c r="BX16" s="129"/>
      <c r="BY16" s="129"/>
      <c r="BZ16" s="129"/>
      <c r="CA16" s="129"/>
      <c r="CB16" s="129"/>
      <c r="CC16" s="129"/>
      <c r="CD16" s="129"/>
      <c r="CE16" s="129"/>
      <c r="CF16" s="129"/>
      <c r="CG16" s="129"/>
      <c r="CH16" s="129"/>
      <c r="CI16" s="129"/>
      <c r="CJ16" s="129"/>
      <c r="CK16" s="129"/>
      <c r="CL16" s="129"/>
      <c r="CM16" s="129"/>
      <c r="CN16" s="129"/>
      <c r="CO16" s="129"/>
      <c r="CP16" s="129"/>
      <c r="CQ16" s="129"/>
      <c r="CR16" s="129"/>
      <c r="CS16" s="129"/>
      <c r="CT16" s="129"/>
      <c r="CU16" s="129"/>
      <c r="CV16" s="129"/>
      <c r="CW16" s="129"/>
      <c r="CX16" s="129"/>
      <c r="CY16" s="129"/>
      <c r="CZ16" s="129"/>
      <c r="DA16" s="129"/>
      <c r="DB16" s="129"/>
      <c r="DC16" s="129"/>
      <c r="DD16" s="129"/>
      <c r="DE16" s="129"/>
      <c r="DF16" s="129"/>
      <c r="DG16" s="129"/>
      <c r="DH16" s="129"/>
      <c r="DI16" s="129"/>
      <c r="DJ16" s="129"/>
      <c r="DK16" s="129"/>
      <c r="DL16" s="129"/>
      <c r="DM16" s="129"/>
      <c r="DN16" s="129"/>
      <c r="DO16" s="129"/>
      <c r="DP16" s="129"/>
      <c r="DQ16" s="129"/>
      <c r="DR16" s="129"/>
      <c r="DS16" s="129"/>
      <c r="DT16" s="129"/>
      <c r="DU16" s="129"/>
      <c r="DV16" s="129"/>
      <c r="DW16" s="129"/>
      <c r="DX16" s="129"/>
      <c r="DY16" s="129"/>
      <c r="DZ16" s="129"/>
      <c r="EA16" s="129"/>
      <c r="EB16" s="129"/>
      <c r="EC16" s="129"/>
      <c r="ED16" s="129"/>
      <c r="EE16" s="129"/>
      <c r="EF16" s="129"/>
      <c r="EG16" s="129"/>
      <c r="EH16" s="129"/>
      <c r="EI16" s="129"/>
      <c r="EJ16" s="129"/>
      <c r="EK16" s="129"/>
      <c r="EL16" s="129"/>
      <c r="EM16" s="129"/>
      <c r="EN16" s="129"/>
      <c r="EO16" s="129"/>
      <c r="EP16" s="129"/>
      <c r="EQ16" s="129"/>
      <c r="ER16" s="129"/>
      <c r="ES16" s="129"/>
      <c r="ET16" s="129"/>
      <c r="EU16" s="129"/>
      <c r="EV16" s="129"/>
      <c r="EW16" s="129"/>
      <c r="EX16" s="129"/>
      <c r="EY16" s="129"/>
      <c r="EZ16" s="129"/>
      <c r="FA16" s="129"/>
      <c r="FB16" s="129"/>
      <c r="FC16" s="129"/>
      <c r="FD16" s="129"/>
      <c r="FE16" s="129"/>
      <c r="FF16" s="129"/>
      <c r="FG16" s="129"/>
      <c r="FH16" s="129"/>
      <c r="FI16" s="129"/>
      <c r="FJ16" s="129"/>
      <c r="FK16" s="129"/>
      <c r="FL16" s="129"/>
      <c r="FM16" s="129"/>
      <c r="FN16" s="129"/>
      <c r="FO16" s="129"/>
      <c r="FP16" s="129"/>
      <c r="FQ16" s="129"/>
      <c r="FR16" s="129"/>
      <c r="FS16" s="129"/>
      <c r="FT16" s="129"/>
      <c r="FU16" s="129"/>
      <c r="FV16" s="129"/>
      <c r="FW16" s="129"/>
      <c r="FX16" s="129"/>
      <c r="FY16" s="129"/>
      <c r="FZ16" s="129"/>
      <c r="GA16" s="129"/>
      <c r="GB16" s="129"/>
      <c r="GC16" s="129"/>
      <c r="GD16" s="129"/>
      <c r="GE16" s="129"/>
      <c r="GF16" s="129"/>
      <c r="GG16" s="129"/>
      <c r="GH16" s="129"/>
      <c r="GI16" s="129"/>
      <c r="GJ16" s="129"/>
      <c r="GK16" s="129"/>
      <c r="GL16" s="129"/>
      <c r="GM16" s="129"/>
      <c r="GN16" s="129"/>
      <c r="GO16" s="129"/>
      <c r="GP16" s="129"/>
      <c r="GQ16" s="129"/>
      <c r="GR16" s="129"/>
      <c r="GS16" s="129"/>
      <c r="GT16" s="129"/>
      <c r="GU16" s="129"/>
      <c r="GV16" s="129"/>
      <c r="GW16" s="129"/>
      <c r="GX16" s="129"/>
      <c r="GY16" s="129"/>
      <c r="GZ16" s="129"/>
      <c r="HA16" s="129"/>
      <c r="HB16" s="129"/>
      <c r="HC16" s="129"/>
      <c r="HD16" s="129"/>
      <c r="HE16" s="129"/>
      <c r="HF16" s="129"/>
      <c r="HG16" s="129"/>
      <c r="HH16" s="129"/>
      <c r="HI16" s="129"/>
      <c r="HJ16" s="129"/>
      <c r="HK16" s="129"/>
      <c r="HL16" s="129"/>
      <c r="HM16" s="129"/>
      <c r="HN16" s="129"/>
      <c r="HO16" s="129"/>
      <c r="HP16" s="129"/>
      <c r="HQ16" s="129"/>
      <c r="HR16"/>
      <c r="HS16"/>
      <c r="HT16"/>
      <c r="HU16"/>
      <c r="HV16"/>
      <c r="HW16"/>
      <c r="HX16"/>
      <c r="HY16"/>
      <c r="HZ16"/>
      <c r="IA16"/>
      <c r="IB16"/>
      <c r="IC16"/>
      <c r="ID16"/>
      <c r="IE16"/>
      <c r="IF16"/>
      <c r="IG16"/>
      <c r="IH16"/>
      <c r="II16"/>
      <c r="IJ16"/>
      <c r="IK16" s="34"/>
      <c r="IL16" s="34"/>
      <c r="IM16" s="34"/>
      <c r="IN16" s="34"/>
      <c r="IO16" s="34"/>
      <c r="IP16" s="34"/>
      <c r="IQ16" s="34"/>
    </row>
    <row r="17" spans="1:251" s="33" customFormat="1">
      <c r="A17" s="80"/>
      <c r="B17" s="32"/>
      <c r="C17" s="68"/>
      <c r="D17" s="156"/>
      <c r="E17" s="156"/>
      <c r="F17" s="156"/>
      <c r="G17" s="156"/>
      <c r="H17" s="156"/>
      <c r="I17" s="156"/>
      <c r="J17" s="156"/>
      <c r="K17" s="156"/>
      <c r="L17" s="156"/>
      <c r="M17" s="156"/>
      <c r="N17" s="156"/>
      <c r="O17" s="156"/>
      <c r="P17" s="156"/>
      <c r="Q17" s="156"/>
      <c r="R17" s="156"/>
      <c r="S17" s="156"/>
      <c r="T17" s="156"/>
      <c r="U17" s="156"/>
      <c r="V17" s="156"/>
      <c r="W17" s="156"/>
      <c r="X17" s="156"/>
      <c r="Y17" s="156"/>
      <c r="Z17" s="156"/>
      <c r="AA17" s="156"/>
      <c r="AB17" s="156"/>
      <c r="AC17" s="156"/>
      <c r="AD17" s="156"/>
      <c r="AE17" s="156"/>
      <c r="AF17" s="156"/>
      <c r="AG17" s="156"/>
      <c r="AH17" s="43"/>
      <c r="AI17" s="43"/>
      <c r="AJ17" s="43"/>
      <c r="AK17" s="43"/>
      <c r="AL17" s="43"/>
      <c r="AM17" s="43"/>
      <c r="AN17" s="43"/>
      <c r="AO17" s="43"/>
      <c r="AP17" s="43"/>
      <c r="AQ17" s="43"/>
      <c r="AR17" s="43"/>
      <c r="AS17" s="43"/>
      <c r="AT17" s="43"/>
      <c r="AU17" s="43"/>
      <c r="AV17" s="43"/>
      <c r="AW17" s="43"/>
      <c r="AX17" s="43"/>
      <c r="AY17" s="43"/>
      <c r="AZ17" s="43"/>
      <c r="BA17" s="43"/>
      <c r="BB17" s="43"/>
      <c r="BC17" s="43"/>
      <c r="BD17" s="43"/>
      <c r="BE17" s="43"/>
      <c r="BF17" s="43"/>
      <c r="BG17" s="43"/>
      <c r="BH17" s="43"/>
      <c r="BI17" s="43"/>
      <c r="BJ17" s="43"/>
      <c r="BK17" s="43"/>
      <c r="BL17" s="43"/>
      <c r="BM17" s="43"/>
      <c r="BN17" s="43"/>
      <c r="BO17" s="43"/>
      <c r="BP17" s="43"/>
      <c r="BQ17" s="43"/>
      <c r="BR17" s="43"/>
      <c r="BS17" s="43"/>
      <c r="BT17" s="43"/>
      <c r="BU17" s="43"/>
      <c r="BV17" s="43"/>
      <c r="BW17" s="43"/>
      <c r="BX17" s="43"/>
      <c r="BY17" s="43"/>
      <c r="BZ17" s="43"/>
      <c r="CA17" s="43"/>
      <c r="CB17" s="43"/>
      <c r="CC17" s="43"/>
      <c r="CD17" s="43"/>
      <c r="CE17" s="43"/>
      <c r="CF17" s="43"/>
      <c r="CG17" s="43"/>
      <c r="CH17" s="43"/>
      <c r="CI17" s="43"/>
      <c r="CJ17" s="43"/>
      <c r="CK17" s="43"/>
      <c r="CL17" s="43"/>
      <c r="CM17" s="43"/>
      <c r="CN17" s="43"/>
      <c r="CO17" s="43"/>
      <c r="CP17" s="43"/>
      <c r="CQ17" s="43"/>
      <c r="CR17" s="43"/>
      <c r="CS17" s="43"/>
      <c r="CT17" s="43"/>
      <c r="CU17" s="43"/>
      <c r="CV17" s="43"/>
      <c r="CW17" s="43"/>
      <c r="CX17" s="43"/>
      <c r="CY17" s="43"/>
      <c r="CZ17" s="43"/>
      <c r="DA17" s="43"/>
      <c r="DB17" s="43"/>
      <c r="DC17" s="43"/>
      <c r="DD17" s="43"/>
      <c r="DE17" s="43"/>
      <c r="DF17" s="43"/>
      <c r="DG17" s="43"/>
      <c r="DH17" s="43"/>
      <c r="DI17" s="43"/>
      <c r="DJ17" s="43"/>
      <c r="DK17" s="43"/>
      <c r="DL17" s="43"/>
      <c r="DM17" s="43"/>
      <c r="DN17" s="43"/>
      <c r="DO17" s="43"/>
      <c r="DP17" s="43"/>
      <c r="DQ17" s="43"/>
      <c r="DR17" s="43"/>
      <c r="DS17" s="43"/>
      <c r="DT17" s="43"/>
      <c r="DU17" s="43"/>
      <c r="DV17" s="43"/>
      <c r="DW17" s="43"/>
      <c r="DX17" s="43"/>
      <c r="DY17" s="43"/>
      <c r="DZ17" s="43"/>
      <c r="EA17" s="43"/>
      <c r="EB17" s="43"/>
      <c r="EC17" s="43"/>
      <c r="ED17" s="43"/>
      <c r="EE17" s="43"/>
      <c r="EF17" s="43"/>
      <c r="EG17" s="43"/>
      <c r="EH17" s="43"/>
      <c r="EI17" s="43"/>
      <c r="EJ17" s="43"/>
      <c r="EK17" s="43"/>
      <c r="EL17" s="43"/>
      <c r="EM17" s="43"/>
      <c r="EN17" s="43"/>
      <c r="EO17" s="43"/>
      <c r="EP17" s="43"/>
      <c r="EQ17" s="43"/>
      <c r="ER17" s="43"/>
      <c r="ES17" s="43"/>
      <c r="ET17" s="43"/>
      <c r="EU17" s="43"/>
      <c r="EV17" s="43"/>
      <c r="EW17" s="43"/>
      <c r="EX17" s="43"/>
      <c r="EY17" s="43"/>
      <c r="EZ17" s="43"/>
      <c r="FA17" s="43"/>
      <c r="FB17" s="43"/>
      <c r="FC17" s="43"/>
      <c r="FD17" s="43"/>
      <c r="FE17" s="43"/>
      <c r="FF17" s="43"/>
      <c r="FG17" s="43"/>
      <c r="FH17" s="43"/>
      <c r="FI17" s="43"/>
      <c r="FJ17" s="43"/>
      <c r="FK17" s="43"/>
      <c r="FL17" s="43"/>
      <c r="FM17" s="43"/>
      <c r="FN17" s="43"/>
      <c r="FO17" s="43"/>
      <c r="FP17" s="43"/>
      <c r="FQ17" s="43"/>
      <c r="FR17" s="43"/>
      <c r="FS17" s="43"/>
      <c r="FT17" s="43"/>
      <c r="FU17" s="43"/>
      <c r="FV17" s="43"/>
      <c r="FW17" s="43"/>
      <c r="FX17" s="43"/>
      <c r="FY17" s="43"/>
      <c r="FZ17" s="43"/>
      <c r="GA17" s="43"/>
      <c r="GB17" s="43"/>
      <c r="GC17" s="43"/>
      <c r="GD17" s="43"/>
      <c r="GE17" s="43"/>
      <c r="GF17" s="43"/>
      <c r="GG17" s="43"/>
      <c r="GH17" s="43"/>
      <c r="GI17" s="43"/>
      <c r="GJ17" s="43"/>
      <c r="GK17" s="43"/>
      <c r="GL17" s="43"/>
      <c r="GM17" s="43"/>
      <c r="GN17" s="43"/>
      <c r="GO17" s="43"/>
      <c r="GP17" s="43"/>
      <c r="GQ17" s="43"/>
      <c r="GR17" s="43"/>
      <c r="GS17" s="43"/>
      <c r="GT17" s="43"/>
      <c r="GU17" s="43"/>
      <c r="GV17" s="43"/>
      <c r="GW17" s="43"/>
      <c r="GX17" s="43"/>
      <c r="GY17" s="43"/>
      <c r="GZ17" s="43"/>
      <c r="HA17" s="43"/>
      <c r="HB17" s="43"/>
      <c r="HC17" s="43"/>
      <c r="HD17" s="43"/>
      <c r="HE17" s="43"/>
      <c r="HF17" s="43"/>
      <c r="HG17" s="43"/>
      <c r="HH17" s="43"/>
      <c r="HI17" s="43"/>
      <c r="HJ17" s="43"/>
      <c r="HK17" s="43"/>
      <c r="HL17" s="43"/>
      <c r="HM17" s="43"/>
      <c r="HN17" s="43"/>
      <c r="HO17" s="43"/>
      <c r="HP17" s="43"/>
      <c r="HQ17" s="43"/>
      <c r="HR17"/>
      <c r="HS17"/>
      <c r="HT17"/>
      <c r="HU17"/>
      <c r="HV17"/>
      <c r="HW17"/>
      <c r="HX17"/>
      <c r="HY17"/>
      <c r="HZ17"/>
      <c r="IA17"/>
      <c r="IB17"/>
      <c r="IC17"/>
      <c r="ID17"/>
      <c r="IE17"/>
      <c r="IF17"/>
      <c r="IG17"/>
      <c r="IH17"/>
      <c r="II17"/>
      <c r="IJ17"/>
      <c r="IK17" s="32"/>
      <c r="IL17" s="32"/>
      <c r="IM17" s="32"/>
      <c r="IN17" s="32"/>
      <c r="IO17" s="32"/>
      <c r="IP17" s="32"/>
      <c r="IQ17" s="32"/>
    </row>
    <row r="18" spans="1:251" s="33" customFormat="1">
      <c r="A18" s="80" t="s">
        <v>553</v>
      </c>
      <c r="B18" s="32"/>
      <c r="C18" s="68"/>
      <c r="D18" s="456">
        <v>21234</v>
      </c>
      <c r="E18" s="456">
        <f>633+5436+14268+1262</f>
        <v>21599</v>
      </c>
      <c r="F18" s="456">
        <v>24906</v>
      </c>
      <c r="G18" s="456">
        <v>25625</v>
      </c>
      <c r="H18" s="456">
        <v>24553</v>
      </c>
      <c r="I18" s="456">
        <v>27233</v>
      </c>
      <c r="J18" s="456">
        <v>29087</v>
      </c>
      <c r="K18" s="456">
        <v>29956</v>
      </c>
      <c r="L18" s="456">
        <v>31932</v>
      </c>
      <c r="M18" s="456">
        <v>14882</v>
      </c>
      <c r="N18" s="456">
        <f>761+5132+10257+1161</f>
        <v>17311</v>
      </c>
      <c r="O18" s="456">
        <v>5626</v>
      </c>
      <c r="P18" s="222">
        <v>5344</v>
      </c>
      <c r="Q18" s="222">
        <v>6144</v>
      </c>
      <c r="R18" s="222">
        <v>5150</v>
      </c>
      <c r="S18" s="222">
        <v>4728</v>
      </c>
      <c r="T18" s="222">
        <v>4750</v>
      </c>
      <c r="U18" s="222">
        <v>4817</v>
      </c>
      <c r="V18" s="222">
        <v>4755</v>
      </c>
      <c r="W18" s="222">
        <v>4877</v>
      </c>
      <c r="X18" s="222">
        <v>4835</v>
      </c>
      <c r="Y18" s="156">
        <f t="shared" ref="Y18:AG18" si="4">Y148</f>
        <v>5033.45</v>
      </c>
      <c r="Z18" s="156">
        <f t="shared" si="4"/>
        <v>5241.8225000000002</v>
      </c>
      <c r="AA18" s="156">
        <f t="shared" si="4"/>
        <v>5460.613625</v>
      </c>
      <c r="AB18" s="156">
        <f t="shared" si="4"/>
        <v>5690.34430625</v>
      </c>
      <c r="AC18" s="156">
        <f t="shared" si="4"/>
        <v>5931.5615215625003</v>
      </c>
      <c r="AD18" s="156">
        <f t="shared" si="4"/>
        <v>6184.8395976406255</v>
      </c>
      <c r="AE18" s="156">
        <f t="shared" si="4"/>
        <v>6450.7815775226572</v>
      </c>
      <c r="AF18" s="156">
        <f t="shared" si="4"/>
        <v>6730.0206563987904</v>
      </c>
      <c r="AG18" s="156">
        <f t="shared" si="4"/>
        <v>7023.2216892187298</v>
      </c>
      <c r="AH18" s="43"/>
      <c r="AI18" s="43"/>
      <c r="AJ18" s="43"/>
      <c r="AK18" s="43"/>
      <c r="AL18" s="43"/>
      <c r="AM18" s="43"/>
      <c r="AN18" s="43"/>
      <c r="AO18" s="43"/>
      <c r="AP18" s="43"/>
      <c r="AQ18" s="43"/>
      <c r="AR18" s="43"/>
      <c r="AS18" s="43"/>
      <c r="AT18" s="43"/>
      <c r="AU18" s="43"/>
      <c r="AV18" s="43"/>
      <c r="AW18" s="43"/>
      <c r="AX18" s="43"/>
      <c r="AY18" s="43"/>
      <c r="AZ18" s="43"/>
      <c r="BA18" s="43"/>
      <c r="BB18" s="43"/>
      <c r="BC18" s="43"/>
      <c r="BD18" s="43"/>
      <c r="BE18" s="43"/>
      <c r="BF18" s="43"/>
      <c r="BG18" s="43"/>
      <c r="BH18" s="43"/>
      <c r="BI18" s="43"/>
      <c r="BJ18" s="43"/>
      <c r="BK18" s="43"/>
      <c r="BL18" s="43"/>
      <c r="BM18" s="43"/>
      <c r="BN18" s="43"/>
      <c r="BO18" s="43"/>
      <c r="BP18" s="43"/>
      <c r="BQ18" s="43"/>
      <c r="BR18" s="43"/>
      <c r="BS18" s="43"/>
      <c r="BT18" s="43"/>
      <c r="BU18" s="43"/>
      <c r="BV18" s="43"/>
      <c r="BW18" s="43"/>
      <c r="BX18" s="43"/>
      <c r="BY18" s="43"/>
      <c r="BZ18" s="43"/>
      <c r="CA18" s="43"/>
      <c r="CB18" s="43"/>
      <c r="CC18" s="43"/>
      <c r="CD18" s="43"/>
      <c r="CE18" s="43"/>
      <c r="CF18" s="43"/>
      <c r="CG18" s="43"/>
      <c r="CH18" s="43"/>
      <c r="CI18" s="43"/>
      <c r="CJ18" s="43"/>
      <c r="CK18" s="43"/>
      <c r="CL18" s="43"/>
      <c r="CM18" s="43"/>
      <c r="CN18" s="43"/>
      <c r="CO18" s="43"/>
      <c r="CP18" s="43"/>
      <c r="CQ18" s="43"/>
      <c r="CR18" s="43"/>
      <c r="CS18" s="43"/>
      <c r="CT18" s="43"/>
      <c r="CU18" s="43"/>
      <c r="CV18" s="43"/>
      <c r="CW18" s="43"/>
      <c r="CX18" s="43"/>
      <c r="CY18" s="43"/>
      <c r="CZ18" s="43"/>
      <c r="DA18" s="43"/>
      <c r="DB18" s="43"/>
      <c r="DC18" s="43"/>
      <c r="DD18" s="43"/>
      <c r="DE18" s="43"/>
      <c r="DF18" s="43"/>
      <c r="DG18" s="43"/>
      <c r="DH18" s="43"/>
      <c r="DI18" s="43"/>
      <c r="DJ18" s="43"/>
      <c r="DK18" s="43"/>
      <c r="DL18" s="43"/>
      <c r="DM18" s="43"/>
      <c r="DN18" s="43"/>
      <c r="DO18" s="43"/>
      <c r="DP18" s="43"/>
      <c r="DQ18" s="43"/>
      <c r="DR18" s="43"/>
      <c r="DS18" s="43"/>
      <c r="DT18" s="43"/>
      <c r="DU18" s="43"/>
      <c r="DV18" s="43"/>
      <c r="DW18" s="43"/>
      <c r="DX18" s="43"/>
      <c r="DY18" s="43"/>
      <c r="DZ18" s="43"/>
      <c r="EA18" s="43"/>
      <c r="EB18" s="43"/>
      <c r="EC18" s="43"/>
      <c r="ED18" s="43"/>
      <c r="EE18" s="43"/>
      <c r="EF18" s="43"/>
      <c r="EG18" s="43"/>
      <c r="EH18" s="43"/>
      <c r="EI18" s="43"/>
      <c r="EJ18" s="43"/>
      <c r="EK18" s="43"/>
      <c r="EL18" s="43"/>
      <c r="EM18" s="43"/>
      <c r="EN18" s="43"/>
      <c r="EO18" s="43"/>
      <c r="EP18" s="43"/>
      <c r="EQ18" s="43"/>
      <c r="ER18" s="43"/>
      <c r="ES18" s="43"/>
      <c r="ET18" s="43"/>
      <c r="EU18" s="43"/>
      <c r="EV18" s="43"/>
      <c r="EW18" s="43"/>
      <c r="EX18" s="43"/>
      <c r="EY18" s="43"/>
      <c r="EZ18" s="43"/>
      <c r="FA18" s="43"/>
      <c r="FB18" s="43"/>
      <c r="FC18" s="43"/>
      <c r="FD18" s="43"/>
      <c r="FE18" s="43"/>
      <c r="FF18" s="43"/>
      <c r="FG18" s="43"/>
      <c r="FH18" s="43"/>
      <c r="FI18" s="43"/>
      <c r="FJ18" s="43"/>
      <c r="FK18" s="43"/>
      <c r="FL18" s="43"/>
      <c r="FM18" s="43"/>
      <c r="FN18" s="43"/>
      <c r="FO18" s="43"/>
      <c r="FP18" s="43"/>
      <c r="FQ18" s="43"/>
      <c r="FR18" s="43"/>
      <c r="FS18" s="43"/>
      <c r="FT18" s="43"/>
      <c r="FU18" s="43"/>
      <c r="FV18" s="43"/>
      <c r="FW18" s="43"/>
      <c r="FX18" s="43"/>
      <c r="FY18" s="43"/>
      <c r="FZ18" s="43"/>
      <c r="GA18" s="43"/>
      <c r="GB18" s="43"/>
      <c r="GC18" s="43"/>
      <c r="GD18" s="43"/>
      <c r="GE18" s="43"/>
      <c r="GF18" s="43"/>
      <c r="GG18" s="43"/>
      <c r="GH18" s="43"/>
      <c r="GI18" s="43"/>
      <c r="GJ18" s="43"/>
      <c r="GK18" s="43"/>
      <c r="GL18" s="43"/>
      <c r="GM18" s="43"/>
      <c r="GN18" s="43"/>
      <c r="GO18" s="43"/>
      <c r="GP18" s="43"/>
      <c r="GQ18" s="43"/>
      <c r="GR18" s="43"/>
      <c r="GS18" s="43"/>
      <c r="GT18" s="43"/>
      <c r="GU18" s="43"/>
      <c r="GV18" s="43"/>
      <c r="GW18" s="43"/>
      <c r="GX18" s="43"/>
      <c r="GY18" s="43"/>
      <c r="GZ18" s="43"/>
      <c r="HA18" s="43"/>
      <c r="HB18" s="43"/>
      <c r="HC18" s="43"/>
      <c r="HD18" s="43"/>
      <c r="HE18" s="43"/>
      <c r="HF18" s="43"/>
      <c r="HG18" s="43"/>
      <c r="HH18" s="43"/>
      <c r="HI18" s="43"/>
      <c r="HJ18" s="43"/>
      <c r="HK18" s="43"/>
      <c r="HL18" s="43"/>
      <c r="HM18" s="43"/>
      <c r="HN18" s="43"/>
      <c r="HO18" s="43"/>
      <c r="HP18" s="43"/>
      <c r="HQ18" s="43"/>
      <c r="HR18"/>
      <c r="HS18"/>
      <c r="HT18"/>
      <c r="HU18"/>
      <c r="HV18"/>
      <c r="HW18"/>
      <c r="HX18"/>
      <c r="HY18"/>
      <c r="HZ18"/>
      <c r="IA18"/>
      <c r="IB18"/>
      <c r="IC18"/>
      <c r="ID18"/>
      <c r="IE18"/>
      <c r="IF18"/>
      <c r="IG18"/>
      <c r="IH18"/>
      <c r="II18"/>
      <c r="IJ18"/>
      <c r="IK18" s="32"/>
      <c r="IL18" s="32"/>
      <c r="IM18" s="32"/>
      <c r="IN18" s="32"/>
      <c r="IO18" s="32"/>
      <c r="IP18" s="32"/>
      <c r="IQ18" s="32"/>
    </row>
    <row r="19" spans="1:251" s="33" customFormat="1">
      <c r="A19" s="80" t="s">
        <v>391</v>
      </c>
      <c r="B19" s="32"/>
      <c r="C19" s="68"/>
      <c r="D19" s="456">
        <v>8899</v>
      </c>
      <c r="E19" s="456">
        <v>9328</v>
      </c>
      <c r="F19" s="456">
        <v>9603</v>
      </c>
      <c r="G19" s="456">
        <v>10488</v>
      </c>
      <c r="H19" s="456">
        <v>9707</v>
      </c>
      <c r="I19" s="456">
        <v>11166</v>
      </c>
      <c r="J19" s="456">
        <v>12782</v>
      </c>
      <c r="K19" s="456">
        <v>13278</v>
      </c>
      <c r="L19" s="456">
        <v>14658</v>
      </c>
      <c r="M19" s="456">
        <v>7301</v>
      </c>
      <c r="N19" s="456">
        <v>8454</v>
      </c>
      <c r="O19" s="456">
        <v>3204</v>
      </c>
      <c r="P19" s="222">
        <v>3145</v>
      </c>
      <c r="Q19" s="222">
        <v>3460</v>
      </c>
      <c r="R19" s="222">
        <v>2770</v>
      </c>
      <c r="S19" s="222">
        <v>2512</v>
      </c>
      <c r="T19" s="222">
        <v>2648</v>
      </c>
      <c r="U19" s="222">
        <v>2789</v>
      </c>
      <c r="V19" s="222">
        <v>2772</v>
      </c>
      <c r="W19" s="222">
        <v>2895</v>
      </c>
      <c r="X19" s="222">
        <v>2877</v>
      </c>
      <c r="Y19" s="156">
        <f t="shared" ref="Y19:AG19" si="5">Y154</f>
        <v>3058.4240311667008</v>
      </c>
      <c r="Z19" s="156">
        <f t="shared" si="5"/>
        <v>3247.2945150707401</v>
      </c>
      <c r="AA19" s="156">
        <f t="shared" si="5"/>
        <v>3443.9837743489848</v>
      </c>
      <c r="AB19" s="156">
        <f t="shared" si="5"/>
        <v>3648.8827477701452</v>
      </c>
      <c r="AC19" s="156">
        <f t="shared" si="5"/>
        <v>3862.4019210413671</v>
      </c>
      <c r="AD19" s="156">
        <f t="shared" si="5"/>
        <v>4084.9723041551538</v>
      </c>
      <c r="AE19" s="156">
        <f t="shared" si="5"/>
        <v>4317.0464576036329</v>
      </c>
      <c r="AF19" s="156">
        <f t="shared" si="5"/>
        <v>4559.0995699035402</v>
      </c>
      <c r="AG19" s="156">
        <f t="shared" si="5"/>
        <v>4811.6305889974465</v>
      </c>
      <c r="AH19" s="43"/>
      <c r="AI19" s="43"/>
      <c r="AJ19" s="43"/>
      <c r="AK19" s="43"/>
      <c r="AL19" s="43"/>
      <c r="AM19" s="43"/>
      <c r="AN19" s="43"/>
      <c r="AO19" s="43"/>
      <c r="AP19" s="43"/>
      <c r="AQ19" s="43"/>
      <c r="AR19" s="43"/>
      <c r="AS19" s="43"/>
      <c r="AT19" s="43"/>
      <c r="AU19" s="43"/>
      <c r="AV19" s="43"/>
      <c r="AW19" s="43"/>
      <c r="AX19" s="43"/>
      <c r="AY19" s="43"/>
      <c r="AZ19" s="43"/>
      <c r="BA19" s="43"/>
      <c r="BB19" s="43"/>
      <c r="BC19" s="43"/>
      <c r="BD19" s="43"/>
      <c r="BE19" s="43"/>
      <c r="BF19" s="43"/>
      <c r="BG19" s="43"/>
      <c r="BH19" s="43"/>
      <c r="BI19" s="43"/>
      <c r="BJ19" s="43"/>
      <c r="BK19" s="43"/>
      <c r="BL19" s="43"/>
      <c r="BM19" s="43"/>
      <c r="BN19" s="43"/>
      <c r="BO19" s="43"/>
      <c r="BP19" s="43"/>
      <c r="BQ19" s="43"/>
      <c r="BR19" s="43"/>
      <c r="BS19" s="43"/>
      <c r="BT19" s="43"/>
      <c r="BU19" s="43"/>
      <c r="BV19" s="43"/>
      <c r="BW19" s="43"/>
      <c r="BX19" s="43"/>
      <c r="BY19" s="43"/>
      <c r="BZ19" s="43"/>
      <c r="CA19" s="43"/>
      <c r="CB19" s="43"/>
      <c r="CC19" s="43"/>
      <c r="CD19" s="43"/>
      <c r="CE19" s="43"/>
      <c r="CF19" s="43"/>
      <c r="CG19" s="43"/>
      <c r="CH19" s="43"/>
      <c r="CI19" s="43"/>
      <c r="CJ19" s="43"/>
      <c r="CK19" s="43"/>
      <c r="CL19" s="43"/>
      <c r="CM19" s="43"/>
      <c r="CN19" s="43"/>
      <c r="CO19" s="43"/>
      <c r="CP19" s="43"/>
      <c r="CQ19" s="43"/>
      <c r="CR19" s="43"/>
      <c r="CS19" s="43"/>
      <c r="CT19" s="43"/>
      <c r="CU19" s="43"/>
      <c r="CV19" s="43"/>
      <c r="CW19" s="43"/>
      <c r="CX19" s="43"/>
      <c r="CY19" s="43"/>
      <c r="CZ19" s="43"/>
      <c r="DA19" s="43"/>
      <c r="DB19" s="43"/>
      <c r="DC19" s="43"/>
      <c r="DD19" s="43"/>
      <c r="DE19" s="43"/>
      <c r="DF19" s="43"/>
      <c r="DG19" s="43"/>
      <c r="DH19" s="43"/>
      <c r="DI19" s="43"/>
      <c r="DJ19" s="43"/>
      <c r="DK19" s="43"/>
      <c r="DL19" s="43"/>
      <c r="DM19" s="43"/>
      <c r="DN19" s="43"/>
      <c r="DO19" s="43"/>
      <c r="DP19" s="43"/>
      <c r="DQ19" s="43"/>
      <c r="DR19" s="43"/>
      <c r="DS19" s="43"/>
      <c r="DT19" s="43"/>
      <c r="DU19" s="43"/>
      <c r="DV19" s="43"/>
      <c r="DW19" s="43"/>
      <c r="DX19" s="43"/>
      <c r="DY19" s="43"/>
      <c r="DZ19" s="43"/>
      <c r="EA19" s="43"/>
      <c r="EB19" s="43"/>
      <c r="EC19" s="43"/>
      <c r="ED19" s="43"/>
      <c r="EE19" s="43"/>
      <c r="EF19" s="43"/>
      <c r="EG19" s="43"/>
      <c r="EH19" s="43"/>
      <c r="EI19" s="43"/>
      <c r="EJ19" s="43"/>
      <c r="EK19" s="43"/>
      <c r="EL19" s="43"/>
      <c r="EM19" s="43"/>
      <c r="EN19" s="43"/>
      <c r="EO19" s="43"/>
      <c r="EP19" s="43"/>
      <c r="EQ19" s="43"/>
      <c r="ER19" s="43"/>
      <c r="ES19" s="43"/>
      <c r="ET19" s="43"/>
      <c r="EU19" s="43"/>
      <c r="EV19" s="43"/>
      <c r="EW19" s="43"/>
      <c r="EX19" s="43"/>
      <c r="EY19" s="43"/>
      <c r="EZ19" s="43"/>
      <c r="FA19" s="43"/>
      <c r="FB19" s="43"/>
      <c r="FC19" s="43"/>
      <c r="FD19" s="43"/>
      <c r="FE19" s="43"/>
      <c r="FF19" s="43"/>
      <c r="FG19" s="43"/>
      <c r="FH19" s="43"/>
      <c r="FI19" s="43"/>
      <c r="FJ19" s="43"/>
      <c r="FK19" s="43"/>
      <c r="FL19" s="43"/>
      <c r="FM19" s="43"/>
      <c r="FN19" s="43"/>
      <c r="FO19" s="43"/>
      <c r="FP19" s="43"/>
      <c r="FQ19" s="43"/>
      <c r="FR19" s="43"/>
      <c r="FS19" s="43"/>
      <c r="FT19" s="43"/>
      <c r="FU19" s="43"/>
      <c r="FV19" s="43"/>
      <c r="FW19" s="43"/>
      <c r="FX19" s="43"/>
      <c r="FY19" s="43"/>
      <c r="FZ19" s="43"/>
      <c r="GA19" s="43"/>
      <c r="GB19" s="43"/>
      <c r="GC19" s="43"/>
      <c r="GD19" s="43"/>
      <c r="GE19" s="43"/>
      <c r="GF19" s="43"/>
      <c r="GG19" s="43"/>
      <c r="GH19" s="43"/>
      <c r="GI19" s="43"/>
      <c r="GJ19" s="43"/>
      <c r="GK19" s="43"/>
      <c r="GL19" s="43"/>
      <c r="GM19" s="43"/>
      <c r="GN19" s="43"/>
      <c r="GO19" s="43"/>
      <c r="GP19" s="43"/>
      <c r="GQ19" s="43"/>
      <c r="GR19" s="43"/>
      <c r="GS19" s="43"/>
      <c r="GT19" s="43"/>
      <c r="GU19" s="43"/>
      <c r="GV19" s="43"/>
      <c r="GW19" s="43"/>
      <c r="GX19" s="43"/>
      <c r="GY19" s="43"/>
      <c r="GZ19" s="43"/>
      <c r="HA19" s="43"/>
      <c r="HB19" s="43"/>
      <c r="HC19" s="43"/>
      <c r="HD19" s="43"/>
      <c r="HE19" s="43"/>
      <c r="HF19" s="43"/>
      <c r="HG19" s="43"/>
      <c r="HH19" s="43"/>
      <c r="HI19" s="43"/>
      <c r="HJ19" s="43"/>
      <c r="HK19" s="43"/>
      <c r="HL19" s="43"/>
      <c r="HM19" s="43"/>
      <c r="HN19" s="43"/>
      <c r="HO19" s="43"/>
      <c r="HP19" s="43"/>
      <c r="HQ19" s="43"/>
      <c r="HR19"/>
      <c r="HS19"/>
      <c r="HT19"/>
      <c r="HU19"/>
      <c r="HV19"/>
      <c r="HW19"/>
      <c r="HX19"/>
      <c r="HY19"/>
      <c r="HZ19"/>
      <c r="IA19"/>
      <c r="IB19"/>
      <c r="IC19"/>
      <c r="ID19"/>
      <c r="IE19"/>
      <c r="IF19"/>
      <c r="IG19"/>
      <c r="IH19"/>
      <c r="II19"/>
      <c r="IJ19"/>
      <c r="IK19" s="32"/>
      <c r="IL19" s="32"/>
      <c r="IM19" s="32"/>
      <c r="IN19" s="32"/>
      <c r="IO19" s="32"/>
      <c r="IP19" s="32"/>
      <c r="IQ19" s="32"/>
    </row>
    <row r="20" spans="1:251" s="33" customFormat="1">
      <c r="A20" s="80"/>
      <c r="B20" s="80" t="s">
        <v>135</v>
      </c>
      <c r="C20" s="68"/>
      <c r="D20" s="156">
        <f>D18-D19</f>
        <v>12335</v>
      </c>
      <c r="E20" s="156">
        <f>E18-E19</f>
        <v>12271</v>
      </c>
      <c r="F20" s="156">
        <f>F18-F19</f>
        <v>15303</v>
      </c>
      <c r="G20" s="156">
        <f>G18-G19</f>
        <v>15137</v>
      </c>
      <c r="H20" s="156">
        <f>H18-H19</f>
        <v>14846</v>
      </c>
      <c r="I20" s="156">
        <f t="shared" ref="I20:P20" si="6">+I18-I19</f>
        <v>16067</v>
      </c>
      <c r="J20" s="156">
        <f t="shared" si="6"/>
        <v>16305</v>
      </c>
      <c r="K20" s="156">
        <f t="shared" si="6"/>
        <v>16678</v>
      </c>
      <c r="L20" s="156">
        <f t="shared" si="6"/>
        <v>17274</v>
      </c>
      <c r="M20" s="156">
        <f t="shared" si="6"/>
        <v>7581</v>
      </c>
      <c r="N20" s="156">
        <f t="shared" si="6"/>
        <v>8857</v>
      </c>
      <c r="O20" s="156">
        <f t="shared" si="6"/>
        <v>2422</v>
      </c>
      <c r="P20" s="156">
        <f t="shared" si="6"/>
        <v>2199</v>
      </c>
      <c r="Q20" s="156">
        <f t="shared" ref="Q20:X20" si="7">+Q18-Q19</f>
        <v>2684</v>
      </c>
      <c r="R20" s="156">
        <f t="shared" si="7"/>
        <v>2380</v>
      </c>
      <c r="S20" s="156">
        <f t="shared" si="7"/>
        <v>2216</v>
      </c>
      <c r="T20" s="156">
        <f t="shared" si="7"/>
        <v>2102</v>
      </c>
      <c r="U20" s="156">
        <f t="shared" si="7"/>
        <v>2028</v>
      </c>
      <c r="V20" s="156">
        <f t="shared" si="7"/>
        <v>1983</v>
      </c>
      <c r="W20" s="156">
        <f t="shared" si="7"/>
        <v>1982</v>
      </c>
      <c r="X20" s="156">
        <f t="shared" si="7"/>
        <v>1958</v>
      </c>
      <c r="Y20" s="156">
        <f t="shared" ref="Y20:AG20" si="8">+Y18-Y19</f>
        <v>1975.025968833299</v>
      </c>
      <c r="Z20" s="156">
        <f t="shared" si="8"/>
        <v>1994.5279849292601</v>
      </c>
      <c r="AA20" s="156">
        <f t="shared" si="8"/>
        <v>2016.6298506510152</v>
      </c>
      <c r="AB20" s="156">
        <f t="shared" si="8"/>
        <v>2041.4615584798548</v>
      </c>
      <c r="AC20" s="156">
        <f t="shared" si="8"/>
        <v>2069.1596005211331</v>
      </c>
      <c r="AD20" s="156">
        <f t="shared" si="8"/>
        <v>2099.8672934854717</v>
      </c>
      <c r="AE20" s="156">
        <f t="shared" si="8"/>
        <v>2133.7351199190243</v>
      </c>
      <c r="AF20" s="156">
        <f t="shared" si="8"/>
        <v>2170.9210864952502</v>
      </c>
      <c r="AG20" s="156">
        <f t="shared" si="8"/>
        <v>2211.5911002212833</v>
      </c>
      <c r="AH20" s="43"/>
      <c r="AI20" s="43"/>
      <c r="AJ20" s="43"/>
      <c r="AK20" s="43"/>
      <c r="AL20" s="43"/>
      <c r="AM20" s="43"/>
      <c r="AN20" s="43"/>
      <c r="AO20" s="43"/>
      <c r="AP20" s="43"/>
      <c r="AQ20" s="43"/>
      <c r="AR20" s="43"/>
      <c r="AS20" s="43"/>
      <c r="AT20" s="43"/>
      <c r="AU20" s="43"/>
      <c r="AV20" s="43"/>
      <c r="AW20" s="43"/>
      <c r="AX20" s="43"/>
      <c r="AY20" s="43"/>
      <c r="AZ20" s="43"/>
      <c r="BA20" s="43"/>
      <c r="BB20" s="43"/>
      <c r="BC20" s="43"/>
      <c r="BD20" s="43"/>
      <c r="BE20" s="43"/>
      <c r="BF20" s="43"/>
      <c r="BG20" s="43"/>
      <c r="BH20" s="43"/>
      <c r="BI20" s="43"/>
      <c r="BJ20" s="43"/>
      <c r="BK20" s="43"/>
      <c r="BL20" s="43"/>
      <c r="BM20" s="43"/>
      <c r="BN20" s="43"/>
      <c r="BO20" s="43"/>
      <c r="BP20" s="43"/>
      <c r="BQ20" s="43"/>
      <c r="BR20" s="43"/>
      <c r="BS20" s="43"/>
      <c r="BT20" s="43"/>
      <c r="BU20" s="43"/>
      <c r="BV20" s="43"/>
      <c r="BW20" s="43"/>
      <c r="BX20" s="43"/>
      <c r="BY20" s="43"/>
      <c r="BZ20" s="43"/>
      <c r="CA20" s="43"/>
      <c r="CB20" s="43"/>
      <c r="CC20" s="43"/>
      <c r="CD20" s="43"/>
      <c r="CE20" s="43"/>
      <c r="CF20" s="43"/>
      <c r="CG20" s="43"/>
      <c r="CH20" s="43"/>
      <c r="CI20" s="43"/>
      <c r="CJ20" s="43"/>
      <c r="CK20" s="43"/>
      <c r="CL20" s="43"/>
      <c r="CM20" s="43"/>
      <c r="CN20" s="43"/>
      <c r="CO20" s="43"/>
      <c r="CP20" s="43"/>
      <c r="CQ20" s="43"/>
      <c r="CR20" s="43"/>
      <c r="CS20" s="43"/>
      <c r="CT20" s="43"/>
      <c r="CU20" s="43"/>
      <c r="CV20" s="43"/>
      <c r="CW20" s="43"/>
      <c r="CX20" s="43"/>
      <c r="CY20" s="43"/>
      <c r="CZ20" s="43"/>
      <c r="DA20" s="43"/>
      <c r="DB20" s="43"/>
      <c r="DC20" s="43"/>
      <c r="DD20" s="43"/>
      <c r="DE20" s="43"/>
      <c r="DF20" s="43"/>
      <c r="DG20" s="43"/>
      <c r="DH20" s="43"/>
      <c r="DI20" s="43"/>
      <c r="DJ20" s="43"/>
      <c r="DK20" s="43"/>
      <c r="DL20" s="43"/>
      <c r="DM20" s="43"/>
      <c r="DN20" s="43"/>
      <c r="DO20" s="43"/>
      <c r="DP20" s="43"/>
      <c r="DQ20" s="43"/>
      <c r="DR20" s="43"/>
      <c r="DS20" s="43"/>
      <c r="DT20" s="43"/>
      <c r="DU20" s="43"/>
      <c r="DV20" s="43"/>
      <c r="DW20" s="43"/>
      <c r="DX20" s="43"/>
      <c r="DY20" s="43"/>
      <c r="DZ20" s="43"/>
      <c r="EA20" s="43"/>
      <c r="EB20" s="43"/>
      <c r="EC20" s="43"/>
      <c r="ED20" s="43"/>
      <c r="EE20" s="43"/>
      <c r="EF20" s="43"/>
      <c r="EG20" s="43"/>
      <c r="EH20" s="43"/>
      <c r="EI20" s="43"/>
      <c r="EJ20" s="43"/>
      <c r="EK20" s="43"/>
      <c r="EL20" s="43"/>
      <c r="EM20" s="43"/>
      <c r="EN20" s="43"/>
      <c r="EO20" s="43"/>
      <c r="EP20" s="43"/>
      <c r="EQ20" s="43"/>
      <c r="ER20" s="43"/>
      <c r="ES20" s="43"/>
      <c r="ET20" s="43"/>
      <c r="EU20" s="43"/>
      <c r="EV20" s="43"/>
      <c r="EW20" s="43"/>
      <c r="EX20" s="43"/>
      <c r="EY20" s="43"/>
      <c r="EZ20" s="43"/>
      <c r="FA20" s="43"/>
      <c r="FB20" s="43"/>
      <c r="FC20" s="43"/>
      <c r="FD20" s="43"/>
      <c r="FE20" s="43"/>
      <c r="FF20" s="43"/>
      <c r="FG20" s="43"/>
      <c r="FH20" s="43"/>
      <c r="FI20" s="43"/>
      <c r="FJ20" s="43"/>
      <c r="FK20" s="43"/>
      <c r="FL20" s="43"/>
      <c r="FM20" s="43"/>
      <c r="FN20" s="43"/>
      <c r="FO20" s="43"/>
      <c r="FP20" s="43"/>
      <c r="FQ20" s="43"/>
      <c r="FR20" s="43"/>
      <c r="FS20" s="43"/>
      <c r="FT20" s="43"/>
      <c r="FU20" s="43"/>
      <c r="FV20" s="43"/>
      <c r="FW20" s="43"/>
      <c r="FX20" s="43"/>
      <c r="FY20" s="43"/>
      <c r="FZ20" s="43"/>
      <c r="GA20" s="43"/>
      <c r="GB20" s="43"/>
      <c r="GC20" s="43"/>
      <c r="GD20" s="43"/>
      <c r="GE20" s="43"/>
      <c r="GF20" s="43"/>
      <c r="GG20" s="43"/>
      <c r="GH20" s="43"/>
      <c r="GI20" s="43"/>
      <c r="GJ20" s="43"/>
      <c r="GK20" s="43"/>
      <c r="GL20" s="43"/>
      <c r="GM20" s="43"/>
      <c r="GN20" s="43"/>
      <c r="GO20" s="43"/>
      <c r="GP20" s="43"/>
      <c r="GQ20" s="43"/>
      <c r="GR20" s="43"/>
      <c r="GS20" s="43"/>
      <c r="GT20" s="43"/>
      <c r="GU20" s="43"/>
      <c r="GV20" s="43"/>
      <c r="GW20" s="43"/>
      <c r="GX20" s="43"/>
      <c r="GY20" s="43"/>
      <c r="GZ20" s="43"/>
      <c r="HA20" s="43"/>
      <c r="HB20" s="43"/>
      <c r="HC20" s="43"/>
      <c r="HD20" s="43"/>
      <c r="HE20" s="43"/>
      <c r="HF20" s="43"/>
      <c r="HG20" s="43"/>
      <c r="HH20" s="43"/>
      <c r="HI20" s="43"/>
      <c r="HJ20" s="43"/>
      <c r="HK20" s="43"/>
      <c r="HL20" s="43"/>
      <c r="HM20" s="43"/>
      <c r="HN20" s="43"/>
      <c r="HO20" s="43"/>
      <c r="HP20" s="43"/>
      <c r="HQ20" s="43"/>
      <c r="HR20"/>
      <c r="HS20"/>
      <c r="HT20"/>
      <c r="HU20"/>
      <c r="HV20"/>
      <c r="HW20"/>
      <c r="HX20"/>
      <c r="HY20"/>
      <c r="HZ20"/>
      <c r="IA20"/>
      <c r="IB20"/>
      <c r="IC20"/>
      <c r="ID20"/>
      <c r="IE20"/>
      <c r="IF20"/>
      <c r="IG20"/>
      <c r="IH20"/>
      <c r="II20"/>
      <c r="IJ20"/>
      <c r="IK20" s="32"/>
      <c r="IL20" s="32"/>
      <c r="IM20" s="32"/>
      <c r="IN20" s="32"/>
      <c r="IO20" s="32"/>
      <c r="IP20" s="32"/>
      <c r="IQ20" s="32"/>
    </row>
    <row r="21" spans="1:251" s="33" customFormat="1">
      <c r="A21" s="80"/>
      <c r="B21" s="80" t="s">
        <v>156</v>
      </c>
      <c r="C21" s="68"/>
      <c r="D21" s="156"/>
      <c r="E21" s="156"/>
      <c r="F21" s="156"/>
      <c r="G21" s="156"/>
      <c r="H21" s="456">
        <v>11834</v>
      </c>
      <c r="I21" s="456">
        <v>11803</v>
      </c>
      <c r="J21" s="456">
        <v>11056</v>
      </c>
      <c r="K21" s="456">
        <v>12196</v>
      </c>
      <c r="L21" s="456">
        <v>12085</v>
      </c>
      <c r="M21" s="456">
        <v>1908</v>
      </c>
      <c r="N21" s="456">
        <v>4953</v>
      </c>
      <c r="O21" s="456">
        <v>3049</v>
      </c>
      <c r="P21" s="222">
        <v>3039</v>
      </c>
      <c r="Q21" s="222">
        <v>12138</v>
      </c>
      <c r="R21" s="222">
        <v>12118</v>
      </c>
      <c r="S21" s="222">
        <v>12098</v>
      </c>
      <c r="T21" s="222">
        <v>12078</v>
      </c>
      <c r="U21" s="222">
        <v>12058</v>
      </c>
      <c r="V21" s="222">
        <v>12049</v>
      </c>
      <c r="W21" s="222">
        <v>12028</v>
      </c>
      <c r="X21" s="222">
        <v>12036</v>
      </c>
      <c r="Y21" s="156">
        <f>X21-IS!T26</f>
        <v>12014.333333333334</v>
      </c>
      <c r="Z21" s="156">
        <f>Y21-IS!U26</f>
        <v>11992.666666666668</v>
      </c>
      <c r="AA21" s="156">
        <f>Z21-IS!V26</f>
        <v>11971.000000000002</v>
      </c>
      <c r="AB21" s="156">
        <f>AA21-IS!W26</f>
        <v>11949.333333333336</v>
      </c>
      <c r="AC21" s="156">
        <f>AB21-IS!X26</f>
        <v>11927.66666666667</v>
      </c>
      <c r="AD21" s="156">
        <f>AC21-IS!Y26</f>
        <v>11906.000000000004</v>
      </c>
      <c r="AE21" s="156">
        <f>AD21-IS!Z26</f>
        <v>11884.333333333338</v>
      </c>
      <c r="AF21" s="156">
        <f>AE21-IS!AA26</f>
        <v>11862.666666666672</v>
      </c>
      <c r="AG21" s="156">
        <f>AF21-IS!AB26</f>
        <v>11841.000000000005</v>
      </c>
      <c r="AH21" s="43"/>
      <c r="AI21" s="43"/>
      <c r="AJ21" s="43"/>
      <c r="AK21" s="43"/>
      <c r="AL21" s="43"/>
      <c r="AM21" s="43"/>
      <c r="AN21" s="43"/>
      <c r="AO21" s="43"/>
      <c r="AP21" s="43"/>
      <c r="AQ21" s="43"/>
      <c r="AR21" s="43"/>
      <c r="AS21" s="43"/>
      <c r="AT21" s="43"/>
      <c r="AU21" s="43"/>
      <c r="AV21" s="43"/>
      <c r="AW21" s="43"/>
      <c r="AX21" s="43"/>
      <c r="AY21" s="43"/>
      <c r="AZ21" s="43"/>
      <c r="BA21" s="43"/>
      <c r="BB21" s="43"/>
      <c r="BC21" s="43"/>
      <c r="BD21" s="43"/>
      <c r="BE21" s="43"/>
      <c r="BF21" s="43"/>
      <c r="BG21" s="43"/>
      <c r="BH21" s="43"/>
      <c r="BI21" s="43"/>
      <c r="BJ21" s="43"/>
      <c r="BK21" s="43"/>
      <c r="BL21" s="43"/>
      <c r="BM21" s="43"/>
      <c r="BN21" s="43"/>
      <c r="BO21" s="43"/>
      <c r="BP21" s="43"/>
      <c r="BQ21" s="43"/>
      <c r="BR21" s="43"/>
      <c r="BS21" s="43"/>
      <c r="BT21" s="43"/>
      <c r="BU21" s="43"/>
      <c r="BV21" s="43"/>
      <c r="BW21" s="43"/>
      <c r="BX21" s="43"/>
      <c r="BY21" s="43"/>
      <c r="BZ21" s="43"/>
      <c r="CA21" s="43"/>
      <c r="CB21" s="43"/>
      <c r="CC21" s="43"/>
      <c r="CD21" s="43"/>
      <c r="CE21" s="43"/>
      <c r="CF21" s="43"/>
      <c r="CG21" s="43"/>
      <c r="CH21" s="43"/>
      <c r="CI21" s="43"/>
      <c r="CJ21" s="43"/>
      <c r="CK21" s="43"/>
      <c r="CL21" s="43"/>
      <c r="CM21" s="43"/>
      <c r="CN21" s="43"/>
      <c r="CO21" s="43"/>
      <c r="CP21" s="43"/>
      <c r="CQ21" s="43"/>
      <c r="CR21" s="43"/>
      <c r="CS21" s="43"/>
      <c r="CT21" s="43"/>
      <c r="CU21" s="43"/>
      <c r="CV21" s="43"/>
      <c r="CW21" s="43"/>
      <c r="CX21" s="43"/>
      <c r="CY21" s="43"/>
      <c r="CZ21" s="43"/>
      <c r="DA21" s="43"/>
      <c r="DB21" s="43"/>
      <c r="DC21" s="43"/>
      <c r="DD21" s="43"/>
      <c r="DE21" s="43"/>
      <c r="DF21" s="43"/>
      <c r="DG21" s="43"/>
      <c r="DH21" s="43"/>
      <c r="DI21" s="43"/>
      <c r="DJ21" s="43"/>
      <c r="DK21" s="43"/>
      <c r="DL21" s="43"/>
      <c r="DM21" s="43"/>
      <c r="DN21" s="43"/>
      <c r="DO21" s="43"/>
      <c r="DP21" s="43"/>
      <c r="DQ21" s="43"/>
      <c r="DR21" s="43"/>
      <c r="DS21" s="43"/>
      <c r="DT21" s="43"/>
      <c r="DU21" s="43"/>
      <c r="DV21" s="43"/>
      <c r="DW21" s="43"/>
      <c r="DX21" s="43"/>
      <c r="DY21" s="43"/>
      <c r="DZ21" s="43"/>
      <c r="EA21" s="43"/>
      <c r="EB21" s="43"/>
      <c r="EC21" s="43"/>
      <c r="ED21" s="43"/>
      <c r="EE21" s="43"/>
      <c r="EF21" s="43"/>
      <c r="EG21" s="43"/>
      <c r="EH21" s="43"/>
      <c r="EI21" s="43"/>
      <c r="EJ21" s="43"/>
      <c r="EK21" s="43"/>
      <c r="EL21" s="43"/>
      <c r="EM21" s="43"/>
      <c r="EN21" s="43"/>
      <c r="EO21" s="43"/>
      <c r="EP21" s="43"/>
      <c r="EQ21" s="43"/>
      <c r="ER21" s="43"/>
      <c r="ES21" s="43"/>
      <c r="ET21" s="43"/>
      <c r="EU21" s="43"/>
      <c r="EV21" s="43"/>
      <c r="EW21" s="43"/>
      <c r="EX21" s="43"/>
      <c r="EY21" s="43"/>
      <c r="EZ21" s="43"/>
      <c r="FA21" s="43"/>
      <c r="FB21" s="43"/>
      <c r="FC21" s="43"/>
      <c r="FD21" s="43"/>
      <c r="FE21" s="43"/>
      <c r="FF21" s="43"/>
      <c r="FG21" s="43"/>
      <c r="FH21" s="43"/>
      <c r="FI21" s="43"/>
      <c r="FJ21" s="43"/>
      <c r="FK21" s="43"/>
      <c r="FL21" s="43"/>
      <c r="FM21" s="43"/>
      <c r="FN21" s="43"/>
      <c r="FO21" s="43"/>
      <c r="FP21" s="43"/>
      <c r="FQ21" s="43"/>
      <c r="FR21" s="43"/>
      <c r="FS21" s="43"/>
      <c r="FT21" s="43"/>
      <c r="FU21" s="43"/>
      <c r="FV21" s="43"/>
      <c r="FW21" s="43"/>
      <c r="FX21" s="43"/>
      <c r="FY21" s="43"/>
      <c r="FZ21" s="43"/>
      <c r="GA21" s="43"/>
      <c r="GB21" s="43"/>
      <c r="GC21" s="43"/>
      <c r="GD21" s="43"/>
      <c r="GE21" s="43"/>
      <c r="GF21" s="43"/>
      <c r="GG21" s="43"/>
      <c r="GH21" s="43"/>
      <c r="GI21" s="43"/>
      <c r="GJ21" s="43"/>
      <c r="GK21" s="43"/>
      <c r="GL21" s="43"/>
      <c r="GM21" s="43"/>
      <c r="GN21" s="43"/>
      <c r="GO21" s="43"/>
      <c r="GP21" s="43"/>
      <c r="GQ21" s="43"/>
      <c r="GR21" s="43"/>
      <c r="GS21" s="43"/>
      <c r="GT21" s="43"/>
      <c r="GU21" s="43"/>
      <c r="GV21" s="43"/>
      <c r="GW21" s="43"/>
      <c r="GX21" s="43"/>
      <c r="GY21" s="43"/>
      <c r="GZ21" s="43"/>
      <c r="HA21" s="43"/>
      <c r="HB21" s="43"/>
      <c r="HC21" s="43"/>
      <c r="HD21" s="43"/>
      <c r="HE21" s="43"/>
      <c r="HF21" s="43"/>
      <c r="HG21" s="43"/>
      <c r="HH21" s="43"/>
      <c r="HI21" s="43"/>
      <c r="HJ21" s="43"/>
      <c r="HK21" s="43"/>
      <c r="HL21" s="43"/>
      <c r="HM21" s="43"/>
      <c r="HN21" s="43"/>
      <c r="HO21" s="43"/>
      <c r="HP21" s="43"/>
      <c r="HQ21" s="43"/>
      <c r="HR21"/>
      <c r="HS21"/>
      <c r="HT21"/>
      <c r="HU21"/>
      <c r="HV21"/>
      <c r="HW21"/>
      <c r="HX21"/>
      <c r="HY21"/>
      <c r="HZ21"/>
      <c r="IA21"/>
      <c r="IB21"/>
      <c r="IC21"/>
      <c r="ID21"/>
      <c r="IE21"/>
      <c r="IF21"/>
      <c r="IG21"/>
      <c r="IH21"/>
      <c r="II21"/>
      <c r="IJ21"/>
      <c r="IK21" s="32"/>
      <c r="IL21" s="32"/>
      <c r="IM21" s="32"/>
      <c r="IN21" s="32"/>
      <c r="IO21" s="32"/>
      <c r="IP21" s="32"/>
      <c r="IQ21" s="32"/>
    </row>
    <row r="22" spans="1:251" s="33" customFormat="1">
      <c r="A22" s="80"/>
      <c r="B22" s="80" t="s">
        <v>34</v>
      </c>
      <c r="C22" s="68"/>
      <c r="D22" s="456">
        <v>17566</v>
      </c>
      <c r="E22" s="456">
        <v>16879</v>
      </c>
      <c r="F22" s="456">
        <v>33090</v>
      </c>
      <c r="G22" s="456">
        <v>37548</v>
      </c>
      <c r="H22" s="456">
        <v>26037</v>
      </c>
      <c r="I22" s="456">
        <v>27742</v>
      </c>
      <c r="J22" s="456">
        <v>28056</v>
      </c>
      <c r="K22" s="456">
        <v>31219</v>
      </c>
      <c r="L22" s="222">
        <v>33235</v>
      </c>
      <c r="M22" s="222">
        <v>6197</v>
      </c>
      <c r="N22" s="222">
        <v>8001</v>
      </c>
      <c r="O22" s="222">
        <v>76</v>
      </c>
      <c r="P22" s="222">
        <v>77</v>
      </c>
      <c r="Q22" s="222">
        <v>5174</v>
      </c>
      <c r="R22" s="222">
        <v>5174</v>
      </c>
      <c r="S22" s="222">
        <v>5174</v>
      </c>
      <c r="T22" s="222">
        <v>5174</v>
      </c>
      <c r="U22" s="222">
        <v>5174</v>
      </c>
      <c r="V22" s="222">
        <v>5285</v>
      </c>
      <c r="W22" s="222">
        <v>5285</v>
      </c>
      <c r="X22" s="222">
        <v>5285</v>
      </c>
      <c r="Y22" s="156">
        <f t="shared" ref="X22:Y24" si="9">X22</f>
        <v>5285</v>
      </c>
      <c r="Z22" s="156">
        <f t="shared" ref="Z22:AB24" si="10">Y22</f>
        <v>5285</v>
      </c>
      <c r="AA22" s="156">
        <f t="shared" si="10"/>
        <v>5285</v>
      </c>
      <c r="AB22" s="156">
        <f t="shared" si="10"/>
        <v>5285</v>
      </c>
      <c r="AC22" s="156">
        <f t="shared" ref="AC22:AG24" si="11">AB22</f>
        <v>5285</v>
      </c>
      <c r="AD22" s="156">
        <f t="shared" si="11"/>
        <v>5285</v>
      </c>
      <c r="AE22" s="156">
        <f t="shared" si="11"/>
        <v>5285</v>
      </c>
      <c r="AF22" s="156">
        <f t="shared" si="11"/>
        <v>5285</v>
      </c>
      <c r="AG22" s="156">
        <f t="shared" si="11"/>
        <v>5285</v>
      </c>
      <c r="AH22" s="43"/>
      <c r="AI22" s="43"/>
      <c r="AJ22" s="43"/>
      <c r="AK22" s="43"/>
      <c r="AL22" s="43"/>
      <c r="AM22" s="43"/>
      <c r="AN22" s="43"/>
      <c r="AO22" s="43"/>
      <c r="AP22" s="43"/>
      <c r="AQ22" s="43"/>
      <c r="AR22" s="43"/>
      <c r="AS22" s="43"/>
      <c r="AT22" s="43"/>
      <c r="AU22" s="43"/>
      <c r="AV22" s="43"/>
      <c r="AW22" s="43"/>
      <c r="AX22" s="43"/>
      <c r="AY22" s="43"/>
      <c r="AZ22" s="43"/>
      <c r="BA22" s="43"/>
      <c r="BB22" s="43"/>
      <c r="BC22" s="43"/>
      <c r="BD22" s="43"/>
      <c r="BE22" s="43"/>
      <c r="BF22" s="43"/>
      <c r="BG22" s="43"/>
      <c r="BH22" s="43"/>
      <c r="BI22" s="43"/>
      <c r="BJ22" s="43"/>
      <c r="BK22" s="43"/>
      <c r="BL22" s="43"/>
      <c r="BM22" s="43"/>
      <c r="BN22" s="43"/>
      <c r="BO22" s="43"/>
      <c r="BP22" s="43"/>
      <c r="BQ22" s="43"/>
      <c r="BR22" s="43"/>
      <c r="BS22" s="43"/>
      <c r="BT22" s="43"/>
      <c r="BU22" s="43"/>
      <c r="BV22" s="43"/>
      <c r="BW22" s="43"/>
      <c r="BX22" s="43"/>
      <c r="BY22" s="43"/>
      <c r="BZ22" s="43"/>
      <c r="CA22" s="43"/>
      <c r="CB22" s="43"/>
      <c r="CC22" s="43"/>
      <c r="CD22" s="43"/>
      <c r="CE22" s="43"/>
      <c r="CF22" s="43"/>
      <c r="CG22" s="43"/>
      <c r="CH22" s="43"/>
      <c r="CI22" s="43"/>
      <c r="CJ22" s="43"/>
      <c r="CK22" s="43"/>
      <c r="CL22" s="43"/>
      <c r="CM22" s="43"/>
      <c r="CN22" s="43"/>
      <c r="CO22" s="43"/>
      <c r="CP22" s="43"/>
      <c r="CQ22" s="43"/>
      <c r="CR22" s="43"/>
      <c r="CS22" s="43"/>
      <c r="CT22" s="43"/>
      <c r="CU22" s="43"/>
      <c r="CV22" s="43"/>
      <c r="CW22" s="43"/>
      <c r="CX22" s="43"/>
      <c r="CY22" s="43"/>
      <c r="CZ22" s="43"/>
      <c r="DA22" s="43"/>
      <c r="DB22" s="43"/>
      <c r="DC22" s="43"/>
      <c r="DD22" s="43"/>
      <c r="DE22" s="43"/>
      <c r="DF22" s="43"/>
      <c r="DG22" s="43"/>
      <c r="DH22" s="43"/>
      <c r="DI22" s="43"/>
      <c r="DJ22" s="43"/>
      <c r="DK22" s="43"/>
      <c r="DL22" s="43"/>
      <c r="DM22" s="43"/>
      <c r="DN22" s="43"/>
      <c r="DO22" s="43"/>
      <c r="DP22" s="43"/>
      <c r="DQ22" s="43"/>
      <c r="DR22" s="43"/>
      <c r="DS22" s="43"/>
      <c r="DT22" s="43"/>
      <c r="DU22" s="43"/>
      <c r="DV22" s="43"/>
      <c r="DW22" s="43"/>
      <c r="DX22" s="43"/>
      <c r="DY22" s="43"/>
      <c r="DZ22" s="43"/>
      <c r="EA22" s="43"/>
      <c r="EB22" s="43"/>
      <c r="EC22" s="43"/>
      <c r="ED22" s="43"/>
      <c r="EE22" s="43"/>
      <c r="EF22" s="43"/>
      <c r="EG22" s="43"/>
      <c r="EH22" s="43"/>
      <c r="EI22" s="43"/>
      <c r="EJ22" s="43"/>
      <c r="EK22" s="43"/>
      <c r="EL22" s="43"/>
      <c r="EM22" s="43"/>
      <c r="EN22" s="43"/>
      <c r="EO22" s="43"/>
      <c r="EP22" s="43"/>
      <c r="EQ22" s="43"/>
      <c r="ER22" s="43"/>
      <c r="ES22" s="43"/>
      <c r="ET22" s="43"/>
      <c r="EU22" s="43"/>
      <c r="EV22" s="43"/>
      <c r="EW22" s="43"/>
      <c r="EX22" s="43"/>
      <c r="EY22" s="43"/>
      <c r="EZ22" s="43"/>
      <c r="FA22" s="43"/>
      <c r="FB22" s="43"/>
      <c r="FC22" s="43"/>
      <c r="FD22" s="43"/>
      <c r="FE22" s="43"/>
      <c r="FF22" s="43"/>
      <c r="FG22" s="43"/>
      <c r="FH22" s="43"/>
      <c r="FI22" s="43"/>
      <c r="FJ22" s="43"/>
      <c r="FK22" s="43"/>
      <c r="FL22" s="43"/>
      <c r="FM22" s="43"/>
      <c r="FN22" s="43"/>
      <c r="FO22" s="43"/>
      <c r="FP22" s="43"/>
      <c r="FQ22" s="43"/>
      <c r="FR22" s="43"/>
      <c r="FS22" s="43"/>
      <c r="FT22" s="43"/>
      <c r="FU22" s="43"/>
      <c r="FV22" s="43"/>
      <c r="FW22" s="43"/>
      <c r="FX22" s="43"/>
      <c r="FY22" s="43"/>
      <c r="FZ22" s="43"/>
      <c r="GA22" s="43"/>
      <c r="GB22" s="43"/>
      <c r="GC22" s="43"/>
      <c r="GD22" s="43"/>
      <c r="GE22" s="43"/>
      <c r="GF22" s="43"/>
      <c r="GG22" s="43"/>
      <c r="GH22" s="43"/>
      <c r="GI22" s="43"/>
      <c r="GJ22" s="43"/>
      <c r="GK22" s="43"/>
      <c r="GL22" s="43"/>
      <c r="GM22" s="43"/>
      <c r="GN22" s="43"/>
      <c r="GO22" s="43"/>
      <c r="GP22" s="43"/>
      <c r="GQ22" s="43"/>
      <c r="GR22" s="43"/>
      <c r="GS22" s="43"/>
      <c r="GT22" s="43"/>
      <c r="GU22" s="43"/>
      <c r="GV22" s="43"/>
      <c r="GW22" s="43"/>
      <c r="GX22" s="43"/>
      <c r="GY22" s="43"/>
      <c r="GZ22" s="43"/>
      <c r="HA22" s="43"/>
      <c r="HB22" s="43"/>
      <c r="HC22" s="43"/>
      <c r="HD22" s="43"/>
      <c r="HE22" s="43"/>
      <c r="HF22" s="43"/>
      <c r="HG22" s="43"/>
      <c r="HH22" s="43"/>
      <c r="HI22" s="43"/>
      <c r="HJ22" s="43"/>
      <c r="HK22" s="43"/>
      <c r="HL22" s="43"/>
      <c r="HM22" s="43"/>
      <c r="HN22" s="43"/>
      <c r="HO22" s="43"/>
      <c r="HP22" s="43"/>
      <c r="HQ22" s="43"/>
      <c r="HR22"/>
      <c r="HS22"/>
      <c r="HT22"/>
      <c r="HU22"/>
      <c r="HV22"/>
      <c r="HW22"/>
      <c r="HX22"/>
      <c r="HY22"/>
      <c r="HZ22"/>
      <c r="IA22"/>
      <c r="IB22"/>
      <c r="IC22"/>
      <c r="ID22"/>
      <c r="IE22"/>
      <c r="IF22"/>
      <c r="IG22"/>
      <c r="IH22"/>
      <c r="II22"/>
      <c r="IJ22"/>
      <c r="IK22" s="32"/>
      <c r="IL22" s="32"/>
      <c r="IM22" s="32"/>
      <c r="IN22" s="32"/>
      <c r="IO22" s="32"/>
      <c r="IP22" s="32"/>
      <c r="IQ22" s="32"/>
    </row>
    <row r="23" spans="1:251" s="33" customFormat="1">
      <c r="A23" s="80"/>
      <c r="B23" s="80" t="s">
        <v>457</v>
      </c>
      <c r="C23" s="68"/>
      <c r="D23" s="156"/>
      <c r="E23" s="156"/>
      <c r="F23" s="156"/>
      <c r="G23" s="156"/>
      <c r="H23" s="456">
        <v>1900</v>
      </c>
      <c r="I23" s="456">
        <v>1900</v>
      </c>
      <c r="J23" s="456">
        <v>1900</v>
      </c>
      <c r="K23" s="456">
        <f>1900</f>
        <v>1900</v>
      </c>
      <c r="L23" s="156">
        <f>K23</f>
        <v>1900</v>
      </c>
      <c r="M23" s="156">
        <f>+L23</f>
        <v>1900</v>
      </c>
      <c r="N23" s="156">
        <f>M23</f>
        <v>1900</v>
      </c>
      <c r="O23" s="456">
        <v>3960</v>
      </c>
      <c r="P23" s="222">
        <v>4261</v>
      </c>
      <c r="Q23" s="222">
        <v>4980</v>
      </c>
      <c r="R23" s="222">
        <v>5367</v>
      </c>
      <c r="S23" s="222">
        <v>5509</v>
      </c>
      <c r="T23" s="222">
        <v>6637</v>
      </c>
      <c r="U23" s="222">
        <v>6455</v>
      </c>
      <c r="V23" s="222">
        <v>6183</v>
      </c>
      <c r="W23" s="222">
        <v>5483</v>
      </c>
      <c r="X23" s="222">
        <v>17852</v>
      </c>
      <c r="Y23" s="156">
        <f t="shared" si="9"/>
        <v>17852</v>
      </c>
      <c r="Z23" s="156">
        <f t="shared" si="10"/>
        <v>17852</v>
      </c>
      <c r="AA23" s="156">
        <f t="shared" si="10"/>
        <v>17852</v>
      </c>
      <c r="AB23" s="156">
        <f t="shared" si="10"/>
        <v>17852</v>
      </c>
      <c r="AC23" s="156">
        <f t="shared" si="11"/>
        <v>17852</v>
      </c>
      <c r="AD23" s="156">
        <f t="shared" si="11"/>
        <v>17852</v>
      </c>
      <c r="AE23" s="156">
        <f t="shared" si="11"/>
        <v>17852</v>
      </c>
      <c r="AF23" s="156">
        <f t="shared" si="11"/>
        <v>17852</v>
      </c>
      <c r="AG23" s="156">
        <f t="shared" si="11"/>
        <v>17852</v>
      </c>
      <c r="AH23" s="43"/>
      <c r="AI23" s="43"/>
      <c r="AJ23" s="43"/>
      <c r="AK23" s="43"/>
      <c r="AL23" s="43"/>
      <c r="AM23" s="43"/>
      <c r="AN23" s="43"/>
      <c r="AO23" s="43"/>
      <c r="AP23" s="43"/>
      <c r="AQ23" s="43"/>
      <c r="AR23" s="43"/>
      <c r="AS23" s="43"/>
      <c r="AT23" s="43"/>
      <c r="AU23" s="43"/>
      <c r="AV23" s="43"/>
      <c r="AW23" s="43"/>
      <c r="AX23" s="43"/>
      <c r="AY23" s="43"/>
      <c r="AZ23" s="43"/>
      <c r="BA23" s="43"/>
      <c r="BB23" s="43"/>
      <c r="BC23" s="43"/>
      <c r="BD23" s="43"/>
      <c r="BE23" s="43"/>
      <c r="BF23" s="43"/>
      <c r="BG23" s="43"/>
      <c r="BH23" s="43"/>
      <c r="BI23" s="43"/>
      <c r="BJ23" s="43"/>
      <c r="BK23" s="43"/>
      <c r="BL23" s="43"/>
      <c r="BM23" s="43"/>
      <c r="BN23" s="43"/>
      <c r="BO23" s="43"/>
      <c r="BP23" s="43"/>
      <c r="BQ23" s="43"/>
      <c r="BR23" s="43"/>
      <c r="BS23" s="43"/>
      <c r="BT23" s="43"/>
      <c r="BU23" s="43"/>
      <c r="BV23" s="43"/>
      <c r="BW23" s="43"/>
      <c r="BX23" s="43"/>
      <c r="BY23" s="43"/>
      <c r="BZ23" s="43"/>
      <c r="CA23" s="43"/>
      <c r="CB23" s="43"/>
      <c r="CC23" s="43"/>
      <c r="CD23" s="43"/>
      <c r="CE23" s="43"/>
      <c r="CF23" s="43"/>
      <c r="CG23" s="43"/>
      <c r="CH23" s="43"/>
      <c r="CI23" s="43"/>
      <c r="CJ23" s="43"/>
      <c r="CK23" s="43"/>
      <c r="CL23" s="43"/>
      <c r="CM23" s="43"/>
      <c r="CN23" s="43"/>
      <c r="CO23" s="43"/>
      <c r="CP23" s="43"/>
      <c r="CQ23" s="43"/>
      <c r="CR23" s="43"/>
      <c r="CS23" s="43"/>
      <c r="CT23" s="43"/>
      <c r="CU23" s="43"/>
      <c r="CV23" s="43"/>
      <c r="CW23" s="43"/>
      <c r="CX23" s="43"/>
      <c r="CY23" s="43"/>
      <c r="CZ23" s="43"/>
      <c r="DA23" s="43"/>
      <c r="DB23" s="43"/>
      <c r="DC23" s="43"/>
      <c r="DD23" s="43"/>
      <c r="DE23" s="43"/>
      <c r="DF23" s="43"/>
      <c r="DG23" s="43"/>
      <c r="DH23" s="43"/>
      <c r="DI23" s="43"/>
      <c r="DJ23" s="43"/>
      <c r="DK23" s="43"/>
      <c r="DL23" s="43"/>
      <c r="DM23" s="43"/>
      <c r="DN23" s="43"/>
      <c r="DO23" s="43"/>
      <c r="DP23" s="43"/>
      <c r="DQ23" s="43"/>
      <c r="DR23" s="43"/>
      <c r="DS23" s="43"/>
      <c r="DT23" s="43"/>
      <c r="DU23" s="43"/>
      <c r="DV23" s="43"/>
      <c r="DW23" s="43"/>
      <c r="DX23" s="43"/>
      <c r="DY23" s="43"/>
      <c r="DZ23" s="43"/>
      <c r="EA23" s="43"/>
      <c r="EB23" s="43"/>
      <c r="EC23" s="43"/>
      <c r="ED23" s="43"/>
      <c r="EE23" s="43"/>
      <c r="EF23" s="43"/>
      <c r="EG23" s="43"/>
      <c r="EH23" s="43"/>
      <c r="EI23" s="43"/>
      <c r="EJ23" s="43"/>
      <c r="EK23" s="43"/>
      <c r="EL23" s="43"/>
      <c r="EM23" s="43"/>
      <c r="EN23" s="43"/>
      <c r="EO23" s="43"/>
      <c r="EP23" s="43"/>
      <c r="EQ23" s="43"/>
      <c r="ER23" s="43"/>
      <c r="ES23" s="43"/>
      <c r="ET23" s="43"/>
      <c r="EU23" s="43"/>
      <c r="EV23" s="43"/>
      <c r="EW23" s="43"/>
      <c r="EX23" s="43"/>
      <c r="EY23" s="43"/>
      <c r="EZ23" s="43"/>
      <c r="FA23" s="43"/>
      <c r="FB23" s="43"/>
      <c r="FC23" s="43"/>
      <c r="FD23" s="43"/>
      <c r="FE23" s="43"/>
      <c r="FF23" s="43"/>
      <c r="FG23" s="43"/>
      <c r="FH23" s="43"/>
      <c r="FI23" s="43"/>
      <c r="FJ23" s="43"/>
      <c r="FK23" s="43"/>
      <c r="FL23" s="43"/>
      <c r="FM23" s="43"/>
      <c r="FN23" s="43"/>
      <c r="FO23" s="43"/>
      <c r="FP23" s="43"/>
      <c r="FQ23" s="43"/>
      <c r="FR23" s="43"/>
      <c r="FS23" s="43"/>
      <c r="FT23" s="43"/>
      <c r="FU23" s="43"/>
      <c r="FV23" s="43"/>
      <c r="FW23" s="43"/>
      <c r="FX23" s="43"/>
      <c r="FY23" s="43"/>
      <c r="FZ23" s="43"/>
      <c r="GA23" s="43"/>
      <c r="GB23" s="43"/>
      <c r="GC23" s="43"/>
      <c r="GD23" s="43"/>
      <c r="GE23" s="43"/>
      <c r="GF23" s="43"/>
      <c r="GG23" s="43"/>
      <c r="GH23" s="43"/>
      <c r="GI23" s="43"/>
      <c r="GJ23" s="43"/>
      <c r="GK23" s="43"/>
      <c r="GL23" s="43"/>
      <c r="GM23" s="43"/>
      <c r="GN23" s="43"/>
      <c r="GO23" s="43"/>
      <c r="GP23" s="43"/>
      <c r="GQ23" s="43"/>
      <c r="GR23" s="43"/>
      <c r="GS23" s="43"/>
      <c r="GT23" s="43"/>
      <c r="GU23" s="43"/>
      <c r="GV23" s="43"/>
      <c r="GW23" s="43"/>
      <c r="GX23" s="43"/>
      <c r="GY23" s="43"/>
      <c r="GZ23" s="43"/>
      <c r="HA23" s="43"/>
      <c r="HB23" s="43"/>
      <c r="HC23" s="43"/>
      <c r="HD23" s="43"/>
      <c r="HE23" s="43"/>
      <c r="HF23" s="43"/>
      <c r="HG23" s="43"/>
      <c r="HH23" s="43"/>
      <c r="HI23" s="43"/>
      <c r="HJ23" s="43"/>
      <c r="HK23" s="43"/>
      <c r="HL23" s="43"/>
      <c r="HM23" s="43"/>
      <c r="HN23" s="43"/>
      <c r="HO23" s="43"/>
      <c r="HP23" s="43"/>
      <c r="HQ23" s="43"/>
      <c r="HR23"/>
      <c r="HS23"/>
      <c r="HT23"/>
      <c r="HU23"/>
      <c r="HV23"/>
      <c r="HW23"/>
      <c r="HX23"/>
      <c r="HY23"/>
      <c r="HZ23"/>
      <c r="IA23"/>
      <c r="IB23"/>
      <c r="IC23"/>
      <c r="ID23"/>
      <c r="IE23"/>
      <c r="IF23"/>
      <c r="IG23"/>
      <c r="IH23"/>
      <c r="II23"/>
      <c r="IJ23"/>
      <c r="IK23" s="32"/>
      <c r="IL23" s="32"/>
      <c r="IM23" s="32"/>
      <c r="IN23" s="32"/>
      <c r="IO23" s="32"/>
      <c r="IP23" s="32"/>
      <c r="IQ23" s="32"/>
    </row>
    <row r="24" spans="1:251" s="33" customFormat="1">
      <c r="A24" s="80"/>
      <c r="B24" s="80" t="s">
        <v>183</v>
      </c>
      <c r="C24" s="68"/>
      <c r="D24" s="156"/>
      <c r="E24" s="156"/>
      <c r="F24" s="156"/>
      <c r="G24" s="456">
        <v>1700</v>
      </c>
      <c r="H24" s="456">
        <v>1700</v>
      </c>
      <c r="I24" s="456">
        <f>1200+500</f>
        <v>1700</v>
      </c>
      <c r="J24" s="456">
        <f>1200+100+1220+348+12.5</f>
        <v>2880.5</v>
      </c>
      <c r="K24" s="222">
        <v>3510</v>
      </c>
      <c r="L24" s="156">
        <f>+K24-2105</f>
        <v>1405</v>
      </c>
      <c r="M24" s="156">
        <f>+L24</f>
        <v>1405</v>
      </c>
      <c r="N24" s="156">
        <f>M24</f>
        <v>1405</v>
      </c>
      <c r="O24" s="156">
        <v>0</v>
      </c>
      <c r="P24" s="222">
        <v>0</v>
      </c>
      <c r="Q24" s="156">
        <f t="shared" ref="Q24:W24" si="12">P24</f>
        <v>0</v>
      </c>
      <c r="R24" s="156">
        <f t="shared" si="12"/>
        <v>0</v>
      </c>
      <c r="S24" s="156">
        <f t="shared" si="12"/>
        <v>0</v>
      </c>
      <c r="T24" s="156">
        <f t="shared" si="12"/>
        <v>0</v>
      </c>
      <c r="U24" s="222">
        <f t="shared" si="12"/>
        <v>0</v>
      </c>
      <c r="V24" s="156">
        <f t="shared" si="12"/>
        <v>0</v>
      </c>
      <c r="W24" s="156">
        <f t="shared" si="12"/>
        <v>0</v>
      </c>
      <c r="X24" s="156">
        <f t="shared" si="9"/>
        <v>0</v>
      </c>
      <c r="Y24" s="156">
        <f t="shared" si="9"/>
        <v>0</v>
      </c>
      <c r="Z24" s="156">
        <f t="shared" si="10"/>
        <v>0</v>
      </c>
      <c r="AA24" s="156">
        <f t="shared" si="10"/>
        <v>0</v>
      </c>
      <c r="AB24" s="156">
        <f t="shared" si="10"/>
        <v>0</v>
      </c>
      <c r="AC24" s="156">
        <f t="shared" si="11"/>
        <v>0</v>
      </c>
      <c r="AD24" s="156">
        <f t="shared" si="11"/>
        <v>0</v>
      </c>
      <c r="AE24" s="156">
        <f t="shared" si="11"/>
        <v>0</v>
      </c>
      <c r="AF24" s="156">
        <f t="shared" si="11"/>
        <v>0</v>
      </c>
      <c r="AG24" s="156">
        <f t="shared" si="11"/>
        <v>0</v>
      </c>
      <c r="AH24" s="43"/>
      <c r="AI24" s="43"/>
      <c r="AJ24" s="43"/>
      <c r="AK24" s="43"/>
      <c r="AL24" s="43"/>
      <c r="AM24" s="43"/>
      <c r="AN24" s="43"/>
      <c r="AO24" s="43"/>
      <c r="AP24" s="43"/>
      <c r="AQ24" s="43"/>
      <c r="AR24" s="43"/>
      <c r="AS24" s="43"/>
      <c r="AT24" s="43"/>
      <c r="AU24" s="43"/>
      <c r="AV24" s="43"/>
      <c r="AW24" s="43"/>
      <c r="AX24" s="43"/>
      <c r="AY24" s="43"/>
      <c r="AZ24" s="43"/>
      <c r="BA24" s="43"/>
      <c r="BB24" s="43"/>
      <c r="BC24" s="43"/>
      <c r="BD24" s="43"/>
      <c r="BE24" s="43"/>
      <c r="BF24" s="43"/>
      <c r="BG24" s="43"/>
      <c r="BH24" s="43"/>
      <c r="BI24" s="43"/>
      <c r="BJ24" s="43"/>
      <c r="BK24" s="43"/>
      <c r="BL24" s="43"/>
      <c r="BM24" s="43"/>
      <c r="BN24" s="43"/>
      <c r="BO24" s="43"/>
      <c r="BP24" s="43"/>
      <c r="BQ24" s="43"/>
      <c r="BR24" s="43"/>
      <c r="BS24" s="43"/>
      <c r="BT24" s="43"/>
      <c r="BU24" s="43"/>
      <c r="BV24" s="43"/>
      <c r="BW24" s="43"/>
      <c r="BX24" s="43"/>
      <c r="BY24" s="43"/>
      <c r="BZ24" s="43"/>
      <c r="CA24" s="43"/>
      <c r="CB24" s="43"/>
      <c r="CC24" s="43"/>
      <c r="CD24" s="43"/>
      <c r="CE24" s="43"/>
      <c r="CF24" s="43"/>
      <c r="CG24" s="43"/>
      <c r="CH24" s="43"/>
      <c r="CI24" s="43"/>
      <c r="CJ24" s="43"/>
      <c r="CK24" s="43"/>
      <c r="CL24" s="43"/>
      <c r="CM24" s="43"/>
      <c r="CN24" s="43"/>
      <c r="CO24" s="43"/>
      <c r="CP24" s="43"/>
      <c r="CQ24" s="43"/>
      <c r="CR24" s="43"/>
      <c r="CS24" s="43"/>
      <c r="CT24" s="43"/>
      <c r="CU24" s="43"/>
      <c r="CV24" s="43"/>
      <c r="CW24" s="43"/>
      <c r="CX24" s="43"/>
      <c r="CY24" s="43"/>
      <c r="CZ24" s="43"/>
      <c r="DA24" s="43"/>
      <c r="DB24" s="43"/>
      <c r="DC24" s="43"/>
      <c r="DD24" s="43"/>
      <c r="DE24" s="43"/>
      <c r="DF24" s="43"/>
      <c r="DG24" s="43"/>
      <c r="DH24" s="43"/>
      <c r="DI24" s="43"/>
      <c r="DJ24" s="43"/>
      <c r="DK24" s="43"/>
      <c r="DL24" s="43"/>
      <c r="DM24" s="43"/>
      <c r="DN24" s="43"/>
      <c r="DO24" s="43"/>
      <c r="DP24" s="43"/>
      <c r="DQ24" s="43"/>
      <c r="DR24" s="43"/>
      <c r="DS24" s="43"/>
      <c r="DT24" s="43"/>
      <c r="DU24" s="43"/>
      <c r="DV24" s="43"/>
      <c r="DW24" s="43"/>
      <c r="DX24" s="43"/>
      <c r="DY24" s="43"/>
      <c r="DZ24" s="43"/>
      <c r="EA24" s="43"/>
      <c r="EB24" s="43"/>
      <c r="EC24" s="43"/>
      <c r="ED24" s="43"/>
      <c r="EE24" s="43"/>
      <c r="EF24" s="43"/>
      <c r="EG24" s="43"/>
      <c r="EH24" s="43"/>
      <c r="EI24" s="43"/>
      <c r="EJ24" s="43"/>
      <c r="EK24" s="43"/>
      <c r="EL24" s="43"/>
      <c r="EM24" s="43"/>
      <c r="EN24" s="43"/>
      <c r="EO24" s="43"/>
      <c r="EP24" s="43"/>
      <c r="EQ24" s="43"/>
      <c r="ER24" s="43"/>
      <c r="ES24" s="43"/>
      <c r="ET24" s="43"/>
      <c r="EU24" s="43"/>
      <c r="EV24" s="43"/>
      <c r="EW24" s="43"/>
      <c r="EX24" s="43"/>
      <c r="EY24" s="43"/>
      <c r="EZ24" s="43"/>
      <c r="FA24" s="43"/>
      <c r="FB24" s="43"/>
      <c r="FC24" s="43"/>
      <c r="FD24" s="43"/>
      <c r="FE24" s="43"/>
      <c r="FF24" s="43"/>
      <c r="FG24" s="43"/>
      <c r="FH24" s="43"/>
      <c r="FI24" s="43"/>
      <c r="FJ24" s="43"/>
      <c r="FK24" s="43"/>
      <c r="FL24" s="43"/>
      <c r="FM24" s="43"/>
      <c r="FN24" s="43"/>
      <c r="FO24" s="43"/>
      <c r="FP24" s="43"/>
      <c r="FQ24" s="43"/>
      <c r="FR24" s="43"/>
      <c r="FS24" s="43"/>
      <c r="FT24" s="43"/>
      <c r="FU24" s="43"/>
      <c r="FV24" s="43"/>
      <c r="FW24" s="43"/>
      <c r="FX24" s="43"/>
      <c r="FY24" s="43"/>
      <c r="FZ24" s="43"/>
      <c r="GA24" s="43"/>
      <c r="GB24" s="43"/>
      <c r="GC24" s="43"/>
      <c r="GD24" s="43"/>
      <c r="GE24" s="43"/>
      <c r="GF24" s="43"/>
      <c r="GG24" s="43"/>
      <c r="GH24" s="43"/>
      <c r="GI24" s="43"/>
      <c r="GJ24" s="43"/>
      <c r="GK24" s="43"/>
      <c r="GL24" s="43"/>
      <c r="GM24" s="43"/>
      <c r="GN24" s="43"/>
      <c r="GO24" s="43"/>
      <c r="GP24" s="43"/>
      <c r="GQ24" s="43"/>
      <c r="GR24" s="43"/>
      <c r="GS24" s="43"/>
      <c r="GT24" s="43"/>
      <c r="GU24" s="43"/>
      <c r="GV24" s="43"/>
      <c r="GW24" s="43"/>
      <c r="GX24" s="43"/>
      <c r="GY24" s="43"/>
      <c r="GZ24" s="43"/>
      <c r="HA24" s="43"/>
      <c r="HB24" s="43"/>
      <c r="HC24" s="43"/>
      <c r="HD24" s="43"/>
      <c r="HE24" s="43"/>
      <c r="HF24" s="43"/>
      <c r="HG24" s="43"/>
      <c r="HH24" s="43"/>
      <c r="HI24" s="43"/>
      <c r="HJ24" s="43"/>
      <c r="HK24" s="43"/>
      <c r="HL24" s="43"/>
      <c r="HM24" s="43"/>
      <c r="HN24" s="43"/>
      <c r="HO24" s="43"/>
      <c r="HP24" s="43"/>
      <c r="HQ24" s="43"/>
      <c r="HR24"/>
      <c r="HS24"/>
      <c r="HT24"/>
      <c r="HU24"/>
      <c r="HV24"/>
      <c r="HW24"/>
      <c r="HX24"/>
      <c r="HY24"/>
      <c r="HZ24"/>
      <c r="IA24"/>
      <c r="IB24"/>
      <c r="IC24"/>
      <c r="ID24"/>
      <c r="IE24"/>
      <c r="IF24"/>
      <c r="IG24"/>
      <c r="IH24"/>
      <c r="II24"/>
      <c r="IJ24"/>
      <c r="IK24" s="32"/>
      <c r="IL24" s="32"/>
      <c r="IM24" s="32"/>
      <c r="IN24" s="32"/>
      <c r="IO24" s="32"/>
      <c r="IP24" s="32"/>
      <c r="IQ24" s="32"/>
    </row>
    <row r="25" spans="1:251" s="33" customFormat="1">
      <c r="A25" s="80"/>
      <c r="B25" s="80" t="s">
        <v>63</v>
      </c>
      <c r="C25" s="68"/>
      <c r="D25" s="456">
        <v>3309</v>
      </c>
      <c r="E25" s="456">
        <v>3625</v>
      </c>
      <c r="F25" s="456">
        <f>4758+276</f>
        <v>5034</v>
      </c>
      <c r="G25" s="456">
        <v>4444</v>
      </c>
      <c r="H25" s="456">
        <v>4551</v>
      </c>
      <c r="I25" s="456">
        <f>+H25+200+2290</f>
        <v>7041</v>
      </c>
      <c r="J25" s="456">
        <f>12485-J24-J23</f>
        <v>7704.5</v>
      </c>
      <c r="K25" s="456">
        <f>14667-K24-K23</f>
        <v>9257</v>
      </c>
      <c r="L25" s="456">
        <f>1929+6805-L23-L24</f>
        <v>5429</v>
      </c>
      <c r="M25" s="456">
        <f>(761+3674+2402)-M23-M24</f>
        <v>3532</v>
      </c>
      <c r="N25" s="456">
        <f>(1320+3960+1167)-N23-N24</f>
        <v>3142</v>
      </c>
      <c r="O25" s="456">
        <f>912+870</f>
        <v>1782</v>
      </c>
      <c r="P25" s="222">
        <f>1080</f>
        <v>1080</v>
      </c>
      <c r="Q25" s="222">
        <v>1097</v>
      </c>
      <c r="R25" s="222">
        <v>1851</v>
      </c>
      <c r="S25" s="222">
        <v>1257</v>
      </c>
      <c r="T25" s="222">
        <v>425</v>
      </c>
      <c r="U25" s="222">
        <f>557</f>
        <v>557</v>
      </c>
      <c r="V25" s="222">
        <v>483</v>
      </c>
      <c r="W25" s="222">
        <v>432</v>
      </c>
      <c r="X25" s="222">
        <v>513</v>
      </c>
      <c r="Y25" s="156">
        <v>487.31305404051545</v>
      </c>
      <c r="Z25" s="156">
        <v>457.58833350477249</v>
      </c>
      <c r="AA25" s="156">
        <v>423.46206947732225</v>
      </c>
      <c r="AB25" s="156">
        <v>384.54437246779827</v>
      </c>
      <c r="AC25" s="156">
        <v>340.41753770784248</v>
      </c>
      <c r="AD25" s="156">
        <v>290.6342466678355</v>
      </c>
      <c r="AE25" s="156">
        <v>234.71565867121416</v>
      </c>
      <c r="AF25" s="156">
        <v>172.14938613232164</v>
      </c>
      <c r="AG25" s="156">
        <v>102.38734657206481</v>
      </c>
      <c r="AH25" s="43"/>
      <c r="AI25" s="32"/>
      <c r="AJ25" s="32"/>
      <c r="AK25" s="32"/>
      <c r="AL25" s="43"/>
      <c r="AM25" s="43"/>
      <c r="AN25" s="43"/>
      <c r="AO25" s="43"/>
      <c r="AP25" s="43"/>
      <c r="AQ25" s="43"/>
      <c r="AR25" s="43"/>
      <c r="AS25" s="43"/>
      <c r="AT25" s="43"/>
      <c r="AU25" s="43"/>
      <c r="AV25" s="43"/>
      <c r="AW25" s="43"/>
      <c r="AX25" s="43"/>
      <c r="AY25" s="43"/>
      <c r="AZ25" s="43"/>
      <c r="BA25" s="43"/>
      <c r="BB25" s="43"/>
      <c r="BC25" s="43"/>
      <c r="BD25" s="43"/>
      <c r="BE25" s="43"/>
      <c r="BF25" s="43"/>
      <c r="BG25" s="43"/>
      <c r="BH25" s="43"/>
      <c r="BI25" s="43"/>
      <c r="BJ25" s="43"/>
      <c r="BK25" s="43"/>
      <c r="BL25" s="43"/>
      <c r="BM25" s="43"/>
      <c r="BN25" s="43"/>
      <c r="BO25" s="43"/>
      <c r="BP25" s="43"/>
      <c r="BQ25" s="43"/>
      <c r="BR25" s="43"/>
      <c r="BS25" s="43"/>
      <c r="BT25" s="43"/>
      <c r="BU25" s="43"/>
      <c r="BV25" s="43"/>
      <c r="BW25" s="43"/>
      <c r="BX25" s="43"/>
      <c r="BY25" s="43"/>
      <c r="BZ25" s="43"/>
      <c r="CA25" s="43"/>
      <c r="CB25" s="43"/>
      <c r="CC25" s="43"/>
      <c r="CD25" s="43"/>
      <c r="CE25" s="43"/>
      <c r="CF25" s="43"/>
      <c r="CG25" s="43"/>
      <c r="CH25" s="43"/>
      <c r="CI25" s="43"/>
      <c r="CJ25" s="43"/>
      <c r="CK25" s="43"/>
      <c r="CL25" s="43"/>
      <c r="CM25" s="43"/>
      <c r="CN25" s="43"/>
      <c r="CO25" s="43"/>
      <c r="CP25" s="43"/>
      <c r="CQ25" s="43"/>
      <c r="CR25" s="43"/>
      <c r="CS25" s="43"/>
      <c r="CT25" s="43"/>
      <c r="CU25" s="43"/>
      <c r="CV25" s="43"/>
      <c r="CW25" s="43"/>
      <c r="CX25" s="43"/>
      <c r="CY25" s="43"/>
      <c r="CZ25" s="43"/>
      <c r="DA25" s="43"/>
      <c r="DB25" s="43"/>
      <c r="DC25" s="43"/>
      <c r="DD25" s="43"/>
      <c r="DE25" s="43"/>
      <c r="DF25" s="43"/>
      <c r="DG25" s="43"/>
      <c r="DH25" s="43"/>
      <c r="DI25" s="43"/>
      <c r="DJ25" s="43"/>
      <c r="DK25" s="43"/>
      <c r="DL25" s="43"/>
      <c r="DM25" s="43"/>
      <c r="DN25" s="43"/>
      <c r="DO25" s="43"/>
      <c r="DP25" s="43"/>
      <c r="DQ25" s="43"/>
      <c r="DR25" s="43"/>
      <c r="DS25" s="43"/>
      <c r="DT25" s="43"/>
      <c r="DU25" s="43"/>
      <c r="DV25" s="43"/>
      <c r="DW25" s="43"/>
      <c r="DX25" s="43"/>
      <c r="DY25" s="43"/>
      <c r="DZ25" s="43"/>
      <c r="EA25" s="43"/>
      <c r="EB25" s="43"/>
      <c r="EC25" s="43"/>
      <c r="ED25" s="43"/>
      <c r="EE25" s="43"/>
      <c r="EF25" s="43"/>
      <c r="EG25" s="43"/>
      <c r="EH25" s="43"/>
      <c r="EI25" s="43"/>
      <c r="EJ25" s="43"/>
      <c r="EK25" s="43"/>
      <c r="EL25" s="43"/>
      <c r="EM25" s="43"/>
      <c r="EN25" s="43"/>
      <c r="EO25" s="43"/>
      <c r="EP25" s="43"/>
      <c r="EQ25" s="43"/>
      <c r="ER25" s="43"/>
      <c r="ES25" s="43"/>
      <c r="ET25" s="43"/>
      <c r="EU25" s="43"/>
      <c r="EV25" s="43"/>
      <c r="EW25" s="43"/>
      <c r="EX25" s="43"/>
      <c r="EY25" s="43"/>
      <c r="EZ25" s="43"/>
      <c r="FA25" s="43"/>
      <c r="FB25" s="43"/>
      <c r="FC25" s="43"/>
      <c r="FD25" s="43"/>
      <c r="FE25" s="43"/>
      <c r="FF25" s="43"/>
      <c r="FG25" s="43"/>
      <c r="FH25" s="43"/>
      <c r="FI25" s="43"/>
      <c r="FJ25" s="43"/>
      <c r="FK25" s="43"/>
      <c r="FL25" s="43"/>
      <c r="FM25" s="43"/>
      <c r="FN25" s="43"/>
      <c r="FO25" s="43"/>
      <c r="FP25" s="43"/>
      <c r="FQ25" s="43"/>
      <c r="FR25" s="43"/>
      <c r="FS25" s="43"/>
      <c r="FT25" s="43"/>
      <c r="FU25" s="43"/>
      <c r="FV25" s="43"/>
      <c r="FW25" s="43"/>
      <c r="FX25" s="43"/>
      <c r="FY25" s="43"/>
      <c r="FZ25" s="43"/>
      <c r="GA25" s="43"/>
      <c r="GB25" s="43"/>
      <c r="GC25" s="43"/>
      <c r="GD25" s="43"/>
      <c r="GE25" s="43"/>
      <c r="GF25" s="43"/>
      <c r="GG25" s="43"/>
      <c r="GH25" s="43"/>
      <c r="GI25" s="43"/>
      <c r="GJ25" s="43"/>
      <c r="GK25" s="43"/>
      <c r="GL25" s="43"/>
      <c r="GM25" s="43"/>
      <c r="GN25" s="43"/>
      <c r="GO25" s="43"/>
      <c r="GP25" s="43"/>
      <c r="GQ25" s="43"/>
      <c r="GR25" s="43"/>
      <c r="GS25" s="43"/>
      <c r="GT25" s="43"/>
      <c r="GU25" s="43"/>
      <c r="GV25" s="43"/>
      <c r="GW25" s="43"/>
      <c r="GX25" s="43"/>
      <c r="GY25" s="43"/>
      <c r="GZ25" s="43"/>
      <c r="HA25" s="43"/>
      <c r="HB25" s="43"/>
      <c r="HC25" s="43"/>
      <c r="HD25" s="43"/>
      <c r="HE25" s="43"/>
      <c r="HF25" s="43"/>
      <c r="HG25" s="43"/>
      <c r="HH25" s="43"/>
      <c r="HI25" s="43"/>
      <c r="HJ25" s="43"/>
      <c r="HK25" s="43"/>
      <c r="HL25" s="43"/>
      <c r="HM25" s="43"/>
      <c r="HN25" s="43"/>
      <c r="HO25" s="43"/>
      <c r="HP25" s="43"/>
      <c r="HQ25" s="43"/>
      <c r="HR25"/>
      <c r="HS25"/>
      <c r="HT25"/>
      <c r="HU25"/>
      <c r="HV25"/>
      <c r="HW25"/>
      <c r="HX25"/>
      <c r="HY25"/>
      <c r="HZ25"/>
      <c r="IA25"/>
      <c r="IB25"/>
      <c r="IC25"/>
      <c r="ID25"/>
      <c r="IE25"/>
      <c r="IF25"/>
      <c r="IG25"/>
      <c r="IH25"/>
      <c r="II25"/>
      <c r="IJ25"/>
      <c r="IK25" s="32"/>
      <c r="IL25" s="32"/>
      <c r="IM25" s="32"/>
      <c r="IN25" s="32"/>
      <c r="IO25" s="32"/>
      <c r="IP25" s="32"/>
      <c r="IQ25" s="32"/>
    </row>
    <row r="26" spans="1:251" s="37" customFormat="1">
      <c r="A26" s="45" t="s">
        <v>94</v>
      </c>
      <c r="B26" s="34"/>
      <c r="C26" s="139"/>
      <c r="D26" s="196">
        <f>D16+D20+D22+D25</f>
        <v>53440</v>
      </c>
      <c r="E26" s="196">
        <f>E16+E20+E22+E25</f>
        <v>53670</v>
      </c>
      <c r="F26" s="196">
        <f>F16+F20+F22+F25</f>
        <v>70665</v>
      </c>
      <c r="G26" s="196">
        <f>G16+G20+G24+G22+G25</f>
        <v>76104</v>
      </c>
      <c r="H26" s="196">
        <f>H16+H20+H21+H22++H23+H24+H25</f>
        <v>78309</v>
      </c>
      <c r="I26" s="196">
        <f t="shared" ref="I26:O26" si="13">I16+I20+I21+I22+I23+I24+I25</f>
        <v>87635</v>
      </c>
      <c r="J26" s="196">
        <f t="shared" si="13"/>
        <v>93084.085954219641</v>
      </c>
      <c r="K26" s="196">
        <f t="shared" si="13"/>
        <v>99822.085954219641</v>
      </c>
      <c r="L26" s="196">
        <f t="shared" si="13"/>
        <v>96761.085954219641</v>
      </c>
      <c r="M26" s="196">
        <f t="shared" si="13"/>
        <v>41028</v>
      </c>
      <c r="N26" s="196">
        <f t="shared" si="13"/>
        <v>51148</v>
      </c>
      <c r="O26" s="196">
        <f t="shared" si="13"/>
        <v>19412</v>
      </c>
      <c r="P26" s="196">
        <f t="shared" ref="P26:W26" si="14">P16+P20+P21+P22+P23+P24+P25</f>
        <v>21732</v>
      </c>
      <c r="Q26" s="196">
        <f t="shared" si="14"/>
        <v>31846</v>
      </c>
      <c r="R26" s="196">
        <f t="shared" si="14"/>
        <v>32871</v>
      </c>
      <c r="S26" s="196">
        <f t="shared" si="14"/>
        <v>33385</v>
      </c>
      <c r="T26" s="196">
        <f t="shared" si="14"/>
        <v>32731</v>
      </c>
      <c r="U26" s="196">
        <f t="shared" si="14"/>
        <v>32862</v>
      </c>
      <c r="V26" s="196">
        <f t="shared" si="14"/>
        <v>32861</v>
      </c>
      <c r="W26" s="196">
        <f t="shared" si="14"/>
        <v>31296</v>
      </c>
      <c r="X26" s="196">
        <f t="shared" ref="X26:AG26" si="15">X16+X20+X21+X22+X23+X24+X25</f>
        <v>44904</v>
      </c>
      <c r="Y26" s="196">
        <f t="shared" si="15"/>
        <v>42544.966285297611</v>
      </c>
      <c r="Z26" s="196">
        <f t="shared" ca="1" si="15"/>
        <v>42610.947195850727</v>
      </c>
      <c r="AA26" s="196">
        <f t="shared" ca="1" si="15"/>
        <v>41651.335233886399</v>
      </c>
      <c r="AB26" s="196">
        <f t="shared" ca="1" si="15"/>
        <v>41818.299741430899</v>
      </c>
      <c r="AC26" s="196">
        <f t="shared" ca="1" si="15"/>
        <v>41999.309367829301</v>
      </c>
      <c r="AD26" s="196">
        <f t="shared" ca="1" si="15"/>
        <v>42281.765355375697</v>
      </c>
      <c r="AE26" s="196">
        <f t="shared" ca="1" si="15"/>
        <v>42669.381024560782</v>
      </c>
      <c r="AF26" s="196">
        <f t="shared" ca="1" si="15"/>
        <v>43165.791492623277</v>
      </c>
      <c r="AG26" s="196">
        <f t="shared" ca="1" si="15"/>
        <v>43774.705497144183</v>
      </c>
      <c r="AH26" s="129"/>
      <c r="AI26" s="34"/>
      <c r="AJ26" s="34"/>
      <c r="AK26" s="34"/>
      <c r="AL26" s="129"/>
      <c r="AM26" s="129"/>
      <c r="AN26" s="129"/>
      <c r="AO26" s="129"/>
      <c r="AP26" s="129"/>
      <c r="AQ26" s="129"/>
      <c r="AR26" s="129"/>
      <c r="AS26" s="129"/>
      <c r="AT26" s="129"/>
      <c r="AU26" s="129"/>
      <c r="AV26" s="129"/>
      <c r="AW26" s="129"/>
      <c r="AX26" s="129"/>
      <c r="AY26" s="129"/>
      <c r="AZ26" s="129"/>
      <c r="BA26" s="129"/>
      <c r="BB26" s="129"/>
      <c r="BC26" s="129"/>
      <c r="BD26" s="129"/>
      <c r="BE26" s="129"/>
      <c r="BF26" s="129"/>
      <c r="BG26" s="129"/>
      <c r="BH26" s="129"/>
      <c r="BI26" s="129"/>
      <c r="BJ26" s="129"/>
      <c r="BK26" s="129"/>
      <c r="BL26" s="129"/>
      <c r="BM26" s="129"/>
      <c r="BN26" s="129"/>
      <c r="BO26" s="129"/>
      <c r="BP26" s="129"/>
      <c r="BQ26" s="129"/>
      <c r="BR26" s="129"/>
      <c r="BS26" s="129"/>
      <c r="BT26" s="129"/>
      <c r="BU26" s="129"/>
      <c r="BV26" s="129"/>
      <c r="BW26" s="129"/>
      <c r="BX26" s="129"/>
      <c r="BY26" s="129"/>
      <c r="BZ26" s="129"/>
      <c r="CA26" s="129"/>
      <c r="CB26" s="129"/>
      <c r="CC26" s="129"/>
      <c r="CD26" s="129"/>
      <c r="CE26" s="129"/>
      <c r="CF26" s="129"/>
      <c r="CG26" s="129"/>
      <c r="CH26" s="129"/>
      <c r="CI26" s="129"/>
      <c r="CJ26" s="129"/>
      <c r="CK26" s="129"/>
      <c r="CL26" s="129"/>
      <c r="CM26" s="129"/>
      <c r="CN26" s="129"/>
      <c r="CO26" s="129"/>
      <c r="CP26" s="129"/>
      <c r="CQ26" s="129"/>
      <c r="CR26" s="129"/>
      <c r="CS26" s="129"/>
      <c r="CT26" s="129"/>
      <c r="CU26" s="129"/>
      <c r="CV26" s="129"/>
      <c r="CW26" s="129"/>
      <c r="CX26" s="129"/>
      <c r="CY26" s="129"/>
      <c r="CZ26" s="129"/>
      <c r="DA26" s="129"/>
      <c r="DB26" s="129"/>
      <c r="DC26" s="129"/>
      <c r="DD26" s="129"/>
      <c r="DE26" s="129"/>
      <c r="DF26" s="129"/>
      <c r="DG26" s="129"/>
      <c r="DH26" s="129"/>
      <c r="DI26" s="129"/>
      <c r="DJ26" s="129"/>
      <c r="DK26" s="129"/>
      <c r="DL26" s="129"/>
      <c r="DM26" s="129"/>
      <c r="DN26" s="129"/>
      <c r="DO26" s="129"/>
      <c r="DP26" s="129"/>
      <c r="DQ26" s="129"/>
      <c r="DR26" s="129"/>
      <c r="DS26" s="129"/>
      <c r="DT26" s="129"/>
      <c r="DU26" s="129"/>
      <c r="DV26" s="129"/>
      <c r="DW26" s="129"/>
      <c r="DX26" s="129"/>
      <c r="DY26" s="129"/>
      <c r="DZ26" s="129"/>
      <c r="EA26" s="129"/>
      <c r="EB26" s="129"/>
      <c r="EC26" s="129"/>
      <c r="ED26" s="129"/>
      <c r="EE26" s="129"/>
      <c r="EF26" s="129"/>
      <c r="EG26" s="129"/>
      <c r="EH26" s="129"/>
      <c r="EI26" s="129"/>
      <c r="EJ26" s="129"/>
      <c r="EK26" s="129"/>
      <c r="EL26" s="129"/>
      <c r="EM26" s="129"/>
      <c r="EN26" s="129"/>
      <c r="EO26" s="129"/>
      <c r="EP26" s="129"/>
      <c r="EQ26" s="129"/>
      <c r="ER26" s="129"/>
      <c r="ES26" s="129"/>
      <c r="ET26" s="129"/>
      <c r="EU26" s="129"/>
      <c r="EV26" s="129"/>
      <c r="EW26" s="129"/>
      <c r="EX26" s="129"/>
      <c r="EY26" s="129"/>
      <c r="EZ26" s="129"/>
      <c r="FA26" s="129"/>
      <c r="FB26" s="129"/>
      <c r="FC26" s="129"/>
      <c r="FD26" s="129"/>
      <c r="FE26" s="129"/>
      <c r="FF26" s="129"/>
      <c r="FG26" s="129"/>
      <c r="FH26" s="129"/>
      <c r="FI26" s="129"/>
      <c r="FJ26" s="129"/>
      <c r="FK26" s="129"/>
      <c r="FL26" s="129"/>
      <c r="FM26" s="129"/>
      <c r="FN26" s="129"/>
      <c r="FO26" s="129"/>
      <c r="FP26" s="129"/>
      <c r="FQ26" s="129"/>
      <c r="FR26" s="129"/>
      <c r="FS26" s="129"/>
      <c r="FT26" s="129"/>
      <c r="FU26" s="129"/>
      <c r="FV26" s="129"/>
      <c r="FW26" s="129"/>
      <c r="FX26" s="129"/>
      <c r="FY26" s="129"/>
      <c r="FZ26" s="129"/>
      <c r="GA26" s="129"/>
      <c r="GB26" s="129"/>
      <c r="GC26" s="129"/>
      <c r="GD26" s="129"/>
      <c r="GE26" s="129"/>
      <c r="GF26" s="129"/>
      <c r="GG26" s="129"/>
      <c r="GH26" s="129"/>
      <c r="GI26" s="129"/>
      <c r="GJ26" s="129"/>
      <c r="GK26" s="129"/>
      <c r="GL26" s="129"/>
      <c r="GM26" s="129"/>
      <c r="GN26" s="129"/>
      <c r="GO26" s="129"/>
      <c r="GP26" s="129"/>
      <c r="GQ26" s="129"/>
      <c r="GR26" s="129"/>
      <c r="GS26" s="129"/>
      <c r="GT26" s="129"/>
      <c r="GU26" s="129"/>
      <c r="GV26" s="129"/>
      <c r="GW26" s="129"/>
      <c r="GX26" s="129"/>
      <c r="GY26" s="129"/>
      <c r="GZ26" s="129"/>
      <c r="HA26" s="129"/>
      <c r="HB26" s="129"/>
      <c r="HC26" s="129"/>
      <c r="HD26" s="129"/>
      <c r="HE26" s="129"/>
      <c r="HF26" s="129"/>
      <c r="HG26" s="129"/>
      <c r="HH26" s="129"/>
      <c r="HI26" s="129"/>
      <c r="HJ26" s="129"/>
      <c r="HK26" s="129"/>
      <c r="HL26" s="129"/>
      <c r="HM26" s="129"/>
      <c r="HN26" s="129"/>
      <c r="HO26" s="129"/>
      <c r="HP26" s="129"/>
      <c r="HQ26" s="129"/>
      <c r="HR26"/>
      <c r="HS26"/>
      <c r="HT26"/>
      <c r="HU26"/>
      <c r="HV26"/>
      <c r="HW26"/>
      <c r="HX26"/>
      <c r="HY26"/>
      <c r="HZ26"/>
      <c r="IA26"/>
      <c r="IB26"/>
      <c r="IC26"/>
      <c r="ID26"/>
      <c r="IE26"/>
      <c r="IF26"/>
      <c r="IG26"/>
      <c r="IH26"/>
      <c r="II26"/>
      <c r="IJ26"/>
      <c r="IK26" s="34"/>
      <c r="IL26" s="34"/>
      <c r="IM26" s="34"/>
      <c r="IN26" s="34"/>
      <c r="IO26" s="34"/>
      <c r="IP26" s="34"/>
      <c r="IQ26" s="34"/>
    </row>
    <row r="27" spans="1:251" s="33" customFormat="1">
      <c r="A27" s="80"/>
      <c r="B27" s="32"/>
      <c r="C27" s="68"/>
      <c r="D27" s="156"/>
      <c r="E27" s="156"/>
      <c r="F27" s="156"/>
      <c r="G27" s="156"/>
      <c r="H27" s="156"/>
      <c r="I27" s="156"/>
      <c r="J27" s="156"/>
      <c r="K27" s="156"/>
      <c r="L27" s="156"/>
      <c r="M27" s="156"/>
      <c r="N27" s="156"/>
      <c r="O27" s="156"/>
      <c r="P27" s="156"/>
      <c r="Q27" s="156"/>
      <c r="R27" s="156"/>
      <c r="S27" s="156"/>
      <c r="T27" s="156"/>
      <c r="U27" s="156"/>
      <c r="V27" s="156"/>
      <c r="W27" s="156"/>
      <c r="X27" s="156"/>
      <c r="Y27" s="156"/>
      <c r="Z27" s="156"/>
      <c r="AA27" s="156"/>
      <c r="AB27" s="156"/>
      <c r="AC27" s="156"/>
      <c r="AD27" s="156"/>
      <c r="AE27" s="156"/>
      <c r="AF27" s="156"/>
      <c r="AG27" s="156"/>
      <c r="AH27" s="43"/>
      <c r="AI27" s="32"/>
      <c r="AJ27" s="32"/>
      <c r="AK27" s="32"/>
      <c r="AL27" s="43"/>
      <c r="AM27" s="43"/>
      <c r="AN27" s="43"/>
      <c r="AO27" s="43"/>
      <c r="AP27" s="43"/>
      <c r="AQ27" s="43"/>
      <c r="AR27" s="43"/>
      <c r="AS27" s="43"/>
      <c r="AT27" s="43"/>
      <c r="AU27" s="43"/>
      <c r="AV27" s="43"/>
      <c r="AW27" s="43"/>
      <c r="AX27" s="43"/>
      <c r="AY27" s="43"/>
      <c r="AZ27" s="43"/>
      <c r="BA27" s="43"/>
      <c r="BB27" s="43"/>
      <c r="BC27" s="43"/>
      <c r="BD27" s="43"/>
      <c r="BE27" s="43"/>
      <c r="BF27" s="43"/>
      <c r="BG27" s="43"/>
      <c r="BH27" s="43"/>
      <c r="BI27" s="43"/>
      <c r="BJ27" s="43"/>
      <c r="BK27" s="43"/>
      <c r="BL27" s="43"/>
      <c r="BM27" s="43"/>
      <c r="BN27" s="43"/>
      <c r="BO27" s="43"/>
      <c r="BP27" s="43"/>
      <c r="BQ27" s="43"/>
      <c r="BR27" s="43"/>
      <c r="BS27" s="43"/>
      <c r="BT27" s="43"/>
      <c r="BU27" s="43"/>
      <c r="BV27" s="43"/>
      <c r="BW27" s="43"/>
      <c r="BX27" s="43"/>
      <c r="BY27" s="43"/>
      <c r="BZ27" s="43"/>
      <c r="CA27" s="43"/>
      <c r="CB27" s="43"/>
      <c r="CC27" s="43"/>
      <c r="CD27" s="43"/>
      <c r="CE27" s="43"/>
      <c r="CF27" s="43"/>
      <c r="CG27" s="43"/>
      <c r="CH27" s="43"/>
      <c r="CI27" s="43"/>
      <c r="CJ27" s="43"/>
      <c r="CK27" s="43"/>
      <c r="CL27" s="43"/>
      <c r="CM27" s="43"/>
      <c r="CN27" s="43"/>
      <c r="CO27" s="43"/>
      <c r="CP27" s="43"/>
      <c r="CQ27" s="43"/>
      <c r="CR27" s="43"/>
      <c r="CS27" s="43"/>
      <c r="CT27" s="43"/>
      <c r="CU27" s="43"/>
      <c r="CV27" s="43"/>
      <c r="CW27" s="43"/>
      <c r="CX27" s="43"/>
      <c r="CY27" s="43"/>
      <c r="CZ27" s="43"/>
      <c r="DA27" s="43"/>
      <c r="DB27" s="43"/>
      <c r="DC27" s="43"/>
      <c r="DD27" s="43"/>
      <c r="DE27" s="43"/>
      <c r="DF27" s="43"/>
      <c r="DG27" s="43"/>
      <c r="DH27" s="43"/>
      <c r="DI27" s="43"/>
      <c r="DJ27" s="43"/>
      <c r="DK27" s="43"/>
      <c r="DL27" s="43"/>
      <c r="DM27" s="43"/>
      <c r="DN27" s="43"/>
      <c r="DO27" s="43"/>
      <c r="DP27" s="43"/>
      <c r="DQ27" s="43"/>
      <c r="DR27" s="43"/>
      <c r="DS27" s="43"/>
      <c r="DT27" s="43"/>
      <c r="DU27" s="43"/>
      <c r="DV27" s="43"/>
      <c r="DW27" s="43"/>
      <c r="DX27" s="43"/>
      <c r="DY27" s="43"/>
      <c r="DZ27" s="43"/>
      <c r="EA27" s="43"/>
      <c r="EB27" s="43"/>
      <c r="EC27" s="43"/>
      <c r="ED27" s="43"/>
      <c r="EE27" s="43"/>
      <c r="EF27" s="43"/>
      <c r="EG27" s="43"/>
      <c r="EH27" s="43"/>
      <c r="EI27" s="43"/>
      <c r="EJ27" s="43"/>
      <c r="EK27" s="43"/>
      <c r="EL27" s="43"/>
      <c r="EM27" s="43"/>
      <c r="EN27" s="43"/>
      <c r="EO27" s="43"/>
      <c r="EP27" s="43"/>
      <c r="EQ27" s="43"/>
      <c r="ER27" s="43"/>
      <c r="ES27" s="43"/>
      <c r="ET27" s="43"/>
      <c r="EU27" s="43"/>
      <c r="EV27" s="43"/>
      <c r="EW27" s="43"/>
      <c r="EX27" s="43"/>
      <c r="EY27" s="43"/>
      <c r="EZ27" s="43"/>
      <c r="FA27" s="43"/>
      <c r="FB27" s="43"/>
      <c r="FC27" s="43"/>
      <c r="FD27" s="43"/>
      <c r="FE27" s="43"/>
      <c r="FF27" s="43"/>
      <c r="FG27" s="43"/>
      <c r="FH27" s="43"/>
      <c r="FI27" s="43"/>
      <c r="FJ27" s="43"/>
      <c r="FK27" s="43"/>
      <c r="FL27" s="43"/>
      <c r="FM27" s="43"/>
      <c r="FN27" s="43"/>
      <c r="FO27" s="43"/>
      <c r="FP27" s="43"/>
      <c r="FQ27" s="43"/>
      <c r="FR27" s="43"/>
      <c r="FS27" s="43"/>
      <c r="FT27" s="43"/>
      <c r="FU27" s="43"/>
      <c r="FV27" s="43"/>
      <c r="FW27" s="43"/>
      <c r="FX27" s="43"/>
      <c r="FY27" s="43"/>
      <c r="FZ27" s="43"/>
      <c r="GA27" s="43"/>
      <c r="GB27" s="43"/>
      <c r="GC27" s="43"/>
      <c r="GD27" s="43"/>
      <c r="GE27" s="43"/>
      <c r="GF27" s="43"/>
      <c r="GG27" s="43"/>
      <c r="GH27" s="43"/>
      <c r="GI27" s="43"/>
      <c r="GJ27" s="43"/>
      <c r="GK27" s="43"/>
      <c r="GL27" s="43"/>
      <c r="GM27" s="43"/>
      <c r="GN27" s="43"/>
      <c r="GO27" s="43"/>
      <c r="GP27" s="43"/>
      <c r="GQ27" s="43"/>
      <c r="GR27" s="43"/>
      <c r="GS27" s="43"/>
      <c r="GT27" s="43"/>
      <c r="GU27" s="43"/>
      <c r="GV27" s="43"/>
      <c r="GW27" s="43"/>
      <c r="GX27" s="43"/>
      <c r="GY27" s="43"/>
      <c r="GZ27" s="43"/>
      <c r="HA27" s="43"/>
      <c r="HB27" s="43"/>
      <c r="HC27" s="43"/>
      <c r="HD27" s="43"/>
      <c r="HE27" s="43"/>
      <c r="HF27" s="43"/>
      <c r="HG27" s="43"/>
      <c r="HH27" s="43"/>
      <c r="HI27" s="43"/>
      <c r="HJ27" s="43"/>
      <c r="HK27" s="43"/>
      <c r="HL27" s="43"/>
      <c r="HM27" s="43"/>
      <c r="HN27" s="43"/>
      <c r="HO27" s="43"/>
      <c r="HP27" s="43"/>
      <c r="HQ27" s="43"/>
      <c r="HR27"/>
      <c r="HS27"/>
      <c r="HT27"/>
      <c r="HU27"/>
      <c r="HV27"/>
      <c r="HW27"/>
      <c r="HX27"/>
      <c r="HY27"/>
      <c r="HZ27"/>
      <c r="IA27"/>
      <c r="IB27"/>
      <c r="IC27"/>
      <c r="ID27"/>
      <c r="IE27"/>
      <c r="IF27"/>
      <c r="IG27"/>
      <c r="IH27"/>
      <c r="II27"/>
      <c r="IJ27"/>
      <c r="IK27" s="32"/>
      <c r="IL27" s="32"/>
      <c r="IM27" s="32"/>
      <c r="IN27" s="32"/>
      <c r="IO27" s="32"/>
      <c r="IP27" s="32"/>
      <c r="IQ27" s="32"/>
    </row>
    <row r="28" spans="1:251" s="33" customFormat="1">
      <c r="A28" s="80"/>
      <c r="B28" s="80" t="s">
        <v>420</v>
      </c>
      <c r="C28" s="68"/>
      <c r="D28" s="456">
        <v>6324</v>
      </c>
      <c r="E28" s="456">
        <v>7527</v>
      </c>
      <c r="F28" s="456">
        <v>8118</v>
      </c>
      <c r="G28" s="456">
        <v>8691</v>
      </c>
      <c r="H28" s="456">
        <v>9075</v>
      </c>
      <c r="I28" s="456">
        <v>8393</v>
      </c>
      <c r="J28" s="456">
        <v>7827</v>
      </c>
      <c r="K28" s="456">
        <v>7189</v>
      </c>
      <c r="L28" s="456">
        <v>6740</v>
      </c>
      <c r="M28" s="456">
        <v>6740</v>
      </c>
      <c r="N28" s="456">
        <v>6029</v>
      </c>
      <c r="O28" s="200">
        <f>+N28</f>
        <v>6029</v>
      </c>
      <c r="P28" s="222">
        <v>5451</v>
      </c>
      <c r="Q28" s="222">
        <v>4803</v>
      </c>
      <c r="R28" s="222">
        <v>4502</v>
      </c>
      <c r="S28" s="222">
        <v>3559</v>
      </c>
      <c r="T28" s="222">
        <v>2581</v>
      </c>
      <c r="U28" s="222">
        <v>1997</v>
      </c>
      <c r="V28" s="222">
        <v>1614</v>
      </c>
      <c r="W28" s="222">
        <v>1239</v>
      </c>
      <c r="X28" s="222">
        <f>1028</f>
        <v>1028</v>
      </c>
      <c r="Y28" s="200">
        <f t="shared" ref="Y28:AG28" si="16">Y166</f>
        <v>852.93301049233253</v>
      </c>
      <c r="Z28" s="200">
        <f t="shared" si="16"/>
        <v>707.67968909291187</v>
      </c>
      <c r="AA28" s="200">
        <f t="shared" si="16"/>
        <v>587.16280902947005</v>
      </c>
      <c r="AB28" s="200">
        <f t="shared" si="16"/>
        <v>487.16978828272414</v>
      </c>
      <c r="AC28" s="200">
        <f t="shared" si="16"/>
        <v>404.20544177129977</v>
      </c>
      <c r="AD28" s="200">
        <f t="shared" si="16"/>
        <v>335.36980963752717</v>
      </c>
      <c r="AE28" s="200">
        <f t="shared" si="16"/>
        <v>278.25679120853749</v>
      </c>
      <c r="AF28" s="200">
        <f t="shared" si="16"/>
        <v>230.87004145470263</v>
      </c>
      <c r="AG28" s="200">
        <f t="shared" si="16"/>
        <v>191.55319016580654</v>
      </c>
      <c r="AH28" s="43"/>
      <c r="AI28" s="32"/>
      <c r="AJ28" s="32"/>
      <c r="AK28" s="32"/>
      <c r="AL28" s="43"/>
      <c r="AM28" s="43"/>
      <c r="AN28" s="43"/>
      <c r="AO28" s="43"/>
      <c r="AP28" s="43"/>
      <c r="AQ28" s="43"/>
      <c r="AR28" s="43"/>
      <c r="AS28" s="43"/>
      <c r="AT28" s="43"/>
      <c r="AU28" s="43"/>
      <c r="AV28" s="43"/>
      <c r="AW28" s="43"/>
      <c r="AX28" s="43"/>
      <c r="AY28" s="43"/>
      <c r="AZ28" s="43"/>
      <c r="BA28" s="43"/>
      <c r="BB28" s="43"/>
      <c r="BC28" s="43"/>
      <c r="BD28" s="43"/>
      <c r="BE28" s="43"/>
      <c r="BF28" s="43"/>
      <c r="BG28" s="43"/>
      <c r="BH28" s="43"/>
      <c r="BI28" s="43"/>
      <c r="BJ28" s="43"/>
      <c r="BK28" s="43"/>
      <c r="BL28" s="43"/>
      <c r="BM28" s="43"/>
      <c r="BN28" s="43"/>
      <c r="BO28" s="43"/>
      <c r="BP28" s="43"/>
      <c r="BQ28" s="43"/>
      <c r="BR28" s="43"/>
      <c r="BS28" s="43"/>
      <c r="BT28" s="43"/>
      <c r="BU28" s="43"/>
      <c r="BV28" s="43"/>
      <c r="BW28" s="43"/>
      <c r="BX28" s="43"/>
      <c r="BY28" s="43"/>
      <c r="BZ28" s="43"/>
      <c r="CA28" s="43"/>
      <c r="CB28" s="43"/>
      <c r="CC28" s="43"/>
      <c r="CD28" s="43"/>
      <c r="CE28" s="43"/>
      <c r="CF28" s="43"/>
      <c r="CG28" s="43"/>
      <c r="CH28" s="43"/>
      <c r="CI28" s="43"/>
      <c r="CJ28" s="43"/>
      <c r="CK28" s="43"/>
      <c r="CL28" s="43"/>
      <c r="CM28" s="43"/>
      <c r="CN28" s="43"/>
      <c r="CO28" s="43"/>
      <c r="CP28" s="43"/>
      <c r="CQ28" s="43"/>
      <c r="CR28" s="43"/>
      <c r="CS28" s="43"/>
      <c r="CT28" s="43"/>
      <c r="CU28" s="43"/>
      <c r="CV28" s="43"/>
      <c r="CW28" s="43"/>
      <c r="CX28" s="43"/>
      <c r="CY28" s="43"/>
      <c r="CZ28" s="43"/>
      <c r="DA28" s="43"/>
      <c r="DB28" s="43"/>
      <c r="DC28" s="43"/>
      <c r="DD28" s="43"/>
      <c r="DE28" s="43"/>
      <c r="DF28" s="43"/>
      <c r="DG28" s="43"/>
      <c r="DH28" s="43"/>
      <c r="DI28" s="43"/>
      <c r="DJ28" s="43"/>
      <c r="DK28" s="43"/>
      <c r="DL28" s="43"/>
      <c r="DM28" s="43"/>
      <c r="DN28" s="43"/>
      <c r="DO28" s="43"/>
      <c r="DP28" s="43"/>
      <c r="DQ28" s="43"/>
      <c r="DR28" s="43"/>
      <c r="DS28" s="43"/>
      <c r="DT28" s="43"/>
      <c r="DU28" s="43"/>
      <c r="DV28" s="43"/>
      <c r="DW28" s="43"/>
      <c r="DX28" s="43"/>
      <c r="DY28" s="43"/>
      <c r="DZ28" s="43"/>
      <c r="EA28" s="43"/>
      <c r="EB28" s="43"/>
      <c r="EC28" s="43"/>
      <c r="ED28" s="43"/>
      <c r="EE28" s="43"/>
      <c r="EF28" s="43"/>
      <c r="EG28" s="43"/>
      <c r="EH28" s="43"/>
      <c r="EI28" s="43"/>
      <c r="EJ28" s="43"/>
      <c r="EK28" s="43"/>
      <c r="EL28" s="43"/>
      <c r="EM28" s="43"/>
      <c r="EN28" s="43"/>
      <c r="EO28" s="43"/>
      <c r="EP28" s="43"/>
      <c r="EQ28" s="43"/>
      <c r="ER28" s="43"/>
      <c r="ES28" s="43"/>
      <c r="ET28" s="43"/>
      <c r="EU28" s="43"/>
      <c r="EV28" s="43"/>
      <c r="EW28" s="43"/>
      <c r="EX28" s="43"/>
      <c r="EY28" s="43"/>
      <c r="EZ28" s="43"/>
      <c r="FA28" s="43"/>
      <c r="FB28" s="43"/>
      <c r="FC28" s="43"/>
      <c r="FD28" s="43"/>
      <c r="FE28" s="43"/>
      <c r="FF28" s="43"/>
      <c r="FG28" s="43"/>
      <c r="FH28" s="43"/>
      <c r="FI28" s="43"/>
      <c r="FJ28" s="43"/>
      <c r="FK28" s="43"/>
      <c r="FL28" s="43"/>
      <c r="FM28" s="43"/>
      <c r="FN28" s="43"/>
      <c r="FO28" s="43"/>
      <c r="FP28" s="43"/>
      <c r="FQ28" s="43"/>
      <c r="FR28" s="43"/>
      <c r="FS28" s="43"/>
      <c r="FT28" s="43"/>
      <c r="FU28" s="43"/>
      <c r="FV28" s="43"/>
      <c r="FW28" s="43"/>
      <c r="FX28" s="43"/>
      <c r="FY28" s="43"/>
      <c r="FZ28" s="43"/>
      <c r="GA28" s="43"/>
      <c r="GB28" s="43"/>
      <c r="GC28" s="43"/>
      <c r="GD28" s="43"/>
      <c r="GE28" s="43"/>
      <c r="GF28" s="43"/>
      <c r="GG28" s="43"/>
      <c r="GH28" s="43"/>
      <c r="GI28" s="43"/>
      <c r="GJ28" s="43"/>
      <c r="GK28" s="43"/>
      <c r="GL28" s="43"/>
      <c r="GM28" s="43"/>
      <c r="GN28" s="43"/>
      <c r="GO28" s="43"/>
      <c r="GP28" s="43"/>
      <c r="GQ28" s="43"/>
      <c r="GR28" s="43"/>
      <c r="GS28" s="43"/>
      <c r="GT28" s="43"/>
      <c r="GU28" s="43"/>
      <c r="GV28" s="43"/>
      <c r="GW28" s="43"/>
      <c r="GX28" s="43"/>
      <c r="GY28" s="43"/>
      <c r="GZ28" s="43"/>
      <c r="HA28" s="43"/>
      <c r="HB28" s="43"/>
      <c r="HC28" s="43"/>
      <c r="HD28" s="43"/>
      <c r="HE28" s="43"/>
      <c r="HF28" s="43"/>
      <c r="HG28" s="43"/>
      <c r="HH28" s="43"/>
      <c r="HI28" s="43"/>
      <c r="HJ28" s="43"/>
      <c r="HK28" s="43"/>
      <c r="HL28" s="43"/>
      <c r="HM28" s="43"/>
      <c r="HN28" s="43"/>
      <c r="HO28" s="43"/>
      <c r="HP28" s="43"/>
      <c r="HQ28" s="43"/>
      <c r="HR28"/>
      <c r="HS28"/>
      <c r="HT28"/>
      <c r="HU28"/>
      <c r="HV28"/>
      <c r="HW28"/>
      <c r="HX28"/>
      <c r="HY28"/>
      <c r="HZ28"/>
      <c r="IA28"/>
      <c r="IB28"/>
      <c r="IC28"/>
      <c r="ID28"/>
      <c r="IE28"/>
      <c r="IF28"/>
      <c r="IG28"/>
      <c r="IH28"/>
      <c r="II28"/>
      <c r="IJ28"/>
      <c r="IK28" s="32"/>
      <c r="IL28" s="32"/>
      <c r="IM28" s="32"/>
      <c r="IN28" s="32"/>
      <c r="IO28" s="32"/>
      <c r="IP28" s="32"/>
      <c r="IQ28" s="32"/>
    </row>
    <row r="29" spans="1:251" s="33" customFormat="1">
      <c r="A29" s="80"/>
      <c r="B29" s="80" t="s">
        <v>421</v>
      </c>
      <c r="C29" s="68"/>
      <c r="D29" s="456">
        <v>156</v>
      </c>
      <c r="E29" s="456">
        <v>184</v>
      </c>
      <c r="F29" s="456">
        <v>284</v>
      </c>
      <c r="G29" s="456">
        <v>173</v>
      </c>
      <c r="H29" s="456">
        <v>156</v>
      </c>
      <c r="I29" s="456">
        <v>147</v>
      </c>
      <c r="J29" s="456">
        <f>18</f>
        <v>18</v>
      </c>
      <c r="K29" s="456">
        <v>219</v>
      </c>
      <c r="L29" s="456">
        <v>50</v>
      </c>
      <c r="M29" s="456">
        <v>50</v>
      </c>
      <c r="N29" s="456">
        <v>34</v>
      </c>
      <c r="O29" s="156">
        <f>+N29</f>
        <v>34</v>
      </c>
      <c r="P29" s="222">
        <v>32</v>
      </c>
      <c r="Q29" s="222">
        <v>28</v>
      </c>
      <c r="R29" s="222">
        <v>29</v>
      </c>
      <c r="S29" s="222">
        <v>18</v>
      </c>
      <c r="T29" s="222">
        <v>17</v>
      </c>
      <c r="U29" s="222">
        <v>0</v>
      </c>
      <c r="V29" s="156"/>
      <c r="W29" s="156"/>
      <c r="X29" s="156"/>
      <c r="Y29" s="156"/>
      <c r="Z29" s="156"/>
      <c r="AA29" s="156"/>
      <c r="AB29" s="156"/>
      <c r="AC29" s="156"/>
      <c r="AD29" s="156"/>
      <c r="AE29" s="156"/>
      <c r="AF29" s="156"/>
      <c r="AG29" s="156"/>
      <c r="AH29" s="43"/>
      <c r="AI29" s="32"/>
      <c r="AJ29" s="32"/>
      <c r="AK29" s="32"/>
      <c r="AL29" s="43"/>
      <c r="AM29" s="43"/>
      <c r="AN29" s="43"/>
      <c r="AO29" s="43"/>
      <c r="AP29" s="43"/>
      <c r="AQ29" s="43"/>
      <c r="AR29" s="43"/>
      <c r="AS29" s="43"/>
      <c r="AT29" s="43"/>
      <c r="AU29" s="43"/>
      <c r="AV29" s="43"/>
      <c r="AW29" s="43"/>
      <c r="AX29" s="43"/>
      <c r="AY29" s="43"/>
      <c r="AZ29" s="43"/>
      <c r="BA29" s="43"/>
      <c r="BB29" s="43"/>
      <c r="BC29" s="43"/>
      <c r="BD29" s="43"/>
      <c r="BE29" s="43"/>
      <c r="BF29" s="43"/>
      <c r="BG29" s="43"/>
      <c r="BH29" s="43"/>
      <c r="BI29" s="43"/>
      <c r="BJ29" s="43"/>
      <c r="BK29" s="43"/>
      <c r="BL29" s="43"/>
      <c r="BM29" s="43"/>
      <c r="BN29" s="43"/>
      <c r="BO29" s="43"/>
      <c r="BP29" s="43"/>
      <c r="BQ29" s="43"/>
      <c r="BR29" s="43"/>
      <c r="BS29" s="43"/>
      <c r="BT29" s="43"/>
      <c r="BU29" s="43"/>
      <c r="BV29" s="43"/>
      <c r="BW29" s="43"/>
      <c r="BX29" s="43"/>
      <c r="BY29" s="43"/>
      <c r="BZ29" s="43"/>
      <c r="CA29" s="43"/>
      <c r="CB29" s="43"/>
      <c r="CC29" s="43"/>
      <c r="CD29" s="43"/>
      <c r="CE29" s="43"/>
      <c r="CF29" s="43"/>
      <c r="CG29" s="43"/>
      <c r="CH29" s="43"/>
      <c r="CI29" s="43"/>
      <c r="CJ29" s="43"/>
      <c r="CK29" s="43"/>
      <c r="CL29" s="43"/>
      <c r="CM29" s="43"/>
      <c r="CN29" s="43"/>
      <c r="CO29" s="43"/>
      <c r="CP29" s="43"/>
      <c r="CQ29" s="43"/>
      <c r="CR29" s="43"/>
      <c r="CS29" s="43"/>
      <c r="CT29" s="43"/>
      <c r="CU29" s="43"/>
      <c r="CV29" s="43"/>
      <c r="CW29" s="43"/>
      <c r="CX29" s="43"/>
      <c r="CY29" s="43"/>
      <c r="CZ29" s="43"/>
      <c r="DA29" s="43"/>
      <c r="DB29" s="43"/>
      <c r="DC29" s="43"/>
      <c r="DD29" s="43"/>
      <c r="DE29" s="43"/>
      <c r="DF29" s="43"/>
      <c r="DG29" s="43"/>
      <c r="DH29" s="43"/>
      <c r="DI29" s="43"/>
      <c r="DJ29" s="43"/>
      <c r="DK29" s="43"/>
      <c r="DL29" s="43"/>
      <c r="DM29" s="43"/>
      <c r="DN29" s="43"/>
      <c r="DO29" s="43"/>
      <c r="DP29" s="43"/>
      <c r="DQ29" s="43"/>
      <c r="DR29" s="43"/>
      <c r="DS29" s="43"/>
      <c r="DT29" s="43"/>
      <c r="DU29" s="43"/>
      <c r="DV29" s="43"/>
      <c r="DW29" s="43"/>
      <c r="DX29" s="43"/>
      <c r="DY29" s="43"/>
      <c r="DZ29" s="43"/>
      <c r="EA29" s="43"/>
      <c r="EB29" s="43"/>
      <c r="EC29" s="43"/>
      <c r="ED29" s="43"/>
      <c r="EE29" s="43"/>
      <c r="EF29" s="43"/>
      <c r="EG29" s="43"/>
      <c r="EH29" s="43"/>
      <c r="EI29" s="43"/>
      <c r="EJ29" s="43"/>
      <c r="EK29" s="43"/>
      <c r="EL29" s="43"/>
      <c r="EM29" s="43"/>
      <c r="EN29" s="43"/>
      <c r="EO29" s="43"/>
      <c r="EP29" s="43"/>
      <c r="EQ29" s="43"/>
      <c r="ER29" s="43"/>
      <c r="ES29" s="43"/>
      <c r="ET29" s="43"/>
      <c r="EU29" s="43"/>
      <c r="EV29" s="43"/>
      <c r="EW29" s="43"/>
      <c r="EX29" s="43"/>
      <c r="EY29" s="43"/>
      <c r="EZ29" s="43"/>
      <c r="FA29" s="43"/>
      <c r="FB29" s="43"/>
      <c r="FC29" s="43"/>
      <c r="FD29" s="43"/>
      <c r="FE29" s="43"/>
      <c r="FF29" s="43"/>
      <c r="FG29" s="43"/>
      <c r="FH29" s="43"/>
      <c r="FI29" s="43"/>
      <c r="FJ29" s="43"/>
      <c r="FK29" s="43"/>
      <c r="FL29" s="43"/>
      <c r="FM29" s="43"/>
      <c r="FN29" s="43"/>
      <c r="FO29" s="43"/>
      <c r="FP29" s="43"/>
      <c r="FQ29" s="43"/>
      <c r="FR29" s="43"/>
      <c r="FS29" s="43"/>
      <c r="FT29" s="43"/>
      <c r="FU29" s="43"/>
      <c r="FV29" s="43"/>
      <c r="FW29" s="43"/>
      <c r="FX29" s="43"/>
      <c r="FY29" s="43"/>
      <c r="FZ29" s="43"/>
      <c r="GA29" s="43"/>
      <c r="GB29" s="43"/>
      <c r="GC29" s="43"/>
      <c r="GD29" s="43"/>
      <c r="GE29" s="43"/>
      <c r="GF29" s="43"/>
      <c r="GG29" s="43"/>
      <c r="GH29" s="43"/>
      <c r="GI29" s="43"/>
      <c r="GJ29" s="43"/>
      <c r="GK29" s="43"/>
      <c r="GL29" s="43"/>
      <c r="GM29" s="43"/>
      <c r="GN29" s="43"/>
      <c r="GO29" s="43"/>
      <c r="GP29" s="43"/>
      <c r="GQ29" s="43"/>
      <c r="GR29" s="43"/>
      <c r="GS29" s="43"/>
      <c r="GT29" s="43"/>
      <c r="GU29" s="43"/>
      <c r="GV29" s="43"/>
      <c r="GW29" s="43"/>
      <c r="GX29" s="43"/>
      <c r="GY29" s="43"/>
      <c r="GZ29" s="43"/>
      <c r="HA29" s="43"/>
      <c r="HB29" s="43"/>
      <c r="HC29" s="43"/>
      <c r="HD29" s="43"/>
      <c r="HE29" s="43"/>
      <c r="HF29" s="43"/>
      <c r="HG29" s="43"/>
      <c r="HH29" s="43"/>
      <c r="HI29" s="43"/>
      <c r="HJ29" s="43"/>
      <c r="HK29" s="43"/>
      <c r="HL29" s="43"/>
      <c r="HM29" s="43"/>
      <c r="HN29" s="43"/>
      <c r="HO29" s="43"/>
      <c r="HP29" s="43"/>
      <c r="HQ29" s="43"/>
      <c r="HR29"/>
      <c r="HS29"/>
      <c r="HT29"/>
      <c r="HU29"/>
      <c r="HV29"/>
      <c r="HW29"/>
      <c r="HX29"/>
      <c r="HY29"/>
      <c r="HZ29"/>
      <c r="IA29"/>
      <c r="IB29"/>
      <c r="IC29"/>
      <c r="ID29"/>
      <c r="IE29"/>
      <c r="IF29"/>
      <c r="IG29"/>
      <c r="IH29"/>
      <c r="II29"/>
      <c r="IJ29"/>
      <c r="IK29" s="32"/>
      <c r="IL29" s="32"/>
      <c r="IM29" s="32"/>
      <c r="IN29" s="32"/>
      <c r="IO29" s="32"/>
      <c r="IP29" s="32"/>
      <c r="IQ29" s="32"/>
    </row>
    <row r="30" spans="1:251" s="37" customFormat="1">
      <c r="A30" s="45" t="s">
        <v>243</v>
      </c>
      <c r="B30" s="34"/>
      <c r="C30" s="139"/>
      <c r="D30" s="196">
        <f>D28+D29</f>
        <v>6480</v>
      </c>
      <c r="E30" s="196">
        <f>E28+E29</f>
        <v>7711</v>
      </c>
      <c r="F30" s="196">
        <f>F28+F29</f>
        <v>8402</v>
      </c>
      <c r="G30" s="196">
        <f>G28+G29</f>
        <v>8864</v>
      </c>
      <c r="H30" s="196">
        <f t="shared" ref="H30:W30" si="17">SUM(H28:H29)</f>
        <v>9231</v>
      </c>
      <c r="I30" s="196">
        <f t="shared" si="17"/>
        <v>8540</v>
      </c>
      <c r="J30" s="196">
        <f t="shared" si="17"/>
        <v>7845</v>
      </c>
      <c r="K30" s="196">
        <f t="shared" si="17"/>
        <v>7408</v>
      </c>
      <c r="L30" s="196">
        <f t="shared" si="17"/>
        <v>6790</v>
      </c>
      <c r="M30" s="196">
        <f t="shared" si="17"/>
        <v>6790</v>
      </c>
      <c r="N30" s="196">
        <f t="shared" si="17"/>
        <v>6063</v>
      </c>
      <c r="O30" s="196">
        <f>SUM(O28:O29)</f>
        <v>6063</v>
      </c>
      <c r="P30" s="196">
        <f t="shared" si="17"/>
        <v>5483</v>
      </c>
      <c r="Q30" s="196">
        <f t="shared" si="17"/>
        <v>4831</v>
      </c>
      <c r="R30" s="196">
        <f t="shared" si="17"/>
        <v>4531</v>
      </c>
      <c r="S30" s="196">
        <f t="shared" si="17"/>
        <v>3577</v>
      </c>
      <c r="T30" s="196">
        <f t="shared" si="17"/>
        <v>2598</v>
      </c>
      <c r="U30" s="196">
        <f t="shared" si="17"/>
        <v>1997</v>
      </c>
      <c r="V30" s="196">
        <f t="shared" si="17"/>
        <v>1614</v>
      </c>
      <c r="W30" s="196">
        <f t="shared" si="17"/>
        <v>1239</v>
      </c>
      <c r="X30" s="196">
        <f t="shared" ref="X30:AG30" si="18">SUM(X28:X29)</f>
        <v>1028</v>
      </c>
      <c r="Y30" s="196">
        <f t="shared" si="18"/>
        <v>852.93301049233253</v>
      </c>
      <c r="Z30" s="196">
        <f t="shared" si="18"/>
        <v>707.67968909291187</v>
      </c>
      <c r="AA30" s="196">
        <f t="shared" si="18"/>
        <v>587.16280902947005</v>
      </c>
      <c r="AB30" s="196">
        <f t="shared" si="18"/>
        <v>487.16978828272414</v>
      </c>
      <c r="AC30" s="196">
        <f t="shared" si="18"/>
        <v>404.20544177129977</v>
      </c>
      <c r="AD30" s="196">
        <f t="shared" si="18"/>
        <v>335.36980963752717</v>
      </c>
      <c r="AE30" s="196">
        <f t="shared" si="18"/>
        <v>278.25679120853749</v>
      </c>
      <c r="AF30" s="196">
        <f t="shared" si="18"/>
        <v>230.87004145470263</v>
      </c>
      <c r="AG30" s="196">
        <f t="shared" si="18"/>
        <v>191.55319016580654</v>
      </c>
      <c r="AH30" s="129"/>
      <c r="AI30" s="34"/>
      <c r="AJ30" s="34"/>
      <c r="AK30" s="34"/>
      <c r="AL30" s="129"/>
      <c r="AM30" s="129"/>
      <c r="AN30" s="129"/>
      <c r="AO30" s="129"/>
      <c r="AP30" s="129"/>
      <c r="AQ30" s="129"/>
      <c r="AR30" s="129"/>
      <c r="AS30" s="129"/>
      <c r="AT30" s="129"/>
      <c r="AU30" s="129"/>
      <c r="AV30" s="129"/>
      <c r="AW30" s="129"/>
      <c r="AX30" s="129"/>
      <c r="AY30" s="129"/>
      <c r="AZ30" s="129"/>
      <c r="BA30" s="129"/>
      <c r="BB30" s="129"/>
      <c r="BC30" s="129"/>
      <c r="BD30" s="129"/>
      <c r="BE30" s="129"/>
      <c r="BF30" s="129"/>
      <c r="BG30" s="129"/>
      <c r="BH30" s="129"/>
      <c r="BI30" s="129"/>
      <c r="BJ30" s="129"/>
      <c r="BK30" s="129"/>
      <c r="BL30" s="129"/>
      <c r="BM30" s="129"/>
      <c r="BN30" s="129"/>
      <c r="BO30" s="129"/>
      <c r="BP30" s="129"/>
      <c r="BQ30" s="129"/>
      <c r="BR30" s="129"/>
      <c r="BS30" s="129"/>
      <c r="BT30" s="129"/>
      <c r="BU30" s="129"/>
      <c r="BV30" s="129"/>
      <c r="BW30" s="129"/>
      <c r="BX30" s="129"/>
      <c r="BY30" s="129"/>
      <c r="BZ30" s="129"/>
      <c r="CA30" s="129"/>
      <c r="CB30" s="129"/>
      <c r="CC30" s="129"/>
      <c r="CD30" s="129"/>
      <c r="CE30" s="129"/>
      <c r="CF30" s="129"/>
      <c r="CG30" s="129"/>
      <c r="CH30" s="129"/>
      <c r="CI30" s="129"/>
      <c r="CJ30" s="129"/>
      <c r="CK30" s="129"/>
      <c r="CL30" s="129"/>
      <c r="CM30" s="129"/>
      <c r="CN30" s="129"/>
      <c r="CO30" s="129"/>
      <c r="CP30" s="129"/>
      <c r="CQ30" s="129"/>
      <c r="CR30" s="129"/>
      <c r="CS30" s="129"/>
      <c r="CT30" s="129"/>
      <c r="CU30" s="129"/>
      <c r="CV30" s="129"/>
      <c r="CW30" s="129"/>
      <c r="CX30" s="129"/>
      <c r="CY30" s="129"/>
      <c r="CZ30" s="129"/>
      <c r="DA30" s="129"/>
      <c r="DB30" s="129"/>
      <c r="DC30" s="129"/>
      <c r="DD30" s="129"/>
      <c r="DE30" s="129"/>
      <c r="DF30" s="129"/>
      <c r="DG30" s="129"/>
      <c r="DH30" s="129"/>
      <c r="DI30" s="129"/>
      <c r="DJ30" s="129"/>
      <c r="DK30" s="129"/>
      <c r="DL30" s="129"/>
      <c r="DM30" s="129"/>
      <c r="DN30" s="129"/>
      <c r="DO30" s="129"/>
      <c r="DP30" s="129"/>
      <c r="DQ30" s="129"/>
      <c r="DR30" s="129"/>
      <c r="DS30" s="129"/>
      <c r="DT30" s="129"/>
      <c r="DU30" s="129"/>
      <c r="DV30" s="129"/>
      <c r="DW30" s="129"/>
      <c r="DX30" s="129"/>
      <c r="DY30" s="129"/>
      <c r="DZ30" s="129"/>
      <c r="EA30" s="129"/>
      <c r="EB30" s="129"/>
      <c r="EC30" s="129"/>
      <c r="ED30" s="129"/>
      <c r="EE30" s="129"/>
      <c r="EF30" s="129"/>
      <c r="EG30" s="129"/>
      <c r="EH30" s="129"/>
      <c r="EI30" s="129"/>
      <c r="EJ30" s="129"/>
      <c r="EK30" s="129"/>
      <c r="EL30" s="129"/>
      <c r="EM30" s="129"/>
      <c r="EN30" s="129"/>
      <c r="EO30" s="129"/>
      <c r="EP30" s="129"/>
      <c r="EQ30" s="129"/>
      <c r="ER30" s="129"/>
      <c r="ES30" s="129"/>
      <c r="ET30" s="129"/>
      <c r="EU30" s="129"/>
      <c r="EV30" s="129"/>
      <c r="EW30" s="129"/>
      <c r="EX30" s="129"/>
      <c r="EY30" s="129"/>
      <c r="EZ30" s="129"/>
      <c r="FA30" s="129"/>
      <c r="FB30" s="129"/>
      <c r="FC30" s="129"/>
      <c r="FD30" s="129"/>
      <c r="FE30" s="129"/>
      <c r="FF30" s="129"/>
      <c r="FG30" s="129"/>
      <c r="FH30" s="129"/>
      <c r="FI30" s="129"/>
      <c r="FJ30" s="129"/>
      <c r="FK30" s="129"/>
      <c r="FL30" s="129"/>
      <c r="FM30" s="129"/>
      <c r="FN30" s="129"/>
      <c r="FO30" s="129"/>
      <c r="FP30" s="129"/>
      <c r="FQ30" s="129"/>
      <c r="FR30" s="129"/>
      <c r="FS30" s="129"/>
      <c r="FT30" s="129"/>
      <c r="FU30" s="129"/>
      <c r="FV30" s="129"/>
      <c r="FW30" s="129"/>
      <c r="FX30" s="129"/>
      <c r="FY30" s="129"/>
      <c r="FZ30" s="129"/>
      <c r="GA30" s="129"/>
      <c r="GB30" s="129"/>
      <c r="GC30" s="129"/>
      <c r="GD30" s="129"/>
      <c r="GE30" s="129"/>
      <c r="GF30" s="129"/>
      <c r="GG30" s="129"/>
      <c r="GH30" s="129"/>
      <c r="GI30" s="129"/>
      <c r="GJ30" s="129"/>
      <c r="GK30" s="129"/>
      <c r="GL30" s="129"/>
      <c r="GM30" s="129"/>
      <c r="GN30" s="129"/>
      <c r="GO30" s="129"/>
      <c r="GP30" s="129"/>
      <c r="GQ30" s="129"/>
      <c r="GR30" s="129"/>
      <c r="GS30" s="129"/>
      <c r="GT30" s="129"/>
      <c r="GU30" s="129"/>
      <c r="GV30" s="129"/>
      <c r="GW30" s="129"/>
      <c r="GX30" s="129"/>
      <c r="GY30" s="129"/>
      <c r="GZ30" s="129"/>
      <c r="HA30" s="129"/>
      <c r="HB30" s="129"/>
      <c r="HC30" s="129"/>
      <c r="HD30" s="129"/>
      <c r="HE30" s="129"/>
      <c r="HF30" s="129"/>
      <c r="HG30" s="129"/>
      <c r="HH30" s="129"/>
      <c r="HI30" s="129"/>
      <c r="HJ30" s="129"/>
      <c r="HK30" s="129"/>
      <c r="HL30" s="129"/>
      <c r="HM30" s="129"/>
      <c r="HN30" s="129"/>
      <c r="HO30" s="129"/>
      <c r="HP30" s="129"/>
      <c r="HQ30" s="129"/>
      <c r="HR30"/>
      <c r="HS30"/>
      <c r="HT30"/>
      <c r="HU30"/>
      <c r="HV30"/>
      <c r="HW30"/>
      <c r="HX30"/>
      <c r="HY30"/>
      <c r="HZ30"/>
      <c r="IA30"/>
      <c r="IB30"/>
      <c r="IC30"/>
      <c r="ID30"/>
      <c r="IE30"/>
      <c r="IF30"/>
      <c r="IG30"/>
      <c r="IH30"/>
      <c r="II30"/>
      <c r="IJ30"/>
      <c r="IK30" s="34"/>
      <c r="IL30" s="34"/>
      <c r="IM30" s="34"/>
      <c r="IN30" s="34"/>
      <c r="IO30" s="34"/>
      <c r="IP30" s="34"/>
      <c r="IQ30" s="34"/>
    </row>
    <row r="31" spans="1:251" s="37" customFormat="1">
      <c r="A31" s="45"/>
      <c r="B31" s="34"/>
      <c r="C31" s="139"/>
      <c r="D31" s="196"/>
      <c r="E31" s="196"/>
      <c r="F31" s="196"/>
      <c r="G31" s="196"/>
      <c r="H31" s="196"/>
      <c r="I31" s="196"/>
      <c r="J31" s="196"/>
      <c r="K31" s="196"/>
      <c r="L31" s="196"/>
      <c r="M31" s="196"/>
      <c r="N31" s="196"/>
      <c r="O31" s="196"/>
      <c r="P31" s="196"/>
      <c r="Q31" s="196"/>
      <c r="R31" s="196"/>
      <c r="S31" s="196"/>
      <c r="T31" s="196"/>
      <c r="U31" s="196"/>
      <c r="V31" s="196"/>
      <c r="W31" s="196"/>
      <c r="X31" s="196"/>
      <c r="Y31" s="196"/>
      <c r="Z31" s="196"/>
      <c r="AA31" s="196"/>
      <c r="AB31" s="196"/>
      <c r="AC31" s="196"/>
      <c r="AD31" s="196"/>
      <c r="AE31" s="196"/>
      <c r="AF31" s="196"/>
      <c r="AG31" s="196"/>
      <c r="AH31" s="129"/>
      <c r="AI31" s="34"/>
      <c r="AJ31" s="34"/>
      <c r="AK31" s="34"/>
      <c r="AL31" s="129"/>
      <c r="AM31" s="129"/>
      <c r="AN31" s="129"/>
      <c r="AO31" s="129"/>
      <c r="AP31" s="129"/>
      <c r="AQ31" s="129"/>
      <c r="AR31" s="129"/>
      <c r="AS31" s="129"/>
      <c r="AT31" s="129"/>
      <c r="AU31" s="129"/>
      <c r="AV31" s="129"/>
      <c r="AW31" s="129"/>
      <c r="AX31" s="129"/>
      <c r="AY31" s="129"/>
      <c r="AZ31" s="129"/>
      <c r="BA31" s="129"/>
      <c r="BB31" s="129"/>
      <c r="BC31" s="129"/>
      <c r="BD31" s="129"/>
      <c r="BE31" s="129"/>
      <c r="BF31" s="129"/>
      <c r="BG31" s="129"/>
      <c r="BH31" s="129"/>
      <c r="BI31" s="129"/>
      <c r="BJ31" s="129"/>
      <c r="BK31" s="129"/>
      <c r="BL31" s="129"/>
      <c r="BM31" s="129"/>
      <c r="BN31" s="129"/>
      <c r="BO31" s="129"/>
      <c r="BP31" s="129"/>
      <c r="BQ31" s="129"/>
      <c r="BR31" s="129"/>
      <c r="BS31" s="129"/>
      <c r="BT31" s="129"/>
      <c r="BU31" s="129"/>
      <c r="BV31" s="129"/>
      <c r="BW31" s="129"/>
      <c r="BX31" s="129"/>
      <c r="BY31" s="129"/>
      <c r="BZ31" s="129"/>
      <c r="CA31" s="129"/>
      <c r="CB31" s="129"/>
      <c r="CC31" s="129"/>
      <c r="CD31" s="129"/>
      <c r="CE31" s="129"/>
      <c r="CF31" s="129"/>
      <c r="CG31" s="129"/>
      <c r="CH31" s="129"/>
      <c r="CI31" s="129"/>
      <c r="CJ31" s="129"/>
      <c r="CK31" s="129"/>
      <c r="CL31" s="129"/>
      <c r="CM31" s="129"/>
      <c r="CN31" s="129"/>
      <c r="CO31" s="129"/>
      <c r="CP31" s="129"/>
      <c r="CQ31" s="129"/>
      <c r="CR31" s="129"/>
      <c r="CS31" s="129"/>
      <c r="CT31" s="129"/>
      <c r="CU31" s="129"/>
      <c r="CV31" s="129"/>
      <c r="CW31" s="129"/>
      <c r="CX31" s="129"/>
      <c r="CY31" s="129"/>
      <c r="CZ31" s="129"/>
      <c r="DA31" s="129"/>
      <c r="DB31" s="129"/>
      <c r="DC31" s="129"/>
      <c r="DD31" s="129"/>
      <c r="DE31" s="129"/>
      <c r="DF31" s="129"/>
      <c r="DG31" s="129"/>
      <c r="DH31" s="129"/>
      <c r="DI31" s="129"/>
      <c r="DJ31" s="129"/>
      <c r="DK31" s="129"/>
      <c r="DL31" s="129"/>
      <c r="DM31" s="129"/>
      <c r="DN31" s="129"/>
      <c r="DO31" s="129"/>
      <c r="DP31" s="129"/>
      <c r="DQ31" s="129"/>
      <c r="DR31" s="129"/>
      <c r="DS31" s="129"/>
      <c r="DT31" s="129"/>
      <c r="DU31" s="129"/>
      <c r="DV31" s="129"/>
      <c r="DW31" s="129"/>
      <c r="DX31" s="129"/>
      <c r="DY31" s="129"/>
      <c r="DZ31" s="129"/>
      <c r="EA31" s="129"/>
      <c r="EB31" s="129"/>
      <c r="EC31" s="129"/>
      <c r="ED31" s="129"/>
      <c r="EE31" s="129"/>
      <c r="EF31" s="129"/>
      <c r="EG31" s="129"/>
      <c r="EH31" s="129"/>
      <c r="EI31" s="129"/>
      <c r="EJ31" s="129"/>
      <c r="EK31" s="129"/>
      <c r="EL31" s="129"/>
      <c r="EM31" s="129"/>
      <c r="EN31" s="129"/>
      <c r="EO31" s="129"/>
      <c r="EP31" s="129"/>
      <c r="EQ31" s="129"/>
      <c r="ER31" s="129"/>
      <c r="ES31" s="129"/>
      <c r="ET31" s="129"/>
      <c r="EU31" s="129"/>
      <c r="EV31" s="129"/>
      <c r="EW31" s="129"/>
      <c r="EX31" s="129"/>
      <c r="EY31" s="129"/>
      <c r="EZ31" s="129"/>
      <c r="FA31" s="129"/>
      <c r="FB31" s="129"/>
      <c r="FC31" s="129"/>
      <c r="FD31" s="129"/>
      <c r="FE31" s="129"/>
      <c r="FF31" s="129"/>
      <c r="FG31" s="129"/>
      <c r="FH31" s="129"/>
      <c r="FI31" s="129"/>
      <c r="FJ31" s="129"/>
      <c r="FK31" s="129"/>
      <c r="FL31" s="129"/>
      <c r="FM31" s="129"/>
      <c r="FN31" s="129"/>
      <c r="FO31" s="129"/>
      <c r="FP31" s="129"/>
      <c r="FQ31" s="129"/>
      <c r="FR31" s="129"/>
      <c r="FS31" s="129"/>
      <c r="FT31" s="129"/>
      <c r="FU31" s="129"/>
      <c r="FV31" s="129"/>
      <c r="FW31" s="129"/>
      <c r="FX31" s="129"/>
      <c r="FY31" s="129"/>
      <c r="FZ31" s="129"/>
      <c r="GA31" s="129"/>
      <c r="GB31" s="129"/>
      <c r="GC31" s="129"/>
      <c r="GD31" s="129"/>
      <c r="GE31" s="129"/>
      <c r="GF31" s="129"/>
      <c r="GG31" s="129"/>
      <c r="GH31" s="129"/>
      <c r="GI31" s="129"/>
      <c r="GJ31" s="129"/>
      <c r="GK31" s="129"/>
      <c r="GL31" s="129"/>
      <c r="GM31" s="129"/>
      <c r="GN31" s="129"/>
      <c r="GO31" s="129"/>
      <c r="GP31" s="129"/>
      <c r="GQ31" s="129"/>
      <c r="GR31" s="129"/>
      <c r="GS31" s="129"/>
      <c r="GT31" s="129"/>
      <c r="GU31" s="129"/>
      <c r="GV31" s="129"/>
      <c r="GW31" s="129"/>
      <c r="GX31" s="129"/>
      <c r="GY31" s="129"/>
      <c r="GZ31" s="129"/>
      <c r="HA31" s="129"/>
      <c r="HB31" s="129"/>
      <c r="HC31" s="129"/>
      <c r="HD31" s="129"/>
      <c r="HE31" s="129"/>
      <c r="HF31" s="129"/>
      <c r="HG31" s="129"/>
      <c r="HH31" s="129"/>
      <c r="HI31" s="129"/>
      <c r="HJ31" s="129"/>
      <c r="HK31" s="129"/>
      <c r="HL31" s="129"/>
      <c r="HM31" s="129"/>
      <c r="HN31" s="129"/>
      <c r="HO31" s="129"/>
      <c r="HP31" s="129"/>
      <c r="HQ31" s="129"/>
      <c r="HR31"/>
      <c r="HS31"/>
      <c r="HT31"/>
      <c r="HU31"/>
      <c r="HV31"/>
      <c r="HW31"/>
      <c r="HX31"/>
      <c r="HY31"/>
      <c r="HZ31"/>
      <c r="IA31"/>
      <c r="IB31"/>
      <c r="IC31"/>
      <c r="ID31"/>
      <c r="IE31"/>
      <c r="IF31"/>
      <c r="IG31"/>
      <c r="IH31"/>
      <c r="II31"/>
      <c r="IJ31"/>
      <c r="IK31" s="34"/>
      <c r="IL31" s="34"/>
      <c r="IM31" s="34"/>
      <c r="IN31" s="34"/>
      <c r="IO31" s="34"/>
      <c r="IP31" s="34"/>
      <c r="IQ31" s="34"/>
    </row>
    <row r="32" spans="1:251" s="37" customFormat="1">
      <c r="A32" s="45" t="s">
        <v>27</v>
      </c>
      <c r="B32" s="34"/>
      <c r="C32" s="139"/>
      <c r="D32" s="196">
        <f t="shared" ref="D32:U32" si="19">D26+D30</f>
        <v>59920</v>
      </c>
      <c r="E32" s="196">
        <f t="shared" si="19"/>
        <v>61381</v>
      </c>
      <c r="F32" s="196">
        <f t="shared" si="19"/>
        <v>79067</v>
      </c>
      <c r="G32" s="196">
        <f t="shared" si="19"/>
        <v>84968</v>
      </c>
      <c r="H32" s="196">
        <f t="shared" si="19"/>
        <v>87540</v>
      </c>
      <c r="I32" s="196">
        <f t="shared" si="19"/>
        <v>96175</v>
      </c>
      <c r="J32" s="196">
        <f t="shared" si="19"/>
        <v>100929.08595421964</v>
      </c>
      <c r="K32" s="196">
        <f t="shared" si="19"/>
        <v>107230.08595421964</v>
      </c>
      <c r="L32" s="196">
        <f t="shared" si="19"/>
        <v>103551.08595421964</v>
      </c>
      <c r="M32" s="196">
        <f t="shared" si="19"/>
        <v>47818</v>
      </c>
      <c r="N32" s="196">
        <f t="shared" si="19"/>
        <v>57211</v>
      </c>
      <c r="O32" s="196">
        <f t="shared" si="19"/>
        <v>25475</v>
      </c>
      <c r="P32" s="196">
        <f t="shared" si="19"/>
        <v>27215</v>
      </c>
      <c r="Q32" s="196">
        <f t="shared" si="19"/>
        <v>36677</v>
      </c>
      <c r="R32" s="196">
        <f t="shared" si="19"/>
        <v>37402</v>
      </c>
      <c r="S32" s="196">
        <f t="shared" si="19"/>
        <v>36962</v>
      </c>
      <c r="T32" s="196">
        <f t="shared" si="19"/>
        <v>35329</v>
      </c>
      <c r="U32" s="428">
        <f t="shared" si="19"/>
        <v>34859</v>
      </c>
      <c r="V32" s="196">
        <f t="shared" ref="V32:AB32" si="20">V26+V30</f>
        <v>34475</v>
      </c>
      <c r="W32" s="196">
        <f t="shared" si="20"/>
        <v>32535</v>
      </c>
      <c r="X32" s="196">
        <f>X26+X30</f>
        <v>45932</v>
      </c>
      <c r="Y32" s="196">
        <f t="shared" si="20"/>
        <v>43397.899295789946</v>
      </c>
      <c r="Z32" s="196">
        <f t="shared" ca="1" si="20"/>
        <v>43318.626884943638</v>
      </c>
      <c r="AA32" s="196">
        <f t="shared" ca="1" si="20"/>
        <v>42238.498042915868</v>
      </c>
      <c r="AB32" s="196">
        <f t="shared" ca="1" si="20"/>
        <v>42305.46952971362</v>
      </c>
      <c r="AC32" s="196">
        <f ca="1">AC26+AC30</f>
        <v>42403.514809600601</v>
      </c>
      <c r="AD32" s="196">
        <f ca="1">AD26+AD30</f>
        <v>42617.135165013227</v>
      </c>
      <c r="AE32" s="196">
        <f ca="1">AE26+AE30</f>
        <v>42947.637815769318</v>
      </c>
      <c r="AF32" s="196">
        <f ca="1">AF26+AF30</f>
        <v>43396.661534077983</v>
      </c>
      <c r="AG32" s="196">
        <f ca="1">AG26+AG30</f>
        <v>43966.258687309986</v>
      </c>
      <c r="AH32" s="129"/>
      <c r="AI32" s="34"/>
      <c r="AJ32" s="34"/>
      <c r="AK32" s="34"/>
      <c r="AL32" s="129"/>
      <c r="AM32" s="129"/>
      <c r="AN32" s="129"/>
      <c r="AO32" s="129"/>
      <c r="AP32" s="129"/>
      <c r="AQ32" s="129"/>
      <c r="AR32" s="129"/>
      <c r="AS32" s="129"/>
      <c r="AT32" s="129"/>
      <c r="AU32" s="129"/>
      <c r="AV32" s="129"/>
      <c r="AW32" s="129"/>
      <c r="AX32" s="129"/>
      <c r="AY32" s="129"/>
      <c r="AZ32" s="129"/>
      <c r="BA32" s="129"/>
      <c r="BB32" s="129"/>
      <c r="BC32" s="129"/>
      <c r="BD32" s="129"/>
      <c r="BE32" s="129"/>
      <c r="BF32" s="129"/>
      <c r="BG32" s="129"/>
      <c r="BH32" s="129"/>
      <c r="BI32" s="129"/>
      <c r="BJ32" s="129"/>
      <c r="BK32" s="129"/>
      <c r="BL32" s="129"/>
      <c r="BM32" s="129"/>
      <c r="BN32" s="129"/>
      <c r="BO32" s="129"/>
      <c r="BP32" s="129"/>
      <c r="BQ32" s="129"/>
      <c r="BR32" s="129"/>
      <c r="BS32" s="129"/>
      <c r="BT32" s="129"/>
      <c r="BU32" s="129"/>
      <c r="BV32" s="129"/>
      <c r="BW32" s="129"/>
      <c r="BX32" s="129"/>
      <c r="BY32" s="129"/>
      <c r="BZ32" s="129"/>
      <c r="CA32" s="129"/>
      <c r="CB32" s="129"/>
      <c r="CC32" s="129"/>
      <c r="CD32" s="129"/>
      <c r="CE32" s="129"/>
      <c r="CF32" s="129"/>
      <c r="CG32" s="129"/>
      <c r="CH32" s="129"/>
      <c r="CI32" s="129"/>
      <c r="CJ32" s="129"/>
      <c r="CK32" s="129"/>
      <c r="CL32" s="129"/>
      <c r="CM32" s="129"/>
      <c r="CN32" s="129"/>
      <c r="CO32" s="129"/>
      <c r="CP32" s="129"/>
      <c r="CQ32" s="129"/>
      <c r="CR32" s="129"/>
      <c r="CS32" s="129"/>
      <c r="CT32" s="129"/>
      <c r="CU32" s="129"/>
      <c r="CV32" s="129"/>
      <c r="CW32" s="129"/>
      <c r="CX32" s="129"/>
      <c r="CY32" s="129"/>
      <c r="CZ32" s="129"/>
      <c r="DA32" s="129"/>
      <c r="DB32" s="129"/>
      <c r="DC32" s="129"/>
      <c r="DD32" s="129"/>
      <c r="DE32" s="129"/>
      <c r="DF32" s="129"/>
      <c r="DG32" s="129"/>
      <c r="DH32" s="129"/>
      <c r="DI32" s="129"/>
      <c r="DJ32" s="129"/>
      <c r="DK32" s="129"/>
      <c r="DL32" s="129"/>
      <c r="DM32" s="129"/>
      <c r="DN32" s="129"/>
      <c r="DO32" s="129"/>
      <c r="DP32" s="129"/>
      <c r="DQ32" s="129"/>
      <c r="DR32" s="129"/>
      <c r="DS32" s="129"/>
      <c r="DT32" s="129"/>
      <c r="DU32" s="129"/>
      <c r="DV32" s="129"/>
      <c r="DW32" s="129"/>
      <c r="DX32" s="129"/>
      <c r="DY32" s="129"/>
      <c r="DZ32" s="129"/>
      <c r="EA32" s="129"/>
      <c r="EB32" s="129"/>
      <c r="EC32" s="129"/>
      <c r="ED32" s="129"/>
      <c r="EE32" s="129"/>
      <c r="EF32" s="129"/>
      <c r="EG32" s="129"/>
      <c r="EH32" s="129"/>
      <c r="EI32" s="129"/>
      <c r="EJ32" s="129"/>
      <c r="EK32" s="129"/>
      <c r="EL32" s="129"/>
      <c r="EM32" s="129"/>
      <c r="EN32" s="129"/>
      <c r="EO32" s="129"/>
      <c r="EP32" s="129"/>
      <c r="EQ32" s="129"/>
      <c r="ER32" s="129"/>
      <c r="ES32" s="129"/>
      <c r="ET32" s="129"/>
      <c r="EU32" s="129"/>
      <c r="EV32" s="129"/>
      <c r="EW32" s="129"/>
      <c r="EX32" s="129"/>
      <c r="EY32" s="129"/>
      <c r="EZ32" s="129"/>
      <c r="FA32" s="129"/>
      <c r="FB32" s="129"/>
      <c r="FC32" s="129"/>
      <c r="FD32" s="129"/>
      <c r="FE32" s="129"/>
      <c r="FF32" s="129"/>
      <c r="FG32" s="129"/>
      <c r="FH32" s="129"/>
      <c r="FI32" s="129"/>
      <c r="FJ32" s="129"/>
      <c r="FK32" s="129"/>
      <c r="FL32" s="129"/>
      <c r="FM32" s="129"/>
      <c r="FN32" s="129"/>
      <c r="FO32" s="129"/>
      <c r="FP32" s="129"/>
      <c r="FQ32" s="129"/>
      <c r="FR32" s="129"/>
      <c r="FS32" s="129"/>
      <c r="FT32" s="129"/>
      <c r="FU32" s="129"/>
      <c r="FV32" s="129"/>
      <c r="FW32" s="129"/>
      <c r="FX32" s="129"/>
      <c r="FY32" s="129"/>
      <c r="FZ32" s="129"/>
      <c r="GA32" s="129"/>
      <c r="GB32" s="129"/>
      <c r="GC32" s="129"/>
      <c r="GD32" s="129"/>
      <c r="GE32" s="129"/>
      <c r="GF32" s="129"/>
      <c r="GG32" s="129"/>
      <c r="GH32" s="129"/>
      <c r="GI32" s="129"/>
      <c r="GJ32" s="129"/>
      <c r="GK32" s="129"/>
      <c r="GL32" s="129"/>
      <c r="GM32" s="129"/>
      <c r="GN32" s="129"/>
      <c r="GO32" s="129"/>
      <c r="GP32" s="129"/>
      <c r="GQ32" s="129"/>
      <c r="GR32" s="129"/>
      <c r="GS32" s="129"/>
      <c r="GT32" s="129"/>
      <c r="GU32" s="129"/>
      <c r="GV32" s="129"/>
      <c r="GW32" s="129"/>
      <c r="GX32" s="129"/>
      <c r="GY32" s="129"/>
      <c r="GZ32" s="129"/>
      <c r="HA32" s="129"/>
      <c r="HB32" s="129"/>
      <c r="HC32" s="129"/>
      <c r="HD32" s="129"/>
      <c r="HE32" s="129"/>
      <c r="HF32" s="129"/>
      <c r="HG32" s="129"/>
      <c r="HH32" s="129"/>
      <c r="HI32" s="129"/>
      <c r="HJ32" s="129"/>
      <c r="HK32" s="129"/>
      <c r="HL32" s="129"/>
      <c r="HM32" s="129"/>
      <c r="HN32" s="129"/>
      <c r="HO32" s="129"/>
      <c r="HP32" s="129"/>
      <c r="HQ32" s="129"/>
      <c r="HR32"/>
      <c r="HS32"/>
      <c r="HT32"/>
      <c r="HU32"/>
      <c r="HV32"/>
      <c r="HW32"/>
      <c r="HX32"/>
      <c r="HY32"/>
      <c r="HZ32"/>
      <c r="IA32"/>
      <c r="IB32"/>
      <c r="IC32"/>
      <c r="ID32"/>
      <c r="IE32"/>
      <c r="IF32"/>
      <c r="IG32"/>
      <c r="IH32"/>
      <c r="II32"/>
      <c r="IJ32"/>
      <c r="IK32" s="34"/>
      <c r="IL32" s="34"/>
      <c r="IM32" s="34"/>
      <c r="IN32" s="34"/>
      <c r="IO32" s="34"/>
      <c r="IP32" s="34"/>
      <c r="IQ32" s="34"/>
    </row>
    <row r="33" spans="1:251" s="31" customFormat="1">
      <c r="A33" s="15"/>
      <c r="B33" s="15"/>
      <c r="C33" s="15"/>
      <c r="D33" s="158"/>
      <c r="E33" s="158"/>
      <c r="F33" s="158"/>
      <c r="G33" s="158"/>
      <c r="H33" s="158"/>
      <c r="I33" s="158"/>
      <c r="J33" s="158"/>
      <c r="K33" s="158"/>
      <c r="L33" s="158"/>
      <c r="M33" s="158"/>
      <c r="N33" s="158"/>
      <c r="O33" s="158"/>
      <c r="P33" s="158"/>
      <c r="Q33" s="158"/>
      <c r="R33" s="158"/>
      <c r="S33" s="158"/>
      <c r="T33" s="158"/>
      <c r="U33" s="254"/>
      <c r="V33" s="254"/>
      <c r="W33" s="254"/>
      <c r="X33" s="254"/>
      <c r="Y33" s="254"/>
      <c r="Z33" s="254"/>
      <c r="AA33" s="254"/>
      <c r="AB33" s="254"/>
      <c r="AC33" s="254"/>
      <c r="AD33" s="254"/>
      <c r="AE33" s="254"/>
      <c r="AF33" s="254"/>
      <c r="AG33" s="254"/>
      <c r="AH33" s="15"/>
      <c r="AI33" s="14"/>
      <c r="AJ33" s="14"/>
      <c r="AK33" s="14"/>
      <c r="AL33" s="15"/>
      <c r="AM33" s="15"/>
      <c r="AN33" s="15"/>
      <c r="AO33" s="15"/>
      <c r="AP33" s="15"/>
      <c r="AQ33" s="15"/>
      <c r="AR33" s="15"/>
      <c r="AS33" s="15"/>
      <c r="AT33" s="15"/>
      <c r="AU33" s="15"/>
      <c r="AV33" s="15"/>
      <c r="AW33" s="15"/>
      <c r="AX33" s="15"/>
      <c r="AY33" s="15"/>
      <c r="AZ33" s="15"/>
      <c r="BA33" s="15"/>
      <c r="BB33" s="15"/>
      <c r="BC33" s="15"/>
      <c r="BD33" s="15"/>
      <c r="BE33" s="15"/>
      <c r="BF33" s="15"/>
      <c r="BG33" s="15"/>
      <c r="BH33" s="15"/>
      <c r="BI33" s="15"/>
      <c r="BJ33" s="15"/>
      <c r="BK33" s="15"/>
      <c r="BL33" s="15"/>
      <c r="BM33" s="15"/>
      <c r="BN33" s="15"/>
      <c r="BO33" s="15"/>
      <c r="BP33" s="15"/>
      <c r="BQ33" s="15"/>
      <c r="BR33" s="15"/>
      <c r="BS33" s="15"/>
      <c r="BT33" s="15"/>
      <c r="BU33" s="15"/>
      <c r="BV33" s="15"/>
      <c r="BW33" s="15"/>
      <c r="BX33" s="15"/>
      <c r="BY33" s="15"/>
      <c r="BZ33" s="15"/>
      <c r="CA33" s="15"/>
      <c r="CB33" s="15"/>
      <c r="CC33" s="15"/>
      <c r="CD33" s="15"/>
      <c r="CE33" s="15"/>
      <c r="CF33" s="15"/>
      <c r="CG33" s="15"/>
      <c r="CH33" s="15"/>
      <c r="CI33" s="15"/>
      <c r="CJ33" s="15"/>
      <c r="CK33" s="15"/>
      <c r="CL33" s="15"/>
      <c r="CM33" s="15"/>
      <c r="CN33" s="15"/>
      <c r="CO33" s="15"/>
      <c r="CP33" s="15"/>
      <c r="CQ33" s="15"/>
      <c r="CR33" s="15"/>
      <c r="CS33" s="15"/>
      <c r="CT33" s="15"/>
      <c r="CU33" s="15"/>
      <c r="CV33" s="15"/>
      <c r="CW33" s="15"/>
      <c r="CX33" s="15"/>
      <c r="CY33" s="15"/>
      <c r="CZ33" s="15"/>
      <c r="DA33" s="15"/>
      <c r="DB33" s="15"/>
      <c r="DC33" s="15"/>
      <c r="DD33" s="15"/>
      <c r="DE33" s="15"/>
      <c r="DF33" s="15"/>
      <c r="DG33" s="15"/>
      <c r="DH33" s="15"/>
      <c r="DI33" s="15"/>
      <c r="DJ33" s="15"/>
      <c r="DK33" s="15"/>
      <c r="DL33" s="15"/>
      <c r="DM33" s="15"/>
      <c r="DN33" s="15"/>
      <c r="DO33" s="15"/>
      <c r="DP33" s="15"/>
      <c r="DQ33" s="15"/>
      <c r="DR33" s="15"/>
      <c r="DS33" s="15"/>
      <c r="DT33" s="15"/>
      <c r="DU33" s="15"/>
      <c r="DV33" s="15"/>
      <c r="DW33" s="15"/>
      <c r="DX33" s="15"/>
      <c r="DY33" s="15"/>
      <c r="DZ33" s="15"/>
      <c r="EA33" s="15"/>
      <c r="EB33" s="15"/>
      <c r="EC33" s="15"/>
      <c r="ED33" s="15"/>
      <c r="EE33" s="15"/>
      <c r="EF33" s="15"/>
      <c r="EG33" s="15"/>
      <c r="EH33" s="15"/>
      <c r="EI33" s="15"/>
      <c r="EJ33" s="15"/>
      <c r="EK33" s="15"/>
      <c r="EL33" s="15"/>
      <c r="EM33" s="15"/>
      <c r="EN33" s="15"/>
      <c r="EO33" s="15"/>
      <c r="EP33" s="15"/>
      <c r="EQ33" s="15"/>
      <c r="ER33" s="15"/>
      <c r="ES33" s="15"/>
      <c r="ET33" s="15"/>
      <c r="EU33" s="15"/>
      <c r="EV33" s="15"/>
      <c r="EW33" s="15"/>
      <c r="EX33" s="15"/>
      <c r="EY33" s="15"/>
      <c r="EZ33" s="15"/>
      <c r="FA33" s="15"/>
      <c r="FB33" s="15"/>
      <c r="FC33" s="15"/>
      <c r="FD33" s="15"/>
      <c r="FE33" s="15"/>
      <c r="FF33" s="15"/>
      <c r="FG33" s="15"/>
      <c r="FH33" s="15"/>
      <c r="FI33" s="15"/>
      <c r="FJ33" s="15"/>
      <c r="FK33" s="15"/>
      <c r="FL33" s="15"/>
      <c r="FM33" s="15"/>
      <c r="FN33" s="15"/>
      <c r="FO33" s="15"/>
      <c r="FP33" s="15"/>
      <c r="FQ33" s="15"/>
      <c r="FR33" s="15"/>
      <c r="FS33" s="15"/>
      <c r="FT33" s="15"/>
      <c r="FU33" s="15"/>
      <c r="FV33" s="15"/>
      <c r="FW33" s="15"/>
      <c r="FX33" s="15"/>
      <c r="FY33" s="15"/>
      <c r="FZ33" s="15"/>
      <c r="GA33" s="15"/>
      <c r="GB33" s="15"/>
      <c r="GC33" s="15"/>
      <c r="GD33" s="15"/>
      <c r="GE33" s="15"/>
      <c r="GF33" s="15"/>
      <c r="GG33" s="15"/>
      <c r="GH33" s="15"/>
      <c r="GI33" s="15"/>
      <c r="GJ33" s="15"/>
      <c r="GK33" s="15"/>
      <c r="GL33" s="15"/>
      <c r="GM33" s="15"/>
      <c r="GN33" s="15"/>
      <c r="GO33" s="15"/>
      <c r="GP33" s="15"/>
      <c r="GQ33" s="15"/>
      <c r="GR33" s="15"/>
      <c r="GS33" s="15"/>
      <c r="GT33" s="15"/>
      <c r="GU33" s="15"/>
      <c r="GV33" s="15"/>
      <c r="GW33" s="15"/>
      <c r="GX33" s="15"/>
      <c r="GY33" s="15"/>
      <c r="GZ33" s="15"/>
      <c r="HA33" s="15"/>
      <c r="HB33" s="15"/>
      <c r="HC33" s="15"/>
      <c r="HD33" s="15"/>
      <c r="HE33" s="15"/>
      <c r="HF33" s="15"/>
      <c r="HG33" s="15"/>
      <c r="HH33" s="15"/>
      <c r="HI33" s="15"/>
      <c r="HJ33" s="15"/>
      <c r="HK33" s="15"/>
      <c r="HL33" s="15"/>
      <c r="HM33" s="15"/>
      <c r="HN33" s="15"/>
      <c r="HO33" s="15"/>
      <c r="HP33" s="15"/>
      <c r="HQ33" s="15"/>
      <c r="HR33"/>
      <c r="HS33"/>
      <c r="HT33"/>
      <c r="HU33"/>
      <c r="HV33"/>
      <c r="HW33"/>
      <c r="HX33"/>
      <c r="HY33"/>
      <c r="HZ33"/>
      <c r="IA33"/>
      <c r="IB33"/>
      <c r="IC33"/>
      <c r="ID33"/>
      <c r="IE33"/>
      <c r="IF33"/>
      <c r="IG33"/>
      <c r="IH33"/>
      <c r="II33"/>
      <c r="IJ33"/>
      <c r="IK33" s="14"/>
      <c r="IL33" s="14"/>
      <c r="IM33" s="14"/>
      <c r="IN33" s="14"/>
      <c r="IO33" s="14"/>
      <c r="IP33" s="14"/>
      <c r="IQ33" s="14"/>
    </row>
    <row r="34" spans="1:251" s="33" customFormat="1">
      <c r="A34" s="45" t="s">
        <v>117</v>
      </c>
      <c r="B34" s="32"/>
      <c r="C34" s="68"/>
      <c r="D34" s="156"/>
      <c r="E34" s="156"/>
      <c r="F34" s="156"/>
      <c r="G34" s="156"/>
      <c r="H34" s="156"/>
      <c r="I34" s="156"/>
      <c r="J34" s="156"/>
      <c r="K34" s="156"/>
      <c r="L34" s="156"/>
      <c r="M34" s="156"/>
      <c r="N34" s="156"/>
      <c r="O34" s="156"/>
      <c r="P34" s="156"/>
      <c r="Q34" s="156"/>
      <c r="R34" s="156">
        <f>R32-R58-R67</f>
        <v>32</v>
      </c>
      <c r="S34" s="156">
        <f>S32-S58-S67</f>
        <v>32</v>
      </c>
      <c r="T34" s="156">
        <f>T32-T58-T67</f>
        <v>34</v>
      </c>
      <c r="U34" s="156">
        <f>U32-U58-U67</f>
        <v>35</v>
      </c>
      <c r="V34" s="156"/>
      <c r="W34" s="156"/>
      <c r="X34" s="156"/>
      <c r="Y34" s="156"/>
      <c r="Z34" s="156"/>
      <c r="AA34" s="156"/>
      <c r="AB34" s="156"/>
      <c r="AC34" s="156"/>
      <c r="AD34" s="156"/>
      <c r="AE34" s="156"/>
      <c r="AF34" s="156"/>
      <c r="AG34" s="156"/>
      <c r="AH34" s="43"/>
      <c r="AI34" s="32"/>
      <c r="AJ34" s="32"/>
      <c r="AK34" s="32"/>
      <c r="AL34" s="43"/>
      <c r="AM34" s="43"/>
      <c r="AN34" s="43"/>
      <c r="AO34" s="43"/>
      <c r="AP34" s="43"/>
      <c r="AQ34" s="43"/>
      <c r="AR34" s="43"/>
      <c r="AS34" s="43"/>
      <c r="AT34" s="43"/>
      <c r="AU34" s="43"/>
      <c r="AV34" s="43"/>
      <c r="AW34" s="43"/>
      <c r="AX34" s="43"/>
      <c r="AY34" s="43"/>
      <c r="AZ34" s="43"/>
      <c r="BA34" s="43"/>
      <c r="BB34" s="43"/>
      <c r="BC34" s="43"/>
      <c r="BD34" s="43"/>
      <c r="BE34" s="43"/>
      <c r="BF34" s="43"/>
      <c r="BG34" s="43"/>
      <c r="BH34" s="43"/>
      <c r="BI34" s="43"/>
      <c r="BJ34" s="43"/>
      <c r="BK34" s="43"/>
      <c r="BL34" s="43"/>
      <c r="BM34" s="43"/>
      <c r="BN34" s="43"/>
      <c r="BO34" s="43"/>
      <c r="BP34" s="43"/>
      <c r="BQ34" s="43"/>
      <c r="BR34" s="43"/>
      <c r="BS34" s="43"/>
      <c r="BT34" s="43"/>
      <c r="BU34" s="43"/>
      <c r="BV34" s="43"/>
      <c r="BW34" s="43"/>
      <c r="BX34" s="43"/>
      <c r="BY34" s="43"/>
      <c r="BZ34" s="43"/>
      <c r="CA34" s="43"/>
      <c r="CB34" s="43"/>
      <c r="CC34" s="43"/>
      <c r="CD34" s="43"/>
      <c r="CE34" s="43"/>
      <c r="CF34" s="43"/>
      <c r="CG34" s="43"/>
      <c r="CH34" s="43"/>
      <c r="CI34" s="43"/>
      <c r="CJ34" s="43"/>
      <c r="CK34" s="43"/>
      <c r="CL34" s="43"/>
      <c r="CM34" s="43"/>
      <c r="CN34" s="43"/>
      <c r="CO34" s="43"/>
      <c r="CP34" s="43"/>
      <c r="CQ34" s="43"/>
      <c r="CR34" s="43"/>
      <c r="CS34" s="43"/>
      <c r="CT34" s="43"/>
      <c r="CU34" s="43"/>
      <c r="CV34" s="43"/>
      <c r="CW34" s="43"/>
      <c r="CX34" s="43"/>
      <c r="CY34" s="43"/>
      <c r="CZ34" s="43"/>
      <c r="DA34" s="43"/>
      <c r="DB34" s="43"/>
      <c r="DC34" s="43"/>
      <c r="DD34" s="43"/>
      <c r="DE34" s="43"/>
      <c r="DF34" s="43"/>
      <c r="DG34" s="43"/>
      <c r="DH34" s="43"/>
      <c r="DI34" s="43"/>
      <c r="DJ34" s="43"/>
      <c r="DK34" s="43"/>
      <c r="DL34" s="43"/>
      <c r="DM34" s="43"/>
      <c r="DN34" s="43"/>
      <c r="DO34" s="43"/>
      <c r="DP34" s="43"/>
      <c r="DQ34" s="43"/>
      <c r="DR34" s="43"/>
      <c r="DS34" s="43"/>
      <c r="DT34" s="43"/>
      <c r="DU34" s="43"/>
      <c r="DV34" s="43"/>
      <c r="DW34" s="43"/>
      <c r="DX34" s="43"/>
      <c r="DY34" s="43"/>
      <c r="DZ34" s="43"/>
      <c r="EA34" s="43"/>
      <c r="EB34" s="43"/>
      <c r="EC34" s="43"/>
      <c r="ED34" s="43"/>
      <c r="EE34" s="43"/>
      <c r="EF34" s="43"/>
      <c r="EG34" s="43"/>
      <c r="EH34" s="43"/>
      <c r="EI34" s="43"/>
      <c r="EJ34" s="43"/>
      <c r="EK34" s="43"/>
      <c r="EL34" s="43"/>
      <c r="EM34" s="43"/>
      <c r="EN34" s="43"/>
      <c r="EO34" s="43"/>
      <c r="EP34" s="43"/>
      <c r="EQ34" s="43"/>
      <c r="ER34" s="43"/>
      <c r="ES34" s="43"/>
      <c r="ET34" s="43"/>
      <c r="EU34" s="43"/>
      <c r="EV34" s="43"/>
      <c r="EW34" s="43"/>
      <c r="EX34" s="43"/>
      <c r="EY34" s="43"/>
      <c r="EZ34" s="43"/>
      <c r="FA34" s="43"/>
      <c r="FB34" s="43"/>
      <c r="FC34" s="43"/>
      <c r="FD34" s="43"/>
      <c r="FE34" s="43"/>
      <c r="FF34" s="43"/>
      <c r="FG34" s="43"/>
      <c r="FH34" s="43"/>
      <c r="FI34" s="43"/>
      <c r="FJ34" s="43"/>
      <c r="FK34" s="43"/>
      <c r="FL34" s="43"/>
      <c r="FM34" s="43"/>
      <c r="FN34" s="43"/>
      <c r="FO34" s="43"/>
      <c r="FP34" s="43"/>
      <c r="FQ34" s="43"/>
      <c r="FR34" s="43"/>
      <c r="FS34" s="43"/>
      <c r="FT34" s="43"/>
      <c r="FU34" s="43"/>
      <c r="FV34" s="43"/>
      <c r="FW34" s="43"/>
      <c r="FX34" s="43"/>
      <c r="FY34" s="43"/>
      <c r="FZ34" s="43"/>
      <c r="GA34" s="43"/>
      <c r="GB34" s="43"/>
      <c r="GC34" s="43"/>
      <c r="GD34" s="43"/>
      <c r="GE34" s="43"/>
      <c r="GF34" s="43"/>
      <c r="GG34" s="43"/>
      <c r="GH34" s="43"/>
      <c r="GI34" s="43"/>
      <c r="GJ34" s="43"/>
      <c r="GK34" s="43"/>
      <c r="GL34" s="43"/>
      <c r="GM34" s="43"/>
      <c r="GN34" s="43"/>
      <c r="GO34" s="43"/>
      <c r="GP34" s="43"/>
      <c r="GQ34" s="43"/>
      <c r="GR34" s="43"/>
      <c r="GS34" s="43"/>
      <c r="GT34" s="43"/>
      <c r="GU34" s="43"/>
      <c r="GV34" s="43"/>
      <c r="GW34" s="43"/>
      <c r="GX34" s="43"/>
      <c r="GY34" s="43"/>
      <c r="GZ34" s="43"/>
      <c r="HA34" s="43"/>
      <c r="HB34" s="43"/>
      <c r="HC34" s="43"/>
      <c r="HD34" s="43"/>
      <c r="HE34" s="43"/>
      <c r="HF34" s="43"/>
      <c r="HG34" s="43"/>
      <c r="HH34" s="43"/>
      <c r="HI34" s="43"/>
      <c r="HJ34" s="43"/>
      <c r="HK34" s="43"/>
      <c r="HL34" s="43"/>
      <c r="HM34" s="43"/>
      <c r="HN34" s="43"/>
      <c r="HO34" s="43"/>
      <c r="HP34" s="43"/>
      <c r="HQ34" s="43"/>
      <c r="HR34"/>
      <c r="HS34"/>
      <c r="HT34"/>
      <c r="HU34"/>
      <c r="HV34"/>
      <c r="HW34"/>
      <c r="HX34"/>
      <c r="HY34"/>
      <c r="HZ34"/>
      <c r="IA34"/>
      <c r="IB34"/>
      <c r="IC34"/>
      <c r="ID34"/>
      <c r="IE34"/>
      <c r="IF34"/>
      <c r="IG34"/>
      <c r="IH34"/>
      <c r="II34"/>
      <c r="IJ34"/>
      <c r="IK34" s="32"/>
      <c r="IL34" s="32"/>
      <c r="IM34" s="32"/>
      <c r="IN34" s="32"/>
      <c r="IO34" s="32"/>
      <c r="IP34" s="32"/>
      <c r="IQ34" s="32"/>
    </row>
    <row r="35" spans="1:251" s="33" customFormat="1">
      <c r="A35" s="80"/>
      <c r="B35" s="80" t="s">
        <v>153</v>
      </c>
      <c r="C35" s="68"/>
      <c r="D35" s="456">
        <v>3359</v>
      </c>
      <c r="E35" s="456">
        <f>3351</f>
        <v>3351</v>
      </c>
      <c r="F35" s="456">
        <v>3787</v>
      </c>
      <c r="G35" s="456">
        <v>3600</v>
      </c>
      <c r="H35" s="456">
        <v>3088</v>
      </c>
      <c r="I35" s="456">
        <v>3198</v>
      </c>
      <c r="J35" s="456">
        <v>3466</v>
      </c>
      <c r="K35" s="456">
        <v>3645</v>
      </c>
      <c r="L35" s="456">
        <v>4016</v>
      </c>
      <c r="M35" s="456">
        <v>1414</v>
      </c>
      <c r="N35" s="456">
        <v>1463</v>
      </c>
      <c r="O35" s="456">
        <f>+N35-852</f>
        <v>611</v>
      </c>
      <c r="P35" s="222">
        <v>510</v>
      </c>
      <c r="Q35" s="222">
        <v>494</v>
      </c>
      <c r="R35" s="222">
        <v>529</v>
      </c>
      <c r="S35" s="222">
        <v>503</v>
      </c>
      <c r="T35" s="222">
        <v>451</v>
      </c>
      <c r="U35" s="222">
        <v>409</v>
      </c>
      <c r="V35" s="156">
        <v>416</v>
      </c>
      <c r="W35" s="156">
        <v>400</v>
      </c>
      <c r="X35" s="156">
        <v>425</v>
      </c>
      <c r="Y35" s="156">
        <f>Y129*IS!T13/365</f>
        <v>432.70071228694979</v>
      </c>
      <c r="Z35" s="156">
        <f>Z129*IS!U13/365</f>
        <v>441.92736759625751</v>
      </c>
      <c r="AA35" s="156">
        <f>AA129*IS!V13/365</f>
        <v>427.0681900863903</v>
      </c>
      <c r="AB35" s="156">
        <f>AB129*IS!W13/365</f>
        <v>404.8956846062394</v>
      </c>
      <c r="AC35" s="156">
        <f>AC129*IS!X13/365</f>
        <v>390.12280957235879</v>
      </c>
      <c r="AD35" s="156">
        <f>AD129*IS!Y13/365</f>
        <v>376.48431218595789</v>
      </c>
      <c r="AE35" s="156">
        <f>AE129*IS!Z13/365</f>
        <v>363.90438267821366</v>
      </c>
      <c r="AF35" s="156">
        <f>AF129*IS!AA13/365</f>
        <v>352.31343562818165</v>
      </c>
      <c r="AG35" s="156">
        <f>AG129*IS!AB13/365</f>
        <v>341.64759847393003</v>
      </c>
      <c r="AH35" s="43"/>
      <c r="AI35" s="32"/>
      <c r="AJ35" s="32"/>
      <c r="AK35" s="32"/>
      <c r="AL35" s="43"/>
      <c r="AM35" s="43"/>
      <c r="AN35" s="43"/>
      <c r="AO35" s="43"/>
      <c r="AP35" s="43"/>
      <c r="AQ35" s="43"/>
      <c r="AR35" s="43"/>
      <c r="AS35" s="43"/>
      <c r="AT35" s="43"/>
      <c r="AU35" s="43"/>
      <c r="AV35" s="43"/>
      <c r="AW35" s="43"/>
      <c r="AX35" s="43"/>
      <c r="AY35" s="43"/>
      <c r="AZ35" s="43"/>
      <c r="BA35" s="43"/>
      <c r="BB35" s="43"/>
      <c r="BC35" s="43"/>
      <c r="BD35" s="43"/>
      <c r="BE35" s="43"/>
      <c r="BF35" s="43"/>
      <c r="BG35" s="43"/>
      <c r="BH35" s="43"/>
      <c r="BI35" s="43"/>
      <c r="BJ35" s="43"/>
      <c r="BK35" s="43"/>
      <c r="BL35" s="43"/>
      <c r="BM35" s="43"/>
      <c r="BN35" s="43"/>
      <c r="BO35" s="43"/>
      <c r="BP35" s="43"/>
      <c r="BQ35" s="43"/>
      <c r="BR35" s="43"/>
      <c r="BS35" s="43"/>
      <c r="BT35" s="43"/>
      <c r="BU35" s="43"/>
      <c r="BV35" s="43"/>
      <c r="BW35" s="43"/>
      <c r="BX35" s="43"/>
      <c r="BY35" s="43"/>
      <c r="BZ35" s="43"/>
      <c r="CA35" s="43"/>
      <c r="CB35" s="43"/>
      <c r="CC35" s="43"/>
      <c r="CD35" s="43"/>
      <c r="CE35" s="43"/>
      <c r="CF35" s="43"/>
      <c r="CG35" s="43"/>
      <c r="CH35" s="43"/>
      <c r="CI35" s="43"/>
      <c r="CJ35" s="43"/>
      <c r="CK35" s="43"/>
      <c r="CL35" s="43"/>
      <c r="CM35" s="43"/>
      <c r="CN35" s="43"/>
      <c r="CO35" s="43"/>
      <c r="CP35" s="43"/>
      <c r="CQ35" s="43"/>
      <c r="CR35" s="43"/>
      <c r="CS35" s="43"/>
      <c r="CT35" s="43"/>
      <c r="CU35" s="43"/>
      <c r="CV35" s="43"/>
      <c r="CW35" s="43"/>
      <c r="CX35" s="43"/>
      <c r="CY35" s="43"/>
      <c r="CZ35" s="43"/>
      <c r="DA35" s="43"/>
      <c r="DB35" s="43"/>
      <c r="DC35" s="43"/>
      <c r="DD35" s="43"/>
      <c r="DE35" s="43"/>
      <c r="DF35" s="43"/>
      <c r="DG35" s="43"/>
      <c r="DH35" s="43"/>
      <c r="DI35" s="43"/>
      <c r="DJ35" s="43"/>
      <c r="DK35" s="43"/>
      <c r="DL35" s="43"/>
      <c r="DM35" s="43"/>
      <c r="DN35" s="43"/>
      <c r="DO35" s="43"/>
      <c r="DP35" s="43"/>
      <c r="DQ35" s="43"/>
      <c r="DR35" s="43"/>
      <c r="DS35" s="43"/>
      <c r="DT35" s="43"/>
      <c r="DU35" s="43"/>
      <c r="DV35" s="43"/>
      <c r="DW35" s="43"/>
      <c r="DX35" s="43"/>
      <c r="DY35" s="43"/>
      <c r="DZ35" s="43"/>
      <c r="EA35" s="43"/>
      <c r="EB35" s="43"/>
      <c r="EC35" s="43"/>
      <c r="ED35" s="43"/>
      <c r="EE35" s="43"/>
      <c r="EF35" s="43"/>
      <c r="EG35" s="43"/>
      <c r="EH35" s="43"/>
      <c r="EI35" s="43"/>
      <c r="EJ35" s="43"/>
      <c r="EK35" s="43"/>
      <c r="EL35" s="43"/>
      <c r="EM35" s="43"/>
      <c r="EN35" s="43"/>
      <c r="EO35" s="43"/>
      <c r="EP35" s="43"/>
      <c r="EQ35" s="43"/>
      <c r="ER35" s="43"/>
      <c r="ES35" s="43"/>
      <c r="ET35" s="43"/>
      <c r="EU35" s="43"/>
      <c r="EV35" s="43"/>
      <c r="EW35" s="43"/>
      <c r="EX35" s="43"/>
      <c r="EY35" s="43"/>
      <c r="EZ35" s="43"/>
      <c r="FA35" s="43"/>
      <c r="FB35" s="43"/>
      <c r="FC35" s="43"/>
      <c r="FD35" s="43"/>
      <c r="FE35" s="43"/>
      <c r="FF35" s="43"/>
      <c r="FG35" s="43"/>
      <c r="FH35" s="43"/>
      <c r="FI35" s="43"/>
      <c r="FJ35" s="43"/>
      <c r="FK35" s="43"/>
      <c r="FL35" s="43"/>
      <c r="FM35" s="43"/>
      <c r="FN35" s="43"/>
      <c r="FO35" s="43"/>
      <c r="FP35" s="43"/>
      <c r="FQ35" s="43"/>
      <c r="FR35" s="43"/>
      <c r="FS35" s="43"/>
      <c r="FT35" s="43"/>
      <c r="FU35" s="43"/>
      <c r="FV35" s="43"/>
      <c r="FW35" s="43"/>
      <c r="FX35" s="43"/>
      <c r="FY35" s="43"/>
      <c r="FZ35" s="43"/>
      <c r="GA35" s="43"/>
      <c r="GB35" s="43"/>
      <c r="GC35" s="43"/>
      <c r="GD35" s="43"/>
      <c r="GE35" s="43"/>
      <c r="GF35" s="43"/>
      <c r="GG35" s="43"/>
      <c r="GH35" s="43"/>
      <c r="GI35" s="43"/>
      <c r="GJ35" s="43"/>
      <c r="GK35" s="43"/>
      <c r="GL35" s="43"/>
      <c r="GM35" s="43"/>
      <c r="GN35" s="43"/>
      <c r="GO35" s="43"/>
      <c r="GP35" s="43"/>
      <c r="GQ35" s="43"/>
      <c r="GR35" s="43"/>
      <c r="GS35" s="43"/>
      <c r="GT35" s="43"/>
      <c r="GU35" s="43"/>
      <c r="GV35" s="43"/>
      <c r="GW35" s="43"/>
      <c r="GX35" s="43"/>
      <c r="GY35" s="43"/>
      <c r="GZ35" s="43"/>
      <c r="HA35" s="43"/>
      <c r="HB35" s="43"/>
      <c r="HC35" s="43"/>
      <c r="HD35" s="43"/>
      <c r="HE35" s="43"/>
      <c r="HF35" s="43"/>
      <c r="HG35" s="43"/>
      <c r="HH35" s="43"/>
      <c r="HI35" s="43"/>
      <c r="HJ35" s="43"/>
      <c r="HK35" s="43"/>
      <c r="HL35" s="43"/>
      <c r="HM35" s="43"/>
      <c r="HN35" s="43"/>
      <c r="HO35" s="43"/>
      <c r="HP35" s="43"/>
      <c r="HQ35" s="43"/>
      <c r="HR35"/>
      <c r="HS35"/>
      <c r="HT35"/>
      <c r="HU35"/>
      <c r="HV35"/>
      <c r="HW35"/>
      <c r="HX35"/>
      <c r="HY35"/>
      <c r="HZ35"/>
      <c r="IA35"/>
      <c r="IB35"/>
      <c r="IC35"/>
      <c r="ID35"/>
      <c r="IE35"/>
      <c r="IF35"/>
      <c r="IG35"/>
      <c r="IH35"/>
      <c r="II35"/>
      <c r="IJ35"/>
      <c r="IK35" s="32"/>
      <c r="IL35" s="32"/>
      <c r="IM35" s="32"/>
      <c r="IN35" s="32"/>
      <c r="IO35" s="32"/>
      <c r="IP35" s="32"/>
      <c r="IQ35" s="32"/>
    </row>
    <row r="36" spans="1:251" s="33" customFormat="1">
      <c r="A36" s="80"/>
      <c r="B36" s="80" t="s">
        <v>323</v>
      </c>
      <c r="C36" s="68"/>
      <c r="D36" s="156">
        <f t="shared" ref="D36:U36" si="21">SUM(D37:D41)</f>
        <v>8756</v>
      </c>
      <c r="E36" s="156">
        <f t="shared" si="21"/>
        <v>10172</v>
      </c>
      <c r="F36" s="156">
        <f t="shared" si="21"/>
        <v>11131</v>
      </c>
      <c r="G36" s="156">
        <f t="shared" si="21"/>
        <v>11330</v>
      </c>
      <c r="H36" s="156">
        <f t="shared" si="21"/>
        <v>11616</v>
      </c>
      <c r="I36" s="156">
        <f t="shared" si="21"/>
        <v>12364</v>
      </c>
      <c r="J36" s="156">
        <f t="shared" si="21"/>
        <v>12739</v>
      </c>
      <c r="K36" s="156">
        <f t="shared" si="21"/>
        <v>13117</v>
      </c>
      <c r="L36" s="156">
        <f t="shared" si="21"/>
        <v>14041</v>
      </c>
      <c r="M36" s="156">
        <f t="shared" si="21"/>
        <v>10486</v>
      </c>
      <c r="N36" s="156">
        <f t="shared" si="21"/>
        <v>11994</v>
      </c>
      <c r="O36" s="156">
        <f t="shared" si="21"/>
        <v>6695</v>
      </c>
      <c r="P36" s="156">
        <f t="shared" si="21"/>
        <v>5832</v>
      </c>
      <c r="Q36" s="156">
        <f t="shared" si="21"/>
        <v>6013</v>
      </c>
      <c r="R36" s="156">
        <f>SUM(R37:R41)</f>
        <v>5514</v>
      </c>
      <c r="S36" s="156">
        <f t="shared" si="21"/>
        <v>5699</v>
      </c>
      <c r="T36" s="156">
        <f t="shared" si="21"/>
        <v>5453</v>
      </c>
      <c r="U36" s="156">
        <f t="shared" si="21"/>
        <v>5165</v>
      </c>
      <c r="V36" s="156">
        <f t="shared" ref="V36:AB36" si="22">SUM(V37:V41)</f>
        <v>5229</v>
      </c>
      <c r="W36" s="156">
        <f t="shared" si="22"/>
        <v>5564</v>
      </c>
      <c r="X36" s="156">
        <f t="shared" si="22"/>
        <v>5762</v>
      </c>
      <c r="Y36" s="156">
        <f t="shared" si="22"/>
        <v>5595</v>
      </c>
      <c r="Z36" s="156">
        <f t="shared" si="22"/>
        <v>5542.0911999999998</v>
      </c>
      <c r="AA36" s="156">
        <f t="shared" si="22"/>
        <v>5501.8030383999994</v>
      </c>
      <c r="AB36" s="156">
        <f t="shared" si="22"/>
        <v>5473.7866800176798</v>
      </c>
      <c r="AC36" s="156">
        <f>SUM(AC37:AC41)</f>
        <v>5393.3299688509705</v>
      </c>
      <c r="AD36" s="156">
        <f>SUM(AD37:AD41)</f>
        <v>5314.2796409954544</v>
      </c>
      <c r="AE36" s="156">
        <f>SUM(AE37:AE41)</f>
        <v>5236.6111128708535</v>
      </c>
      <c r="AF36" s="156">
        <f>SUM(AF37:AF41)</f>
        <v>5160.3002306178705</v>
      </c>
      <c r="AG36" s="156">
        <f>SUM(AG37:AG41)</f>
        <v>5085.3232625866694</v>
      </c>
      <c r="AH36" s="43"/>
      <c r="AI36" s="32"/>
      <c r="AJ36" s="32"/>
      <c r="AK36" s="32"/>
      <c r="AL36" s="43"/>
      <c r="AM36" s="43"/>
      <c r="AN36" s="43"/>
      <c r="AO36" s="43"/>
      <c r="AP36" s="43"/>
      <c r="AQ36" s="43"/>
      <c r="AR36" s="43"/>
      <c r="AS36" s="43"/>
      <c r="AT36" s="43"/>
      <c r="AU36" s="43"/>
      <c r="AV36" s="43"/>
      <c r="AW36" s="43"/>
      <c r="AX36" s="43"/>
      <c r="AY36" s="43"/>
      <c r="AZ36" s="43"/>
      <c r="BA36" s="43"/>
      <c r="BB36" s="43"/>
      <c r="BC36" s="43"/>
      <c r="BD36" s="43"/>
      <c r="BE36" s="43"/>
      <c r="BF36" s="43"/>
      <c r="BG36" s="43"/>
      <c r="BH36" s="43"/>
      <c r="BI36" s="43"/>
      <c r="BJ36" s="43"/>
      <c r="BK36" s="43"/>
      <c r="BL36" s="43"/>
      <c r="BM36" s="43"/>
      <c r="BN36" s="43"/>
      <c r="BO36" s="43"/>
      <c r="BP36" s="43"/>
      <c r="BQ36" s="43"/>
      <c r="BR36" s="43"/>
      <c r="BS36" s="43"/>
      <c r="BT36" s="43"/>
      <c r="BU36" s="43"/>
      <c r="BV36" s="43"/>
      <c r="BW36" s="43"/>
      <c r="BX36" s="43"/>
      <c r="BY36" s="43"/>
      <c r="BZ36" s="43"/>
      <c r="CA36" s="43"/>
      <c r="CB36" s="43"/>
      <c r="CC36" s="43"/>
      <c r="CD36" s="43"/>
      <c r="CE36" s="43"/>
      <c r="CF36" s="43"/>
      <c r="CG36" s="43"/>
      <c r="CH36" s="43"/>
      <c r="CI36" s="43"/>
      <c r="CJ36" s="43"/>
      <c r="CK36" s="43"/>
      <c r="CL36" s="43"/>
      <c r="CM36" s="43"/>
      <c r="CN36" s="43"/>
      <c r="CO36" s="43"/>
      <c r="CP36" s="43"/>
      <c r="CQ36" s="43"/>
      <c r="CR36" s="43"/>
      <c r="CS36" s="43"/>
      <c r="CT36" s="43"/>
      <c r="CU36" s="43"/>
      <c r="CV36" s="43"/>
      <c r="CW36" s="43"/>
      <c r="CX36" s="43"/>
      <c r="CY36" s="43"/>
      <c r="CZ36" s="43"/>
      <c r="DA36" s="43"/>
      <c r="DB36" s="43"/>
      <c r="DC36" s="43"/>
      <c r="DD36" s="43"/>
      <c r="DE36" s="43"/>
      <c r="DF36" s="43"/>
      <c r="DG36" s="43"/>
      <c r="DH36" s="43"/>
      <c r="DI36" s="43"/>
      <c r="DJ36" s="43"/>
      <c r="DK36" s="43"/>
      <c r="DL36" s="43"/>
      <c r="DM36" s="43"/>
      <c r="DN36" s="43"/>
      <c r="DO36" s="43"/>
      <c r="DP36" s="43"/>
      <c r="DQ36" s="43"/>
      <c r="DR36" s="43"/>
      <c r="DS36" s="43"/>
      <c r="DT36" s="43"/>
      <c r="DU36" s="43"/>
      <c r="DV36" s="43"/>
      <c r="DW36" s="43"/>
      <c r="DX36" s="43"/>
      <c r="DY36" s="43"/>
      <c r="DZ36" s="43"/>
      <c r="EA36" s="43"/>
      <c r="EB36" s="43"/>
      <c r="EC36" s="43"/>
      <c r="ED36" s="43"/>
      <c r="EE36" s="43"/>
      <c r="EF36" s="43"/>
      <c r="EG36" s="43"/>
      <c r="EH36" s="43"/>
      <c r="EI36" s="43"/>
      <c r="EJ36" s="43"/>
      <c r="EK36" s="43"/>
      <c r="EL36" s="43"/>
      <c r="EM36" s="43"/>
      <c r="EN36" s="43"/>
      <c r="EO36" s="43"/>
      <c r="EP36" s="43"/>
      <c r="EQ36" s="43"/>
      <c r="ER36" s="43"/>
      <c r="ES36" s="43"/>
      <c r="ET36" s="43"/>
      <c r="EU36" s="43"/>
      <c r="EV36" s="43"/>
      <c r="EW36" s="43"/>
      <c r="EX36" s="43"/>
      <c r="EY36" s="43"/>
      <c r="EZ36" s="43"/>
      <c r="FA36" s="43"/>
      <c r="FB36" s="43"/>
      <c r="FC36" s="43"/>
      <c r="FD36" s="43"/>
      <c r="FE36" s="43"/>
      <c r="FF36" s="43"/>
      <c r="FG36" s="43"/>
      <c r="FH36" s="43"/>
      <c r="FI36" s="43"/>
      <c r="FJ36" s="43"/>
      <c r="FK36" s="43"/>
      <c r="FL36" s="43"/>
      <c r="FM36" s="43"/>
      <c r="FN36" s="43"/>
      <c r="FO36" s="43"/>
      <c r="FP36" s="43"/>
      <c r="FQ36" s="43"/>
      <c r="FR36" s="43"/>
      <c r="FS36" s="43"/>
      <c r="FT36" s="43"/>
      <c r="FU36" s="43"/>
      <c r="FV36" s="43"/>
      <c r="FW36" s="43"/>
      <c r="FX36" s="43"/>
      <c r="FY36" s="43"/>
      <c r="FZ36" s="43"/>
      <c r="GA36" s="43"/>
      <c r="GB36" s="43"/>
      <c r="GC36" s="43"/>
      <c r="GD36" s="43"/>
      <c r="GE36" s="43"/>
      <c r="GF36" s="43"/>
      <c r="GG36" s="43"/>
      <c r="GH36" s="43"/>
      <c r="GI36" s="43"/>
      <c r="GJ36" s="43"/>
      <c r="GK36" s="43"/>
      <c r="GL36" s="43"/>
      <c r="GM36" s="43"/>
      <c r="GN36" s="43"/>
      <c r="GO36" s="43"/>
      <c r="GP36" s="43"/>
      <c r="GQ36" s="43"/>
      <c r="GR36" s="43"/>
      <c r="GS36" s="43"/>
      <c r="GT36" s="43"/>
      <c r="GU36" s="43"/>
      <c r="GV36" s="43"/>
      <c r="GW36" s="43"/>
      <c r="GX36" s="43"/>
      <c r="GY36" s="43"/>
      <c r="GZ36" s="43"/>
      <c r="HA36" s="43"/>
      <c r="HB36" s="43"/>
      <c r="HC36" s="43"/>
      <c r="HD36" s="43"/>
      <c r="HE36" s="43"/>
      <c r="HF36" s="43"/>
      <c r="HG36" s="43"/>
      <c r="HH36" s="43"/>
      <c r="HI36" s="43"/>
      <c r="HJ36" s="43"/>
      <c r="HK36" s="43"/>
      <c r="HL36" s="43"/>
      <c r="HM36" s="43"/>
      <c r="HN36" s="43"/>
      <c r="HO36" s="43"/>
      <c r="HP36" s="43"/>
      <c r="HQ36" s="43"/>
      <c r="HR36"/>
      <c r="HS36"/>
      <c r="HT36"/>
      <c r="HU36"/>
      <c r="HV36"/>
      <c r="HW36"/>
      <c r="HX36"/>
      <c r="HY36"/>
      <c r="HZ36"/>
      <c r="IA36"/>
      <c r="IB36"/>
      <c r="IC36"/>
      <c r="ID36"/>
      <c r="IE36"/>
      <c r="IF36"/>
      <c r="IG36"/>
      <c r="IH36"/>
      <c r="II36"/>
      <c r="IJ36"/>
      <c r="IK36" s="32"/>
      <c r="IL36" s="32"/>
      <c r="IM36" s="32"/>
      <c r="IN36" s="32"/>
      <c r="IO36" s="32"/>
      <c r="IP36" s="32"/>
      <c r="IQ36" s="32"/>
    </row>
    <row r="37" spans="1:251" s="33" customFormat="1" hidden="1" outlineLevel="1">
      <c r="A37" s="80"/>
      <c r="B37" s="80" t="s">
        <v>454</v>
      </c>
      <c r="C37" s="68"/>
      <c r="D37" s="156">
        <v>2637</v>
      </c>
      <c r="E37" s="156">
        <v>2756</v>
      </c>
      <c r="F37" s="156">
        <v>3082</v>
      </c>
      <c r="G37" s="156">
        <v>2794</v>
      </c>
      <c r="H37" s="156">
        <v>3192</v>
      </c>
      <c r="I37" s="156">
        <v>2443</v>
      </c>
      <c r="J37" s="156">
        <v>2516</v>
      </c>
      <c r="K37" s="156">
        <v>2382</v>
      </c>
      <c r="L37" s="156">
        <v>2450</v>
      </c>
      <c r="M37" s="156">
        <v>824</v>
      </c>
      <c r="N37" s="156">
        <v>802</v>
      </c>
      <c r="O37" s="156">
        <f>+N37-475</f>
        <v>327</v>
      </c>
      <c r="P37" s="222">
        <v>374</v>
      </c>
      <c r="Q37" s="222">
        <v>467</v>
      </c>
      <c r="R37" s="222">
        <v>447</v>
      </c>
      <c r="S37" s="222">
        <v>430</v>
      </c>
      <c r="T37" s="222">
        <v>568</v>
      </c>
      <c r="U37" s="222">
        <v>512</v>
      </c>
      <c r="V37" s="222">
        <v>618</v>
      </c>
      <c r="W37" s="222">
        <v>695</v>
      </c>
      <c r="X37" s="222">
        <v>747</v>
      </c>
      <c r="Y37" s="156">
        <f t="shared" ref="X37:Y39" si="23">X37</f>
        <v>747</v>
      </c>
      <c r="Z37" s="156">
        <f t="shared" ref="Z37:AB39" si="24">Y37</f>
        <v>747</v>
      </c>
      <c r="AA37" s="156">
        <f t="shared" si="24"/>
        <v>747</v>
      </c>
      <c r="AB37" s="156">
        <f t="shared" si="24"/>
        <v>747</v>
      </c>
      <c r="AC37" s="156">
        <f t="shared" ref="AC37:AG39" si="25">AB37</f>
        <v>747</v>
      </c>
      <c r="AD37" s="156">
        <f t="shared" si="25"/>
        <v>747</v>
      </c>
      <c r="AE37" s="156">
        <f t="shared" si="25"/>
        <v>747</v>
      </c>
      <c r="AF37" s="156">
        <f t="shared" si="25"/>
        <v>747</v>
      </c>
      <c r="AG37" s="156">
        <f t="shared" si="25"/>
        <v>747</v>
      </c>
      <c r="AH37" s="43"/>
      <c r="AI37" s="32"/>
      <c r="AJ37" s="32"/>
      <c r="AK37" s="32"/>
      <c r="AL37" s="43"/>
      <c r="AM37" s="43"/>
      <c r="AN37" s="43"/>
      <c r="AO37" s="43"/>
      <c r="AP37" s="43"/>
      <c r="AQ37" s="43"/>
      <c r="AR37" s="43"/>
      <c r="AS37" s="43"/>
      <c r="AT37" s="43"/>
      <c r="AU37" s="43"/>
      <c r="AV37" s="43"/>
      <c r="AW37" s="43"/>
      <c r="AX37" s="43"/>
      <c r="AY37" s="43"/>
      <c r="AZ37" s="43"/>
      <c r="BA37" s="43"/>
      <c r="BB37" s="43"/>
      <c r="BC37" s="43"/>
      <c r="BD37" s="43"/>
      <c r="BE37" s="43"/>
      <c r="BF37" s="43"/>
      <c r="BG37" s="43"/>
      <c r="BH37" s="43"/>
      <c r="BI37" s="43"/>
      <c r="BJ37" s="43"/>
      <c r="BK37" s="43"/>
      <c r="BL37" s="43"/>
      <c r="BM37" s="43"/>
      <c r="BN37" s="43"/>
      <c r="BO37" s="43"/>
      <c r="BP37" s="43"/>
      <c r="BQ37" s="43"/>
      <c r="BR37" s="43"/>
      <c r="BS37" s="43"/>
      <c r="BT37" s="43"/>
      <c r="BU37" s="43"/>
      <c r="BV37" s="43"/>
      <c r="BW37" s="43"/>
      <c r="BX37" s="43"/>
      <c r="BY37" s="43"/>
      <c r="BZ37" s="43"/>
      <c r="CA37" s="43"/>
      <c r="CB37" s="43"/>
      <c r="CC37" s="43"/>
      <c r="CD37" s="43"/>
      <c r="CE37" s="43"/>
      <c r="CF37" s="43"/>
      <c r="CG37" s="43"/>
      <c r="CH37" s="43"/>
      <c r="CI37" s="43"/>
      <c r="CJ37" s="43"/>
      <c r="CK37" s="43"/>
      <c r="CL37" s="43"/>
      <c r="CM37" s="43"/>
      <c r="CN37" s="43"/>
      <c r="CO37" s="43"/>
      <c r="CP37" s="43"/>
      <c r="CQ37" s="43"/>
      <c r="CR37" s="43"/>
      <c r="CS37" s="43"/>
      <c r="CT37" s="43"/>
      <c r="CU37" s="43"/>
      <c r="CV37" s="43"/>
      <c r="CW37" s="43"/>
      <c r="CX37" s="43"/>
      <c r="CY37" s="43"/>
      <c r="CZ37" s="43"/>
      <c r="DA37" s="43"/>
      <c r="DB37" s="43"/>
      <c r="DC37" s="43"/>
      <c r="DD37" s="43"/>
      <c r="DE37" s="43"/>
      <c r="DF37" s="43"/>
      <c r="DG37" s="43"/>
      <c r="DH37" s="43"/>
      <c r="DI37" s="43"/>
      <c r="DJ37" s="43"/>
      <c r="DK37" s="43"/>
      <c r="DL37" s="43"/>
      <c r="DM37" s="43"/>
      <c r="DN37" s="43"/>
      <c r="DO37" s="43"/>
      <c r="DP37" s="43"/>
      <c r="DQ37" s="43"/>
      <c r="DR37" s="43"/>
      <c r="DS37" s="43"/>
      <c r="DT37" s="43"/>
      <c r="DU37" s="43"/>
      <c r="DV37" s="43"/>
      <c r="DW37" s="43"/>
      <c r="DX37" s="43"/>
      <c r="DY37" s="43"/>
      <c r="DZ37" s="43"/>
      <c r="EA37" s="43"/>
      <c r="EB37" s="43"/>
      <c r="EC37" s="43"/>
      <c r="ED37" s="43"/>
      <c r="EE37" s="43"/>
      <c r="EF37" s="43"/>
      <c r="EG37" s="43"/>
      <c r="EH37" s="43"/>
      <c r="EI37" s="43"/>
      <c r="EJ37" s="43"/>
      <c r="EK37" s="43"/>
      <c r="EL37" s="43"/>
      <c r="EM37" s="43"/>
      <c r="EN37" s="43"/>
      <c r="EO37" s="43"/>
      <c r="EP37" s="43"/>
      <c r="EQ37" s="43"/>
      <c r="ER37" s="43"/>
      <c r="ES37" s="43"/>
      <c r="ET37" s="43"/>
      <c r="EU37" s="43"/>
      <c r="EV37" s="43"/>
      <c r="EW37" s="43"/>
      <c r="EX37" s="43"/>
      <c r="EY37" s="43"/>
      <c r="EZ37" s="43"/>
      <c r="FA37" s="43"/>
      <c r="FB37" s="43"/>
      <c r="FC37" s="43"/>
      <c r="FD37" s="43"/>
      <c r="FE37" s="43"/>
      <c r="FF37" s="43"/>
      <c r="FG37" s="43"/>
      <c r="FH37" s="43"/>
      <c r="FI37" s="43"/>
      <c r="FJ37" s="43"/>
      <c r="FK37" s="43"/>
      <c r="FL37" s="43"/>
      <c r="FM37" s="43"/>
      <c r="FN37" s="43"/>
      <c r="FO37" s="43"/>
      <c r="FP37" s="43"/>
      <c r="FQ37" s="43"/>
      <c r="FR37" s="43"/>
      <c r="FS37" s="43"/>
      <c r="FT37" s="43"/>
      <c r="FU37" s="43"/>
      <c r="FV37" s="43"/>
      <c r="FW37" s="43"/>
      <c r="FX37" s="43"/>
      <c r="FY37" s="43"/>
      <c r="FZ37" s="43"/>
      <c r="GA37" s="43"/>
      <c r="GB37" s="43"/>
      <c r="GC37" s="43"/>
      <c r="GD37" s="43"/>
      <c r="GE37" s="43"/>
      <c r="GF37" s="43"/>
      <c r="GG37" s="43"/>
      <c r="GH37" s="43"/>
      <c r="GI37" s="43"/>
      <c r="GJ37" s="43"/>
      <c r="GK37" s="43"/>
      <c r="GL37" s="43"/>
      <c r="GM37" s="43"/>
      <c r="GN37" s="43"/>
      <c r="GO37" s="43"/>
      <c r="GP37" s="43"/>
      <c r="GQ37" s="43"/>
      <c r="GR37" s="43"/>
      <c r="GS37" s="43"/>
      <c r="GT37" s="43"/>
      <c r="GU37" s="43"/>
      <c r="GV37" s="43"/>
      <c r="GW37" s="43"/>
      <c r="GX37" s="43"/>
      <c r="GY37" s="43"/>
      <c r="GZ37" s="43"/>
      <c r="HA37" s="43"/>
      <c r="HB37" s="43"/>
      <c r="HC37" s="43"/>
      <c r="HD37" s="43"/>
      <c r="HE37" s="43"/>
      <c r="HF37" s="43"/>
      <c r="HG37" s="43"/>
      <c r="HH37" s="43"/>
      <c r="HI37" s="43"/>
      <c r="HJ37" s="43"/>
      <c r="HK37" s="43"/>
      <c r="HL37" s="43"/>
      <c r="HM37" s="43"/>
      <c r="HN37" s="43"/>
      <c r="HO37" s="43"/>
      <c r="HP37" s="43"/>
      <c r="HQ37" s="43"/>
      <c r="HR37"/>
      <c r="HS37"/>
      <c r="HT37"/>
      <c r="HU37"/>
      <c r="HV37"/>
      <c r="HW37"/>
      <c r="HX37"/>
      <c r="HY37"/>
      <c r="HZ37"/>
      <c r="IA37"/>
      <c r="IB37"/>
      <c r="IC37"/>
      <c r="ID37"/>
      <c r="IE37"/>
      <c r="IF37"/>
      <c r="IG37"/>
      <c r="IH37"/>
      <c r="II37"/>
      <c r="IJ37"/>
      <c r="IK37" s="32"/>
      <c r="IL37" s="32"/>
      <c r="IM37" s="32"/>
      <c r="IN37" s="32"/>
      <c r="IO37" s="32"/>
      <c r="IP37" s="32"/>
      <c r="IQ37" s="32"/>
    </row>
    <row r="38" spans="1:251" s="33" customFormat="1" hidden="1" outlineLevel="1">
      <c r="A38" s="80"/>
      <c r="B38" s="80" t="s">
        <v>455</v>
      </c>
      <c r="C38" s="68"/>
      <c r="D38" s="156">
        <v>1408</v>
      </c>
      <c r="E38" s="156">
        <v>1519</v>
      </c>
      <c r="F38" s="156">
        <v>1436</v>
      </c>
      <c r="G38" s="156">
        <v>1654</v>
      </c>
      <c r="H38" s="156">
        <v>1735</v>
      </c>
      <c r="I38" s="156">
        <v>2325</v>
      </c>
      <c r="J38" s="156">
        <v>2909</v>
      </c>
      <c r="K38" s="156">
        <v>2871</v>
      </c>
      <c r="L38" s="156">
        <v>3696</v>
      </c>
      <c r="M38" s="156">
        <v>3620</v>
      </c>
      <c r="N38" s="156">
        <v>4593</v>
      </c>
      <c r="O38" s="156">
        <f>+N38-4523</f>
        <v>70</v>
      </c>
      <c r="P38" s="222">
        <v>98</v>
      </c>
      <c r="Q38" s="222">
        <v>318</v>
      </c>
      <c r="R38" s="222">
        <v>231</v>
      </c>
      <c r="S38" s="222">
        <v>220</v>
      </c>
      <c r="T38" s="222"/>
      <c r="U38" s="156">
        <f>T38</f>
        <v>0</v>
      </c>
      <c r="V38" s="156">
        <f>U38</f>
        <v>0</v>
      </c>
      <c r="W38" s="156">
        <v>198</v>
      </c>
      <c r="X38" s="156">
        <v>289</v>
      </c>
      <c r="Y38" s="156">
        <f t="shared" si="23"/>
        <v>289</v>
      </c>
      <c r="Z38" s="156">
        <f t="shared" si="24"/>
        <v>289</v>
      </c>
      <c r="AA38" s="156">
        <f t="shared" si="24"/>
        <v>289</v>
      </c>
      <c r="AB38" s="156">
        <f t="shared" si="24"/>
        <v>289</v>
      </c>
      <c r="AC38" s="156">
        <f t="shared" si="25"/>
        <v>289</v>
      </c>
      <c r="AD38" s="156">
        <f t="shared" si="25"/>
        <v>289</v>
      </c>
      <c r="AE38" s="156">
        <f t="shared" si="25"/>
        <v>289</v>
      </c>
      <c r="AF38" s="156">
        <f t="shared" si="25"/>
        <v>289</v>
      </c>
      <c r="AG38" s="156">
        <f t="shared" si="25"/>
        <v>289</v>
      </c>
      <c r="AH38" s="43"/>
      <c r="AI38" s="32"/>
      <c r="AJ38" s="32"/>
      <c r="AK38" s="32"/>
      <c r="AL38" s="43"/>
      <c r="AM38" s="43"/>
      <c r="AN38" s="43"/>
      <c r="AO38" s="43"/>
      <c r="AP38" s="43"/>
      <c r="AQ38" s="43"/>
      <c r="AR38" s="43"/>
      <c r="AS38" s="43"/>
      <c r="AT38" s="43"/>
      <c r="AU38" s="43"/>
      <c r="AV38" s="43"/>
      <c r="AW38" s="43"/>
      <c r="AX38" s="43"/>
      <c r="AY38" s="43"/>
      <c r="AZ38" s="43"/>
      <c r="BA38" s="43"/>
      <c r="BB38" s="43"/>
      <c r="BC38" s="43"/>
      <c r="BD38" s="43"/>
      <c r="BE38" s="43"/>
      <c r="BF38" s="43"/>
      <c r="BG38" s="43"/>
      <c r="BH38" s="43"/>
      <c r="BI38" s="43"/>
      <c r="BJ38" s="43"/>
      <c r="BK38" s="43"/>
      <c r="BL38" s="43"/>
      <c r="BM38" s="43"/>
      <c r="BN38" s="43"/>
      <c r="BO38" s="43"/>
      <c r="BP38" s="43"/>
      <c r="BQ38" s="43"/>
      <c r="BR38" s="43"/>
      <c r="BS38" s="43"/>
      <c r="BT38" s="43"/>
      <c r="BU38" s="43"/>
      <c r="BV38" s="43"/>
      <c r="BW38" s="43"/>
      <c r="BX38" s="43"/>
      <c r="BY38" s="43"/>
      <c r="BZ38" s="43"/>
      <c r="CA38" s="43"/>
      <c r="CB38" s="43"/>
      <c r="CC38" s="43"/>
      <c r="CD38" s="43"/>
      <c r="CE38" s="43"/>
      <c r="CF38" s="43"/>
      <c r="CG38" s="43"/>
      <c r="CH38" s="43"/>
      <c r="CI38" s="43"/>
      <c r="CJ38" s="43"/>
      <c r="CK38" s="43"/>
      <c r="CL38" s="43"/>
      <c r="CM38" s="43"/>
      <c r="CN38" s="43"/>
      <c r="CO38" s="43"/>
      <c r="CP38" s="43"/>
      <c r="CQ38" s="43"/>
      <c r="CR38" s="43"/>
      <c r="CS38" s="43"/>
      <c r="CT38" s="43"/>
      <c r="CU38" s="43"/>
      <c r="CV38" s="43"/>
      <c r="CW38" s="43"/>
      <c r="CX38" s="43"/>
      <c r="CY38" s="43"/>
      <c r="CZ38" s="43"/>
      <c r="DA38" s="43"/>
      <c r="DB38" s="43"/>
      <c r="DC38" s="43"/>
      <c r="DD38" s="43"/>
      <c r="DE38" s="43"/>
      <c r="DF38" s="43"/>
      <c r="DG38" s="43"/>
      <c r="DH38" s="43"/>
      <c r="DI38" s="43"/>
      <c r="DJ38" s="43"/>
      <c r="DK38" s="43"/>
      <c r="DL38" s="43"/>
      <c r="DM38" s="43"/>
      <c r="DN38" s="43"/>
      <c r="DO38" s="43"/>
      <c r="DP38" s="43"/>
      <c r="DQ38" s="43"/>
      <c r="DR38" s="43"/>
      <c r="DS38" s="43"/>
      <c r="DT38" s="43"/>
      <c r="DU38" s="43"/>
      <c r="DV38" s="43"/>
      <c r="DW38" s="43"/>
      <c r="DX38" s="43"/>
      <c r="DY38" s="43"/>
      <c r="DZ38" s="43"/>
      <c r="EA38" s="43"/>
      <c r="EB38" s="43"/>
      <c r="EC38" s="43"/>
      <c r="ED38" s="43"/>
      <c r="EE38" s="43"/>
      <c r="EF38" s="43"/>
      <c r="EG38" s="43"/>
      <c r="EH38" s="43"/>
      <c r="EI38" s="43"/>
      <c r="EJ38" s="43"/>
      <c r="EK38" s="43"/>
      <c r="EL38" s="43"/>
      <c r="EM38" s="43"/>
      <c r="EN38" s="43"/>
      <c r="EO38" s="43"/>
      <c r="EP38" s="43"/>
      <c r="EQ38" s="43"/>
      <c r="ER38" s="43"/>
      <c r="ES38" s="43"/>
      <c r="ET38" s="43"/>
      <c r="EU38" s="43"/>
      <c r="EV38" s="43"/>
      <c r="EW38" s="43"/>
      <c r="EX38" s="43"/>
      <c r="EY38" s="43"/>
      <c r="EZ38" s="43"/>
      <c r="FA38" s="43"/>
      <c r="FB38" s="43"/>
      <c r="FC38" s="43"/>
      <c r="FD38" s="43"/>
      <c r="FE38" s="43"/>
      <c r="FF38" s="43"/>
      <c r="FG38" s="43"/>
      <c r="FH38" s="43"/>
      <c r="FI38" s="43"/>
      <c r="FJ38" s="43"/>
      <c r="FK38" s="43"/>
      <c r="FL38" s="43"/>
      <c r="FM38" s="43"/>
      <c r="FN38" s="43"/>
      <c r="FO38" s="43"/>
      <c r="FP38" s="43"/>
      <c r="FQ38" s="43"/>
      <c r="FR38" s="43"/>
      <c r="FS38" s="43"/>
      <c r="FT38" s="43"/>
      <c r="FU38" s="43"/>
      <c r="FV38" s="43"/>
      <c r="FW38" s="43"/>
      <c r="FX38" s="43"/>
      <c r="FY38" s="43"/>
      <c r="FZ38" s="43"/>
      <c r="GA38" s="43"/>
      <c r="GB38" s="43"/>
      <c r="GC38" s="43"/>
      <c r="GD38" s="43"/>
      <c r="GE38" s="43"/>
      <c r="GF38" s="43"/>
      <c r="GG38" s="43"/>
      <c r="GH38" s="43"/>
      <c r="GI38" s="43"/>
      <c r="GJ38" s="43"/>
      <c r="GK38" s="43"/>
      <c r="GL38" s="43"/>
      <c r="GM38" s="43"/>
      <c r="GN38" s="43"/>
      <c r="GO38" s="43"/>
      <c r="GP38" s="43"/>
      <c r="GQ38" s="43"/>
      <c r="GR38" s="43"/>
      <c r="GS38" s="43"/>
      <c r="GT38" s="43"/>
      <c r="GU38" s="43"/>
      <c r="GV38" s="43"/>
      <c r="GW38" s="43"/>
      <c r="GX38" s="43"/>
      <c r="GY38" s="43"/>
      <c r="GZ38" s="43"/>
      <c r="HA38" s="43"/>
      <c r="HB38" s="43"/>
      <c r="HC38" s="43"/>
      <c r="HD38" s="43"/>
      <c r="HE38" s="43"/>
      <c r="HF38" s="43"/>
      <c r="HG38" s="43"/>
      <c r="HH38" s="43"/>
      <c r="HI38" s="43"/>
      <c r="HJ38" s="43"/>
      <c r="HK38" s="43"/>
      <c r="HL38" s="43"/>
      <c r="HM38" s="43"/>
      <c r="HN38" s="43"/>
      <c r="HO38" s="43"/>
      <c r="HP38" s="43"/>
      <c r="HQ38" s="43"/>
      <c r="HR38"/>
      <c r="HS38"/>
      <c r="HT38"/>
      <c r="HU38"/>
      <c r="HV38"/>
      <c r="HW38"/>
      <c r="HX38"/>
      <c r="HY38"/>
      <c r="HZ38"/>
      <c r="IA38"/>
      <c r="IB38"/>
      <c r="IC38"/>
      <c r="ID38"/>
      <c r="IE38"/>
      <c r="IF38"/>
      <c r="IG38"/>
      <c r="IH38"/>
      <c r="II38"/>
      <c r="IJ38"/>
      <c r="IK38" s="32"/>
      <c r="IL38" s="32"/>
      <c r="IM38" s="32"/>
      <c r="IN38" s="32"/>
      <c r="IO38" s="32"/>
      <c r="IP38" s="32"/>
      <c r="IQ38" s="32"/>
    </row>
    <row r="39" spans="1:251" s="33" customFormat="1" hidden="1" outlineLevel="1">
      <c r="A39" s="80"/>
      <c r="B39" s="80" t="s">
        <v>456</v>
      </c>
      <c r="C39" s="68"/>
      <c r="D39" s="156">
        <v>968</v>
      </c>
      <c r="E39" s="156">
        <v>972</v>
      </c>
      <c r="F39" s="156">
        <v>1317</v>
      </c>
      <c r="G39" s="156">
        <v>1192</v>
      </c>
      <c r="H39" s="156">
        <v>1099</v>
      </c>
      <c r="I39" s="156">
        <v>1363</v>
      </c>
      <c r="J39" s="156">
        <v>1325</v>
      </c>
      <c r="K39" s="156">
        <v>1296</v>
      </c>
      <c r="L39" s="156">
        <v>1599</v>
      </c>
      <c r="M39" s="156">
        <v>849</v>
      </c>
      <c r="N39" s="156">
        <v>756</v>
      </c>
      <c r="O39" s="156">
        <v>283</v>
      </c>
      <c r="P39" s="222">
        <v>248</v>
      </c>
      <c r="Q39" s="222">
        <v>239</v>
      </c>
      <c r="R39" s="222">
        <v>232</v>
      </c>
      <c r="S39" s="222">
        <v>225</v>
      </c>
      <c r="T39" s="222">
        <v>184</v>
      </c>
      <c r="U39" s="222">
        <v>255</v>
      </c>
      <c r="V39" s="222">
        <v>186</v>
      </c>
      <c r="W39" s="222"/>
      <c r="X39" s="222">
        <f t="shared" si="23"/>
        <v>0</v>
      </c>
      <c r="Y39" s="156">
        <f t="shared" si="23"/>
        <v>0</v>
      </c>
      <c r="Z39" s="156">
        <f t="shared" si="24"/>
        <v>0</v>
      </c>
      <c r="AA39" s="156">
        <f t="shared" si="24"/>
        <v>0</v>
      </c>
      <c r="AB39" s="156">
        <f t="shared" si="24"/>
        <v>0</v>
      </c>
      <c r="AC39" s="156">
        <f t="shared" si="25"/>
        <v>0</v>
      </c>
      <c r="AD39" s="156">
        <f t="shared" si="25"/>
        <v>0</v>
      </c>
      <c r="AE39" s="156">
        <f t="shared" si="25"/>
        <v>0</v>
      </c>
      <c r="AF39" s="156">
        <f t="shared" si="25"/>
        <v>0</v>
      </c>
      <c r="AG39" s="156">
        <f t="shared" si="25"/>
        <v>0</v>
      </c>
      <c r="AH39" s="43"/>
      <c r="AI39" s="32"/>
      <c r="AJ39" s="32"/>
      <c r="AK39" s="32"/>
      <c r="AL39" s="43"/>
      <c r="AM39" s="43"/>
      <c r="AN39" s="43"/>
      <c r="AO39" s="43"/>
      <c r="AP39" s="43"/>
      <c r="AQ39" s="43"/>
      <c r="AR39" s="43"/>
      <c r="AS39" s="43"/>
      <c r="AT39" s="43"/>
      <c r="AU39" s="43"/>
      <c r="AV39" s="43"/>
      <c r="AW39" s="43"/>
      <c r="AX39" s="43"/>
      <c r="AY39" s="43"/>
      <c r="AZ39" s="43"/>
      <c r="BA39" s="43"/>
      <c r="BB39" s="43"/>
      <c r="BC39" s="43"/>
      <c r="BD39" s="43"/>
      <c r="BE39" s="43"/>
      <c r="BF39" s="43"/>
      <c r="BG39" s="43"/>
      <c r="BH39" s="43"/>
      <c r="BI39" s="43"/>
      <c r="BJ39" s="43"/>
      <c r="BK39" s="43"/>
      <c r="BL39" s="43"/>
      <c r="BM39" s="43"/>
      <c r="BN39" s="43"/>
      <c r="BO39" s="43"/>
      <c r="BP39" s="43"/>
      <c r="BQ39" s="43"/>
      <c r="BR39" s="43"/>
      <c r="BS39" s="43"/>
      <c r="BT39" s="43"/>
      <c r="BU39" s="43"/>
      <c r="BV39" s="43"/>
      <c r="BW39" s="43"/>
      <c r="BX39" s="43"/>
      <c r="BY39" s="43"/>
      <c r="BZ39" s="43"/>
      <c r="CA39" s="43"/>
      <c r="CB39" s="43"/>
      <c r="CC39" s="43"/>
      <c r="CD39" s="43"/>
      <c r="CE39" s="43"/>
      <c r="CF39" s="43"/>
      <c r="CG39" s="43"/>
      <c r="CH39" s="43"/>
      <c r="CI39" s="43"/>
      <c r="CJ39" s="43"/>
      <c r="CK39" s="43"/>
      <c r="CL39" s="43"/>
      <c r="CM39" s="43"/>
      <c r="CN39" s="43"/>
      <c r="CO39" s="43"/>
      <c r="CP39" s="43"/>
      <c r="CQ39" s="43"/>
      <c r="CR39" s="43"/>
      <c r="CS39" s="43"/>
      <c r="CT39" s="43"/>
      <c r="CU39" s="43"/>
      <c r="CV39" s="43"/>
      <c r="CW39" s="43"/>
      <c r="CX39" s="43"/>
      <c r="CY39" s="43"/>
      <c r="CZ39" s="43"/>
      <c r="DA39" s="43"/>
      <c r="DB39" s="43"/>
      <c r="DC39" s="43"/>
      <c r="DD39" s="43"/>
      <c r="DE39" s="43"/>
      <c r="DF39" s="43"/>
      <c r="DG39" s="43"/>
      <c r="DH39" s="43"/>
      <c r="DI39" s="43"/>
      <c r="DJ39" s="43"/>
      <c r="DK39" s="43"/>
      <c r="DL39" s="43"/>
      <c r="DM39" s="43"/>
      <c r="DN39" s="43"/>
      <c r="DO39" s="43"/>
      <c r="DP39" s="43"/>
      <c r="DQ39" s="43"/>
      <c r="DR39" s="43"/>
      <c r="DS39" s="43"/>
      <c r="DT39" s="43"/>
      <c r="DU39" s="43"/>
      <c r="DV39" s="43"/>
      <c r="DW39" s="43"/>
      <c r="DX39" s="43"/>
      <c r="DY39" s="43"/>
      <c r="DZ39" s="43"/>
      <c r="EA39" s="43"/>
      <c r="EB39" s="43"/>
      <c r="EC39" s="43"/>
      <c r="ED39" s="43"/>
      <c r="EE39" s="43"/>
      <c r="EF39" s="43"/>
      <c r="EG39" s="43"/>
      <c r="EH39" s="43"/>
      <c r="EI39" s="43"/>
      <c r="EJ39" s="43"/>
      <c r="EK39" s="43"/>
      <c r="EL39" s="43"/>
      <c r="EM39" s="43"/>
      <c r="EN39" s="43"/>
      <c r="EO39" s="43"/>
      <c r="EP39" s="43"/>
      <c r="EQ39" s="43"/>
      <c r="ER39" s="43"/>
      <c r="ES39" s="43"/>
      <c r="ET39" s="43"/>
      <c r="EU39" s="43"/>
      <c r="EV39" s="43"/>
      <c r="EW39" s="43"/>
      <c r="EX39" s="43"/>
      <c r="EY39" s="43"/>
      <c r="EZ39" s="43"/>
      <c r="FA39" s="43"/>
      <c r="FB39" s="43"/>
      <c r="FC39" s="43"/>
      <c r="FD39" s="43"/>
      <c r="FE39" s="43"/>
      <c r="FF39" s="43"/>
      <c r="FG39" s="43"/>
      <c r="FH39" s="43"/>
      <c r="FI39" s="43"/>
      <c r="FJ39" s="43"/>
      <c r="FK39" s="43"/>
      <c r="FL39" s="43"/>
      <c r="FM39" s="43"/>
      <c r="FN39" s="43"/>
      <c r="FO39" s="43"/>
      <c r="FP39" s="43"/>
      <c r="FQ39" s="43"/>
      <c r="FR39" s="43"/>
      <c r="FS39" s="43"/>
      <c r="FT39" s="43"/>
      <c r="FU39" s="43"/>
      <c r="FV39" s="43"/>
      <c r="FW39" s="43"/>
      <c r="FX39" s="43"/>
      <c r="FY39" s="43"/>
      <c r="FZ39" s="43"/>
      <c r="GA39" s="43"/>
      <c r="GB39" s="43"/>
      <c r="GC39" s="43"/>
      <c r="GD39" s="43"/>
      <c r="GE39" s="43"/>
      <c r="GF39" s="43"/>
      <c r="GG39" s="43"/>
      <c r="GH39" s="43"/>
      <c r="GI39" s="43"/>
      <c r="GJ39" s="43"/>
      <c r="GK39" s="43"/>
      <c r="GL39" s="43"/>
      <c r="GM39" s="43"/>
      <c r="GN39" s="43"/>
      <c r="GO39" s="43"/>
      <c r="GP39" s="43"/>
      <c r="GQ39" s="43"/>
      <c r="GR39" s="43"/>
      <c r="GS39" s="43"/>
      <c r="GT39" s="43"/>
      <c r="GU39" s="43"/>
      <c r="GV39" s="43"/>
      <c r="GW39" s="43"/>
      <c r="GX39" s="43"/>
      <c r="GY39" s="43"/>
      <c r="GZ39" s="43"/>
      <c r="HA39" s="43"/>
      <c r="HB39" s="43"/>
      <c r="HC39" s="43"/>
      <c r="HD39" s="43"/>
      <c r="HE39" s="43"/>
      <c r="HF39" s="43"/>
      <c r="HG39" s="43"/>
      <c r="HH39" s="43"/>
      <c r="HI39" s="43"/>
      <c r="HJ39" s="43"/>
      <c r="HK39" s="43"/>
      <c r="HL39" s="43"/>
      <c r="HM39" s="43"/>
      <c r="HN39" s="43"/>
      <c r="HO39" s="43"/>
      <c r="HP39" s="43"/>
      <c r="HQ39" s="43"/>
      <c r="HR39"/>
      <c r="HS39"/>
      <c r="HT39"/>
      <c r="HU39"/>
      <c r="HV39"/>
      <c r="HW39"/>
      <c r="HX39"/>
      <c r="HY39"/>
      <c r="HZ39"/>
      <c r="IA39"/>
      <c r="IB39"/>
      <c r="IC39"/>
      <c r="ID39"/>
      <c r="IE39"/>
      <c r="IF39"/>
      <c r="IG39"/>
      <c r="IH39"/>
      <c r="II39"/>
      <c r="IJ39"/>
      <c r="IK39" s="32"/>
      <c r="IL39" s="32"/>
      <c r="IM39" s="32"/>
      <c r="IN39" s="32"/>
      <c r="IO39" s="32"/>
      <c r="IP39" s="32"/>
      <c r="IQ39" s="32"/>
    </row>
    <row r="40" spans="1:251" s="33" customFormat="1" hidden="1" outlineLevel="1">
      <c r="A40" s="80"/>
      <c r="B40" s="80" t="s">
        <v>415</v>
      </c>
      <c r="C40" s="68"/>
      <c r="D40" s="156">
        <v>1135</v>
      </c>
      <c r="E40" s="156">
        <v>2320</v>
      </c>
      <c r="F40" s="156">
        <v>2724</v>
      </c>
      <c r="G40" s="156">
        <v>3210</v>
      </c>
      <c r="H40" s="156">
        <v>3027</v>
      </c>
      <c r="I40" s="156">
        <v>3530</v>
      </c>
      <c r="J40" s="156">
        <v>3501</v>
      </c>
      <c r="K40" s="156">
        <v>3503</v>
      </c>
      <c r="L40" s="156">
        <v>3552</v>
      </c>
      <c r="M40" s="156">
        <v>3552</v>
      </c>
      <c r="N40" s="156">
        <v>3986</v>
      </c>
      <c r="O40" s="156">
        <f>+N40</f>
        <v>3986</v>
      </c>
      <c r="P40" s="222">
        <v>3984</v>
      </c>
      <c r="Q40" s="222">
        <v>3635</v>
      </c>
      <c r="R40" s="222">
        <v>3535</v>
      </c>
      <c r="S40" s="222">
        <v>3513</v>
      </c>
      <c r="T40" s="222">
        <v>3616</v>
      </c>
      <c r="U40" s="222">
        <v>3391</v>
      </c>
      <c r="V40" s="222">
        <v>3500</v>
      </c>
      <c r="W40" s="222">
        <v>3590</v>
      </c>
      <c r="X40" s="222">
        <v>3701</v>
      </c>
      <c r="Y40" s="156">
        <f>X40-IS!S264+IS!T264</f>
        <v>3534</v>
      </c>
      <c r="Z40" s="156">
        <f>Y40-IS!T264+IS!U264</f>
        <v>3481.0911999999998</v>
      </c>
      <c r="AA40" s="156">
        <f>Z40-IS!U264+IS!V264</f>
        <v>3440.8030383999994</v>
      </c>
      <c r="AB40" s="156">
        <f>AA40-IS!V264+IS!W264</f>
        <v>3412.7866800176798</v>
      </c>
      <c r="AC40" s="156">
        <f>AB40-IS!W264+IS!X264</f>
        <v>3332.3299688509705</v>
      </c>
      <c r="AD40" s="156">
        <f>AC40-IS!X264+IS!Y264</f>
        <v>3253.2796409954544</v>
      </c>
      <c r="AE40" s="156">
        <f>AD40-IS!Y264+IS!Z264</f>
        <v>3175.6111128708535</v>
      </c>
      <c r="AF40" s="156">
        <f>AE40-IS!Z264+IS!AA264</f>
        <v>3099.3002306178705</v>
      </c>
      <c r="AG40" s="156">
        <f>AF40-IS!AA264+IS!AB264</f>
        <v>3024.3232625866694</v>
      </c>
      <c r="AH40" s="43"/>
      <c r="AI40" s="32"/>
      <c r="AJ40" s="32"/>
      <c r="AK40" s="32"/>
      <c r="AL40" s="43"/>
      <c r="AM40" s="43"/>
      <c r="AN40" s="43"/>
      <c r="AO40" s="43"/>
      <c r="AP40" s="43"/>
      <c r="AQ40" s="43"/>
      <c r="AR40" s="43"/>
      <c r="AS40" s="43"/>
      <c r="AT40" s="43"/>
      <c r="AU40" s="43"/>
      <c r="AV40" s="43"/>
      <c r="AW40" s="43"/>
      <c r="AX40" s="43"/>
      <c r="AY40" s="43"/>
      <c r="AZ40" s="43"/>
      <c r="BA40" s="43"/>
      <c r="BB40" s="43"/>
      <c r="BC40" s="43"/>
      <c r="BD40" s="43"/>
      <c r="BE40" s="43"/>
      <c r="BF40" s="43"/>
      <c r="BG40" s="43"/>
      <c r="BH40" s="43"/>
      <c r="BI40" s="43"/>
      <c r="BJ40" s="43"/>
      <c r="BK40" s="43"/>
      <c r="BL40" s="43"/>
      <c r="BM40" s="43"/>
      <c r="BN40" s="43"/>
      <c r="BO40" s="43"/>
      <c r="BP40" s="43"/>
      <c r="BQ40" s="43"/>
      <c r="BR40" s="43"/>
      <c r="BS40" s="43"/>
      <c r="BT40" s="43"/>
      <c r="BU40" s="43"/>
      <c r="BV40" s="43"/>
      <c r="BW40" s="43"/>
      <c r="BX40" s="43"/>
      <c r="BY40" s="43"/>
      <c r="BZ40" s="43"/>
      <c r="CA40" s="43"/>
      <c r="CB40" s="43"/>
      <c r="CC40" s="43"/>
      <c r="CD40" s="43"/>
      <c r="CE40" s="43"/>
      <c r="CF40" s="43"/>
      <c r="CG40" s="43"/>
      <c r="CH40" s="43"/>
      <c r="CI40" s="43"/>
      <c r="CJ40" s="43"/>
      <c r="CK40" s="43"/>
      <c r="CL40" s="43"/>
      <c r="CM40" s="43"/>
      <c r="CN40" s="43"/>
      <c r="CO40" s="43"/>
      <c r="CP40" s="43"/>
      <c r="CQ40" s="43"/>
      <c r="CR40" s="43"/>
      <c r="CS40" s="43"/>
      <c r="CT40" s="43"/>
      <c r="CU40" s="43"/>
      <c r="CV40" s="43"/>
      <c r="CW40" s="43"/>
      <c r="CX40" s="43"/>
      <c r="CY40" s="43"/>
      <c r="CZ40" s="43"/>
      <c r="DA40" s="43"/>
      <c r="DB40" s="43"/>
      <c r="DC40" s="43"/>
      <c r="DD40" s="43"/>
      <c r="DE40" s="43"/>
      <c r="DF40" s="43"/>
      <c r="DG40" s="43"/>
      <c r="DH40" s="43"/>
      <c r="DI40" s="43"/>
      <c r="DJ40" s="43"/>
      <c r="DK40" s="43"/>
      <c r="DL40" s="43"/>
      <c r="DM40" s="43"/>
      <c r="DN40" s="43"/>
      <c r="DO40" s="43"/>
      <c r="DP40" s="43"/>
      <c r="DQ40" s="43"/>
      <c r="DR40" s="43"/>
      <c r="DS40" s="43"/>
      <c r="DT40" s="43"/>
      <c r="DU40" s="43"/>
      <c r="DV40" s="43"/>
      <c r="DW40" s="43"/>
      <c r="DX40" s="43"/>
      <c r="DY40" s="43"/>
      <c r="DZ40" s="43"/>
      <c r="EA40" s="43"/>
      <c r="EB40" s="43"/>
      <c r="EC40" s="43"/>
      <c r="ED40" s="43"/>
      <c r="EE40" s="43"/>
      <c r="EF40" s="43"/>
      <c r="EG40" s="43"/>
      <c r="EH40" s="43"/>
      <c r="EI40" s="43"/>
      <c r="EJ40" s="43"/>
      <c r="EK40" s="43"/>
      <c r="EL40" s="43"/>
      <c r="EM40" s="43"/>
      <c r="EN40" s="43"/>
      <c r="EO40" s="43"/>
      <c r="EP40" s="43"/>
      <c r="EQ40" s="43"/>
      <c r="ER40" s="43"/>
      <c r="ES40" s="43"/>
      <c r="ET40" s="43"/>
      <c r="EU40" s="43"/>
      <c r="EV40" s="43"/>
      <c r="EW40" s="43"/>
      <c r="EX40" s="43"/>
      <c r="EY40" s="43"/>
      <c r="EZ40" s="43"/>
      <c r="FA40" s="43"/>
      <c r="FB40" s="43"/>
      <c r="FC40" s="43"/>
      <c r="FD40" s="43"/>
      <c r="FE40" s="43"/>
      <c r="FF40" s="43"/>
      <c r="FG40" s="43"/>
      <c r="FH40" s="43"/>
      <c r="FI40" s="43"/>
      <c r="FJ40" s="43"/>
      <c r="FK40" s="43"/>
      <c r="FL40" s="43"/>
      <c r="FM40" s="43"/>
      <c r="FN40" s="43"/>
      <c r="FO40" s="43"/>
      <c r="FP40" s="43"/>
      <c r="FQ40" s="43"/>
      <c r="FR40" s="43"/>
      <c r="FS40" s="43"/>
      <c r="FT40" s="43"/>
      <c r="FU40" s="43"/>
      <c r="FV40" s="43"/>
      <c r="FW40" s="43"/>
      <c r="FX40" s="43"/>
      <c r="FY40" s="43"/>
      <c r="FZ40" s="43"/>
      <c r="GA40" s="43"/>
      <c r="GB40" s="43"/>
      <c r="GC40" s="43"/>
      <c r="GD40" s="43"/>
      <c r="GE40" s="43"/>
      <c r="GF40" s="43"/>
      <c r="GG40" s="43"/>
      <c r="GH40" s="43"/>
      <c r="GI40" s="43"/>
      <c r="GJ40" s="43"/>
      <c r="GK40" s="43"/>
      <c r="GL40" s="43"/>
      <c r="GM40" s="43"/>
      <c r="GN40" s="43"/>
      <c r="GO40" s="43"/>
      <c r="GP40" s="43"/>
      <c r="GQ40" s="43"/>
      <c r="GR40" s="43"/>
      <c r="GS40" s="43"/>
      <c r="GT40" s="43"/>
      <c r="GU40" s="43"/>
      <c r="GV40" s="43"/>
      <c r="GW40" s="43"/>
      <c r="GX40" s="43"/>
      <c r="GY40" s="43"/>
      <c r="GZ40" s="43"/>
      <c r="HA40" s="43"/>
      <c r="HB40" s="43"/>
      <c r="HC40" s="43"/>
      <c r="HD40" s="43"/>
      <c r="HE40" s="43"/>
      <c r="HF40" s="43"/>
      <c r="HG40" s="43"/>
      <c r="HH40" s="43"/>
      <c r="HI40" s="43"/>
      <c r="HJ40" s="43"/>
      <c r="HK40" s="43"/>
      <c r="HL40" s="43"/>
      <c r="HM40" s="43"/>
      <c r="HN40" s="43"/>
      <c r="HO40" s="43"/>
      <c r="HP40" s="43"/>
      <c r="HQ40" s="43"/>
      <c r="HR40"/>
      <c r="HS40"/>
      <c r="HT40"/>
      <c r="HU40"/>
      <c r="HV40"/>
      <c r="HW40"/>
      <c r="HX40"/>
      <c r="HY40"/>
      <c r="HZ40"/>
      <c r="IA40"/>
      <c r="IB40"/>
      <c r="IC40"/>
      <c r="ID40"/>
      <c r="IE40"/>
      <c r="IF40"/>
      <c r="IG40"/>
      <c r="IH40"/>
      <c r="II40"/>
      <c r="IJ40"/>
      <c r="IK40" s="32"/>
      <c r="IL40" s="32"/>
      <c r="IM40" s="32"/>
      <c r="IN40" s="32"/>
      <c r="IO40" s="32"/>
      <c r="IP40" s="32"/>
      <c r="IQ40" s="32"/>
    </row>
    <row r="41" spans="1:251" s="33" customFormat="1" hidden="1" outlineLevel="1">
      <c r="A41" s="80"/>
      <c r="B41" s="80" t="s">
        <v>138</v>
      </c>
      <c r="C41" s="68"/>
      <c r="D41" s="156">
        <v>2608</v>
      </c>
      <c r="E41" s="156">
        <v>2605</v>
      </c>
      <c r="F41" s="156">
        <v>2572</v>
      </c>
      <c r="G41" s="156">
        <v>2480</v>
      </c>
      <c r="H41" s="156">
        <v>2563</v>
      </c>
      <c r="I41" s="156">
        <v>2703</v>
      </c>
      <c r="J41" s="156">
        <f>983+1505</f>
        <v>2488</v>
      </c>
      <c r="K41" s="156">
        <f>1393+1672</f>
        <v>3065</v>
      </c>
      <c r="L41" s="156">
        <f>933+1811</f>
        <v>2744</v>
      </c>
      <c r="M41" s="156">
        <v>1641</v>
      </c>
      <c r="N41" s="156">
        <v>1857</v>
      </c>
      <c r="O41" s="156">
        <f>1588+257+184</f>
        <v>2029</v>
      </c>
      <c r="P41" s="222">
        <v>1128</v>
      </c>
      <c r="Q41" s="222">
        <v>1354</v>
      </c>
      <c r="R41" s="222">
        <v>1069</v>
      </c>
      <c r="S41" s="222">
        <v>1311</v>
      </c>
      <c r="T41" s="222">
        <v>1085</v>
      </c>
      <c r="U41" s="222">
        <v>1007</v>
      </c>
      <c r="V41" s="222">
        <v>925</v>
      </c>
      <c r="W41" s="222">
        <v>1081</v>
      </c>
      <c r="X41" s="222">
        <v>1025</v>
      </c>
      <c r="Y41" s="156">
        <f t="shared" ref="Y41:AG41" si="26">X41</f>
        <v>1025</v>
      </c>
      <c r="Z41" s="156">
        <f t="shared" si="26"/>
        <v>1025</v>
      </c>
      <c r="AA41" s="156">
        <f t="shared" si="26"/>
        <v>1025</v>
      </c>
      <c r="AB41" s="156">
        <f t="shared" si="26"/>
        <v>1025</v>
      </c>
      <c r="AC41" s="156">
        <f t="shared" si="26"/>
        <v>1025</v>
      </c>
      <c r="AD41" s="156">
        <f t="shared" si="26"/>
        <v>1025</v>
      </c>
      <c r="AE41" s="156">
        <f t="shared" si="26"/>
        <v>1025</v>
      </c>
      <c r="AF41" s="156">
        <f t="shared" si="26"/>
        <v>1025</v>
      </c>
      <c r="AG41" s="156">
        <f t="shared" si="26"/>
        <v>1025</v>
      </c>
      <c r="AH41" s="43"/>
      <c r="AI41" s="32"/>
      <c r="AJ41" s="32"/>
      <c r="AK41" s="32"/>
      <c r="AL41" s="43"/>
      <c r="AM41" s="43"/>
      <c r="AN41" s="43"/>
      <c r="AO41" s="43"/>
      <c r="AP41" s="43"/>
      <c r="AQ41" s="43"/>
      <c r="AR41" s="43"/>
      <c r="AS41" s="43"/>
      <c r="AT41" s="43"/>
      <c r="AU41" s="43"/>
      <c r="AV41" s="43"/>
      <c r="AW41" s="43"/>
      <c r="AX41" s="43"/>
      <c r="AY41" s="43"/>
      <c r="AZ41" s="43"/>
      <c r="BA41" s="43"/>
      <c r="BB41" s="43"/>
      <c r="BC41" s="43"/>
      <c r="BD41" s="43"/>
      <c r="BE41" s="43"/>
      <c r="BF41" s="43"/>
      <c r="BG41" s="43"/>
      <c r="BH41" s="43"/>
      <c r="BI41" s="43"/>
      <c r="BJ41" s="43"/>
      <c r="BK41" s="43"/>
      <c r="BL41" s="43"/>
      <c r="BM41" s="43"/>
      <c r="BN41" s="43"/>
      <c r="BO41" s="43"/>
      <c r="BP41" s="43"/>
      <c r="BQ41" s="43"/>
      <c r="BR41" s="43"/>
      <c r="BS41" s="43"/>
      <c r="BT41" s="43"/>
      <c r="BU41" s="43"/>
      <c r="BV41" s="43"/>
      <c r="BW41" s="43"/>
      <c r="BX41" s="43"/>
      <c r="BY41" s="43"/>
      <c r="BZ41" s="43"/>
      <c r="CA41" s="43"/>
      <c r="CB41" s="43"/>
      <c r="CC41" s="43"/>
      <c r="CD41" s="43"/>
      <c r="CE41" s="43"/>
      <c r="CF41" s="43"/>
      <c r="CG41" s="43"/>
      <c r="CH41" s="43"/>
      <c r="CI41" s="43"/>
      <c r="CJ41" s="43"/>
      <c r="CK41" s="43"/>
      <c r="CL41" s="43"/>
      <c r="CM41" s="43"/>
      <c r="CN41" s="43"/>
      <c r="CO41" s="43"/>
      <c r="CP41" s="43"/>
      <c r="CQ41" s="43"/>
      <c r="CR41" s="43"/>
      <c r="CS41" s="43"/>
      <c r="CT41" s="43"/>
      <c r="CU41" s="43"/>
      <c r="CV41" s="43"/>
      <c r="CW41" s="43"/>
      <c r="CX41" s="43"/>
      <c r="CY41" s="43"/>
      <c r="CZ41" s="43"/>
      <c r="DA41" s="43"/>
      <c r="DB41" s="43"/>
      <c r="DC41" s="43"/>
      <c r="DD41" s="43"/>
      <c r="DE41" s="43"/>
      <c r="DF41" s="43"/>
      <c r="DG41" s="43"/>
      <c r="DH41" s="43"/>
      <c r="DI41" s="43"/>
      <c r="DJ41" s="43"/>
      <c r="DK41" s="43"/>
      <c r="DL41" s="43"/>
      <c r="DM41" s="43"/>
      <c r="DN41" s="43"/>
      <c r="DO41" s="43"/>
      <c r="DP41" s="43"/>
      <c r="DQ41" s="43"/>
      <c r="DR41" s="43"/>
      <c r="DS41" s="43"/>
      <c r="DT41" s="43"/>
      <c r="DU41" s="43"/>
      <c r="DV41" s="43"/>
      <c r="DW41" s="43"/>
      <c r="DX41" s="43"/>
      <c r="DY41" s="43"/>
      <c r="DZ41" s="43"/>
      <c r="EA41" s="43"/>
      <c r="EB41" s="43"/>
      <c r="EC41" s="43"/>
      <c r="ED41" s="43"/>
      <c r="EE41" s="43"/>
      <c r="EF41" s="43"/>
      <c r="EG41" s="43"/>
      <c r="EH41" s="43"/>
      <c r="EI41" s="43"/>
      <c r="EJ41" s="43"/>
      <c r="EK41" s="43"/>
      <c r="EL41" s="43"/>
      <c r="EM41" s="43"/>
      <c r="EN41" s="43"/>
      <c r="EO41" s="43"/>
      <c r="EP41" s="43"/>
      <c r="EQ41" s="43"/>
      <c r="ER41" s="43"/>
      <c r="ES41" s="43"/>
      <c r="ET41" s="43"/>
      <c r="EU41" s="43"/>
      <c r="EV41" s="43"/>
      <c r="EW41" s="43"/>
      <c r="EX41" s="43"/>
      <c r="EY41" s="43"/>
      <c r="EZ41" s="43"/>
      <c r="FA41" s="43"/>
      <c r="FB41" s="43"/>
      <c r="FC41" s="43"/>
      <c r="FD41" s="43"/>
      <c r="FE41" s="43"/>
      <c r="FF41" s="43"/>
      <c r="FG41" s="43"/>
      <c r="FH41" s="43"/>
      <c r="FI41" s="43"/>
      <c r="FJ41" s="43"/>
      <c r="FK41" s="43"/>
      <c r="FL41" s="43"/>
      <c r="FM41" s="43"/>
      <c r="FN41" s="43"/>
      <c r="FO41" s="43"/>
      <c r="FP41" s="43"/>
      <c r="FQ41" s="43"/>
      <c r="FR41" s="43"/>
      <c r="FS41" s="43"/>
      <c r="FT41" s="43"/>
      <c r="FU41" s="43"/>
      <c r="FV41" s="43"/>
      <c r="FW41" s="43"/>
      <c r="FX41" s="43"/>
      <c r="FY41" s="43"/>
      <c r="FZ41" s="43"/>
      <c r="GA41" s="43"/>
      <c r="GB41" s="43"/>
      <c r="GC41" s="43"/>
      <c r="GD41" s="43"/>
      <c r="GE41" s="43"/>
      <c r="GF41" s="43"/>
      <c r="GG41" s="43"/>
      <c r="GH41" s="43"/>
      <c r="GI41" s="43"/>
      <c r="GJ41" s="43"/>
      <c r="GK41" s="43"/>
      <c r="GL41" s="43"/>
      <c r="GM41" s="43"/>
      <c r="GN41" s="43"/>
      <c r="GO41" s="43"/>
      <c r="GP41" s="43"/>
      <c r="GQ41" s="43"/>
      <c r="GR41" s="43"/>
      <c r="GS41" s="43"/>
      <c r="GT41" s="43"/>
      <c r="GU41" s="43"/>
      <c r="GV41" s="43"/>
      <c r="GW41" s="43"/>
      <c r="GX41" s="43"/>
      <c r="GY41" s="43"/>
      <c r="GZ41" s="43"/>
      <c r="HA41" s="43"/>
      <c r="HB41" s="43"/>
      <c r="HC41" s="43"/>
      <c r="HD41" s="43"/>
      <c r="HE41" s="43"/>
      <c r="HF41" s="43"/>
      <c r="HG41" s="43"/>
      <c r="HH41" s="43"/>
      <c r="HI41" s="43"/>
      <c r="HJ41" s="43"/>
      <c r="HK41" s="43"/>
      <c r="HL41" s="43"/>
      <c r="HM41" s="43"/>
      <c r="HN41" s="43"/>
      <c r="HO41" s="43"/>
      <c r="HP41" s="43"/>
      <c r="HQ41" s="43"/>
      <c r="HR41"/>
      <c r="HS41"/>
      <c r="HT41"/>
      <c r="HU41"/>
      <c r="HV41"/>
      <c r="HW41"/>
      <c r="HX41"/>
      <c r="HY41"/>
      <c r="HZ41"/>
      <c r="IA41"/>
      <c r="IB41"/>
      <c r="IC41"/>
      <c r="ID41"/>
      <c r="IE41"/>
      <c r="IF41"/>
      <c r="IG41"/>
      <c r="IH41"/>
      <c r="II41"/>
      <c r="IJ41"/>
      <c r="IK41" s="32"/>
      <c r="IL41" s="32"/>
      <c r="IM41" s="32"/>
      <c r="IN41" s="32"/>
      <c r="IO41" s="32"/>
      <c r="IP41" s="32"/>
      <c r="IQ41" s="32"/>
    </row>
    <row r="42" spans="1:251" s="33" customFormat="1" collapsed="1">
      <c r="A42" s="80"/>
      <c r="B42" s="80" t="s">
        <v>253</v>
      </c>
      <c r="C42" s="68"/>
      <c r="D42" s="456">
        <f>1144+1073</f>
        <v>2217</v>
      </c>
      <c r="E42" s="456">
        <f>1124+1128</f>
        <v>2252</v>
      </c>
      <c r="F42" s="456">
        <f>914+1176</f>
        <v>2090</v>
      </c>
      <c r="G42" s="456">
        <f>1021+1251</f>
        <v>2272</v>
      </c>
      <c r="H42" s="456">
        <f>1103+1310</f>
        <v>2413</v>
      </c>
      <c r="I42" s="456">
        <v>2455</v>
      </c>
      <c r="J42" s="456">
        <v>3072</v>
      </c>
      <c r="K42" s="456">
        <v>3130</v>
      </c>
      <c r="L42" s="456">
        <v>3169</v>
      </c>
      <c r="M42" s="456">
        <f>782+1811</f>
        <v>2593</v>
      </c>
      <c r="N42" s="456">
        <f>654+1588</f>
        <v>2242</v>
      </c>
      <c r="O42" s="456">
        <v>849</v>
      </c>
      <c r="P42" s="222">
        <v>665</v>
      </c>
      <c r="Q42" s="222">
        <v>710</v>
      </c>
      <c r="R42" s="222">
        <v>797</v>
      </c>
      <c r="S42" s="222">
        <v>841</v>
      </c>
      <c r="T42" s="222">
        <v>888</v>
      </c>
      <c r="U42" s="222">
        <v>959</v>
      </c>
      <c r="V42" s="222">
        <v>1028</v>
      </c>
      <c r="W42" s="222">
        <v>1110</v>
      </c>
      <c r="X42" s="222">
        <v>1188</v>
      </c>
      <c r="Y42" s="156">
        <f t="shared" ref="Y42:AG42" si="27">+X42</f>
        <v>1188</v>
      </c>
      <c r="Z42" s="156">
        <f t="shared" si="27"/>
        <v>1188</v>
      </c>
      <c r="AA42" s="156">
        <f t="shared" si="27"/>
        <v>1188</v>
      </c>
      <c r="AB42" s="156">
        <f t="shared" si="27"/>
        <v>1188</v>
      </c>
      <c r="AC42" s="156">
        <f t="shared" si="27"/>
        <v>1188</v>
      </c>
      <c r="AD42" s="156">
        <f t="shared" si="27"/>
        <v>1188</v>
      </c>
      <c r="AE42" s="156">
        <f t="shared" si="27"/>
        <v>1188</v>
      </c>
      <c r="AF42" s="156">
        <f t="shared" si="27"/>
        <v>1188</v>
      </c>
      <c r="AG42" s="156">
        <f t="shared" si="27"/>
        <v>1188</v>
      </c>
      <c r="AH42" s="43"/>
      <c r="AI42" s="32"/>
      <c r="AJ42" s="32"/>
      <c r="AK42" s="32"/>
      <c r="AL42" s="43"/>
      <c r="AM42" s="43"/>
      <c r="AN42" s="43"/>
      <c r="AO42" s="43"/>
      <c r="AP42" s="43"/>
      <c r="AQ42" s="43"/>
      <c r="AR42" s="43"/>
      <c r="AS42" s="43"/>
      <c r="AT42" s="43"/>
      <c r="AU42" s="43"/>
      <c r="AV42" s="43"/>
      <c r="AW42" s="43"/>
      <c r="AX42" s="43"/>
      <c r="AY42" s="43"/>
      <c r="AZ42" s="43"/>
      <c r="BA42" s="43"/>
      <c r="BB42" s="43"/>
      <c r="BC42" s="43"/>
      <c r="BD42" s="43"/>
      <c r="BE42" s="43"/>
      <c r="BF42" s="43"/>
      <c r="BG42" s="43"/>
      <c r="BH42" s="43"/>
      <c r="BI42" s="43"/>
      <c r="BJ42" s="43"/>
      <c r="BK42" s="43"/>
      <c r="BL42" s="43"/>
      <c r="BM42" s="43"/>
      <c r="BN42" s="43"/>
      <c r="BO42" s="43"/>
      <c r="BP42" s="43"/>
      <c r="BQ42" s="43"/>
      <c r="BR42" s="43"/>
      <c r="BS42" s="43"/>
      <c r="BT42" s="43"/>
      <c r="BU42" s="43"/>
      <c r="BV42" s="43"/>
      <c r="BW42" s="43"/>
      <c r="BX42" s="43"/>
      <c r="BY42" s="43"/>
      <c r="BZ42" s="43"/>
      <c r="CA42" s="43"/>
      <c r="CB42" s="43"/>
      <c r="CC42" s="43"/>
      <c r="CD42" s="43"/>
      <c r="CE42" s="43"/>
      <c r="CF42" s="43"/>
      <c r="CG42" s="43"/>
      <c r="CH42" s="43"/>
      <c r="CI42" s="43"/>
      <c r="CJ42" s="43"/>
      <c r="CK42" s="43"/>
      <c r="CL42" s="43"/>
      <c r="CM42" s="43"/>
      <c r="CN42" s="43"/>
      <c r="CO42" s="43"/>
      <c r="CP42" s="43"/>
      <c r="CQ42" s="43"/>
      <c r="CR42" s="43"/>
      <c r="CS42" s="43"/>
      <c r="CT42" s="43"/>
      <c r="CU42" s="43"/>
      <c r="CV42" s="43"/>
      <c r="CW42" s="43"/>
      <c r="CX42" s="43"/>
      <c r="CY42" s="43"/>
      <c r="CZ42" s="43"/>
      <c r="DA42" s="43"/>
      <c r="DB42" s="43"/>
      <c r="DC42" s="43"/>
      <c r="DD42" s="43"/>
      <c r="DE42" s="43"/>
      <c r="DF42" s="43"/>
      <c r="DG42" s="43"/>
      <c r="DH42" s="43"/>
      <c r="DI42" s="43"/>
      <c r="DJ42" s="43"/>
      <c r="DK42" s="43"/>
      <c r="DL42" s="43"/>
      <c r="DM42" s="43"/>
      <c r="DN42" s="43"/>
      <c r="DO42" s="43"/>
      <c r="DP42" s="43"/>
      <c r="DQ42" s="43"/>
      <c r="DR42" s="43"/>
      <c r="DS42" s="43"/>
      <c r="DT42" s="43"/>
      <c r="DU42" s="43"/>
      <c r="DV42" s="43"/>
      <c r="DW42" s="43"/>
      <c r="DX42" s="43"/>
      <c r="DY42" s="43"/>
      <c r="DZ42" s="43"/>
      <c r="EA42" s="43"/>
      <c r="EB42" s="43"/>
      <c r="EC42" s="43"/>
      <c r="ED42" s="43"/>
      <c r="EE42" s="43"/>
      <c r="EF42" s="43"/>
      <c r="EG42" s="43"/>
      <c r="EH42" s="43"/>
      <c r="EI42" s="43"/>
      <c r="EJ42" s="43"/>
      <c r="EK42" s="43"/>
      <c r="EL42" s="43"/>
      <c r="EM42" s="43"/>
      <c r="EN42" s="43"/>
      <c r="EO42" s="43"/>
      <c r="EP42" s="43"/>
      <c r="EQ42" s="43"/>
      <c r="ER42" s="43"/>
      <c r="ES42" s="43"/>
      <c r="ET42" s="43"/>
      <c r="EU42" s="43"/>
      <c r="EV42" s="43"/>
      <c r="EW42" s="43"/>
      <c r="EX42" s="43"/>
      <c r="EY42" s="43"/>
      <c r="EZ42" s="43"/>
      <c r="FA42" s="43"/>
      <c r="FB42" s="43"/>
      <c r="FC42" s="43"/>
      <c r="FD42" s="43"/>
      <c r="FE42" s="43"/>
      <c r="FF42" s="43"/>
      <c r="FG42" s="43"/>
      <c r="FH42" s="43"/>
      <c r="FI42" s="43"/>
      <c r="FJ42" s="43"/>
      <c r="FK42" s="43"/>
      <c r="FL42" s="43"/>
      <c r="FM42" s="43"/>
      <c r="FN42" s="43"/>
      <c r="FO42" s="43"/>
      <c r="FP42" s="43"/>
      <c r="FQ42" s="43"/>
      <c r="FR42" s="43"/>
      <c r="FS42" s="43"/>
      <c r="FT42" s="43"/>
      <c r="FU42" s="43"/>
      <c r="FV42" s="43"/>
      <c r="FW42" s="43"/>
      <c r="FX42" s="43"/>
      <c r="FY42" s="43"/>
      <c r="FZ42" s="43"/>
      <c r="GA42" s="43"/>
      <c r="GB42" s="43"/>
      <c r="GC42" s="43"/>
      <c r="GD42" s="43"/>
      <c r="GE42" s="43"/>
      <c r="GF42" s="43"/>
      <c r="GG42" s="43"/>
      <c r="GH42" s="43"/>
      <c r="GI42" s="43"/>
      <c r="GJ42" s="43"/>
      <c r="GK42" s="43"/>
      <c r="GL42" s="43"/>
      <c r="GM42" s="43"/>
      <c r="GN42" s="43"/>
      <c r="GO42" s="43"/>
      <c r="GP42" s="43"/>
      <c r="GQ42" s="43"/>
      <c r="GR42" s="43"/>
      <c r="GS42" s="43"/>
      <c r="GT42" s="43"/>
      <c r="GU42" s="43"/>
      <c r="GV42" s="43"/>
      <c r="GW42" s="43"/>
      <c r="GX42" s="43"/>
      <c r="GY42" s="43"/>
      <c r="GZ42" s="43"/>
      <c r="HA42" s="43"/>
      <c r="HB42" s="43"/>
      <c r="HC42" s="43"/>
      <c r="HD42" s="43"/>
      <c r="HE42" s="43"/>
      <c r="HF42" s="43"/>
      <c r="HG42" s="43"/>
      <c r="HH42" s="43"/>
      <c r="HI42" s="43"/>
      <c r="HJ42" s="43"/>
      <c r="HK42" s="43"/>
      <c r="HL42" s="43"/>
      <c r="HM42" s="43"/>
      <c r="HN42" s="43"/>
      <c r="HO42" s="43"/>
      <c r="HP42" s="43"/>
      <c r="HQ42" s="43"/>
      <c r="HR42"/>
      <c r="HS42"/>
      <c r="HT42"/>
      <c r="HU42"/>
      <c r="HV42"/>
      <c r="HW42"/>
      <c r="HX42"/>
      <c r="HY42"/>
      <c r="HZ42"/>
      <c r="IA42"/>
      <c r="IB42"/>
      <c r="IC42"/>
      <c r="ID42"/>
      <c r="IE42"/>
      <c r="IF42"/>
      <c r="IG42"/>
      <c r="IH42"/>
      <c r="II42"/>
      <c r="IJ42"/>
      <c r="IK42" s="32"/>
      <c r="IL42" s="32"/>
      <c r="IM42" s="32"/>
      <c r="IN42" s="32"/>
      <c r="IO42" s="32"/>
      <c r="IP42" s="32"/>
      <c r="IQ42" s="32"/>
    </row>
    <row r="43" spans="1:251" s="33" customFormat="1" hidden="1" outlineLevel="1">
      <c r="A43" s="80"/>
      <c r="B43" s="457" t="s">
        <v>0</v>
      </c>
      <c r="C43" s="68"/>
      <c r="D43" s="156"/>
      <c r="E43" s="156"/>
      <c r="F43" s="156"/>
      <c r="G43" s="156"/>
      <c r="H43" s="156">
        <v>407</v>
      </c>
      <c r="I43" s="156">
        <v>1715</v>
      </c>
      <c r="J43" s="156">
        <v>2546</v>
      </c>
      <c r="K43" s="156">
        <v>2836</v>
      </c>
      <c r="L43" s="156">
        <v>2135</v>
      </c>
      <c r="M43" s="156">
        <v>420</v>
      </c>
      <c r="N43" s="222">
        <v>638</v>
      </c>
      <c r="O43" s="222">
        <f>+N43-638</f>
        <v>0</v>
      </c>
      <c r="P43" s="156">
        <v>0</v>
      </c>
      <c r="Q43" s="156">
        <v>0</v>
      </c>
      <c r="R43" s="156">
        <v>0</v>
      </c>
      <c r="S43" s="156">
        <f>R43+(0.5*CFS!R37)</f>
        <v>0</v>
      </c>
      <c r="T43" s="156">
        <f>1459-600</f>
        <v>859</v>
      </c>
      <c r="U43" s="156">
        <v>0</v>
      </c>
      <c r="V43" s="156">
        <f>U43</f>
        <v>0</v>
      </c>
      <c r="W43" s="156"/>
      <c r="X43" s="156">
        <f>W43+(0.5*CFS!W37)</f>
        <v>0</v>
      </c>
      <c r="Y43" s="156">
        <f>X43+(0.5*CFS!X37)</f>
        <v>0</v>
      </c>
      <c r="Z43" s="156">
        <f>Y43+(0.5*CFS!Y37)</f>
        <v>0</v>
      </c>
      <c r="AA43" s="156">
        <f>Z43+(0.5*CFS!Z37)</f>
        <v>0</v>
      </c>
      <c r="AB43" s="156">
        <f>AA43+(0.5*CFS!AA37)</f>
        <v>0</v>
      </c>
      <c r="AC43" s="156">
        <f>AB43+(0.5*CFS!AB37)</f>
        <v>0</v>
      </c>
      <c r="AD43" s="156">
        <f>AC43+(0.5*CFS!AC37)</f>
        <v>0</v>
      </c>
      <c r="AE43" s="156">
        <f>AD43+(0.5*CFS!AD37)</f>
        <v>0</v>
      </c>
      <c r="AF43" s="156">
        <f>AE43+(0.5*CFS!AE37)</f>
        <v>0</v>
      </c>
      <c r="AG43" s="156">
        <f>AF43+(0.5*CFS!AF37)</f>
        <v>0</v>
      </c>
      <c r="AH43" s="43"/>
      <c r="AI43" s="32"/>
      <c r="AJ43" s="32"/>
      <c r="AK43" s="32"/>
      <c r="AL43" s="43"/>
      <c r="AM43" s="43"/>
      <c r="AN43" s="43"/>
      <c r="AO43" s="43"/>
      <c r="AP43" s="43"/>
      <c r="AQ43" s="43"/>
      <c r="AR43" s="43"/>
      <c r="AS43" s="43"/>
      <c r="AT43" s="43"/>
      <c r="AU43" s="43"/>
      <c r="AV43" s="43"/>
      <c r="AW43" s="43"/>
      <c r="AX43" s="43"/>
      <c r="AY43" s="43"/>
      <c r="AZ43" s="43"/>
      <c r="BA43" s="43"/>
      <c r="BB43" s="43"/>
      <c r="BC43" s="43"/>
      <c r="BD43" s="43"/>
      <c r="BE43" s="43"/>
      <c r="BF43" s="43"/>
      <c r="BG43" s="43"/>
      <c r="BH43" s="43"/>
      <c r="BI43" s="43"/>
      <c r="BJ43" s="43"/>
      <c r="BK43" s="43"/>
      <c r="BL43" s="43"/>
      <c r="BM43" s="43"/>
      <c r="BN43" s="43"/>
      <c r="BO43" s="43"/>
      <c r="BP43" s="43"/>
      <c r="BQ43" s="43"/>
      <c r="BR43" s="43"/>
      <c r="BS43" s="43"/>
      <c r="BT43" s="43"/>
      <c r="BU43" s="43"/>
      <c r="BV43" s="43"/>
      <c r="BW43" s="43"/>
      <c r="BX43" s="43"/>
      <c r="BY43" s="43"/>
      <c r="BZ43" s="43"/>
      <c r="CA43" s="43"/>
      <c r="CB43" s="43"/>
      <c r="CC43" s="43"/>
      <c r="CD43" s="43"/>
      <c r="CE43" s="43"/>
      <c r="CF43" s="43"/>
      <c r="CG43" s="43"/>
      <c r="CH43" s="43"/>
      <c r="CI43" s="43"/>
      <c r="CJ43" s="43"/>
      <c r="CK43" s="43"/>
      <c r="CL43" s="43"/>
      <c r="CM43" s="43"/>
      <c r="CN43" s="43"/>
      <c r="CO43" s="43"/>
      <c r="CP43" s="43"/>
      <c r="CQ43" s="43"/>
      <c r="CR43" s="43"/>
      <c r="CS43" s="43"/>
      <c r="CT43" s="43"/>
      <c r="CU43" s="43"/>
      <c r="CV43" s="43"/>
      <c r="CW43" s="43"/>
      <c r="CX43" s="43"/>
      <c r="CY43" s="43"/>
      <c r="CZ43" s="43"/>
      <c r="DA43" s="43"/>
      <c r="DB43" s="43"/>
      <c r="DC43" s="43"/>
      <c r="DD43" s="43"/>
      <c r="DE43" s="43"/>
      <c r="DF43" s="43"/>
      <c r="DG43" s="43"/>
      <c r="DH43" s="43"/>
      <c r="DI43" s="43"/>
      <c r="DJ43" s="43"/>
      <c r="DK43" s="43"/>
      <c r="DL43" s="43"/>
      <c r="DM43" s="43"/>
      <c r="DN43" s="43"/>
      <c r="DO43" s="43"/>
      <c r="DP43" s="43"/>
      <c r="DQ43" s="43"/>
      <c r="DR43" s="43"/>
      <c r="DS43" s="43"/>
      <c r="DT43" s="43"/>
      <c r="DU43" s="43"/>
      <c r="DV43" s="43"/>
      <c r="DW43" s="43"/>
      <c r="DX43" s="43"/>
      <c r="DY43" s="43"/>
      <c r="DZ43" s="43"/>
      <c r="EA43" s="43"/>
      <c r="EB43" s="43"/>
      <c r="EC43" s="43"/>
      <c r="ED43" s="43"/>
      <c r="EE43" s="43"/>
      <c r="EF43" s="43"/>
      <c r="EG43" s="43"/>
      <c r="EH43" s="43"/>
      <c r="EI43" s="43"/>
      <c r="EJ43" s="43"/>
      <c r="EK43" s="43"/>
      <c r="EL43" s="43"/>
      <c r="EM43" s="43"/>
      <c r="EN43" s="43"/>
      <c r="EO43" s="43"/>
      <c r="EP43" s="43"/>
      <c r="EQ43" s="43"/>
      <c r="ER43" s="43"/>
      <c r="ES43" s="43"/>
      <c r="ET43" s="43"/>
      <c r="EU43" s="43"/>
      <c r="EV43" s="43"/>
      <c r="EW43" s="43"/>
      <c r="EX43" s="43"/>
      <c r="EY43" s="43"/>
      <c r="EZ43" s="43"/>
      <c r="FA43" s="43"/>
      <c r="FB43" s="43"/>
      <c r="FC43" s="43"/>
      <c r="FD43" s="43"/>
      <c r="FE43" s="43"/>
      <c r="FF43" s="43"/>
      <c r="FG43" s="43"/>
      <c r="FH43" s="43"/>
      <c r="FI43" s="43"/>
      <c r="FJ43" s="43"/>
      <c r="FK43" s="43"/>
      <c r="FL43" s="43"/>
      <c r="FM43" s="43"/>
      <c r="FN43" s="43"/>
      <c r="FO43" s="43"/>
      <c r="FP43" s="43"/>
      <c r="FQ43" s="43"/>
      <c r="FR43" s="43"/>
      <c r="FS43" s="43"/>
      <c r="FT43" s="43"/>
      <c r="FU43" s="43"/>
      <c r="FV43" s="43"/>
      <c r="FW43" s="43"/>
      <c r="FX43" s="43"/>
      <c r="FY43" s="43"/>
      <c r="FZ43" s="43"/>
      <c r="GA43" s="43"/>
      <c r="GB43" s="43"/>
      <c r="GC43" s="43"/>
      <c r="GD43" s="43"/>
      <c r="GE43" s="43"/>
      <c r="GF43" s="43"/>
      <c r="GG43" s="43"/>
      <c r="GH43" s="43"/>
      <c r="GI43" s="43"/>
      <c r="GJ43" s="43"/>
      <c r="GK43" s="43"/>
      <c r="GL43" s="43"/>
      <c r="GM43" s="43"/>
      <c r="GN43" s="43"/>
      <c r="GO43" s="43"/>
      <c r="GP43" s="43"/>
      <c r="GQ43" s="43"/>
      <c r="GR43" s="43"/>
      <c r="GS43" s="43"/>
      <c r="GT43" s="43"/>
      <c r="GU43" s="43"/>
      <c r="GV43" s="43"/>
      <c r="GW43" s="43"/>
      <c r="GX43" s="43"/>
      <c r="GY43" s="43"/>
      <c r="GZ43" s="43"/>
      <c r="HA43" s="43"/>
      <c r="HB43" s="43"/>
      <c r="HC43" s="43"/>
      <c r="HD43" s="43"/>
      <c r="HE43" s="43"/>
      <c r="HF43" s="43"/>
      <c r="HG43" s="43"/>
      <c r="HH43" s="43"/>
      <c r="HI43" s="43"/>
      <c r="HJ43" s="43"/>
      <c r="HK43" s="43"/>
      <c r="HL43" s="43"/>
      <c r="HM43" s="43"/>
      <c r="HN43" s="43"/>
      <c r="HO43" s="43"/>
      <c r="HP43" s="43"/>
      <c r="HQ43" s="43"/>
      <c r="HR43"/>
      <c r="HS43"/>
      <c r="HT43"/>
      <c r="HU43"/>
      <c r="HV43"/>
      <c r="HW43"/>
      <c r="HX43"/>
      <c r="HY43"/>
      <c r="HZ43"/>
      <c r="IA43"/>
      <c r="IB43"/>
      <c r="IC43"/>
      <c r="ID43"/>
      <c r="IE43"/>
      <c r="IF43"/>
      <c r="IG43"/>
      <c r="IH43"/>
      <c r="II43"/>
      <c r="IJ43"/>
      <c r="IK43" s="32"/>
      <c r="IL43" s="32"/>
      <c r="IM43" s="32"/>
      <c r="IN43" s="32"/>
      <c r="IO43" s="32"/>
      <c r="IP43" s="32"/>
      <c r="IQ43" s="32"/>
    </row>
    <row r="44" spans="1:251" s="33" customFormat="1" hidden="1" outlineLevel="1">
      <c r="A44" s="80"/>
      <c r="B44" s="457" t="s">
        <v>631</v>
      </c>
      <c r="C44" s="68"/>
      <c r="D44" s="156"/>
      <c r="E44" s="156"/>
      <c r="F44" s="156"/>
      <c r="G44" s="156"/>
      <c r="H44" s="156">
        <v>1558</v>
      </c>
      <c r="I44" s="156">
        <f>1661</f>
        <v>1661</v>
      </c>
      <c r="J44" s="156">
        <v>1751</v>
      </c>
      <c r="K44" s="156">
        <v>3430</v>
      </c>
      <c r="L44" s="156">
        <v>2066</v>
      </c>
      <c r="M44" s="156">
        <v>648</v>
      </c>
      <c r="N44" s="156">
        <v>2445</v>
      </c>
      <c r="O44" s="156">
        <v>2354</v>
      </c>
      <c r="P44" s="222">
        <v>135</v>
      </c>
      <c r="Q44" s="222">
        <v>775</v>
      </c>
      <c r="R44" s="222">
        <v>0</v>
      </c>
      <c r="S44" s="222">
        <v>600</v>
      </c>
      <c r="T44" s="222">
        <v>600</v>
      </c>
      <c r="U44" s="222">
        <v>525</v>
      </c>
      <c r="V44" s="222">
        <v>1000</v>
      </c>
      <c r="W44" s="222">
        <v>4</v>
      </c>
      <c r="X44" s="222">
        <v>0</v>
      </c>
      <c r="Y44" s="156">
        <f>X44+(CFS!X37*0.5)</f>
        <v>0</v>
      </c>
      <c r="Z44" s="156">
        <f>Y44+(CFS!Y37*0.5)</f>
        <v>0</v>
      </c>
      <c r="AA44" s="156">
        <f>Z44+(CFS!Z37*0.5)</f>
        <v>0</v>
      </c>
      <c r="AB44" s="156">
        <f>AA44+(CFS!AA37*0.5)</f>
        <v>0</v>
      </c>
      <c r="AC44" s="156">
        <f>AB44+(CFS!AB37*0.5)</f>
        <v>0</v>
      </c>
      <c r="AD44" s="156">
        <f>AC44+(CFS!AC37*0.5)</f>
        <v>0</v>
      </c>
      <c r="AE44" s="156">
        <f>AD44+(CFS!AD37*0.5)</f>
        <v>0</v>
      </c>
      <c r="AF44" s="156">
        <f>AE44+(CFS!AE37*0.5)</f>
        <v>0</v>
      </c>
      <c r="AG44" s="156">
        <f>AF44+(CFS!AF37*0.5)</f>
        <v>0</v>
      </c>
      <c r="AH44" s="43"/>
      <c r="AI44" s="32"/>
      <c r="AJ44" s="32"/>
      <c r="AK44" s="32"/>
      <c r="AL44" s="43"/>
      <c r="AM44" s="43"/>
      <c r="AN44" s="43"/>
      <c r="AO44" s="43"/>
      <c r="AP44" s="43"/>
      <c r="AQ44" s="43"/>
      <c r="AR44" s="43"/>
      <c r="AS44" s="43"/>
      <c r="AT44" s="43"/>
      <c r="AU44" s="43"/>
      <c r="AV44" s="43"/>
      <c r="AW44" s="43"/>
      <c r="AX44" s="43"/>
      <c r="AY44" s="43"/>
      <c r="AZ44" s="43"/>
      <c r="BA44" s="43"/>
      <c r="BB44" s="43"/>
      <c r="BC44" s="43"/>
      <c r="BD44" s="43"/>
      <c r="BE44" s="43"/>
      <c r="BF44" s="43"/>
      <c r="BG44" s="43"/>
      <c r="BH44" s="43"/>
      <c r="BI44" s="43"/>
      <c r="BJ44" s="43"/>
      <c r="BK44" s="43"/>
      <c r="BL44" s="43"/>
      <c r="BM44" s="43"/>
      <c r="BN44" s="43"/>
      <c r="BO44" s="43"/>
      <c r="BP44" s="43"/>
      <c r="BQ44" s="43"/>
      <c r="BR44" s="43"/>
      <c r="BS44" s="43"/>
      <c r="BT44" s="43"/>
      <c r="BU44" s="43"/>
      <c r="BV44" s="43"/>
      <c r="BW44" s="43"/>
      <c r="BX44" s="43"/>
      <c r="BY44" s="43"/>
      <c r="BZ44" s="43"/>
      <c r="CA44" s="43"/>
      <c r="CB44" s="43"/>
      <c r="CC44" s="43"/>
      <c r="CD44" s="43"/>
      <c r="CE44" s="43"/>
      <c r="CF44" s="43"/>
      <c r="CG44" s="43"/>
      <c r="CH44" s="43"/>
      <c r="CI44" s="43"/>
      <c r="CJ44" s="43"/>
      <c r="CK44" s="43"/>
      <c r="CL44" s="43"/>
      <c r="CM44" s="43"/>
      <c r="CN44" s="43"/>
      <c r="CO44" s="43"/>
      <c r="CP44" s="43"/>
      <c r="CQ44" s="43"/>
      <c r="CR44" s="43"/>
      <c r="CS44" s="43"/>
      <c r="CT44" s="43"/>
      <c r="CU44" s="43"/>
      <c r="CV44" s="43"/>
      <c r="CW44" s="43"/>
      <c r="CX44" s="43"/>
      <c r="CY44" s="43"/>
      <c r="CZ44" s="43"/>
      <c r="DA44" s="43"/>
      <c r="DB44" s="43"/>
      <c r="DC44" s="43"/>
      <c r="DD44" s="43"/>
      <c r="DE44" s="43"/>
      <c r="DF44" s="43"/>
      <c r="DG44" s="43"/>
      <c r="DH44" s="43"/>
      <c r="DI44" s="43"/>
      <c r="DJ44" s="43"/>
      <c r="DK44" s="43"/>
      <c r="DL44" s="43"/>
      <c r="DM44" s="43"/>
      <c r="DN44" s="43"/>
      <c r="DO44" s="43"/>
      <c r="DP44" s="43"/>
      <c r="DQ44" s="43"/>
      <c r="DR44" s="43"/>
      <c r="DS44" s="43"/>
      <c r="DT44" s="43"/>
      <c r="DU44" s="43"/>
      <c r="DV44" s="43"/>
      <c r="DW44" s="43"/>
      <c r="DX44" s="43"/>
      <c r="DY44" s="43"/>
      <c r="DZ44" s="43"/>
      <c r="EA44" s="43"/>
      <c r="EB44" s="43"/>
      <c r="EC44" s="43"/>
      <c r="ED44" s="43"/>
      <c r="EE44" s="43"/>
      <c r="EF44" s="43"/>
      <c r="EG44" s="43"/>
      <c r="EH44" s="43"/>
      <c r="EI44" s="43"/>
      <c r="EJ44" s="43"/>
      <c r="EK44" s="43"/>
      <c r="EL44" s="43"/>
      <c r="EM44" s="43"/>
      <c r="EN44" s="43"/>
      <c r="EO44" s="43"/>
      <c r="EP44" s="43"/>
      <c r="EQ44" s="43"/>
      <c r="ER44" s="43"/>
      <c r="ES44" s="43"/>
      <c r="ET44" s="43"/>
      <c r="EU44" s="43"/>
      <c r="EV44" s="43"/>
      <c r="EW44" s="43"/>
      <c r="EX44" s="43"/>
      <c r="EY44" s="43"/>
      <c r="EZ44" s="43"/>
      <c r="FA44" s="43"/>
      <c r="FB44" s="43"/>
      <c r="FC44" s="43"/>
      <c r="FD44" s="43"/>
      <c r="FE44" s="43"/>
      <c r="FF44" s="43"/>
      <c r="FG44" s="43"/>
      <c r="FH44" s="43"/>
      <c r="FI44" s="43"/>
      <c r="FJ44" s="43"/>
      <c r="FK44" s="43"/>
      <c r="FL44" s="43"/>
      <c r="FM44" s="43"/>
      <c r="FN44" s="43"/>
      <c r="FO44" s="43"/>
      <c r="FP44" s="43"/>
      <c r="FQ44" s="43"/>
      <c r="FR44" s="43"/>
      <c r="FS44" s="43"/>
      <c r="FT44" s="43"/>
      <c r="FU44" s="43"/>
      <c r="FV44" s="43"/>
      <c r="FW44" s="43"/>
      <c r="FX44" s="43"/>
      <c r="FY44" s="43"/>
      <c r="FZ44" s="43"/>
      <c r="GA44" s="43"/>
      <c r="GB44" s="43"/>
      <c r="GC44" s="43"/>
      <c r="GD44" s="43"/>
      <c r="GE44" s="43"/>
      <c r="GF44" s="43"/>
      <c r="GG44" s="43"/>
      <c r="GH44" s="43"/>
      <c r="GI44" s="43"/>
      <c r="GJ44" s="43"/>
      <c r="GK44" s="43"/>
      <c r="GL44" s="43"/>
      <c r="GM44" s="43"/>
      <c r="GN44" s="43"/>
      <c r="GO44" s="43"/>
      <c r="GP44" s="43"/>
      <c r="GQ44" s="43"/>
      <c r="GR44" s="43"/>
      <c r="GS44" s="43"/>
      <c r="GT44" s="43"/>
      <c r="GU44" s="43"/>
      <c r="GV44" s="43"/>
      <c r="GW44" s="43"/>
      <c r="GX44" s="43"/>
      <c r="GY44" s="43"/>
      <c r="GZ44" s="43"/>
      <c r="HA44" s="43"/>
      <c r="HB44" s="43"/>
      <c r="HC44" s="43"/>
      <c r="HD44" s="43"/>
      <c r="HE44" s="43"/>
      <c r="HF44" s="43"/>
      <c r="HG44" s="43"/>
      <c r="HH44" s="43"/>
      <c r="HI44" s="43"/>
      <c r="HJ44" s="43"/>
      <c r="HK44" s="43"/>
      <c r="HL44" s="43"/>
      <c r="HM44" s="43"/>
      <c r="HN44" s="43"/>
      <c r="HO44" s="43"/>
      <c r="HP44" s="43"/>
      <c r="HQ44" s="43"/>
      <c r="HR44"/>
      <c r="HS44"/>
      <c r="HT44"/>
      <c r="HU44"/>
      <c r="HV44"/>
      <c r="HW44"/>
      <c r="HX44"/>
      <c r="HY44"/>
      <c r="HZ44"/>
      <c r="IA44"/>
      <c r="IB44"/>
      <c r="IC44"/>
      <c r="ID44"/>
      <c r="IE44"/>
      <c r="IF44"/>
      <c r="IG44"/>
      <c r="IH44"/>
      <c r="II44"/>
      <c r="IJ44"/>
      <c r="IK44" s="32"/>
      <c r="IL44" s="32"/>
      <c r="IM44" s="32"/>
      <c r="IN44" s="32"/>
      <c r="IO44" s="32"/>
      <c r="IP44" s="32"/>
      <c r="IQ44" s="32"/>
    </row>
    <row r="45" spans="1:251" s="33" customFormat="1" collapsed="1">
      <c r="A45" s="80"/>
      <c r="B45" s="80" t="s">
        <v>139</v>
      </c>
      <c r="C45" s="68"/>
      <c r="D45" s="156">
        <f>225+1822</f>
        <v>2047</v>
      </c>
      <c r="E45" s="156">
        <f>641+1601</f>
        <v>2242</v>
      </c>
      <c r="F45" s="156">
        <f>3166+5775</f>
        <v>8941</v>
      </c>
      <c r="G45" s="156">
        <f>997+1942</f>
        <v>2939</v>
      </c>
      <c r="H45" s="156">
        <f t="shared" ref="H45:X45" si="28">+H43+H44</f>
        <v>1965</v>
      </c>
      <c r="I45" s="156">
        <f t="shared" si="28"/>
        <v>3376</v>
      </c>
      <c r="J45" s="156">
        <f t="shared" si="28"/>
        <v>4297</v>
      </c>
      <c r="K45" s="156">
        <f t="shared" si="28"/>
        <v>6266</v>
      </c>
      <c r="L45" s="156">
        <f>+L43+L44</f>
        <v>4201</v>
      </c>
      <c r="M45" s="156">
        <f>+M43+M44</f>
        <v>1068</v>
      </c>
      <c r="N45" s="156">
        <f t="shared" si="28"/>
        <v>3083</v>
      </c>
      <c r="O45" s="156">
        <f t="shared" si="28"/>
        <v>2354</v>
      </c>
      <c r="P45" s="156">
        <f t="shared" si="28"/>
        <v>135</v>
      </c>
      <c r="Q45" s="156">
        <f t="shared" si="28"/>
        <v>775</v>
      </c>
      <c r="R45" s="156">
        <f t="shared" si="28"/>
        <v>0</v>
      </c>
      <c r="S45" s="156">
        <f t="shared" si="28"/>
        <v>600</v>
      </c>
      <c r="T45" s="156">
        <v>1459</v>
      </c>
      <c r="U45" s="156">
        <f t="shared" si="28"/>
        <v>525</v>
      </c>
      <c r="V45" s="156">
        <f t="shared" si="28"/>
        <v>1000</v>
      </c>
      <c r="W45" s="156">
        <f t="shared" si="28"/>
        <v>4</v>
      </c>
      <c r="X45" s="156">
        <f t="shared" si="28"/>
        <v>0</v>
      </c>
      <c r="Y45" s="156">
        <f t="shared" ref="Y45:AG45" si="29">+Y43+Y44</f>
        <v>0</v>
      </c>
      <c r="Z45" s="156">
        <f t="shared" si="29"/>
        <v>0</v>
      </c>
      <c r="AA45" s="156">
        <f t="shared" si="29"/>
        <v>0</v>
      </c>
      <c r="AB45" s="156">
        <f t="shared" si="29"/>
        <v>0</v>
      </c>
      <c r="AC45" s="156">
        <f t="shared" si="29"/>
        <v>0</v>
      </c>
      <c r="AD45" s="156">
        <f t="shared" si="29"/>
        <v>0</v>
      </c>
      <c r="AE45" s="156">
        <f t="shared" si="29"/>
        <v>0</v>
      </c>
      <c r="AF45" s="156">
        <f t="shared" si="29"/>
        <v>0</v>
      </c>
      <c r="AG45" s="156">
        <f t="shared" si="29"/>
        <v>0</v>
      </c>
      <c r="AH45" s="43"/>
      <c r="AI45" s="32"/>
      <c r="AJ45" s="32"/>
      <c r="AK45" s="32"/>
      <c r="AL45" s="43"/>
      <c r="AM45" s="43"/>
      <c r="AN45" s="43"/>
      <c r="AO45" s="43"/>
      <c r="AP45" s="43"/>
      <c r="AQ45" s="43"/>
      <c r="AR45" s="43"/>
      <c r="AS45" s="43"/>
      <c r="AT45" s="43"/>
      <c r="AU45" s="43"/>
      <c r="AV45" s="43"/>
      <c r="AW45" s="43"/>
      <c r="AX45" s="43"/>
      <c r="AY45" s="43"/>
      <c r="AZ45" s="43"/>
      <c r="BA45" s="43"/>
      <c r="BB45" s="43"/>
      <c r="BC45" s="43"/>
      <c r="BD45" s="43"/>
      <c r="BE45" s="43"/>
      <c r="BF45" s="43"/>
      <c r="BG45" s="43"/>
      <c r="BH45" s="43"/>
      <c r="BI45" s="43"/>
      <c r="BJ45" s="43"/>
      <c r="BK45" s="43"/>
      <c r="BL45" s="43"/>
      <c r="BM45" s="43"/>
      <c r="BN45" s="43"/>
      <c r="BO45" s="43"/>
      <c r="BP45" s="43"/>
      <c r="BQ45" s="43"/>
      <c r="BR45" s="43"/>
      <c r="BS45" s="43"/>
      <c r="BT45" s="43"/>
      <c r="BU45" s="43"/>
      <c r="BV45" s="43"/>
      <c r="BW45" s="43"/>
      <c r="BX45" s="43"/>
      <c r="BY45" s="43"/>
      <c r="BZ45" s="43"/>
      <c r="CA45" s="43"/>
      <c r="CB45" s="43"/>
      <c r="CC45" s="43"/>
      <c r="CD45" s="43"/>
      <c r="CE45" s="43"/>
      <c r="CF45" s="43"/>
      <c r="CG45" s="43"/>
      <c r="CH45" s="43"/>
      <c r="CI45" s="43"/>
      <c r="CJ45" s="43"/>
      <c r="CK45" s="43"/>
      <c r="CL45" s="43"/>
      <c r="CM45" s="43"/>
      <c r="CN45" s="43"/>
      <c r="CO45" s="43"/>
      <c r="CP45" s="43"/>
      <c r="CQ45" s="43"/>
      <c r="CR45" s="43"/>
      <c r="CS45" s="43"/>
      <c r="CT45" s="43"/>
      <c r="CU45" s="43"/>
      <c r="CV45" s="43"/>
      <c r="CW45" s="43"/>
      <c r="CX45" s="43"/>
      <c r="CY45" s="43"/>
      <c r="CZ45" s="43"/>
      <c r="DA45" s="43"/>
      <c r="DB45" s="43"/>
      <c r="DC45" s="43"/>
      <c r="DD45" s="43"/>
      <c r="DE45" s="43"/>
      <c r="DF45" s="43"/>
      <c r="DG45" s="43"/>
      <c r="DH45" s="43"/>
      <c r="DI45" s="43"/>
      <c r="DJ45" s="43"/>
      <c r="DK45" s="43"/>
      <c r="DL45" s="43"/>
      <c r="DM45" s="43"/>
      <c r="DN45" s="43"/>
      <c r="DO45" s="43"/>
      <c r="DP45" s="43"/>
      <c r="DQ45" s="43"/>
      <c r="DR45" s="43"/>
      <c r="DS45" s="43"/>
      <c r="DT45" s="43"/>
      <c r="DU45" s="43"/>
      <c r="DV45" s="43"/>
      <c r="DW45" s="43"/>
      <c r="DX45" s="43"/>
      <c r="DY45" s="43"/>
      <c r="DZ45" s="43"/>
      <c r="EA45" s="43"/>
      <c r="EB45" s="43"/>
      <c r="EC45" s="43"/>
      <c r="ED45" s="43"/>
      <c r="EE45" s="43"/>
      <c r="EF45" s="43"/>
      <c r="EG45" s="43"/>
      <c r="EH45" s="43"/>
      <c r="EI45" s="43"/>
      <c r="EJ45" s="43"/>
      <c r="EK45" s="43"/>
      <c r="EL45" s="43"/>
      <c r="EM45" s="43"/>
      <c r="EN45" s="43"/>
      <c r="EO45" s="43"/>
      <c r="EP45" s="43"/>
      <c r="EQ45" s="43"/>
      <c r="ER45" s="43"/>
      <c r="ES45" s="43"/>
      <c r="ET45" s="43"/>
      <c r="EU45" s="43"/>
      <c r="EV45" s="43"/>
      <c r="EW45" s="43"/>
      <c r="EX45" s="43"/>
      <c r="EY45" s="43"/>
      <c r="EZ45" s="43"/>
      <c r="FA45" s="43"/>
      <c r="FB45" s="43"/>
      <c r="FC45" s="43"/>
      <c r="FD45" s="43"/>
      <c r="FE45" s="43"/>
      <c r="FF45" s="43"/>
      <c r="FG45" s="43"/>
      <c r="FH45" s="43"/>
      <c r="FI45" s="43"/>
      <c r="FJ45" s="43"/>
      <c r="FK45" s="43"/>
      <c r="FL45" s="43"/>
      <c r="FM45" s="43"/>
      <c r="FN45" s="43"/>
      <c r="FO45" s="43"/>
      <c r="FP45" s="43"/>
      <c r="FQ45" s="43"/>
      <c r="FR45" s="43"/>
      <c r="FS45" s="43"/>
      <c r="FT45" s="43"/>
      <c r="FU45" s="43"/>
      <c r="FV45" s="43"/>
      <c r="FW45" s="43"/>
      <c r="FX45" s="43"/>
      <c r="FY45" s="43"/>
      <c r="FZ45" s="43"/>
      <c r="GA45" s="43"/>
      <c r="GB45" s="43"/>
      <c r="GC45" s="43"/>
      <c r="GD45" s="43"/>
      <c r="GE45" s="43"/>
      <c r="GF45" s="43"/>
      <c r="GG45" s="43"/>
      <c r="GH45" s="43"/>
      <c r="GI45" s="43"/>
      <c r="GJ45" s="43"/>
      <c r="GK45" s="43"/>
      <c r="GL45" s="43"/>
      <c r="GM45" s="43"/>
      <c r="GN45" s="43"/>
      <c r="GO45" s="43"/>
      <c r="GP45" s="43"/>
      <c r="GQ45" s="43"/>
      <c r="GR45" s="43"/>
      <c r="GS45" s="43"/>
      <c r="GT45" s="43"/>
      <c r="GU45" s="43"/>
      <c r="GV45" s="43"/>
      <c r="GW45" s="43"/>
      <c r="GX45" s="43"/>
      <c r="GY45" s="43"/>
      <c r="GZ45" s="43"/>
      <c r="HA45" s="43"/>
      <c r="HB45" s="43"/>
      <c r="HC45" s="43"/>
      <c r="HD45" s="43"/>
      <c r="HE45" s="43"/>
      <c r="HF45" s="43"/>
      <c r="HG45" s="43"/>
      <c r="HH45" s="43"/>
      <c r="HI45" s="43"/>
      <c r="HJ45" s="43"/>
      <c r="HK45" s="43"/>
      <c r="HL45" s="43"/>
      <c r="HM45" s="43"/>
      <c r="HN45" s="43"/>
      <c r="HO45" s="43"/>
      <c r="HP45" s="43"/>
      <c r="HQ45" s="43"/>
      <c r="HR45"/>
      <c r="HS45"/>
      <c r="HT45"/>
      <c r="HU45"/>
      <c r="HV45"/>
      <c r="HW45"/>
      <c r="HX45"/>
      <c r="HY45"/>
      <c r="HZ45"/>
      <c r="IA45"/>
      <c r="IB45"/>
      <c r="IC45"/>
      <c r="ID45"/>
      <c r="IE45"/>
      <c r="IF45"/>
      <c r="IG45"/>
      <c r="IH45"/>
      <c r="II45"/>
      <c r="IJ45"/>
      <c r="IK45" s="32"/>
      <c r="IL45" s="32"/>
      <c r="IM45" s="32"/>
      <c r="IN45" s="32"/>
      <c r="IO45" s="32"/>
      <c r="IP45" s="32"/>
      <c r="IQ45" s="32"/>
    </row>
    <row r="46" spans="1:251" s="37" customFormat="1">
      <c r="A46" s="45" t="s">
        <v>137</v>
      </c>
      <c r="B46" s="34"/>
      <c r="C46" s="139"/>
      <c r="D46" s="196">
        <f>D35+D36+D42+D45</f>
        <v>16379</v>
      </c>
      <c r="E46" s="196">
        <f>E35+E36+E42+E45</f>
        <v>18017</v>
      </c>
      <c r="F46" s="196">
        <f t="shared" ref="F46:Q46" si="30">(F35+F37+F38+F39+F40+F41+F42+F45)</f>
        <v>25949</v>
      </c>
      <c r="G46" s="196">
        <f t="shared" si="30"/>
        <v>20141</v>
      </c>
      <c r="H46" s="196">
        <f t="shared" si="30"/>
        <v>19082</v>
      </c>
      <c r="I46" s="196">
        <f t="shared" si="30"/>
        <v>21393</v>
      </c>
      <c r="J46" s="196">
        <f t="shared" si="30"/>
        <v>23574</v>
      </c>
      <c r="K46" s="196">
        <f t="shared" si="30"/>
        <v>26158</v>
      </c>
      <c r="L46" s="196">
        <f t="shared" si="30"/>
        <v>25427</v>
      </c>
      <c r="M46" s="196">
        <f t="shared" si="30"/>
        <v>15561</v>
      </c>
      <c r="N46" s="196">
        <f t="shared" si="30"/>
        <v>18782</v>
      </c>
      <c r="O46" s="196">
        <f t="shared" si="30"/>
        <v>10509</v>
      </c>
      <c r="P46" s="196">
        <f t="shared" si="30"/>
        <v>7142</v>
      </c>
      <c r="Q46" s="196">
        <f t="shared" si="30"/>
        <v>7992</v>
      </c>
      <c r="R46" s="196">
        <f t="shared" ref="R46:W46" si="31">(R35+R37+R38+R39+R40+R41+R42+R45)</f>
        <v>6840</v>
      </c>
      <c r="S46" s="196">
        <f>(S35+S37+S38+S39+S40+S41+S42+S45)</f>
        <v>7643</v>
      </c>
      <c r="T46" s="196">
        <f t="shared" si="31"/>
        <v>8251</v>
      </c>
      <c r="U46" s="196">
        <f t="shared" si="31"/>
        <v>7058</v>
      </c>
      <c r="V46" s="196">
        <f t="shared" si="31"/>
        <v>7673</v>
      </c>
      <c r="W46" s="196">
        <f t="shared" si="31"/>
        <v>7078</v>
      </c>
      <c r="X46" s="196">
        <f t="shared" ref="X46:AG46" si="32">(X35+X37+X38+X39+X40+X41+X42+X45)</f>
        <v>7375</v>
      </c>
      <c r="Y46" s="196">
        <f t="shared" si="32"/>
        <v>7215.70071228695</v>
      </c>
      <c r="Z46" s="196">
        <f t="shared" si="32"/>
        <v>7172.0185675962575</v>
      </c>
      <c r="AA46" s="196">
        <f t="shared" si="32"/>
        <v>7116.8712284863896</v>
      </c>
      <c r="AB46" s="196">
        <f t="shared" si="32"/>
        <v>7066.6823646239191</v>
      </c>
      <c r="AC46" s="196">
        <f t="shared" si="32"/>
        <v>6971.4527784233296</v>
      </c>
      <c r="AD46" s="196">
        <f t="shared" si="32"/>
        <v>6878.763953181412</v>
      </c>
      <c r="AE46" s="196">
        <f t="shared" si="32"/>
        <v>6788.5154955490671</v>
      </c>
      <c r="AF46" s="196">
        <f t="shared" si="32"/>
        <v>6700.6136662460522</v>
      </c>
      <c r="AG46" s="196">
        <f t="shared" si="32"/>
        <v>6614.9708610605994</v>
      </c>
      <c r="AH46" s="129"/>
      <c r="AI46" s="34"/>
      <c r="AJ46" s="34"/>
      <c r="AK46" s="34"/>
      <c r="AL46" s="129"/>
      <c r="AM46" s="129"/>
      <c r="AN46" s="129"/>
      <c r="AO46" s="129"/>
      <c r="AP46" s="129"/>
      <c r="AQ46" s="129"/>
      <c r="AR46" s="129"/>
      <c r="AS46" s="129"/>
      <c r="AT46" s="129"/>
      <c r="AU46" s="129"/>
      <c r="AV46" s="129"/>
      <c r="AW46" s="129"/>
      <c r="AX46" s="129"/>
      <c r="AY46" s="129"/>
      <c r="AZ46" s="129"/>
      <c r="BA46" s="129"/>
      <c r="BB46" s="129"/>
      <c r="BC46" s="129"/>
      <c r="BD46" s="129"/>
      <c r="BE46" s="129"/>
      <c r="BF46" s="129"/>
      <c r="BG46" s="129"/>
      <c r="BH46" s="129"/>
      <c r="BI46" s="129"/>
      <c r="BJ46" s="129"/>
      <c r="BK46" s="129"/>
      <c r="BL46" s="129"/>
      <c r="BM46" s="129"/>
      <c r="BN46" s="129"/>
      <c r="BO46" s="129"/>
      <c r="BP46" s="129"/>
      <c r="BQ46" s="129"/>
      <c r="BR46" s="129"/>
      <c r="BS46" s="129"/>
      <c r="BT46" s="129"/>
      <c r="BU46" s="129"/>
      <c r="BV46" s="129"/>
      <c r="BW46" s="129"/>
      <c r="BX46" s="129"/>
      <c r="BY46" s="129"/>
      <c r="BZ46" s="129"/>
      <c r="CA46" s="129"/>
      <c r="CB46" s="129"/>
      <c r="CC46" s="129"/>
      <c r="CD46" s="129"/>
      <c r="CE46" s="129"/>
      <c r="CF46" s="129"/>
      <c r="CG46" s="129"/>
      <c r="CH46" s="129"/>
      <c r="CI46" s="129"/>
      <c r="CJ46" s="129"/>
      <c r="CK46" s="129"/>
      <c r="CL46" s="129"/>
      <c r="CM46" s="129"/>
      <c r="CN46" s="129"/>
      <c r="CO46" s="129"/>
      <c r="CP46" s="129"/>
      <c r="CQ46" s="129"/>
      <c r="CR46" s="129"/>
      <c r="CS46" s="129"/>
      <c r="CT46" s="129"/>
      <c r="CU46" s="129"/>
      <c r="CV46" s="129"/>
      <c r="CW46" s="129"/>
      <c r="CX46" s="129"/>
      <c r="CY46" s="129"/>
      <c r="CZ46" s="129"/>
      <c r="DA46" s="129"/>
      <c r="DB46" s="129"/>
      <c r="DC46" s="129"/>
      <c r="DD46" s="129"/>
      <c r="DE46" s="129"/>
      <c r="DF46" s="129"/>
      <c r="DG46" s="129"/>
      <c r="DH46" s="129"/>
      <c r="DI46" s="129"/>
      <c r="DJ46" s="129"/>
      <c r="DK46" s="129"/>
      <c r="DL46" s="129"/>
      <c r="DM46" s="129"/>
      <c r="DN46" s="129"/>
      <c r="DO46" s="129"/>
      <c r="DP46" s="129"/>
      <c r="DQ46" s="129"/>
      <c r="DR46" s="129"/>
      <c r="DS46" s="129"/>
      <c r="DT46" s="129"/>
      <c r="DU46" s="129"/>
      <c r="DV46" s="129"/>
      <c r="DW46" s="129"/>
      <c r="DX46" s="129"/>
      <c r="DY46" s="129"/>
      <c r="DZ46" s="129"/>
      <c r="EA46" s="129"/>
      <c r="EB46" s="129"/>
      <c r="EC46" s="129"/>
      <c r="ED46" s="129"/>
      <c r="EE46" s="129"/>
      <c r="EF46" s="129"/>
      <c r="EG46" s="129"/>
      <c r="EH46" s="129"/>
      <c r="EI46" s="129"/>
      <c r="EJ46" s="129"/>
      <c r="EK46" s="129"/>
      <c r="EL46" s="129"/>
      <c r="EM46" s="129"/>
      <c r="EN46" s="129"/>
      <c r="EO46" s="129"/>
      <c r="EP46" s="129"/>
      <c r="EQ46" s="129"/>
      <c r="ER46" s="129"/>
      <c r="ES46" s="129"/>
      <c r="ET46" s="129"/>
      <c r="EU46" s="129"/>
      <c r="EV46" s="129"/>
      <c r="EW46" s="129"/>
      <c r="EX46" s="129"/>
      <c r="EY46" s="129"/>
      <c r="EZ46" s="129"/>
      <c r="FA46" s="129"/>
      <c r="FB46" s="129"/>
      <c r="FC46" s="129"/>
      <c r="FD46" s="129"/>
      <c r="FE46" s="129"/>
      <c r="FF46" s="129"/>
      <c r="FG46" s="129"/>
      <c r="FH46" s="129"/>
      <c r="FI46" s="129"/>
      <c r="FJ46" s="129"/>
      <c r="FK46" s="129"/>
      <c r="FL46" s="129"/>
      <c r="FM46" s="129"/>
      <c r="FN46" s="129"/>
      <c r="FO46" s="129"/>
      <c r="FP46" s="129"/>
      <c r="FQ46" s="129"/>
      <c r="FR46" s="129"/>
      <c r="FS46" s="129"/>
      <c r="FT46" s="129"/>
      <c r="FU46" s="129"/>
      <c r="FV46" s="129"/>
      <c r="FW46" s="129"/>
      <c r="FX46" s="129"/>
      <c r="FY46" s="129"/>
      <c r="FZ46" s="129"/>
      <c r="GA46" s="129"/>
      <c r="GB46" s="129"/>
      <c r="GC46" s="129"/>
      <c r="GD46" s="129"/>
      <c r="GE46" s="129"/>
      <c r="GF46" s="129"/>
      <c r="GG46" s="129"/>
      <c r="GH46" s="129"/>
      <c r="GI46" s="129"/>
      <c r="GJ46" s="129"/>
      <c r="GK46" s="129"/>
      <c r="GL46" s="129"/>
      <c r="GM46" s="129"/>
      <c r="GN46" s="129"/>
      <c r="GO46" s="129"/>
      <c r="GP46" s="129"/>
      <c r="GQ46" s="129"/>
      <c r="GR46" s="129"/>
      <c r="GS46" s="129"/>
      <c r="GT46" s="129"/>
      <c r="GU46" s="129"/>
      <c r="GV46" s="129"/>
      <c r="GW46" s="129"/>
      <c r="GX46" s="129"/>
      <c r="GY46" s="129"/>
      <c r="GZ46" s="129"/>
      <c r="HA46" s="129"/>
      <c r="HB46" s="129"/>
      <c r="HC46" s="129"/>
      <c r="HD46" s="129"/>
      <c r="HE46" s="129"/>
      <c r="HF46" s="129"/>
      <c r="HG46" s="129"/>
      <c r="HH46" s="129"/>
      <c r="HI46" s="129"/>
      <c r="HJ46" s="129"/>
      <c r="HK46" s="129"/>
      <c r="HL46" s="129"/>
      <c r="HM46" s="129"/>
      <c r="HN46" s="129"/>
      <c r="HO46" s="129"/>
      <c r="HP46" s="129"/>
      <c r="HQ46" s="129"/>
      <c r="HR46"/>
      <c r="HS46"/>
      <c r="HT46"/>
      <c r="HU46"/>
      <c r="HV46"/>
      <c r="HW46"/>
      <c r="HX46"/>
      <c r="HY46"/>
      <c r="HZ46"/>
      <c r="IA46"/>
      <c r="IB46"/>
      <c r="IC46"/>
      <c r="ID46"/>
      <c r="IE46"/>
      <c r="IF46"/>
      <c r="IG46"/>
      <c r="IH46"/>
      <c r="II46"/>
      <c r="IJ46"/>
      <c r="IK46" s="34"/>
      <c r="IL46" s="34"/>
      <c r="IM46" s="34"/>
      <c r="IN46" s="34"/>
      <c r="IO46" s="34"/>
      <c r="IP46" s="34"/>
      <c r="IQ46" s="34"/>
    </row>
    <row r="47" spans="1:251" s="33" customFormat="1">
      <c r="A47" s="80"/>
      <c r="B47" s="32"/>
      <c r="C47" s="68"/>
      <c r="D47" s="156"/>
      <c r="E47" s="156"/>
      <c r="F47" s="156"/>
      <c r="G47" s="156"/>
      <c r="H47" s="156"/>
      <c r="I47" s="156"/>
      <c r="J47" s="156"/>
      <c r="K47" s="156"/>
      <c r="L47" s="156"/>
      <c r="M47" s="156"/>
      <c r="N47" s="156"/>
      <c r="O47" s="156"/>
      <c r="P47" s="156"/>
      <c r="Q47" s="156"/>
      <c r="R47" s="156"/>
      <c r="S47" s="156"/>
      <c r="T47" s="156"/>
      <c r="U47" s="156"/>
      <c r="V47" s="156"/>
      <c r="W47" s="156"/>
      <c r="X47" s="156"/>
      <c r="Y47" s="156"/>
      <c r="Z47" s="156"/>
      <c r="AA47" s="156"/>
      <c r="AB47" s="156"/>
      <c r="AC47" s="156"/>
      <c r="AD47" s="156"/>
      <c r="AE47" s="156"/>
      <c r="AF47" s="156"/>
      <c r="AG47" s="156"/>
      <c r="AH47" s="43"/>
      <c r="AI47" s="32"/>
      <c r="AJ47" s="32"/>
      <c r="AK47" s="32"/>
      <c r="AL47" s="43"/>
      <c r="AM47" s="43"/>
      <c r="AN47" s="43"/>
      <c r="AO47" s="43"/>
      <c r="AP47" s="43"/>
      <c r="AQ47" s="43"/>
      <c r="AR47" s="43"/>
      <c r="AS47" s="43"/>
      <c r="AT47" s="43"/>
      <c r="AU47" s="43"/>
      <c r="AV47" s="43"/>
      <c r="AW47" s="43"/>
      <c r="AX47" s="43"/>
      <c r="AY47" s="43"/>
      <c r="AZ47" s="43"/>
      <c r="BA47" s="43"/>
      <c r="BB47" s="43"/>
      <c r="BC47" s="43"/>
      <c r="BD47" s="43"/>
      <c r="BE47" s="43"/>
      <c r="BF47" s="43"/>
      <c r="BG47" s="43"/>
      <c r="BH47" s="43"/>
      <c r="BI47" s="43"/>
      <c r="BJ47" s="43"/>
      <c r="BK47" s="43"/>
      <c r="BL47" s="43"/>
      <c r="BM47" s="43"/>
      <c r="BN47" s="43"/>
      <c r="BO47" s="43"/>
      <c r="BP47" s="43"/>
      <c r="BQ47" s="43"/>
      <c r="BR47" s="43"/>
      <c r="BS47" s="43"/>
      <c r="BT47" s="43"/>
      <c r="BU47" s="43"/>
      <c r="BV47" s="43"/>
      <c r="BW47" s="43"/>
      <c r="BX47" s="43"/>
      <c r="BY47" s="43"/>
      <c r="BZ47" s="43"/>
      <c r="CA47" s="43"/>
      <c r="CB47" s="43"/>
      <c r="CC47" s="43"/>
      <c r="CD47" s="43"/>
      <c r="CE47" s="43"/>
      <c r="CF47" s="43"/>
      <c r="CG47" s="43"/>
      <c r="CH47" s="43"/>
      <c r="CI47" s="43"/>
      <c r="CJ47" s="43"/>
      <c r="CK47" s="43"/>
      <c r="CL47" s="43"/>
      <c r="CM47" s="43"/>
      <c r="CN47" s="43"/>
      <c r="CO47" s="43"/>
      <c r="CP47" s="43"/>
      <c r="CQ47" s="43"/>
      <c r="CR47" s="43"/>
      <c r="CS47" s="43"/>
      <c r="CT47" s="43"/>
      <c r="CU47" s="43"/>
      <c r="CV47" s="43"/>
      <c r="CW47" s="43"/>
      <c r="CX47" s="43"/>
      <c r="CY47" s="43"/>
      <c r="CZ47" s="43"/>
      <c r="DA47" s="43"/>
      <c r="DB47" s="43"/>
      <c r="DC47" s="43"/>
      <c r="DD47" s="43"/>
      <c r="DE47" s="43"/>
      <c r="DF47" s="43"/>
      <c r="DG47" s="43"/>
      <c r="DH47" s="43"/>
      <c r="DI47" s="43"/>
      <c r="DJ47" s="43"/>
      <c r="DK47" s="43"/>
      <c r="DL47" s="43"/>
      <c r="DM47" s="43"/>
      <c r="DN47" s="43"/>
      <c r="DO47" s="43"/>
      <c r="DP47" s="43"/>
      <c r="DQ47" s="43"/>
      <c r="DR47" s="43"/>
      <c r="DS47" s="43"/>
      <c r="DT47" s="43"/>
      <c r="DU47" s="43"/>
      <c r="DV47" s="43"/>
      <c r="DW47" s="43"/>
      <c r="DX47" s="43"/>
      <c r="DY47" s="43"/>
      <c r="DZ47" s="43"/>
      <c r="EA47" s="43"/>
      <c r="EB47" s="43"/>
      <c r="EC47" s="43"/>
      <c r="ED47" s="43"/>
      <c r="EE47" s="43"/>
      <c r="EF47" s="43"/>
      <c r="EG47" s="43"/>
      <c r="EH47" s="43"/>
      <c r="EI47" s="43"/>
      <c r="EJ47" s="43"/>
      <c r="EK47" s="43"/>
      <c r="EL47" s="43"/>
      <c r="EM47" s="43"/>
      <c r="EN47" s="43"/>
      <c r="EO47" s="43"/>
      <c r="EP47" s="43"/>
      <c r="EQ47" s="43"/>
      <c r="ER47" s="43"/>
      <c r="ES47" s="43"/>
      <c r="ET47" s="43"/>
      <c r="EU47" s="43"/>
      <c r="EV47" s="43"/>
      <c r="EW47" s="43"/>
      <c r="EX47" s="43"/>
      <c r="EY47" s="43"/>
      <c r="EZ47" s="43"/>
      <c r="FA47" s="43"/>
      <c r="FB47" s="43"/>
      <c r="FC47" s="43"/>
      <c r="FD47" s="43"/>
      <c r="FE47" s="43"/>
      <c r="FF47" s="43"/>
      <c r="FG47" s="43"/>
      <c r="FH47" s="43"/>
      <c r="FI47" s="43"/>
      <c r="FJ47" s="43"/>
      <c r="FK47" s="43"/>
      <c r="FL47" s="43"/>
      <c r="FM47" s="43"/>
      <c r="FN47" s="43"/>
      <c r="FO47" s="43"/>
      <c r="FP47" s="43"/>
      <c r="FQ47" s="43"/>
      <c r="FR47" s="43"/>
      <c r="FS47" s="43"/>
      <c r="FT47" s="43"/>
      <c r="FU47" s="43"/>
      <c r="FV47" s="43"/>
      <c r="FW47" s="43"/>
      <c r="FX47" s="43"/>
      <c r="FY47" s="43"/>
      <c r="FZ47" s="43"/>
      <c r="GA47" s="43"/>
      <c r="GB47" s="43"/>
      <c r="GC47" s="43"/>
      <c r="GD47" s="43"/>
      <c r="GE47" s="43"/>
      <c r="GF47" s="43"/>
      <c r="GG47" s="43"/>
      <c r="GH47" s="43"/>
      <c r="GI47" s="43"/>
      <c r="GJ47" s="43"/>
      <c r="GK47" s="43"/>
      <c r="GL47" s="43"/>
      <c r="GM47" s="43"/>
      <c r="GN47" s="43"/>
      <c r="GO47" s="43"/>
      <c r="GP47" s="43"/>
      <c r="GQ47" s="43"/>
      <c r="GR47" s="43"/>
      <c r="GS47" s="43"/>
      <c r="GT47" s="43"/>
      <c r="GU47" s="43"/>
      <c r="GV47" s="43"/>
      <c r="GW47" s="43"/>
      <c r="GX47" s="43"/>
      <c r="GY47" s="43"/>
      <c r="GZ47" s="43"/>
      <c r="HA47" s="43"/>
      <c r="HB47" s="43"/>
      <c r="HC47" s="43"/>
      <c r="HD47" s="43"/>
      <c r="HE47" s="43"/>
      <c r="HF47" s="43"/>
      <c r="HG47" s="43"/>
      <c r="HH47" s="43"/>
      <c r="HI47" s="43"/>
      <c r="HJ47" s="43"/>
      <c r="HK47" s="43"/>
      <c r="HL47" s="43"/>
      <c r="HM47" s="43"/>
      <c r="HN47" s="43"/>
      <c r="HO47" s="43"/>
      <c r="HP47" s="43"/>
      <c r="HQ47" s="43"/>
      <c r="HR47"/>
      <c r="HS47"/>
      <c r="HT47"/>
      <c r="HU47"/>
      <c r="HV47"/>
      <c r="HW47"/>
      <c r="HX47"/>
      <c r="HY47"/>
      <c r="HZ47"/>
      <c r="IA47"/>
      <c r="IB47"/>
      <c r="IC47"/>
      <c r="ID47"/>
      <c r="IE47"/>
      <c r="IF47"/>
      <c r="IG47"/>
      <c r="IH47"/>
      <c r="II47"/>
      <c r="IJ47"/>
      <c r="IK47" s="32"/>
      <c r="IL47" s="32"/>
      <c r="IM47" s="32"/>
      <c r="IN47" s="32"/>
      <c r="IO47" s="32"/>
      <c r="IP47" s="32"/>
      <c r="IQ47" s="32"/>
    </row>
    <row r="48" spans="1:251" s="33" customFormat="1">
      <c r="A48" s="80"/>
      <c r="B48" s="80" t="s">
        <v>600</v>
      </c>
      <c r="C48" s="68"/>
      <c r="D48" s="456">
        <v>11906</v>
      </c>
      <c r="E48" s="456">
        <v>11280</v>
      </c>
      <c r="F48" s="456">
        <v>18255</v>
      </c>
      <c r="G48" s="456">
        <v>17159</v>
      </c>
      <c r="H48" s="456">
        <v>19189</v>
      </c>
      <c r="I48" s="456">
        <v>18953</v>
      </c>
      <c r="J48" s="456">
        <v>16462</v>
      </c>
      <c r="K48" s="456">
        <v>15653</v>
      </c>
      <c r="L48" s="456">
        <v>13379</v>
      </c>
      <c r="M48" s="456">
        <v>6298</v>
      </c>
      <c r="N48" s="456">
        <v>7463</v>
      </c>
      <c r="O48" s="456">
        <v>1885</v>
      </c>
      <c r="P48" s="222">
        <v>6839</v>
      </c>
      <c r="Q48" s="222">
        <v>11185</v>
      </c>
      <c r="R48" s="222">
        <v>12194</v>
      </c>
      <c r="S48" s="222">
        <v>13089</v>
      </c>
      <c r="T48" s="222">
        <v>12419</v>
      </c>
      <c r="U48" s="222">
        <v>13992</v>
      </c>
      <c r="V48" s="222">
        <v>13693</v>
      </c>
      <c r="W48" s="222">
        <v>12915</v>
      </c>
      <c r="X48" s="222">
        <v>13881</v>
      </c>
      <c r="Y48" s="156">
        <f>X48+CFS!X38</f>
        <v>12881</v>
      </c>
      <c r="Z48" s="156">
        <f>Y48+CFS!Y38</f>
        <v>11881</v>
      </c>
      <c r="AA48" s="156">
        <f>Z48+CFS!Z38</f>
        <v>10881</v>
      </c>
      <c r="AB48" s="156">
        <f>AA48+CFS!AA38</f>
        <v>10881</v>
      </c>
      <c r="AC48" s="156">
        <f>AB48+CFS!AB38</f>
        <v>10881</v>
      </c>
      <c r="AD48" s="156">
        <f>AC48+CFS!AC38</f>
        <v>10881</v>
      </c>
      <c r="AE48" s="156">
        <f>AD48+CFS!AD38</f>
        <v>10881</v>
      </c>
      <c r="AF48" s="156">
        <f>AE48+CFS!AE38</f>
        <v>10881</v>
      </c>
      <c r="AG48" s="156">
        <f>AF48+CFS!AF38</f>
        <v>10881</v>
      </c>
      <c r="AH48" s="43"/>
      <c r="AI48" s="32"/>
      <c r="AJ48" s="32"/>
      <c r="AK48" s="32"/>
      <c r="AL48" s="43"/>
      <c r="AM48" s="43"/>
      <c r="AN48" s="43"/>
      <c r="AO48" s="43"/>
      <c r="AP48" s="43"/>
      <c r="AQ48" s="43"/>
      <c r="AR48" s="43"/>
      <c r="AS48" s="43"/>
      <c r="AT48" s="43"/>
      <c r="AU48" s="43"/>
      <c r="AV48" s="43"/>
      <c r="AW48" s="43"/>
      <c r="AX48" s="43"/>
      <c r="AY48" s="43"/>
      <c r="AZ48" s="43"/>
      <c r="BA48" s="43"/>
      <c r="BB48" s="43"/>
      <c r="BC48" s="43"/>
      <c r="BD48" s="43"/>
      <c r="BE48" s="43"/>
      <c r="BF48" s="43"/>
      <c r="BG48" s="43"/>
      <c r="BH48" s="43"/>
      <c r="BI48" s="43"/>
      <c r="BJ48" s="43"/>
      <c r="BK48" s="43"/>
      <c r="BL48" s="43"/>
      <c r="BM48" s="43"/>
      <c r="BN48" s="43"/>
      <c r="BO48" s="43"/>
      <c r="BP48" s="43"/>
      <c r="BQ48" s="43"/>
      <c r="BR48" s="43"/>
      <c r="BS48" s="43"/>
      <c r="BT48" s="43"/>
      <c r="BU48" s="43"/>
      <c r="BV48" s="43"/>
      <c r="BW48" s="43"/>
      <c r="BX48" s="43"/>
      <c r="BY48" s="43"/>
      <c r="BZ48" s="43"/>
      <c r="CA48" s="43"/>
      <c r="CB48" s="43"/>
      <c r="CC48" s="43"/>
      <c r="CD48" s="43"/>
      <c r="CE48" s="43"/>
      <c r="CF48" s="43"/>
      <c r="CG48" s="43"/>
      <c r="CH48" s="43"/>
      <c r="CI48" s="43"/>
      <c r="CJ48" s="43"/>
      <c r="CK48" s="43"/>
      <c r="CL48" s="43"/>
      <c r="CM48" s="43"/>
      <c r="CN48" s="43"/>
      <c r="CO48" s="43"/>
      <c r="CP48" s="43"/>
      <c r="CQ48" s="43"/>
      <c r="CR48" s="43"/>
      <c r="CS48" s="43"/>
      <c r="CT48" s="43"/>
      <c r="CU48" s="43"/>
      <c r="CV48" s="43"/>
      <c r="CW48" s="43"/>
      <c r="CX48" s="43"/>
      <c r="CY48" s="43"/>
      <c r="CZ48" s="43"/>
      <c r="DA48" s="43"/>
      <c r="DB48" s="43"/>
      <c r="DC48" s="43"/>
      <c r="DD48" s="43"/>
      <c r="DE48" s="43"/>
      <c r="DF48" s="43"/>
      <c r="DG48" s="43"/>
      <c r="DH48" s="43"/>
      <c r="DI48" s="43"/>
      <c r="DJ48" s="43"/>
      <c r="DK48" s="43"/>
      <c r="DL48" s="43"/>
      <c r="DM48" s="43"/>
      <c r="DN48" s="43"/>
      <c r="DO48" s="43"/>
      <c r="DP48" s="43"/>
      <c r="DQ48" s="43"/>
      <c r="DR48" s="43"/>
      <c r="DS48" s="43"/>
      <c r="DT48" s="43"/>
      <c r="DU48" s="43"/>
      <c r="DV48" s="43"/>
      <c r="DW48" s="43"/>
      <c r="DX48" s="43"/>
      <c r="DY48" s="43"/>
      <c r="DZ48" s="43"/>
      <c r="EA48" s="43"/>
      <c r="EB48" s="43"/>
      <c r="EC48" s="43"/>
      <c r="ED48" s="43"/>
      <c r="EE48" s="43"/>
      <c r="EF48" s="43"/>
      <c r="EG48" s="43"/>
      <c r="EH48" s="43"/>
      <c r="EI48" s="43"/>
      <c r="EJ48" s="43"/>
      <c r="EK48" s="43"/>
      <c r="EL48" s="43"/>
      <c r="EM48" s="43"/>
      <c r="EN48" s="43"/>
      <c r="EO48" s="43"/>
      <c r="EP48" s="43"/>
      <c r="EQ48" s="43"/>
      <c r="ER48" s="43"/>
      <c r="ES48" s="43"/>
      <c r="ET48" s="43"/>
      <c r="EU48" s="43"/>
      <c r="EV48" s="43"/>
      <c r="EW48" s="43"/>
      <c r="EX48" s="43"/>
      <c r="EY48" s="43"/>
      <c r="EZ48" s="43"/>
      <c r="FA48" s="43"/>
      <c r="FB48" s="43"/>
      <c r="FC48" s="43"/>
      <c r="FD48" s="43"/>
      <c r="FE48" s="43"/>
      <c r="FF48" s="43"/>
      <c r="FG48" s="43"/>
      <c r="FH48" s="43"/>
      <c r="FI48" s="43"/>
      <c r="FJ48" s="43"/>
      <c r="FK48" s="43"/>
      <c r="FL48" s="43"/>
      <c r="FM48" s="43"/>
      <c r="FN48" s="43"/>
      <c r="FO48" s="43"/>
      <c r="FP48" s="43"/>
      <c r="FQ48" s="43"/>
      <c r="FR48" s="43"/>
      <c r="FS48" s="43"/>
      <c r="FT48" s="43"/>
      <c r="FU48" s="43"/>
      <c r="FV48" s="43"/>
      <c r="FW48" s="43"/>
      <c r="FX48" s="43"/>
      <c r="FY48" s="43"/>
      <c r="FZ48" s="43"/>
      <c r="GA48" s="43"/>
      <c r="GB48" s="43"/>
      <c r="GC48" s="43"/>
      <c r="GD48" s="43"/>
      <c r="GE48" s="43"/>
      <c r="GF48" s="43"/>
      <c r="GG48" s="43"/>
      <c r="GH48" s="43"/>
      <c r="GI48" s="43"/>
      <c r="GJ48" s="43"/>
      <c r="GK48" s="43"/>
      <c r="GL48" s="43"/>
      <c r="GM48" s="43"/>
      <c r="GN48" s="43"/>
      <c r="GO48" s="43"/>
      <c r="GP48" s="43"/>
      <c r="GQ48" s="43"/>
      <c r="GR48" s="43"/>
      <c r="GS48" s="43"/>
      <c r="GT48" s="43"/>
      <c r="GU48" s="43"/>
      <c r="GV48" s="43"/>
      <c r="GW48" s="43"/>
      <c r="GX48" s="43"/>
      <c r="GY48" s="43"/>
      <c r="GZ48" s="43"/>
      <c r="HA48" s="43"/>
      <c r="HB48" s="43"/>
      <c r="HC48" s="43"/>
      <c r="HD48" s="43"/>
      <c r="HE48" s="43"/>
      <c r="HF48" s="43"/>
      <c r="HG48" s="43"/>
      <c r="HH48" s="43"/>
      <c r="HI48" s="43"/>
      <c r="HJ48" s="43"/>
      <c r="HK48" s="43"/>
      <c r="HL48" s="43"/>
      <c r="HM48" s="43"/>
      <c r="HN48" s="43"/>
      <c r="HO48" s="43"/>
      <c r="HP48" s="43"/>
      <c r="HQ48" s="43"/>
      <c r="HR48"/>
      <c r="HS48"/>
      <c r="HT48"/>
      <c r="HU48"/>
      <c r="HV48"/>
      <c r="HW48"/>
      <c r="HX48"/>
      <c r="HY48"/>
      <c r="HZ48"/>
      <c r="IA48"/>
      <c r="IB48"/>
      <c r="IC48"/>
      <c r="ID48"/>
      <c r="IE48"/>
      <c r="IF48"/>
      <c r="IG48"/>
      <c r="IH48"/>
      <c r="II48"/>
      <c r="IJ48"/>
      <c r="IK48" s="32"/>
      <c r="IL48" s="32"/>
      <c r="IM48" s="32"/>
      <c r="IN48" s="32"/>
      <c r="IO48" s="32"/>
      <c r="IP48" s="32"/>
      <c r="IQ48" s="32"/>
    </row>
    <row r="49" spans="1:251" s="33" customFormat="1">
      <c r="A49" s="80"/>
      <c r="B49" s="80" t="s">
        <v>634</v>
      </c>
      <c r="C49" s="68"/>
      <c r="D49" s="456">
        <v>929</v>
      </c>
      <c r="E49" s="456">
        <v>1214</v>
      </c>
      <c r="F49" s="456">
        <f>1827</f>
        <v>1827</v>
      </c>
      <c r="G49" s="456">
        <v>5238</v>
      </c>
      <c r="H49" s="456">
        <v>6112</v>
      </c>
      <c r="I49" s="456">
        <v>7295</v>
      </c>
      <c r="J49" s="456">
        <v>7677</v>
      </c>
      <c r="K49" s="456">
        <v>8492</v>
      </c>
      <c r="L49" s="456">
        <v>5321</v>
      </c>
      <c r="M49" s="456">
        <v>1391</v>
      </c>
      <c r="N49" s="456">
        <v>2182</v>
      </c>
      <c r="O49" s="456">
        <v>968</v>
      </c>
      <c r="P49" s="222">
        <v>351</v>
      </c>
      <c r="Q49" s="222">
        <v>4383</v>
      </c>
      <c r="R49" s="222">
        <v>4618</v>
      </c>
      <c r="S49" s="222">
        <v>4751</v>
      </c>
      <c r="T49" s="222">
        <v>4953</v>
      </c>
      <c r="U49" s="222">
        <v>6854</v>
      </c>
      <c r="V49" s="222">
        <v>6088</v>
      </c>
      <c r="W49" s="222">
        <v>5663</v>
      </c>
      <c r="X49" s="222">
        <v>8416</v>
      </c>
      <c r="Y49" s="156">
        <f t="shared" ref="Y49:AG49" si="33">X49</f>
        <v>8416</v>
      </c>
      <c r="Z49" s="156">
        <f t="shared" si="33"/>
        <v>8416</v>
      </c>
      <c r="AA49" s="156">
        <f t="shared" si="33"/>
        <v>8416</v>
      </c>
      <c r="AB49" s="156">
        <f t="shared" si="33"/>
        <v>8416</v>
      </c>
      <c r="AC49" s="156">
        <f t="shared" si="33"/>
        <v>8416</v>
      </c>
      <c r="AD49" s="156">
        <f t="shared" si="33"/>
        <v>8416</v>
      </c>
      <c r="AE49" s="156">
        <f t="shared" si="33"/>
        <v>8416</v>
      </c>
      <c r="AF49" s="156">
        <f t="shared" si="33"/>
        <v>8416</v>
      </c>
      <c r="AG49" s="156">
        <f t="shared" si="33"/>
        <v>8416</v>
      </c>
      <c r="AH49" s="43"/>
      <c r="AI49" s="32"/>
      <c r="AJ49" s="32"/>
      <c r="AK49" s="32"/>
      <c r="AL49" s="43"/>
      <c r="AM49" s="43"/>
      <c r="AN49" s="43"/>
      <c r="AO49" s="43"/>
      <c r="AP49" s="43"/>
      <c r="AQ49" s="43"/>
      <c r="AR49" s="43"/>
      <c r="AS49" s="43"/>
      <c r="AT49" s="43"/>
      <c r="AU49" s="43"/>
      <c r="AV49" s="43"/>
      <c r="AW49" s="43"/>
      <c r="AX49" s="43"/>
      <c r="AY49" s="43"/>
      <c r="AZ49" s="43"/>
      <c r="BA49" s="43"/>
      <c r="BB49" s="43"/>
      <c r="BC49" s="43"/>
      <c r="BD49" s="43"/>
      <c r="BE49" s="43"/>
      <c r="BF49" s="43"/>
      <c r="BG49" s="43"/>
      <c r="BH49" s="43"/>
      <c r="BI49" s="43"/>
      <c r="BJ49" s="43"/>
      <c r="BK49" s="43"/>
      <c r="BL49" s="43"/>
      <c r="BM49" s="43"/>
      <c r="BN49" s="43"/>
      <c r="BO49" s="43"/>
      <c r="BP49" s="43"/>
      <c r="BQ49" s="43"/>
      <c r="BR49" s="43"/>
      <c r="BS49" s="43"/>
      <c r="BT49" s="43"/>
      <c r="BU49" s="43"/>
      <c r="BV49" s="43"/>
      <c r="BW49" s="43"/>
      <c r="BX49" s="43"/>
      <c r="BY49" s="43"/>
      <c r="BZ49" s="43"/>
      <c r="CA49" s="43"/>
      <c r="CB49" s="43"/>
      <c r="CC49" s="43"/>
      <c r="CD49" s="43"/>
      <c r="CE49" s="43"/>
      <c r="CF49" s="43"/>
      <c r="CG49" s="43"/>
      <c r="CH49" s="43"/>
      <c r="CI49" s="43"/>
      <c r="CJ49" s="43"/>
      <c r="CK49" s="43"/>
      <c r="CL49" s="43"/>
      <c r="CM49" s="43"/>
      <c r="CN49" s="43"/>
      <c r="CO49" s="43"/>
      <c r="CP49" s="43"/>
      <c r="CQ49" s="43"/>
      <c r="CR49" s="43"/>
      <c r="CS49" s="43"/>
      <c r="CT49" s="43"/>
      <c r="CU49" s="43"/>
      <c r="CV49" s="43"/>
      <c r="CW49" s="43"/>
      <c r="CX49" s="43"/>
      <c r="CY49" s="43"/>
      <c r="CZ49" s="43"/>
      <c r="DA49" s="43"/>
      <c r="DB49" s="43"/>
      <c r="DC49" s="43"/>
      <c r="DD49" s="43"/>
      <c r="DE49" s="43"/>
      <c r="DF49" s="43"/>
      <c r="DG49" s="43"/>
      <c r="DH49" s="43"/>
      <c r="DI49" s="43"/>
      <c r="DJ49" s="43"/>
      <c r="DK49" s="43"/>
      <c r="DL49" s="43"/>
      <c r="DM49" s="43"/>
      <c r="DN49" s="43"/>
      <c r="DO49" s="43"/>
      <c r="DP49" s="43"/>
      <c r="DQ49" s="43"/>
      <c r="DR49" s="43"/>
      <c r="DS49" s="43"/>
      <c r="DT49" s="43"/>
      <c r="DU49" s="43"/>
      <c r="DV49" s="43"/>
      <c r="DW49" s="43"/>
      <c r="DX49" s="43"/>
      <c r="DY49" s="43"/>
      <c r="DZ49" s="43"/>
      <c r="EA49" s="43"/>
      <c r="EB49" s="43"/>
      <c r="EC49" s="43"/>
      <c r="ED49" s="43"/>
      <c r="EE49" s="43"/>
      <c r="EF49" s="43"/>
      <c r="EG49" s="43"/>
      <c r="EH49" s="43"/>
      <c r="EI49" s="43"/>
      <c r="EJ49" s="43"/>
      <c r="EK49" s="43"/>
      <c r="EL49" s="43"/>
      <c r="EM49" s="43"/>
      <c r="EN49" s="43"/>
      <c r="EO49" s="43"/>
      <c r="EP49" s="43"/>
      <c r="EQ49" s="43"/>
      <c r="ER49" s="43"/>
      <c r="ES49" s="43"/>
      <c r="ET49" s="43"/>
      <c r="EU49" s="43"/>
      <c r="EV49" s="43"/>
      <c r="EW49" s="43"/>
      <c r="EX49" s="43"/>
      <c r="EY49" s="43"/>
      <c r="EZ49" s="43"/>
      <c r="FA49" s="43"/>
      <c r="FB49" s="43"/>
      <c r="FC49" s="43"/>
      <c r="FD49" s="43"/>
      <c r="FE49" s="43"/>
      <c r="FF49" s="43"/>
      <c r="FG49" s="43"/>
      <c r="FH49" s="43"/>
      <c r="FI49" s="43"/>
      <c r="FJ49" s="43"/>
      <c r="FK49" s="43"/>
      <c r="FL49" s="43"/>
      <c r="FM49" s="43"/>
      <c r="FN49" s="43"/>
      <c r="FO49" s="43"/>
      <c r="FP49" s="43"/>
      <c r="FQ49" s="43"/>
      <c r="FR49" s="43"/>
      <c r="FS49" s="43"/>
      <c r="FT49" s="43"/>
      <c r="FU49" s="43"/>
      <c r="FV49" s="43"/>
      <c r="FW49" s="43"/>
      <c r="FX49" s="43"/>
      <c r="FY49" s="43"/>
      <c r="FZ49" s="43"/>
      <c r="GA49" s="43"/>
      <c r="GB49" s="43"/>
      <c r="GC49" s="43"/>
      <c r="GD49" s="43"/>
      <c r="GE49" s="43"/>
      <c r="GF49" s="43"/>
      <c r="GG49" s="43"/>
      <c r="GH49" s="43"/>
      <c r="GI49" s="43"/>
      <c r="GJ49" s="43"/>
      <c r="GK49" s="43"/>
      <c r="GL49" s="43"/>
      <c r="GM49" s="43"/>
      <c r="GN49" s="43"/>
      <c r="GO49" s="43"/>
      <c r="GP49" s="43"/>
      <c r="GQ49" s="43"/>
      <c r="GR49" s="43"/>
      <c r="GS49" s="43"/>
      <c r="GT49" s="43"/>
      <c r="GU49" s="43"/>
      <c r="GV49" s="43"/>
      <c r="GW49" s="43"/>
      <c r="GX49" s="43"/>
      <c r="GY49" s="43"/>
      <c r="GZ49" s="43"/>
      <c r="HA49" s="43"/>
      <c r="HB49" s="43"/>
      <c r="HC49" s="43"/>
      <c r="HD49" s="43"/>
      <c r="HE49" s="43"/>
      <c r="HF49" s="43"/>
      <c r="HG49" s="43"/>
      <c r="HH49" s="43"/>
      <c r="HI49" s="43"/>
      <c r="HJ49" s="43"/>
      <c r="HK49" s="43"/>
      <c r="HL49" s="43"/>
      <c r="HM49" s="43"/>
      <c r="HN49" s="43"/>
      <c r="HO49" s="43"/>
      <c r="HP49" s="43"/>
      <c r="HQ49" s="43"/>
      <c r="HR49"/>
      <c r="HS49"/>
      <c r="HT49"/>
      <c r="HU49"/>
      <c r="HV49"/>
      <c r="HW49"/>
      <c r="HX49"/>
      <c r="HY49"/>
      <c r="HZ49"/>
      <c r="IA49"/>
      <c r="IB49"/>
      <c r="IC49"/>
      <c r="ID49"/>
      <c r="IE49"/>
      <c r="IF49"/>
      <c r="IG49"/>
      <c r="IH49"/>
      <c r="II49"/>
      <c r="IJ49"/>
      <c r="IK49" s="32"/>
      <c r="IL49" s="32"/>
      <c r="IM49" s="32"/>
      <c r="IN49" s="32"/>
      <c r="IO49" s="32"/>
      <c r="IP49" s="32"/>
      <c r="IQ49" s="32"/>
    </row>
    <row r="50" spans="1:251" s="33" customFormat="1">
      <c r="A50" s="80"/>
      <c r="B50" s="80" t="s">
        <v>171</v>
      </c>
      <c r="C50" s="68"/>
      <c r="D50" s="456">
        <v>2543</v>
      </c>
      <c r="E50" s="456">
        <f>2606</f>
        <v>2606</v>
      </c>
      <c r="F50" s="456">
        <f>3287</f>
        <v>3287</v>
      </c>
      <c r="G50" s="456">
        <v>3315</v>
      </c>
      <c r="H50" s="456">
        <v>3128</v>
      </c>
      <c r="I50" s="456">
        <v>3216</v>
      </c>
      <c r="J50" s="456">
        <v>3285</v>
      </c>
      <c r="K50" s="456">
        <v>3412</v>
      </c>
      <c r="L50" s="456">
        <v>5023</v>
      </c>
      <c r="M50" s="456">
        <v>2009</v>
      </c>
      <c r="N50" s="456">
        <v>1916</v>
      </c>
      <c r="O50" s="456">
        <v>1916</v>
      </c>
      <c r="P50" s="222">
        <v>2208</v>
      </c>
      <c r="Q50" s="222">
        <v>2326</v>
      </c>
      <c r="R50" s="222">
        <v>2402</v>
      </c>
      <c r="S50" s="222">
        <v>2359</v>
      </c>
      <c r="T50" s="222">
        <v>2504</v>
      </c>
      <c r="U50" s="222">
        <v>2155</v>
      </c>
      <c r="V50" s="222">
        <v>2461</v>
      </c>
      <c r="W50" s="222">
        <f>1277+2245</f>
        <v>3522</v>
      </c>
      <c r="X50" s="222">
        <f>805+2217</f>
        <v>3022</v>
      </c>
      <c r="Y50" s="156">
        <f t="shared" ref="Y50:AG50" si="34">+X50</f>
        <v>3022</v>
      </c>
      <c r="Z50" s="156">
        <f t="shared" si="34"/>
        <v>3022</v>
      </c>
      <c r="AA50" s="156">
        <f t="shared" si="34"/>
        <v>3022</v>
      </c>
      <c r="AB50" s="156">
        <f t="shared" si="34"/>
        <v>3022</v>
      </c>
      <c r="AC50" s="156">
        <f t="shared" si="34"/>
        <v>3022</v>
      </c>
      <c r="AD50" s="156">
        <f t="shared" si="34"/>
        <v>3022</v>
      </c>
      <c r="AE50" s="156">
        <f t="shared" si="34"/>
        <v>3022</v>
      </c>
      <c r="AF50" s="156">
        <f t="shared" si="34"/>
        <v>3022</v>
      </c>
      <c r="AG50" s="156">
        <f t="shared" si="34"/>
        <v>3022</v>
      </c>
      <c r="AH50" s="32"/>
      <c r="AI50" s="32"/>
      <c r="AJ50" s="32"/>
      <c r="AK50" s="32"/>
      <c r="AL50" s="43"/>
      <c r="AM50" s="43"/>
      <c r="AN50" s="43"/>
      <c r="AO50" s="43"/>
      <c r="AP50" s="43"/>
      <c r="AQ50" s="43"/>
      <c r="AR50" s="43"/>
      <c r="AS50" s="43"/>
      <c r="AT50" s="43"/>
      <c r="AU50" s="43"/>
      <c r="AV50" s="43"/>
      <c r="AW50" s="43"/>
      <c r="AX50" s="43"/>
      <c r="AY50" s="43"/>
      <c r="AZ50" s="43"/>
      <c r="BA50" s="43"/>
      <c r="BB50" s="43"/>
      <c r="BC50" s="43"/>
      <c r="BD50" s="43"/>
      <c r="BE50" s="43"/>
      <c r="BF50" s="43"/>
      <c r="BG50" s="43"/>
      <c r="BH50" s="43"/>
      <c r="BI50" s="43"/>
      <c r="BJ50" s="43"/>
      <c r="BK50" s="43"/>
      <c r="BL50" s="43"/>
      <c r="BM50" s="43"/>
      <c r="BN50" s="43"/>
      <c r="BO50" s="43"/>
      <c r="BP50" s="43"/>
      <c r="BQ50" s="43"/>
      <c r="BR50" s="43"/>
      <c r="BS50" s="43"/>
      <c r="BT50" s="43"/>
      <c r="BU50" s="43"/>
      <c r="BV50" s="43"/>
      <c r="BW50" s="43"/>
      <c r="BX50" s="43"/>
      <c r="BY50" s="43"/>
      <c r="BZ50" s="43"/>
      <c r="CA50" s="43"/>
      <c r="CB50" s="43"/>
      <c r="CC50" s="43"/>
      <c r="CD50" s="43"/>
      <c r="CE50" s="43"/>
      <c r="CF50" s="43"/>
      <c r="CG50" s="43"/>
      <c r="CH50" s="43"/>
      <c r="CI50" s="43"/>
      <c r="CJ50" s="43"/>
      <c r="CK50" s="43"/>
      <c r="CL50" s="43"/>
      <c r="CM50" s="43"/>
      <c r="CN50" s="43"/>
      <c r="CO50" s="43"/>
      <c r="CP50" s="43"/>
      <c r="CQ50" s="43"/>
      <c r="CR50" s="43"/>
      <c r="CS50" s="43"/>
      <c r="CT50" s="43"/>
      <c r="CU50" s="43"/>
      <c r="CV50" s="43"/>
      <c r="CW50" s="43"/>
      <c r="CX50" s="43"/>
      <c r="CY50" s="43"/>
      <c r="CZ50" s="43"/>
      <c r="DA50" s="43"/>
      <c r="DB50" s="43"/>
      <c r="DC50" s="43"/>
      <c r="DD50" s="43"/>
      <c r="DE50" s="43"/>
      <c r="DF50" s="43"/>
      <c r="DG50" s="43"/>
      <c r="DH50" s="43"/>
      <c r="DI50" s="43"/>
      <c r="DJ50" s="43"/>
      <c r="DK50" s="43"/>
      <c r="DL50" s="43"/>
      <c r="DM50" s="43"/>
      <c r="DN50" s="43"/>
      <c r="DO50" s="43"/>
      <c r="DP50" s="43"/>
      <c r="DQ50" s="43"/>
      <c r="DR50" s="43"/>
      <c r="DS50" s="43"/>
      <c r="DT50" s="43"/>
      <c r="DU50" s="43"/>
      <c r="DV50" s="43"/>
      <c r="DW50" s="43"/>
      <c r="DX50" s="43"/>
      <c r="DY50" s="43"/>
      <c r="DZ50" s="43"/>
      <c r="EA50" s="43"/>
      <c r="EB50" s="43"/>
      <c r="EC50" s="43"/>
      <c r="ED50" s="43"/>
      <c r="EE50" s="43"/>
      <c r="EF50" s="43"/>
      <c r="EG50" s="43"/>
      <c r="EH50" s="43"/>
      <c r="EI50" s="43"/>
      <c r="EJ50" s="43"/>
      <c r="EK50" s="43"/>
      <c r="EL50" s="43"/>
      <c r="EM50" s="43"/>
      <c r="EN50" s="43"/>
      <c r="EO50" s="43"/>
      <c r="EP50" s="43"/>
      <c r="EQ50" s="43"/>
      <c r="ER50" s="43"/>
      <c r="ES50" s="43"/>
      <c r="ET50" s="43"/>
      <c r="EU50" s="43"/>
      <c r="EV50" s="43"/>
      <c r="EW50" s="43"/>
      <c r="EX50" s="43"/>
      <c r="EY50" s="43"/>
      <c r="EZ50" s="43"/>
      <c r="FA50" s="43"/>
      <c r="FB50" s="43"/>
      <c r="FC50" s="43"/>
      <c r="FD50" s="43"/>
      <c r="FE50" s="43"/>
      <c r="FF50" s="43"/>
      <c r="FG50" s="43"/>
      <c r="FH50" s="43"/>
      <c r="FI50" s="43"/>
      <c r="FJ50" s="43"/>
      <c r="FK50" s="43"/>
      <c r="FL50" s="43"/>
      <c r="FM50" s="43"/>
      <c r="FN50" s="43"/>
      <c r="FO50" s="43"/>
      <c r="FP50" s="43"/>
      <c r="FQ50" s="43"/>
      <c r="FR50" s="43"/>
      <c r="FS50" s="43"/>
      <c r="FT50" s="43"/>
      <c r="FU50" s="43"/>
      <c r="FV50" s="43"/>
      <c r="FW50" s="43"/>
      <c r="FX50" s="43"/>
      <c r="FY50" s="43"/>
      <c r="FZ50" s="43"/>
      <c r="GA50" s="43"/>
      <c r="GB50" s="43"/>
      <c r="GC50" s="43"/>
      <c r="GD50" s="43"/>
      <c r="GE50" s="43"/>
      <c r="GF50" s="43"/>
      <c r="GG50" s="43"/>
      <c r="GH50" s="43"/>
      <c r="GI50" s="43"/>
      <c r="GJ50" s="43"/>
      <c r="GK50" s="43"/>
      <c r="GL50" s="43"/>
      <c r="GM50" s="43"/>
      <c r="GN50" s="43"/>
      <c r="GO50" s="43"/>
      <c r="GP50" s="43"/>
      <c r="GQ50" s="43"/>
      <c r="GR50" s="43"/>
      <c r="GS50" s="43"/>
      <c r="GT50" s="43"/>
      <c r="GU50" s="43"/>
      <c r="GV50" s="43"/>
      <c r="GW50" s="43"/>
      <c r="GX50" s="43"/>
      <c r="GY50" s="43"/>
      <c r="GZ50" s="43"/>
      <c r="HA50" s="43"/>
      <c r="HB50" s="43"/>
      <c r="HC50" s="43"/>
      <c r="HD50" s="43"/>
      <c r="HE50" s="43"/>
      <c r="HF50" s="43"/>
      <c r="HG50" s="43"/>
      <c r="HH50" s="43"/>
      <c r="HI50" s="43"/>
      <c r="HJ50" s="43"/>
      <c r="HK50" s="43"/>
      <c r="HL50" s="43"/>
      <c r="HM50" s="43"/>
      <c r="HN50" s="43"/>
      <c r="HO50" s="43"/>
      <c r="HP50" s="43"/>
      <c r="HQ50" s="43"/>
      <c r="HR50"/>
      <c r="HS50"/>
      <c r="HT50"/>
      <c r="HU50"/>
      <c r="HV50"/>
      <c r="HW50"/>
      <c r="HX50"/>
      <c r="HY50"/>
      <c r="HZ50"/>
      <c r="IA50"/>
      <c r="IB50"/>
      <c r="IC50"/>
      <c r="ID50"/>
      <c r="IE50"/>
      <c r="IF50"/>
      <c r="IG50"/>
      <c r="IH50"/>
      <c r="II50"/>
      <c r="IJ50"/>
      <c r="IK50" s="32"/>
      <c r="IL50" s="32"/>
      <c r="IM50" s="32"/>
      <c r="IN50" s="32"/>
      <c r="IO50" s="32"/>
      <c r="IP50" s="32"/>
      <c r="IQ50" s="32"/>
    </row>
    <row r="51" spans="1:251" s="33" customFormat="1">
      <c r="A51" s="80"/>
      <c r="B51" s="80" t="s">
        <v>597</v>
      </c>
      <c r="C51" s="68"/>
      <c r="D51" s="456">
        <v>0</v>
      </c>
      <c r="E51" s="456">
        <v>0</v>
      </c>
      <c r="F51" s="456">
        <v>302</v>
      </c>
      <c r="G51" s="456">
        <v>4013</v>
      </c>
      <c r="H51" s="456">
        <v>4366</v>
      </c>
      <c r="I51" s="456">
        <v>4760</v>
      </c>
      <c r="J51" s="456">
        <v>4764</v>
      </c>
      <c r="K51" s="456">
        <v>4141</v>
      </c>
      <c r="L51" s="456">
        <v>3528</v>
      </c>
      <c r="M51" s="456">
        <v>0</v>
      </c>
      <c r="N51" s="456">
        <v>0</v>
      </c>
      <c r="O51" s="456">
        <v>0</v>
      </c>
      <c r="P51" s="156">
        <f>O51</f>
        <v>0</v>
      </c>
      <c r="Q51" s="156">
        <f>P51</f>
        <v>0</v>
      </c>
      <c r="R51" s="156">
        <f>Q51</f>
        <v>0</v>
      </c>
      <c r="S51" s="156">
        <f>R51</f>
        <v>0</v>
      </c>
      <c r="T51" s="156">
        <f>S51-(IS!O43-IS!N43)</f>
        <v>0</v>
      </c>
      <c r="U51" s="156">
        <f>T51-(IS!P43-IS!O43)</f>
        <v>0</v>
      </c>
      <c r="V51" s="156">
        <f>U51-(IS!Q43-IS!P43)</f>
        <v>0</v>
      </c>
      <c r="W51" s="156">
        <f>V51-(IS!R43-IS!Q43)</f>
        <v>0</v>
      </c>
      <c r="X51" s="156">
        <f>W51-(IS!S43-IS!R43)</f>
        <v>0</v>
      </c>
      <c r="Y51" s="156">
        <f>X51-(IS!T43-IS!S43)</f>
        <v>0</v>
      </c>
      <c r="Z51" s="156">
        <f>Y51-(IS!U43-IS!T43)</f>
        <v>0</v>
      </c>
      <c r="AA51" s="156">
        <f>Z51-(IS!V43-IS!U43)</f>
        <v>0</v>
      </c>
      <c r="AB51" s="156">
        <f>AA51-(IS!W43-IS!V43)</f>
        <v>0</v>
      </c>
      <c r="AC51" s="156">
        <f>AB51-(IS!X43-IS!W43)</f>
        <v>0</v>
      </c>
      <c r="AD51" s="156">
        <f>AC51-(IS!Y43-IS!X43)</f>
        <v>0</v>
      </c>
      <c r="AE51" s="156">
        <f>AD51-(IS!Z43-IS!Y43)</f>
        <v>0</v>
      </c>
      <c r="AF51" s="156">
        <f>AE51-(IS!AA43-IS!Z43)</f>
        <v>0</v>
      </c>
      <c r="AG51" s="156">
        <f>AF51-(IS!AB43-IS!AA43)</f>
        <v>0</v>
      </c>
      <c r="AH51" s="43"/>
      <c r="AI51" s="32"/>
      <c r="AJ51" s="32"/>
      <c r="AK51" s="32"/>
      <c r="AL51" s="43"/>
      <c r="AM51" s="43"/>
      <c r="AN51" s="43"/>
      <c r="AO51" s="43"/>
      <c r="AP51" s="43"/>
      <c r="AQ51" s="43"/>
      <c r="AR51" s="43"/>
      <c r="AS51" s="43"/>
      <c r="AT51" s="43"/>
      <c r="AU51" s="43"/>
      <c r="AV51" s="43"/>
      <c r="AW51" s="43"/>
      <c r="AX51" s="43"/>
      <c r="AY51" s="43"/>
      <c r="AZ51" s="43"/>
      <c r="BA51" s="43"/>
      <c r="BB51" s="43"/>
      <c r="BC51" s="43"/>
      <c r="BD51" s="43"/>
      <c r="BE51" s="43"/>
      <c r="BF51" s="43"/>
      <c r="BG51" s="43"/>
      <c r="BH51" s="43"/>
      <c r="BI51" s="43"/>
      <c r="BJ51" s="43"/>
      <c r="BK51" s="43"/>
      <c r="BL51" s="43"/>
      <c r="BM51" s="43"/>
      <c r="BN51" s="43"/>
      <c r="BO51" s="43"/>
      <c r="BP51" s="43"/>
      <c r="BQ51" s="43"/>
      <c r="BR51" s="43"/>
      <c r="BS51" s="43"/>
      <c r="BT51" s="43"/>
      <c r="BU51" s="43"/>
      <c r="BV51" s="43"/>
      <c r="BW51" s="43"/>
      <c r="BX51" s="43"/>
      <c r="BY51" s="43"/>
      <c r="BZ51" s="43"/>
      <c r="CA51" s="43"/>
      <c r="CB51" s="43"/>
      <c r="CC51" s="43"/>
      <c r="CD51" s="43"/>
      <c r="CE51" s="43"/>
      <c r="CF51" s="43"/>
      <c r="CG51" s="43"/>
      <c r="CH51" s="43"/>
      <c r="CI51" s="43"/>
      <c r="CJ51" s="43"/>
      <c r="CK51" s="43"/>
      <c r="CL51" s="43"/>
      <c r="CM51" s="43"/>
      <c r="CN51" s="43"/>
      <c r="CO51" s="43"/>
      <c r="CP51" s="43"/>
      <c r="CQ51" s="43"/>
      <c r="CR51" s="43"/>
      <c r="CS51" s="43"/>
      <c r="CT51" s="43"/>
      <c r="CU51" s="43"/>
      <c r="CV51" s="43"/>
      <c r="CW51" s="43"/>
      <c r="CX51" s="43"/>
      <c r="CY51" s="43"/>
      <c r="CZ51" s="43"/>
      <c r="DA51" s="43"/>
      <c r="DB51" s="43"/>
      <c r="DC51" s="43"/>
      <c r="DD51" s="43"/>
      <c r="DE51" s="43"/>
      <c r="DF51" s="43"/>
      <c r="DG51" s="43"/>
      <c r="DH51" s="43"/>
      <c r="DI51" s="43"/>
      <c r="DJ51" s="43"/>
      <c r="DK51" s="43"/>
      <c r="DL51" s="43"/>
      <c r="DM51" s="43"/>
      <c r="DN51" s="43"/>
      <c r="DO51" s="43"/>
      <c r="DP51" s="43"/>
      <c r="DQ51" s="43"/>
      <c r="DR51" s="43"/>
      <c r="DS51" s="43"/>
      <c r="DT51" s="43"/>
      <c r="DU51" s="43"/>
      <c r="DV51" s="43"/>
      <c r="DW51" s="43"/>
      <c r="DX51" s="43"/>
      <c r="DY51" s="43"/>
      <c r="DZ51" s="43"/>
      <c r="EA51" s="43"/>
      <c r="EB51" s="43"/>
      <c r="EC51" s="43"/>
      <c r="ED51" s="43"/>
      <c r="EE51" s="43"/>
      <c r="EF51" s="43"/>
      <c r="EG51" s="43"/>
      <c r="EH51" s="43"/>
      <c r="EI51" s="43"/>
      <c r="EJ51" s="43"/>
      <c r="EK51" s="43"/>
      <c r="EL51" s="43"/>
      <c r="EM51" s="43"/>
      <c r="EN51" s="43"/>
      <c r="EO51" s="43"/>
      <c r="EP51" s="43"/>
      <c r="EQ51" s="43"/>
      <c r="ER51" s="43"/>
      <c r="ES51" s="43"/>
      <c r="ET51" s="43"/>
      <c r="EU51" s="43"/>
      <c r="EV51" s="43"/>
      <c r="EW51" s="43"/>
      <c r="EX51" s="43"/>
      <c r="EY51" s="43"/>
      <c r="EZ51" s="43"/>
      <c r="FA51" s="43"/>
      <c r="FB51" s="43"/>
      <c r="FC51" s="43"/>
      <c r="FD51" s="43"/>
      <c r="FE51" s="43"/>
      <c r="FF51" s="43"/>
      <c r="FG51" s="43"/>
      <c r="FH51" s="43"/>
      <c r="FI51" s="43"/>
      <c r="FJ51" s="43"/>
      <c r="FK51" s="43"/>
      <c r="FL51" s="43"/>
      <c r="FM51" s="43"/>
      <c r="FN51" s="43"/>
      <c r="FO51" s="43"/>
      <c r="FP51" s="43"/>
      <c r="FQ51" s="43"/>
      <c r="FR51" s="43"/>
      <c r="FS51" s="43"/>
      <c r="FT51" s="43"/>
      <c r="FU51" s="43"/>
      <c r="FV51" s="43"/>
      <c r="FW51" s="43"/>
      <c r="FX51" s="43"/>
      <c r="FY51" s="43"/>
      <c r="FZ51" s="43"/>
      <c r="GA51" s="43"/>
      <c r="GB51" s="43"/>
      <c r="GC51" s="43"/>
      <c r="GD51" s="43"/>
      <c r="GE51" s="43"/>
      <c r="GF51" s="43"/>
      <c r="GG51" s="43"/>
      <c r="GH51" s="43"/>
      <c r="GI51" s="43"/>
      <c r="GJ51" s="43"/>
      <c r="GK51" s="43"/>
      <c r="GL51" s="43"/>
      <c r="GM51" s="43"/>
      <c r="GN51" s="43"/>
      <c r="GO51" s="43"/>
      <c r="GP51" s="43"/>
      <c r="GQ51" s="43"/>
      <c r="GR51" s="43"/>
      <c r="GS51" s="43"/>
      <c r="GT51" s="43"/>
      <c r="GU51" s="43"/>
      <c r="GV51" s="43"/>
      <c r="GW51" s="43"/>
      <c r="GX51" s="43"/>
      <c r="GY51" s="43"/>
      <c r="GZ51" s="43"/>
      <c r="HA51" s="43"/>
      <c r="HB51" s="43"/>
      <c r="HC51" s="43"/>
      <c r="HD51" s="43"/>
      <c r="HE51" s="43"/>
      <c r="HF51" s="43"/>
      <c r="HG51" s="43"/>
      <c r="HH51" s="43"/>
      <c r="HI51" s="43"/>
      <c r="HJ51" s="43"/>
      <c r="HK51" s="43"/>
      <c r="HL51" s="43"/>
      <c r="HM51" s="43"/>
      <c r="HN51" s="43"/>
      <c r="HO51" s="43"/>
      <c r="HP51" s="43"/>
      <c r="HQ51" s="43"/>
      <c r="HR51"/>
      <c r="HS51"/>
      <c r="HT51"/>
      <c r="HU51"/>
      <c r="HV51"/>
      <c r="HW51"/>
      <c r="HX51"/>
      <c r="HY51"/>
      <c r="HZ51"/>
      <c r="IA51"/>
      <c r="IB51"/>
      <c r="IC51"/>
      <c r="ID51"/>
      <c r="IE51"/>
      <c r="IF51"/>
      <c r="IG51"/>
      <c r="IH51"/>
      <c r="II51"/>
      <c r="IJ51"/>
      <c r="IK51" s="32"/>
      <c r="IL51" s="32"/>
      <c r="IM51" s="32"/>
      <c r="IN51" s="32"/>
      <c r="IO51" s="32"/>
      <c r="IP51" s="32"/>
      <c r="IQ51" s="32"/>
    </row>
    <row r="52" spans="1:251" s="33" customFormat="1">
      <c r="A52" s="80"/>
      <c r="B52" s="80" t="s">
        <v>253</v>
      </c>
      <c r="C52" s="68"/>
      <c r="D52" s="456">
        <v>7019</v>
      </c>
      <c r="E52" s="456">
        <v>6853</v>
      </c>
      <c r="F52" s="456">
        <v>7015</v>
      </c>
      <c r="G52" s="456">
        <v>7796</v>
      </c>
      <c r="H52" s="456">
        <v>8004</v>
      </c>
      <c r="I52" s="456">
        <v>7161</v>
      </c>
      <c r="J52" s="456">
        <v>6856</v>
      </c>
      <c r="K52" s="456">
        <v>6260</v>
      </c>
      <c r="L52" s="456">
        <v>5275</v>
      </c>
      <c r="M52" s="456">
        <f>541+2658</f>
        <v>3199</v>
      </c>
      <c r="N52" s="456">
        <f>388+2323</f>
        <v>2711</v>
      </c>
      <c r="O52" s="456">
        <f>1240+198</f>
        <v>1438</v>
      </c>
      <c r="P52" s="222">
        <f>1393+1208</f>
        <v>2601</v>
      </c>
      <c r="Q52" s="222">
        <f>1157+1248</f>
        <v>2405</v>
      </c>
      <c r="R52" s="222">
        <f>1191+949</f>
        <v>2140</v>
      </c>
      <c r="S52" s="222">
        <f>1662+602</f>
        <v>2264</v>
      </c>
      <c r="T52" s="222">
        <f>1735+556</f>
        <v>2291</v>
      </c>
      <c r="U52" s="222">
        <f>212+435</f>
        <v>647</v>
      </c>
      <c r="V52" s="222">
        <f>1012+503</f>
        <v>1515</v>
      </c>
      <c r="W52" s="222">
        <v>447</v>
      </c>
      <c r="X52" s="222">
        <v>427</v>
      </c>
      <c r="Y52" s="156">
        <f>X52+CFS!X45</f>
        <v>427</v>
      </c>
      <c r="Z52" s="156">
        <f>Y52+CFS!Y45</f>
        <v>427</v>
      </c>
      <c r="AA52" s="156">
        <f>Z52+CFS!Z45</f>
        <v>427</v>
      </c>
      <c r="AB52" s="156">
        <f>AA52+CFS!AA45</f>
        <v>427</v>
      </c>
      <c r="AC52" s="156">
        <f>AB52+CFS!AB45</f>
        <v>427</v>
      </c>
      <c r="AD52" s="156">
        <f>AC52+CFS!AC45</f>
        <v>427</v>
      </c>
      <c r="AE52" s="156">
        <f>AD52+CFS!AD45</f>
        <v>427</v>
      </c>
      <c r="AF52" s="156">
        <f>AE52+CFS!AE45</f>
        <v>427</v>
      </c>
      <c r="AG52" s="156">
        <f>AF52+CFS!AF45</f>
        <v>427</v>
      </c>
      <c r="AH52" s="43"/>
      <c r="AI52" s="32"/>
      <c r="AJ52" s="32"/>
      <c r="AK52" s="32"/>
      <c r="AL52" s="43"/>
      <c r="AM52" s="43"/>
      <c r="AN52" s="43"/>
      <c r="AO52" s="43"/>
      <c r="AP52" s="43"/>
      <c r="AQ52" s="43"/>
      <c r="AR52" s="43"/>
      <c r="AS52" s="43"/>
      <c r="AT52" s="43"/>
      <c r="AU52" s="43"/>
      <c r="AV52" s="43"/>
      <c r="AW52" s="43"/>
      <c r="AX52" s="43"/>
      <c r="AY52" s="43"/>
      <c r="AZ52" s="43"/>
      <c r="BA52" s="43"/>
      <c r="BB52" s="43"/>
      <c r="BC52" s="43"/>
      <c r="BD52" s="43"/>
      <c r="BE52" s="43"/>
      <c r="BF52" s="43"/>
      <c r="BG52" s="43"/>
      <c r="BH52" s="43"/>
      <c r="BI52" s="43"/>
      <c r="BJ52" s="43"/>
      <c r="BK52" s="43"/>
      <c r="BL52" s="43"/>
      <c r="BM52" s="43"/>
      <c r="BN52" s="43"/>
      <c r="BO52" s="43"/>
      <c r="BP52" s="43"/>
      <c r="BQ52" s="43"/>
      <c r="BR52" s="43"/>
      <c r="BS52" s="43"/>
      <c r="BT52" s="43"/>
      <c r="BU52" s="43"/>
      <c r="BV52" s="43"/>
      <c r="BW52" s="43"/>
      <c r="BX52" s="43"/>
      <c r="BY52" s="43"/>
      <c r="BZ52" s="43"/>
      <c r="CA52" s="43"/>
      <c r="CB52" s="43"/>
      <c r="CC52" s="43"/>
      <c r="CD52" s="43"/>
      <c r="CE52" s="43"/>
      <c r="CF52" s="43"/>
      <c r="CG52" s="43"/>
      <c r="CH52" s="43"/>
      <c r="CI52" s="43"/>
      <c r="CJ52" s="43"/>
      <c r="CK52" s="43"/>
      <c r="CL52" s="43"/>
      <c r="CM52" s="43"/>
      <c r="CN52" s="43"/>
      <c r="CO52" s="43"/>
      <c r="CP52" s="43"/>
      <c r="CQ52" s="43"/>
      <c r="CR52" s="43"/>
      <c r="CS52" s="43"/>
      <c r="CT52" s="43"/>
      <c r="CU52" s="43"/>
      <c r="CV52" s="43"/>
      <c r="CW52" s="43"/>
      <c r="CX52" s="43"/>
      <c r="CY52" s="43"/>
      <c r="CZ52" s="43"/>
      <c r="DA52" s="43"/>
      <c r="DB52" s="43"/>
      <c r="DC52" s="43"/>
      <c r="DD52" s="43"/>
      <c r="DE52" s="43"/>
      <c r="DF52" s="43"/>
      <c r="DG52" s="43"/>
      <c r="DH52" s="43"/>
      <c r="DI52" s="43"/>
      <c r="DJ52" s="43"/>
      <c r="DK52" s="43"/>
      <c r="DL52" s="43"/>
      <c r="DM52" s="43"/>
      <c r="DN52" s="43"/>
      <c r="DO52" s="43"/>
      <c r="DP52" s="43"/>
      <c r="DQ52" s="43"/>
      <c r="DR52" s="43"/>
      <c r="DS52" s="43"/>
      <c r="DT52" s="43"/>
      <c r="DU52" s="43"/>
      <c r="DV52" s="43"/>
      <c r="DW52" s="43"/>
      <c r="DX52" s="43"/>
      <c r="DY52" s="43"/>
      <c r="DZ52" s="43"/>
      <c r="EA52" s="43"/>
      <c r="EB52" s="43"/>
      <c r="EC52" s="43"/>
      <c r="ED52" s="43"/>
      <c r="EE52" s="43"/>
      <c r="EF52" s="43"/>
      <c r="EG52" s="43"/>
      <c r="EH52" s="43"/>
      <c r="EI52" s="43"/>
      <c r="EJ52" s="43"/>
      <c r="EK52" s="43"/>
      <c r="EL52" s="43"/>
      <c r="EM52" s="43"/>
      <c r="EN52" s="43"/>
      <c r="EO52" s="43"/>
      <c r="EP52" s="43"/>
      <c r="EQ52" s="43"/>
      <c r="ER52" s="43"/>
      <c r="ES52" s="43"/>
      <c r="ET52" s="43"/>
      <c r="EU52" s="43"/>
      <c r="EV52" s="43"/>
      <c r="EW52" s="43"/>
      <c r="EX52" s="43"/>
      <c r="EY52" s="43"/>
      <c r="EZ52" s="43"/>
      <c r="FA52" s="43"/>
      <c r="FB52" s="43"/>
      <c r="FC52" s="43"/>
      <c r="FD52" s="43"/>
      <c r="FE52" s="43"/>
      <c r="FF52" s="43"/>
      <c r="FG52" s="43"/>
      <c r="FH52" s="43"/>
      <c r="FI52" s="43"/>
      <c r="FJ52" s="43"/>
      <c r="FK52" s="43"/>
      <c r="FL52" s="43"/>
      <c r="FM52" s="43"/>
      <c r="FN52" s="43"/>
      <c r="FO52" s="43"/>
      <c r="FP52" s="43"/>
      <c r="FQ52" s="43"/>
      <c r="FR52" s="43"/>
      <c r="FS52" s="43"/>
      <c r="FT52" s="43"/>
      <c r="FU52" s="43"/>
      <c r="FV52" s="43"/>
      <c r="FW52" s="43"/>
      <c r="FX52" s="43"/>
      <c r="FY52" s="43"/>
      <c r="FZ52" s="43"/>
      <c r="GA52" s="43"/>
      <c r="GB52" s="43"/>
      <c r="GC52" s="43"/>
      <c r="GD52" s="43"/>
      <c r="GE52" s="43"/>
      <c r="GF52" s="43"/>
      <c r="GG52" s="43"/>
      <c r="GH52" s="43"/>
      <c r="GI52" s="43"/>
      <c r="GJ52" s="43"/>
      <c r="GK52" s="43"/>
      <c r="GL52" s="43"/>
      <c r="GM52" s="43"/>
      <c r="GN52" s="43"/>
      <c r="GO52" s="43"/>
      <c r="GP52" s="43"/>
      <c r="GQ52" s="43"/>
      <c r="GR52" s="43"/>
      <c r="GS52" s="43"/>
      <c r="GT52" s="43"/>
      <c r="GU52" s="43"/>
      <c r="GV52" s="43"/>
      <c r="GW52" s="43"/>
      <c r="GX52" s="43"/>
      <c r="GY52" s="43"/>
      <c r="GZ52" s="43"/>
      <c r="HA52" s="43"/>
      <c r="HB52" s="43"/>
      <c r="HC52" s="43"/>
      <c r="HD52" s="43"/>
      <c r="HE52" s="43"/>
      <c r="HF52" s="43"/>
      <c r="HG52" s="43"/>
      <c r="HH52" s="43"/>
      <c r="HI52" s="43"/>
      <c r="HJ52" s="43"/>
      <c r="HK52" s="43"/>
      <c r="HL52" s="43"/>
      <c r="HM52" s="43"/>
      <c r="HN52" s="43"/>
      <c r="HO52" s="43"/>
      <c r="HP52" s="43"/>
      <c r="HQ52" s="43"/>
      <c r="HR52"/>
      <c r="HS52"/>
      <c r="HT52"/>
      <c r="HU52"/>
      <c r="HV52"/>
      <c r="HW52"/>
      <c r="HX52"/>
      <c r="HY52"/>
      <c r="HZ52"/>
      <c r="IA52"/>
      <c r="IB52"/>
      <c r="IC52"/>
      <c r="ID52"/>
      <c r="IE52"/>
      <c r="IF52"/>
      <c r="IG52"/>
      <c r="IH52"/>
      <c r="II52"/>
      <c r="IJ52"/>
      <c r="IK52" s="32"/>
      <c r="IL52" s="32"/>
      <c r="IM52" s="32"/>
      <c r="IN52" s="32"/>
      <c r="IO52" s="32"/>
      <c r="IP52" s="32"/>
      <c r="IQ52" s="32"/>
    </row>
    <row r="53" spans="1:251" s="33" customFormat="1">
      <c r="A53" s="80"/>
      <c r="B53" s="80" t="s">
        <v>359</v>
      </c>
      <c r="C53" s="68"/>
      <c r="D53" s="156">
        <v>4947</v>
      </c>
      <c r="E53" s="156">
        <v>6106</v>
      </c>
      <c r="F53" s="156">
        <v>7427</v>
      </c>
      <c r="G53" s="156">
        <v>7686</v>
      </c>
      <c r="H53" s="156">
        <v>8181</v>
      </c>
      <c r="I53" s="156">
        <f t="shared" ref="I53:AB53" si="35">I55+I56+I57</f>
        <v>8320</v>
      </c>
      <c r="J53" s="156">
        <f t="shared" si="35"/>
        <v>8316</v>
      </c>
      <c r="K53" s="156">
        <f t="shared" si="35"/>
        <v>8126</v>
      </c>
      <c r="L53" s="156">
        <f t="shared" si="35"/>
        <v>6698</v>
      </c>
      <c r="M53" s="156">
        <f t="shared" si="35"/>
        <v>6698</v>
      </c>
      <c r="N53" s="156">
        <f t="shared" si="35"/>
        <v>5603</v>
      </c>
      <c r="O53" s="156">
        <f t="shared" si="35"/>
        <v>5603</v>
      </c>
      <c r="P53" s="156">
        <f t="shared" si="35"/>
        <v>5246</v>
      </c>
      <c r="Q53" s="156">
        <f t="shared" si="35"/>
        <v>4282</v>
      </c>
      <c r="R53" s="156">
        <f t="shared" si="35"/>
        <v>3981</v>
      </c>
      <c r="S53" s="156">
        <f t="shared" si="35"/>
        <v>3141</v>
      </c>
      <c r="T53" s="156">
        <f t="shared" si="35"/>
        <v>1707</v>
      </c>
      <c r="U53" s="156">
        <f t="shared" si="35"/>
        <v>0</v>
      </c>
      <c r="V53" s="156">
        <f t="shared" si="35"/>
        <v>0</v>
      </c>
      <c r="W53" s="156">
        <f t="shared" si="35"/>
        <v>0</v>
      </c>
      <c r="X53" s="156">
        <f t="shared" si="35"/>
        <v>0</v>
      </c>
      <c r="Y53" s="156">
        <f t="shared" si="35"/>
        <v>0</v>
      </c>
      <c r="Z53" s="156">
        <f t="shared" si="35"/>
        <v>0</v>
      </c>
      <c r="AA53" s="156">
        <f t="shared" si="35"/>
        <v>0</v>
      </c>
      <c r="AB53" s="156">
        <f t="shared" si="35"/>
        <v>0</v>
      </c>
      <c r="AC53" s="156">
        <f>AC55+AC56+AC57</f>
        <v>0</v>
      </c>
      <c r="AD53" s="156">
        <f>AD55+AD56+AD57</f>
        <v>0</v>
      </c>
      <c r="AE53" s="156">
        <f>AE55+AE56+AE57</f>
        <v>0</v>
      </c>
      <c r="AF53" s="156">
        <f>AF55+AF56+AF57</f>
        <v>0</v>
      </c>
      <c r="AG53" s="156">
        <f>AG55+AG56+AG57</f>
        <v>0</v>
      </c>
      <c r="AH53" s="43"/>
      <c r="AI53" s="43"/>
      <c r="AJ53" s="43"/>
      <c r="AK53" s="43"/>
      <c r="AL53" s="43"/>
      <c r="AM53" s="43"/>
      <c r="AN53" s="43"/>
      <c r="AO53" s="43"/>
      <c r="AP53" s="43"/>
      <c r="AQ53" s="43"/>
      <c r="AR53" s="43"/>
      <c r="AS53" s="43"/>
      <c r="AT53" s="43"/>
      <c r="AU53" s="43"/>
      <c r="AV53" s="43"/>
      <c r="AW53" s="43"/>
      <c r="AX53" s="43"/>
      <c r="AY53" s="43"/>
      <c r="AZ53" s="43"/>
      <c r="BA53" s="43"/>
      <c r="BB53" s="43"/>
      <c r="BC53" s="43"/>
      <c r="BD53" s="43"/>
      <c r="BE53" s="43"/>
      <c r="BF53" s="43"/>
      <c r="BG53" s="43"/>
      <c r="BH53" s="43"/>
      <c r="BI53" s="43"/>
      <c r="BJ53" s="43"/>
      <c r="BK53" s="43"/>
      <c r="BL53" s="43"/>
      <c r="BM53" s="43"/>
      <c r="BN53" s="43"/>
      <c r="BO53" s="43"/>
      <c r="BP53" s="43"/>
      <c r="BQ53" s="43"/>
      <c r="BR53" s="43"/>
      <c r="BS53" s="43"/>
      <c r="BT53" s="43"/>
      <c r="BU53" s="43"/>
      <c r="BV53" s="43"/>
      <c r="BW53" s="43"/>
      <c r="BX53" s="43"/>
      <c r="BY53" s="43"/>
      <c r="BZ53" s="43"/>
      <c r="CA53" s="43"/>
      <c r="CB53" s="43"/>
      <c r="CC53" s="43"/>
      <c r="CD53" s="43"/>
      <c r="CE53" s="43"/>
      <c r="CF53" s="43"/>
      <c r="CG53" s="43"/>
      <c r="CH53" s="43"/>
      <c r="CI53" s="43"/>
      <c r="CJ53" s="43"/>
      <c r="CK53" s="43"/>
      <c r="CL53" s="43"/>
      <c r="CM53" s="43"/>
      <c r="CN53" s="43"/>
      <c r="CO53" s="43"/>
      <c r="CP53" s="43"/>
      <c r="CQ53" s="43"/>
      <c r="CR53" s="43"/>
      <c r="CS53" s="43"/>
      <c r="CT53" s="43"/>
      <c r="CU53" s="43"/>
      <c r="CV53" s="43"/>
      <c r="CW53" s="43"/>
      <c r="CX53" s="43"/>
      <c r="CY53" s="43"/>
      <c r="CZ53" s="43"/>
      <c r="DA53" s="43"/>
      <c r="DB53" s="43"/>
      <c r="DC53" s="43"/>
      <c r="DD53" s="43"/>
      <c r="DE53" s="43"/>
      <c r="DF53" s="43"/>
      <c r="DG53" s="43"/>
      <c r="DH53" s="43"/>
      <c r="DI53" s="43"/>
      <c r="DJ53" s="43"/>
      <c r="DK53" s="43"/>
      <c r="DL53" s="43"/>
      <c r="DM53" s="43"/>
      <c r="DN53" s="43"/>
      <c r="DO53" s="43"/>
      <c r="DP53" s="43"/>
      <c r="DQ53" s="43"/>
      <c r="DR53" s="43"/>
      <c r="DS53" s="43"/>
      <c r="DT53" s="43"/>
      <c r="DU53" s="43"/>
      <c r="DV53" s="43"/>
      <c r="DW53" s="43"/>
      <c r="DX53" s="43"/>
      <c r="DY53" s="43"/>
      <c r="DZ53" s="43"/>
      <c r="EA53" s="43"/>
      <c r="EB53" s="43"/>
      <c r="EC53" s="43"/>
      <c r="ED53" s="43"/>
      <c r="EE53" s="43"/>
      <c r="EF53" s="43"/>
      <c r="EG53" s="43"/>
      <c r="EH53" s="43"/>
      <c r="EI53" s="43"/>
      <c r="EJ53" s="43"/>
      <c r="EK53" s="43"/>
      <c r="EL53" s="43"/>
      <c r="EM53" s="43"/>
      <c r="EN53" s="43"/>
      <c r="EO53" s="43"/>
      <c r="EP53" s="43"/>
      <c r="EQ53" s="43"/>
      <c r="ER53" s="43"/>
      <c r="ES53" s="43"/>
      <c r="ET53" s="43"/>
      <c r="EU53" s="43"/>
      <c r="EV53" s="43"/>
      <c r="EW53" s="43"/>
      <c r="EX53" s="43"/>
      <c r="EY53" s="43"/>
      <c r="EZ53" s="43"/>
      <c r="FA53" s="43"/>
      <c r="FB53" s="43"/>
      <c r="FC53" s="43"/>
      <c r="FD53" s="43"/>
      <c r="FE53" s="43"/>
      <c r="FF53" s="43"/>
      <c r="FG53" s="43"/>
      <c r="FH53" s="43"/>
      <c r="FI53" s="43"/>
      <c r="FJ53" s="43"/>
      <c r="FK53" s="43"/>
      <c r="FL53" s="43"/>
      <c r="FM53" s="43"/>
      <c r="FN53" s="43"/>
      <c r="FO53" s="43"/>
      <c r="FP53" s="43"/>
      <c r="FQ53" s="43"/>
      <c r="FR53" s="43"/>
      <c r="FS53" s="43"/>
      <c r="FT53" s="43"/>
      <c r="FU53" s="43"/>
      <c r="FV53" s="43"/>
      <c r="FW53" s="43"/>
      <c r="FX53" s="43"/>
      <c r="FY53" s="43"/>
      <c r="FZ53" s="43"/>
      <c r="GA53" s="43"/>
      <c r="GB53" s="43"/>
      <c r="GC53" s="43"/>
      <c r="GD53" s="43"/>
      <c r="GE53" s="43"/>
      <c r="GF53" s="43"/>
      <c r="GG53" s="43"/>
      <c r="GH53" s="43"/>
      <c r="GI53" s="43"/>
      <c r="GJ53" s="43"/>
      <c r="GK53" s="43"/>
      <c r="GL53" s="43"/>
      <c r="GM53" s="43"/>
      <c r="GN53" s="43"/>
      <c r="GO53" s="43"/>
      <c r="GP53" s="43"/>
      <c r="GQ53" s="43"/>
      <c r="GR53" s="43"/>
      <c r="GS53" s="43"/>
      <c r="GT53" s="43"/>
      <c r="GU53" s="43"/>
      <c r="GV53" s="43"/>
      <c r="GW53" s="43"/>
      <c r="GX53" s="43"/>
      <c r="GY53" s="43"/>
      <c r="GZ53" s="43"/>
      <c r="HA53" s="43"/>
      <c r="HB53" s="43"/>
      <c r="HC53" s="43"/>
      <c r="HD53" s="43"/>
      <c r="HE53" s="43"/>
      <c r="HF53" s="43"/>
      <c r="HG53" s="43"/>
      <c r="HH53" s="43"/>
      <c r="HI53" s="43"/>
      <c r="HJ53" s="43"/>
      <c r="HK53" s="43"/>
      <c r="HL53" s="43"/>
      <c r="HM53" s="43"/>
      <c r="HN53" s="43"/>
      <c r="HO53" s="43"/>
      <c r="HP53" s="43"/>
      <c r="HQ53" s="43"/>
      <c r="HR53"/>
      <c r="HS53"/>
      <c r="HT53"/>
      <c r="HU53"/>
      <c r="HV53"/>
      <c r="HW53"/>
      <c r="HX53"/>
      <c r="HY53"/>
      <c r="HZ53"/>
      <c r="IA53"/>
      <c r="IB53"/>
      <c r="IC53"/>
      <c r="ID53"/>
      <c r="IE53"/>
      <c r="IF53"/>
      <c r="IG53"/>
      <c r="IH53"/>
      <c r="II53"/>
      <c r="IJ53"/>
      <c r="IK53" s="32"/>
      <c r="IL53" s="32"/>
      <c r="IM53" s="32"/>
      <c r="IN53" s="32"/>
      <c r="IO53" s="32"/>
      <c r="IP53" s="32"/>
      <c r="IQ53" s="32"/>
    </row>
    <row r="54" spans="1:251" s="33" customFormat="1" hidden="1" outlineLevel="1">
      <c r="A54" s="80"/>
      <c r="B54" s="80" t="s">
        <v>149</v>
      </c>
      <c r="C54" s="68"/>
      <c r="D54" s="156"/>
      <c r="E54" s="156"/>
      <c r="F54" s="156">
        <v>1027</v>
      </c>
      <c r="G54" s="156">
        <v>512</v>
      </c>
      <c r="H54" s="156">
        <v>0</v>
      </c>
      <c r="I54" s="222">
        <f>H54</f>
        <v>0</v>
      </c>
      <c r="J54" s="222">
        <f>I54</f>
        <v>0</v>
      </c>
      <c r="K54" s="222">
        <f>J54</f>
        <v>0</v>
      </c>
      <c r="L54" s="222">
        <f>K54</f>
        <v>0</v>
      </c>
      <c r="M54" s="222">
        <v>0</v>
      </c>
      <c r="N54" s="222">
        <f>M54</f>
        <v>0</v>
      </c>
      <c r="O54" s="222">
        <f>+N54</f>
        <v>0</v>
      </c>
      <c r="P54" s="222">
        <f t="shared" ref="P54:AB54" si="36">O54</f>
        <v>0</v>
      </c>
      <c r="Q54" s="222">
        <f t="shared" si="36"/>
        <v>0</v>
      </c>
      <c r="R54" s="222">
        <f t="shared" si="36"/>
        <v>0</v>
      </c>
      <c r="S54" s="222">
        <f t="shared" si="36"/>
        <v>0</v>
      </c>
      <c r="T54" s="222">
        <f t="shared" si="36"/>
        <v>0</v>
      </c>
      <c r="U54" s="222">
        <f t="shared" si="36"/>
        <v>0</v>
      </c>
      <c r="V54" s="222">
        <f t="shared" si="36"/>
        <v>0</v>
      </c>
      <c r="W54" s="222">
        <f t="shared" si="36"/>
        <v>0</v>
      </c>
      <c r="X54" s="222">
        <f t="shared" si="36"/>
        <v>0</v>
      </c>
      <c r="Y54" s="222">
        <f t="shared" si="36"/>
        <v>0</v>
      </c>
      <c r="Z54" s="222">
        <f t="shared" si="36"/>
        <v>0</v>
      </c>
      <c r="AA54" s="222">
        <f t="shared" si="36"/>
        <v>0</v>
      </c>
      <c r="AB54" s="222">
        <f t="shared" si="36"/>
        <v>0</v>
      </c>
      <c r="AC54" s="222">
        <f>AB54</f>
        <v>0</v>
      </c>
      <c r="AD54" s="222">
        <f>AC54</f>
        <v>0</v>
      </c>
      <c r="AE54" s="222">
        <f>AD54</f>
        <v>0</v>
      </c>
      <c r="AF54" s="222">
        <f>AE54</f>
        <v>0</v>
      </c>
      <c r="AG54" s="222">
        <f>AF54</f>
        <v>0</v>
      </c>
      <c r="AH54" s="43"/>
      <c r="AI54" s="43"/>
      <c r="AJ54" s="43"/>
      <c r="AK54" s="43"/>
      <c r="AL54" s="43"/>
      <c r="AM54" s="43"/>
      <c r="AN54" s="43"/>
      <c r="AO54" s="43"/>
      <c r="AP54" s="43"/>
      <c r="AQ54" s="43"/>
      <c r="AR54" s="43"/>
      <c r="AS54" s="43"/>
      <c r="AT54" s="43"/>
      <c r="AU54" s="43"/>
      <c r="AV54" s="43"/>
      <c r="AW54" s="43"/>
      <c r="AX54" s="43"/>
      <c r="AY54" s="43"/>
      <c r="AZ54" s="43"/>
      <c r="BA54" s="43"/>
      <c r="BB54" s="43"/>
      <c r="BC54" s="43"/>
      <c r="BD54" s="43"/>
      <c r="BE54" s="43"/>
      <c r="BF54" s="43"/>
      <c r="BG54" s="43"/>
      <c r="BH54" s="43"/>
      <c r="BI54" s="43"/>
      <c r="BJ54" s="43"/>
      <c r="BK54" s="43"/>
      <c r="BL54" s="43"/>
      <c r="BM54" s="43"/>
      <c r="BN54" s="43"/>
      <c r="BO54" s="43"/>
      <c r="BP54" s="43"/>
      <c r="BQ54" s="43"/>
      <c r="BR54" s="43"/>
      <c r="BS54" s="43"/>
      <c r="BT54" s="43"/>
      <c r="BU54" s="43"/>
      <c r="BV54" s="43"/>
      <c r="BW54" s="43"/>
      <c r="BX54" s="43"/>
      <c r="BY54" s="43"/>
      <c r="BZ54" s="43"/>
      <c r="CA54" s="43"/>
      <c r="CB54" s="43"/>
      <c r="CC54" s="43"/>
      <c r="CD54" s="43"/>
      <c r="CE54" s="43"/>
      <c r="CF54" s="43"/>
      <c r="CG54" s="43"/>
      <c r="CH54" s="43"/>
      <c r="CI54" s="43"/>
      <c r="CJ54" s="43"/>
      <c r="CK54" s="43"/>
      <c r="CL54" s="43"/>
      <c r="CM54" s="43"/>
      <c r="CN54" s="43"/>
      <c r="CO54" s="43"/>
      <c r="CP54" s="43"/>
      <c r="CQ54" s="43"/>
      <c r="CR54" s="43"/>
      <c r="CS54" s="43"/>
      <c r="CT54" s="43"/>
      <c r="CU54" s="43"/>
      <c r="CV54" s="43"/>
      <c r="CW54" s="43"/>
      <c r="CX54" s="43"/>
      <c r="CY54" s="43"/>
      <c r="CZ54" s="43"/>
      <c r="DA54" s="43"/>
      <c r="DB54" s="43"/>
      <c r="DC54" s="43"/>
      <c r="DD54" s="43"/>
      <c r="DE54" s="43"/>
      <c r="DF54" s="43"/>
      <c r="DG54" s="43"/>
      <c r="DH54" s="43"/>
      <c r="DI54" s="43"/>
      <c r="DJ54" s="43"/>
      <c r="DK54" s="43"/>
      <c r="DL54" s="43"/>
      <c r="DM54" s="43"/>
      <c r="DN54" s="43"/>
      <c r="DO54" s="43"/>
      <c r="DP54" s="43"/>
      <c r="DQ54" s="43"/>
      <c r="DR54" s="43"/>
      <c r="DS54" s="43"/>
      <c r="DT54" s="43"/>
      <c r="DU54" s="43"/>
      <c r="DV54" s="43"/>
      <c r="DW54" s="43"/>
      <c r="DX54" s="43"/>
      <c r="DY54" s="43"/>
      <c r="DZ54" s="43"/>
      <c r="EA54" s="43"/>
      <c r="EB54" s="43"/>
      <c r="EC54" s="43"/>
      <c r="ED54" s="43"/>
      <c r="EE54" s="43"/>
      <c r="EF54" s="43"/>
      <c r="EG54" s="43"/>
      <c r="EH54" s="43"/>
      <c r="EI54" s="43"/>
      <c r="EJ54" s="43"/>
      <c r="EK54" s="43"/>
      <c r="EL54" s="43"/>
      <c r="EM54" s="43"/>
      <c r="EN54" s="43"/>
      <c r="EO54" s="43"/>
      <c r="EP54" s="43"/>
      <c r="EQ54" s="43"/>
      <c r="ER54" s="43"/>
      <c r="ES54" s="43"/>
      <c r="ET54" s="43"/>
      <c r="EU54" s="43"/>
      <c r="EV54" s="43"/>
      <c r="EW54" s="43"/>
      <c r="EX54" s="43"/>
      <c r="EY54" s="43"/>
      <c r="EZ54" s="43"/>
      <c r="FA54" s="43"/>
      <c r="FB54" s="43"/>
      <c r="FC54" s="43"/>
      <c r="FD54" s="43"/>
      <c r="FE54" s="43"/>
      <c r="FF54" s="43"/>
      <c r="FG54" s="43"/>
      <c r="FH54" s="43"/>
      <c r="FI54" s="43"/>
      <c r="FJ54" s="43"/>
      <c r="FK54" s="43"/>
      <c r="FL54" s="43"/>
      <c r="FM54" s="43"/>
      <c r="FN54" s="43"/>
      <c r="FO54" s="43"/>
      <c r="FP54" s="43"/>
      <c r="FQ54" s="43"/>
      <c r="FR54" s="43"/>
      <c r="FS54" s="43"/>
      <c r="FT54" s="43"/>
      <c r="FU54" s="43"/>
      <c r="FV54" s="43"/>
      <c r="FW54" s="43"/>
      <c r="FX54" s="43"/>
      <c r="FY54" s="43"/>
      <c r="FZ54" s="43"/>
      <c r="GA54" s="43"/>
      <c r="GB54" s="43"/>
      <c r="GC54" s="43"/>
      <c r="GD54" s="43"/>
      <c r="GE54" s="43"/>
      <c r="GF54" s="43"/>
      <c r="GG54" s="43"/>
      <c r="GH54" s="43"/>
      <c r="GI54" s="43"/>
      <c r="GJ54" s="43"/>
      <c r="GK54" s="43"/>
      <c r="GL54" s="43"/>
      <c r="GM54" s="43"/>
      <c r="GN54" s="43"/>
      <c r="GO54" s="43"/>
      <c r="GP54" s="43"/>
      <c r="GQ54" s="43"/>
      <c r="GR54" s="43"/>
      <c r="GS54" s="43"/>
      <c r="GT54" s="43"/>
      <c r="GU54" s="43"/>
      <c r="GV54" s="43"/>
      <c r="GW54" s="43"/>
      <c r="GX54" s="43"/>
      <c r="GY54" s="43"/>
      <c r="GZ54" s="43"/>
      <c r="HA54" s="43"/>
      <c r="HB54" s="43"/>
      <c r="HC54" s="43"/>
      <c r="HD54" s="43"/>
      <c r="HE54" s="43"/>
      <c r="HF54" s="43"/>
      <c r="HG54" s="43"/>
      <c r="HH54" s="43"/>
      <c r="HI54" s="43"/>
      <c r="HJ54" s="43"/>
      <c r="HK54" s="43"/>
      <c r="HL54" s="43"/>
      <c r="HM54" s="43"/>
      <c r="HN54" s="43"/>
      <c r="HO54" s="43"/>
      <c r="HP54" s="43"/>
      <c r="HQ54" s="43"/>
      <c r="HR54"/>
      <c r="HS54"/>
      <c r="HT54"/>
      <c r="HU54"/>
      <c r="HV54"/>
      <c r="HW54"/>
      <c r="HX54"/>
      <c r="HY54"/>
      <c r="HZ54"/>
      <c r="IA54"/>
      <c r="IB54"/>
      <c r="IC54"/>
      <c r="ID54"/>
      <c r="IE54"/>
      <c r="IF54"/>
      <c r="IG54"/>
      <c r="IH54"/>
      <c r="II54"/>
      <c r="IJ54"/>
      <c r="IK54" s="32"/>
      <c r="IL54" s="32"/>
      <c r="IM54" s="32"/>
      <c r="IN54" s="32"/>
      <c r="IO54" s="32"/>
      <c r="IP54" s="32"/>
      <c r="IQ54" s="32"/>
    </row>
    <row r="55" spans="1:251" s="33" customFormat="1" hidden="1" outlineLevel="1">
      <c r="A55" s="80"/>
      <c r="B55" s="80" t="s">
        <v>150</v>
      </c>
      <c r="C55" s="68"/>
      <c r="D55" s="156"/>
      <c r="E55" s="156"/>
      <c r="F55" s="156">
        <v>899</v>
      </c>
      <c r="G55" s="156">
        <v>1492</v>
      </c>
      <c r="H55" s="156">
        <v>2166</v>
      </c>
      <c r="I55" s="156">
        <v>2210</v>
      </c>
      <c r="J55" s="156">
        <v>2221</v>
      </c>
      <c r="K55" s="156">
        <v>2014</v>
      </c>
      <c r="L55" s="156">
        <v>1119</v>
      </c>
      <c r="M55" s="156">
        <v>1119</v>
      </c>
      <c r="N55" s="156">
        <v>500</v>
      </c>
      <c r="O55" s="222">
        <f>+N55</f>
        <v>500</v>
      </c>
      <c r="P55" s="222">
        <v>500</v>
      </c>
      <c r="Q55" s="222">
        <v>0</v>
      </c>
      <c r="R55" s="222">
        <v>0</v>
      </c>
      <c r="S55" s="156">
        <v>0</v>
      </c>
      <c r="T55" s="156">
        <f t="shared" ref="T55:AB55" si="37">S55+T180</f>
        <v>0</v>
      </c>
      <c r="U55" s="156">
        <f t="shared" si="37"/>
        <v>0</v>
      </c>
      <c r="V55" s="156">
        <f t="shared" si="37"/>
        <v>0</v>
      </c>
      <c r="W55" s="156">
        <f t="shared" si="37"/>
        <v>0</v>
      </c>
      <c r="X55" s="156">
        <f t="shared" si="37"/>
        <v>0</v>
      </c>
      <c r="Y55" s="156">
        <f t="shared" si="37"/>
        <v>0</v>
      </c>
      <c r="Z55" s="156">
        <f t="shared" si="37"/>
        <v>0</v>
      </c>
      <c r="AA55" s="156">
        <f t="shared" si="37"/>
        <v>0</v>
      </c>
      <c r="AB55" s="156">
        <f t="shared" si="37"/>
        <v>0</v>
      </c>
      <c r="AC55" s="156">
        <f>AB55+AC180</f>
        <v>0</v>
      </c>
      <c r="AD55" s="156">
        <f>AC55+AD180</f>
        <v>0</v>
      </c>
      <c r="AE55" s="156">
        <f>AD55+AE180</f>
        <v>0</v>
      </c>
      <c r="AF55" s="156">
        <f>AE55+AF180</f>
        <v>0</v>
      </c>
      <c r="AG55" s="156">
        <f>AF55+AG180</f>
        <v>0</v>
      </c>
      <c r="AH55" s="43"/>
      <c r="AI55" s="43"/>
      <c r="AJ55" s="43"/>
      <c r="AK55" s="43"/>
      <c r="AL55" s="43"/>
      <c r="AM55" s="43"/>
      <c r="AN55" s="43"/>
      <c r="AO55" s="43"/>
      <c r="AP55" s="43"/>
      <c r="AQ55" s="43"/>
      <c r="AR55" s="43"/>
      <c r="AS55" s="43"/>
      <c r="AT55" s="43"/>
      <c r="AU55" s="43"/>
      <c r="AV55" s="43"/>
      <c r="AW55" s="43"/>
      <c r="AX55" s="43"/>
      <c r="AY55" s="43"/>
      <c r="AZ55" s="43"/>
      <c r="BA55" s="43"/>
      <c r="BB55" s="43"/>
      <c r="BC55" s="43"/>
      <c r="BD55" s="43"/>
      <c r="BE55" s="43"/>
      <c r="BF55" s="43"/>
      <c r="BG55" s="43"/>
      <c r="BH55" s="43"/>
      <c r="BI55" s="43"/>
      <c r="BJ55" s="43"/>
      <c r="BK55" s="43"/>
      <c r="BL55" s="43"/>
      <c r="BM55" s="43"/>
      <c r="BN55" s="43"/>
      <c r="BO55" s="43"/>
      <c r="BP55" s="43"/>
      <c r="BQ55" s="43"/>
      <c r="BR55" s="43"/>
      <c r="BS55" s="43"/>
      <c r="BT55" s="43"/>
      <c r="BU55" s="43"/>
      <c r="BV55" s="43"/>
      <c r="BW55" s="43"/>
      <c r="BX55" s="43"/>
      <c r="BY55" s="43"/>
      <c r="BZ55" s="43"/>
      <c r="CA55" s="43"/>
      <c r="CB55" s="43"/>
      <c r="CC55" s="43"/>
      <c r="CD55" s="43"/>
      <c r="CE55" s="43"/>
      <c r="CF55" s="43"/>
      <c r="CG55" s="43"/>
      <c r="CH55" s="43"/>
      <c r="CI55" s="43"/>
      <c r="CJ55" s="43"/>
      <c r="CK55" s="43"/>
      <c r="CL55" s="43"/>
      <c r="CM55" s="43"/>
      <c r="CN55" s="43"/>
      <c r="CO55" s="43"/>
      <c r="CP55" s="43"/>
      <c r="CQ55" s="43"/>
      <c r="CR55" s="43"/>
      <c r="CS55" s="43"/>
      <c r="CT55" s="43"/>
      <c r="CU55" s="43"/>
      <c r="CV55" s="43"/>
      <c r="CW55" s="43"/>
      <c r="CX55" s="43"/>
      <c r="CY55" s="43"/>
      <c r="CZ55" s="43"/>
      <c r="DA55" s="43"/>
      <c r="DB55" s="43"/>
      <c r="DC55" s="43"/>
      <c r="DD55" s="43"/>
      <c r="DE55" s="43"/>
      <c r="DF55" s="43"/>
      <c r="DG55" s="43"/>
      <c r="DH55" s="43"/>
      <c r="DI55" s="43"/>
      <c r="DJ55" s="43"/>
      <c r="DK55" s="43"/>
      <c r="DL55" s="43"/>
      <c r="DM55" s="43"/>
      <c r="DN55" s="43"/>
      <c r="DO55" s="43"/>
      <c r="DP55" s="43"/>
      <c r="DQ55" s="43"/>
      <c r="DR55" s="43"/>
      <c r="DS55" s="43"/>
      <c r="DT55" s="43"/>
      <c r="DU55" s="43"/>
      <c r="DV55" s="43"/>
      <c r="DW55" s="43"/>
      <c r="DX55" s="43"/>
      <c r="DY55" s="43"/>
      <c r="DZ55" s="43"/>
      <c r="EA55" s="43"/>
      <c r="EB55" s="43"/>
      <c r="EC55" s="43"/>
      <c r="ED55" s="43"/>
      <c r="EE55" s="43"/>
      <c r="EF55" s="43"/>
      <c r="EG55" s="43"/>
      <c r="EH55" s="43"/>
      <c r="EI55" s="43"/>
      <c r="EJ55" s="43"/>
      <c r="EK55" s="43"/>
      <c r="EL55" s="43"/>
      <c r="EM55" s="43"/>
      <c r="EN55" s="43"/>
      <c r="EO55" s="43"/>
      <c r="EP55" s="43"/>
      <c r="EQ55" s="43"/>
      <c r="ER55" s="43"/>
      <c r="ES55" s="43"/>
      <c r="ET55" s="43"/>
      <c r="EU55" s="43"/>
      <c r="EV55" s="43"/>
      <c r="EW55" s="43"/>
      <c r="EX55" s="43"/>
      <c r="EY55" s="43"/>
      <c r="EZ55" s="43"/>
      <c r="FA55" s="43"/>
      <c r="FB55" s="43"/>
      <c r="FC55" s="43"/>
      <c r="FD55" s="43"/>
      <c r="FE55" s="43"/>
      <c r="FF55" s="43"/>
      <c r="FG55" s="43"/>
      <c r="FH55" s="43"/>
      <c r="FI55" s="43"/>
      <c r="FJ55" s="43"/>
      <c r="FK55" s="43"/>
      <c r="FL55" s="43"/>
      <c r="FM55" s="43"/>
      <c r="FN55" s="43"/>
      <c r="FO55" s="43"/>
      <c r="FP55" s="43"/>
      <c r="FQ55" s="43"/>
      <c r="FR55" s="43"/>
      <c r="FS55" s="43"/>
      <c r="FT55" s="43"/>
      <c r="FU55" s="43"/>
      <c r="FV55" s="43"/>
      <c r="FW55" s="43"/>
      <c r="FX55" s="43"/>
      <c r="FY55" s="43"/>
      <c r="FZ55" s="43"/>
      <c r="GA55" s="43"/>
      <c r="GB55" s="43"/>
      <c r="GC55" s="43"/>
      <c r="GD55" s="43"/>
      <c r="GE55" s="43"/>
      <c r="GF55" s="43"/>
      <c r="GG55" s="43"/>
      <c r="GH55" s="43"/>
      <c r="GI55" s="43"/>
      <c r="GJ55" s="43"/>
      <c r="GK55" s="43"/>
      <c r="GL55" s="43"/>
      <c r="GM55" s="43"/>
      <c r="GN55" s="43"/>
      <c r="GO55" s="43"/>
      <c r="GP55" s="43"/>
      <c r="GQ55" s="43"/>
      <c r="GR55" s="43"/>
      <c r="GS55" s="43"/>
      <c r="GT55" s="43"/>
      <c r="GU55" s="43"/>
      <c r="GV55" s="43"/>
      <c r="GW55" s="43"/>
      <c r="GX55" s="43"/>
      <c r="GY55" s="43"/>
      <c r="GZ55" s="43"/>
      <c r="HA55" s="43"/>
      <c r="HB55" s="43"/>
      <c r="HC55" s="43"/>
      <c r="HD55" s="43"/>
      <c r="HE55" s="43"/>
      <c r="HF55" s="43"/>
      <c r="HG55" s="43"/>
      <c r="HH55" s="43"/>
      <c r="HI55" s="43"/>
      <c r="HJ55" s="43"/>
      <c r="HK55" s="43"/>
      <c r="HL55" s="43"/>
      <c r="HM55" s="43"/>
      <c r="HN55" s="43"/>
      <c r="HO55" s="43"/>
      <c r="HP55" s="43"/>
      <c r="HQ55" s="43"/>
      <c r="HR55"/>
      <c r="HS55"/>
      <c r="HT55"/>
      <c r="HU55"/>
      <c r="HV55"/>
      <c r="HW55"/>
      <c r="HX55"/>
      <c r="HY55"/>
      <c r="HZ55"/>
      <c r="IA55"/>
      <c r="IB55"/>
      <c r="IC55"/>
      <c r="ID55"/>
      <c r="IE55"/>
      <c r="IF55"/>
      <c r="IG55"/>
      <c r="IH55"/>
      <c r="II55"/>
      <c r="IJ55"/>
      <c r="IK55" s="32"/>
      <c r="IL55" s="32"/>
      <c r="IM55" s="32"/>
      <c r="IN55" s="32"/>
      <c r="IO55" s="32"/>
      <c r="IP55" s="32"/>
      <c r="IQ55" s="32"/>
    </row>
    <row r="56" spans="1:251" s="33" customFormat="1" hidden="1" outlineLevel="1">
      <c r="A56" s="80"/>
      <c r="B56" s="80" t="s">
        <v>162</v>
      </c>
      <c r="C56" s="68"/>
      <c r="D56" s="156"/>
      <c r="E56" s="156"/>
      <c r="F56" s="156">
        <v>4838</v>
      </c>
      <c r="G56" s="156">
        <v>5246</v>
      </c>
      <c r="H56" s="156">
        <v>5521</v>
      </c>
      <c r="I56" s="222">
        <v>5815</v>
      </c>
      <c r="J56" s="222">
        <v>5876</v>
      </c>
      <c r="K56" s="222">
        <v>5737</v>
      </c>
      <c r="L56" s="222">
        <v>5530</v>
      </c>
      <c r="M56" s="222">
        <v>5530</v>
      </c>
      <c r="N56" s="222">
        <v>4911</v>
      </c>
      <c r="O56" s="222">
        <f>+N56</f>
        <v>4911</v>
      </c>
      <c r="P56" s="222">
        <v>4644</v>
      </c>
      <c r="Q56" s="222">
        <v>4180</v>
      </c>
      <c r="R56" s="222">
        <v>3880</v>
      </c>
      <c r="S56" s="222">
        <v>2811</v>
      </c>
      <c r="T56" s="222">
        <v>1699</v>
      </c>
      <c r="U56" s="156">
        <v>0</v>
      </c>
      <c r="V56" s="156">
        <f t="shared" ref="V56:AB57" si="38">U56</f>
        <v>0</v>
      </c>
      <c r="W56" s="156">
        <f t="shared" si="38"/>
        <v>0</v>
      </c>
      <c r="X56" s="156">
        <f t="shared" si="38"/>
        <v>0</v>
      </c>
      <c r="Y56" s="156">
        <f t="shared" si="38"/>
        <v>0</v>
      </c>
      <c r="Z56" s="156">
        <f t="shared" si="38"/>
        <v>0</v>
      </c>
      <c r="AA56" s="156">
        <f t="shared" si="38"/>
        <v>0</v>
      </c>
      <c r="AB56" s="156">
        <f t="shared" si="38"/>
        <v>0</v>
      </c>
      <c r="AC56" s="156">
        <f t="shared" ref="AC56:AG57" si="39">AB56</f>
        <v>0</v>
      </c>
      <c r="AD56" s="156">
        <f t="shared" si="39"/>
        <v>0</v>
      </c>
      <c r="AE56" s="156">
        <f t="shared" si="39"/>
        <v>0</v>
      </c>
      <c r="AF56" s="156">
        <f t="shared" si="39"/>
        <v>0</v>
      </c>
      <c r="AG56" s="156">
        <f t="shared" si="39"/>
        <v>0</v>
      </c>
      <c r="AH56" s="43"/>
      <c r="AI56" s="43"/>
      <c r="AJ56" s="43"/>
      <c r="AK56" s="43"/>
      <c r="AL56" s="43"/>
      <c r="AM56" s="43"/>
      <c r="AN56" s="43"/>
      <c r="AO56" s="43"/>
      <c r="AP56" s="43"/>
      <c r="AQ56" s="43"/>
      <c r="AR56" s="43"/>
      <c r="AS56" s="43"/>
      <c r="AT56" s="43"/>
      <c r="AU56" s="43"/>
      <c r="AV56" s="43"/>
      <c r="AW56" s="43"/>
      <c r="AX56" s="43"/>
      <c r="AY56" s="43"/>
      <c r="AZ56" s="43"/>
      <c r="BA56" s="43"/>
      <c r="BB56" s="43"/>
      <c r="BC56" s="43"/>
      <c r="BD56" s="43"/>
      <c r="BE56" s="43"/>
      <c r="BF56" s="43"/>
      <c r="BG56" s="43"/>
      <c r="BH56" s="43"/>
      <c r="BI56" s="43"/>
      <c r="BJ56" s="43"/>
      <c r="BK56" s="43"/>
      <c r="BL56" s="43"/>
      <c r="BM56" s="43"/>
      <c r="BN56" s="43"/>
      <c r="BO56" s="43"/>
      <c r="BP56" s="43"/>
      <c r="BQ56" s="43"/>
      <c r="BR56" s="43"/>
      <c r="BS56" s="43"/>
      <c r="BT56" s="43"/>
      <c r="BU56" s="43"/>
      <c r="BV56" s="43"/>
      <c r="BW56" s="43"/>
      <c r="BX56" s="43"/>
      <c r="BY56" s="43"/>
      <c r="BZ56" s="43"/>
      <c r="CA56" s="43"/>
      <c r="CB56" s="43"/>
      <c r="CC56" s="43"/>
      <c r="CD56" s="43"/>
      <c r="CE56" s="43"/>
      <c r="CF56" s="43"/>
      <c r="CG56" s="43"/>
      <c r="CH56" s="43"/>
      <c r="CI56" s="43"/>
      <c r="CJ56" s="43"/>
      <c r="CK56" s="43"/>
      <c r="CL56" s="43"/>
      <c r="CM56" s="43"/>
      <c r="CN56" s="43"/>
      <c r="CO56" s="43"/>
      <c r="CP56" s="43"/>
      <c r="CQ56" s="43"/>
      <c r="CR56" s="43"/>
      <c r="CS56" s="43"/>
      <c r="CT56" s="43"/>
      <c r="CU56" s="43"/>
      <c r="CV56" s="43"/>
      <c r="CW56" s="43"/>
      <c r="CX56" s="43"/>
      <c r="CY56" s="43"/>
      <c r="CZ56" s="43"/>
      <c r="DA56" s="43"/>
      <c r="DB56" s="43"/>
      <c r="DC56" s="43"/>
      <c r="DD56" s="43"/>
      <c r="DE56" s="43"/>
      <c r="DF56" s="43"/>
      <c r="DG56" s="43"/>
      <c r="DH56" s="43"/>
      <c r="DI56" s="43"/>
      <c r="DJ56" s="43"/>
      <c r="DK56" s="43"/>
      <c r="DL56" s="43"/>
      <c r="DM56" s="43"/>
      <c r="DN56" s="43"/>
      <c r="DO56" s="43"/>
      <c r="DP56" s="43"/>
      <c r="DQ56" s="43"/>
      <c r="DR56" s="43"/>
      <c r="DS56" s="43"/>
      <c r="DT56" s="43"/>
      <c r="DU56" s="43"/>
      <c r="DV56" s="43"/>
      <c r="DW56" s="43"/>
      <c r="DX56" s="43"/>
      <c r="DY56" s="43"/>
      <c r="DZ56" s="43"/>
      <c r="EA56" s="43"/>
      <c r="EB56" s="43"/>
      <c r="EC56" s="43"/>
      <c r="ED56" s="43"/>
      <c r="EE56" s="43"/>
      <c r="EF56" s="43"/>
      <c r="EG56" s="43"/>
      <c r="EH56" s="43"/>
      <c r="EI56" s="43"/>
      <c r="EJ56" s="43"/>
      <c r="EK56" s="43"/>
      <c r="EL56" s="43"/>
      <c r="EM56" s="43"/>
      <c r="EN56" s="43"/>
      <c r="EO56" s="43"/>
      <c r="EP56" s="43"/>
      <c r="EQ56" s="43"/>
      <c r="ER56" s="43"/>
      <c r="ES56" s="43"/>
      <c r="ET56" s="43"/>
      <c r="EU56" s="43"/>
      <c r="EV56" s="43"/>
      <c r="EW56" s="43"/>
      <c r="EX56" s="43"/>
      <c r="EY56" s="43"/>
      <c r="EZ56" s="43"/>
      <c r="FA56" s="43"/>
      <c r="FB56" s="43"/>
      <c r="FC56" s="43"/>
      <c r="FD56" s="43"/>
      <c r="FE56" s="43"/>
      <c r="FF56" s="43"/>
      <c r="FG56" s="43"/>
      <c r="FH56" s="43"/>
      <c r="FI56" s="43"/>
      <c r="FJ56" s="43"/>
      <c r="FK56" s="43"/>
      <c r="FL56" s="43"/>
      <c r="FM56" s="43"/>
      <c r="FN56" s="43"/>
      <c r="FO56" s="43"/>
      <c r="FP56" s="43"/>
      <c r="FQ56" s="43"/>
      <c r="FR56" s="43"/>
      <c r="FS56" s="43"/>
      <c r="FT56" s="43"/>
      <c r="FU56" s="43"/>
      <c r="FV56" s="43"/>
      <c r="FW56" s="43"/>
      <c r="FX56" s="43"/>
      <c r="FY56" s="43"/>
      <c r="FZ56" s="43"/>
      <c r="GA56" s="43"/>
      <c r="GB56" s="43"/>
      <c r="GC56" s="43"/>
      <c r="GD56" s="43"/>
      <c r="GE56" s="43"/>
      <c r="GF56" s="43"/>
      <c r="GG56" s="43"/>
      <c r="GH56" s="43"/>
      <c r="GI56" s="43"/>
      <c r="GJ56" s="43"/>
      <c r="GK56" s="43"/>
      <c r="GL56" s="43"/>
      <c r="GM56" s="43"/>
      <c r="GN56" s="43"/>
      <c r="GO56" s="43"/>
      <c r="GP56" s="43"/>
      <c r="GQ56" s="43"/>
      <c r="GR56" s="43"/>
      <c r="GS56" s="43"/>
      <c r="GT56" s="43"/>
      <c r="GU56" s="43"/>
      <c r="GV56" s="43"/>
      <c r="GW56" s="43"/>
      <c r="GX56" s="43"/>
      <c r="GY56" s="43"/>
      <c r="GZ56" s="43"/>
      <c r="HA56" s="43"/>
      <c r="HB56" s="43"/>
      <c r="HC56" s="43"/>
      <c r="HD56" s="43"/>
      <c r="HE56" s="43"/>
      <c r="HF56" s="43"/>
      <c r="HG56" s="43"/>
      <c r="HH56" s="43"/>
      <c r="HI56" s="43"/>
      <c r="HJ56" s="43"/>
      <c r="HK56" s="43"/>
      <c r="HL56" s="43"/>
      <c r="HM56" s="43"/>
      <c r="HN56" s="43"/>
      <c r="HO56" s="43"/>
      <c r="HP56" s="43"/>
      <c r="HQ56" s="43"/>
      <c r="HR56"/>
      <c r="HS56"/>
      <c r="HT56"/>
      <c r="HU56"/>
      <c r="HV56"/>
      <c r="HW56"/>
      <c r="HX56"/>
      <c r="HY56"/>
      <c r="HZ56"/>
      <c r="IA56"/>
      <c r="IB56"/>
      <c r="IC56"/>
      <c r="ID56"/>
      <c r="IE56"/>
      <c r="IF56"/>
      <c r="IG56"/>
      <c r="IH56"/>
      <c r="II56"/>
      <c r="IJ56"/>
      <c r="IK56" s="32"/>
      <c r="IL56" s="32"/>
      <c r="IM56" s="32"/>
      <c r="IN56" s="32"/>
      <c r="IO56" s="32"/>
      <c r="IP56" s="32"/>
      <c r="IQ56" s="32"/>
    </row>
    <row r="57" spans="1:251" s="33" customFormat="1" hidden="1" outlineLevel="1">
      <c r="A57" s="80"/>
      <c r="B57" s="80" t="s">
        <v>155</v>
      </c>
      <c r="C57" s="68"/>
      <c r="D57" s="156"/>
      <c r="E57" s="156"/>
      <c r="F57" s="156">
        <v>663</v>
      </c>
      <c r="G57" s="156">
        <v>436</v>
      </c>
      <c r="H57" s="156">
        <v>494</v>
      </c>
      <c r="I57" s="156">
        <v>295</v>
      </c>
      <c r="J57" s="156">
        <v>219</v>
      </c>
      <c r="K57" s="156">
        <f>201+174</f>
        <v>375</v>
      </c>
      <c r="L57" s="156">
        <f>0+49</f>
        <v>49</v>
      </c>
      <c r="M57" s="156">
        <v>49</v>
      </c>
      <c r="N57" s="156">
        <v>192</v>
      </c>
      <c r="O57" s="222">
        <f>+N57</f>
        <v>192</v>
      </c>
      <c r="P57" s="222">
        <v>102</v>
      </c>
      <c r="Q57" s="222">
        <v>102</v>
      </c>
      <c r="R57" s="222">
        <v>101</v>
      </c>
      <c r="S57" s="222">
        <v>330</v>
      </c>
      <c r="T57" s="222">
        <v>8</v>
      </c>
      <c r="U57" s="156">
        <v>0</v>
      </c>
      <c r="V57" s="156">
        <f t="shared" si="38"/>
        <v>0</v>
      </c>
      <c r="W57" s="156">
        <f t="shared" si="38"/>
        <v>0</v>
      </c>
      <c r="X57" s="156">
        <f t="shared" si="38"/>
        <v>0</v>
      </c>
      <c r="Y57" s="156">
        <f t="shared" si="38"/>
        <v>0</v>
      </c>
      <c r="Z57" s="156">
        <f t="shared" si="38"/>
        <v>0</v>
      </c>
      <c r="AA57" s="156">
        <f t="shared" si="38"/>
        <v>0</v>
      </c>
      <c r="AB57" s="156">
        <f t="shared" si="38"/>
        <v>0</v>
      </c>
      <c r="AC57" s="156">
        <f t="shared" si="39"/>
        <v>0</v>
      </c>
      <c r="AD57" s="156">
        <f t="shared" si="39"/>
        <v>0</v>
      </c>
      <c r="AE57" s="156">
        <f t="shared" si="39"/>
        <v>0</v>
      </c>
      <c r="AF57" s="156">
        <f t="shared" si="39"/>
        <v>0</v>
      </c>
      <c r="AG57" s="156">
        <f t="shared" si="39"/>
        <v>0</v>
      </c>
      <c r="AH57" s="43"/>
      <c r="AI57" s="43"/>
      <c r="AJ57" s="43"/>
      <c r="AK57" s="43"/>
      <c r="AL57" s="43"/>
      <c r="AM57" s="43"/>
      <c r="AN57" s="43"/>
      <c r="AO57" s="43"/>
      <c r="AP57" s="43"/>
      <c r="AQ57" s="43"/>
      <c r="AR57" s="43"/>
      <c r="AS57" s="43"/>
      <c r="AT57" s="43"/>
      <c r="AU57" s="43"/>
      <c r="AV57" s="43"/>
      <c r="AW57" s="43"/>
      <c r="AX57" s="43"/>
      <c r="AY57" s="43"/>
      <c r="AZ57" s="43"/>
      <c r="BA57" s="43"/>
      <c r="BB57" s="43"/>
      <c r="BC57" s="43"/>
      <c r="BD57" s="43"/>
      <c r="BE57" s="43"/>
      <c r="BF57" s="43"/>
      <c r="BG57" s="43"/>
      <c r="BH57" s="43"/>
      <c r="BI57" s="43"/>
      <c r="BJ57" s="43"/>
      <c r="BK57" s="43"/>
      <c r="BL57" s="43"/>
      <c r="BM57" s="43"/>
      <c r="BN57" s="43"/>
      <c r="BO57" s="43"/>
      <c r="BP57" s="43"/>
      <c r="BQ57" s="43"/>
      <c r="BR57" s="43"/>
      <c r="BS57" s="43"/>
      <c r="BT57" s="43"/>
      <c r="BU57" s="43"/>
      <c r="BV57" s="43"/>
      <c r="BW57" s="43"/>
      <c r="BX57" s="43"/>
      <c r="BY57" s="43"/>
      <c r="BZ57" s="43"/>
      <c r="CA57" s="43"/>
      <c r="CB57" s="43"/>
      <c r="CC57" s="43"/>
      <c r="CD57" s="43"/>
      <c r="CE57" s="43"/>
      <c r="CF57" s="43"/>
      <c r="CG57" s="43"/>
      <c r="CH57" s="43"/>
      <c r="CI57" s="43"/>
      <c r="CJ57" s="43"/>
      <c r="CK57" s="43"/>
      <c r="CL57" s="43"/>
      <c r="CM57" s="43"/>
      <c r="CN57" s="43"/>
      <c r="CO57" s="43"/>
      <c r="CP57" s="43"/>
      <c r="CQ57" s="43"/>
      <c r="CR57" s="43"/>
      <c r="CS57" s="43"/>
      <c r="CT57" s="43"/>
      <c r="CU57" s="43"/>
      <c r="CV57" s="43"/>
      <c r="CW57" s="43"/>
      <c r="CX57" s="43"/>
      <c r="CY57" s="43"/>
      <c r="CZ57" s="43"/>
      <c r="DA57" s="43"/>
      <c r="DB57" s="43"/>
      <c r="DC57" s="43"/>
      <c r="DD57" s="43"/>
      <c r="DE57" s="43"/>
      <c r="DF57" s="43"/>
      <c r="DG57" s="43"/>
      <c r="DH57" s="43"/>
      <c r="DI57" s="43"/>
      <c r="DJ57" s="43"/>
      <c r="DK57" s="43"/>
      <c r="DL57" s="43"/>
      <c r="DM57" s="43"/>
      <c r="DN57" s="43"/>
      <c r="DO57" s="43"/>
      <c r="DP57" s="43"/>
      <c r="DQ57" s="43"/>
      <c r="DR57" s="43"/>
      <c r="DS57" s="43"/>
      <c r="DT57" s="43"/>
      <c r="DU57" s="43"/>
      <c r="DV57" s="43"/>
      <c r="DW57" s="43"/>
      <c r="DX57" s="43"/>
      <c r="DY57" s="43"/>
      <c r="DZ57" s="43"/>
      <c r="EA57" s="43"/>
      <c r="EB57" s="43"/>
      <c r="EC57" s="43"/>
      <c r="ED57" s="43"/>
      <c r="EE57" s="43"/>
      <c r="EF57" s="43"/>
      <c r="EG57" s="43"/>
      <c r="EH57" s="43"/>
      <c r="EI57" s="43"/>
      <c r="EJ57" s="43"/>
      <c r="EK57" s="43"/>
      <c r="EL57" s="43"/>
      <c r="EM57" s="43"/>
      <c r="EN57" s="43"/>
      <c r="EO57" s="43"/>
      <c r="EP57" s="43"/>
      <c r="EQ57" s="43"/>
      <c r="ER57" s="43"/>
      <c r="ES57" s="43"/>
      <c r="ET57" s="43"/>
      <c r="EU57" s="43"/>
      <c r="EV57" s="43"/>
      <c r="EW57" s="43"/>
      <c r="EX57" s="43"/>
      <c r="EY57" s="43"/>
      <c r="EZ57" s="43"/>
      <c r="FA57" s="43"/>
      <c r="FB57" s="43"/>
      <c r="FC57" s="43"/>
      <c r="FD57" s="43"/>
      <c r="FE57" s="43"/>
      <c r="FF57" s="43"/>
      <c r="FG57" s="43"/>
      <c r="FH57" s="43"/>
      <c r="FI57" s="43"/>
      <c r="FJ57" s="43"/>
      <c r="FK57" s="43"/>
      <c r="FL57" s="43"/>
      <c r="FM57" s="43"/>
      <c r="FN57" s="43"/>
      <c r="FO57" s="43"/>
      <c r="FP57" s="43"/>
      <c r="FQ57" s="43"/>
      <c r="FR57" s="43"/>
      <c r="FS57" s="43"/>
      <c r="FT57" s="43"/>
      <c r="FU57" s="43"/>
      <c r="FV57" s="43"/>
      <c r="FW57" s="43"/>
      <c r="FX57" s="43"/>
      <c r="FY57" s="43"/>
      <c r="FZ57" s="43"/>
      <c r="GA57" s="43"/>
      <c r="GB57" s="43"/>
      <c r="GC57" s="43"/>
      <c r="GD57" s="43"/>
      <c r="GE57" s="43"/>
      <c r="GF57" s="43"/>
      <c r="GG57" s="43"/>
      <c r="GH57" s="43"/>
      <c r="GI57" s="43"/>
      <c r="GJ57" s="43"/>
      <c r="GK57" s="43"/>
      <c r="GL57" s="43"/>
      <c r="GM57" s="43"/>
      <c r="GN57" s="43"/>
      <c r="GO57" s="43"/>
      <c r="GP57" s="43"/>
      <c r="GQ57" s="43"/>
      <c r="GR57" s="43"/>
      <c r="GS57" s="43"/>
      <c r="GT57" s="43"/>
      <c r="GU57" s="43"/>
      <c r="GV57" s="43"/>
      <c r="GW57" s="43"/>
      <c r="GX57" s="43"/>
      <c r="GY57" s="43"/>
      <c r="GZ57" s="43"/>
      <c r="HA57" s="43"/>
      <c r="HB57" s="43"/>
      <c r="HC57" s="43"/>
      <c r="HD57" s="43"/>
      <c r="HE57" s="43"/>
      <c r="HF57" s="43"/>
      <c r="HG57" s="43"/>
      <c r="HH57" s="43"/>
      <c r="HI57" s="43"/>
      <c r="HJ57" s="43"/>
      <c r="HK57" s="43"/>
      <c r="HL57" s="43"/>
      <c r="HM57" s="43"/>
      <c r="HN57" s="43"/>
      <c r="HO57" s="43"/>
      <c r="HP57" s="43"/>
      <c r="HQ57" s="43"/>
      <c r="HR57"/>
      <c r="HS57"/>
      <c r="HT57"/>
      <c r="HU57"/>
      <c r="HV57"/>
      <c r="HW57"/>
      <c r="HX57"/>
      <c r="HY57"/>
      <c r="HZ57"/>
      <c r="IA57"/>
      <c r="IB57"/>
      <c r="IC57"/>
      <c r="ID57"/>
      <c r="IE57"/>
      <c r="IF57"/>
      <c r="IG57"/>
      <c r="IH57"/>
      <c r="II57"/>
      <c r="IJ57"/>
      <c r="IK57" s="32"/>
      <c r="IL57" s="32"/>
      <c r="IM57" s="32"/>
      <c r="IN57" s="32"/>
      <c r="IO57" s="32"/>
      <c r="IP57" s="32"/>
      <c r="IQ57" s="32"/>
    </row>
    <row r="58" spans="1:251" s="37" customFormat="1" collapsed="1">
      <c r="A58" s="45" t="s">
        <v>140</v>
      </c>
      <c r="B58" s="34"/>
      <c r="C58" s="139"/>
      <c r="D58" s="196">
        <f>SUM(D46:D57)</f>
        <v>43723</v>
      </c>
      <c r="E58" s="196">
        <f>SUM(E46:E57)</f>
        <v>46076</v>
      </c>
      <c r="F58" s="196">
        <f t="shared" ref="F58:Q58" si="40">F46+F48+F49+F50+F51+F52+F53</f>
        <v>64062</v>
      </c>
      <c r="G58" s="196">
        <f t="shared" si="40"/>
        <v>65348</v>
      </c>
      <c r="H58" s="196">
        <f t="shared" si="40"/>
        <v>68062</v>
      </c>
      <c r="I58" s="196">
        <f t="shared" si="40"/>
        <v>71098</v>
      </c>
      <c r="J58" s="196">
        <f t="shared" si="40"/>
        <v>70934</v>
      </c>
      <c r="K58" s="196">
        <f t="shared" si="40"/>
        <v>72242</v>
      </c>
      <c r="L58" s="196">
        <f t="shared" si="40"/>
        <v>64651</v>
      </c>
      <c r="M58" s="196">
        <f t="shared" si="40"/>
        <v>35156</v>
      </c>
      <c r="N58" s="196">
        <f t="shared" si="40"/>
        <v>38657</v>
      </c>
      <c r="O58" s="196">
        <f t="shared" si="40"/>
        <v>22319</v>
      </c>
      <c r="P58" s="196">
        <f t="shared" si="40"/>
        <v>24387</v>
      </c>
      <c r="Q58" s="196">
        <f t="shared" si="40"/>
        <v>32573</v>
      </c>
      <c r="R58" s="196">
        <f t="shared" ref="R58:AB58" si="41">R46+R48+R49+R50+R51+R52+R53</f>
        <v>32175</v>
      </c>
      <c r="S58" s="196">
        <f t="shared" si="41"/>
        <v>33247</v>
      </c>
      <c r="T58" s="196">
        <f t="shared" si="41"/>
        <v>32125</v>
      </c>
      <c r="U58" s="196">
        <f t="shared" si="41"/>
        <v>30706</v>
      </c>
      <c r="V58" s="196">
        <f t="shared" si="41"/>
        <v>31430</v>
      </c>
      <c r="W58" s="196">
        <f t="shared" si="41"/>
        <v>29625</v>
      </c>
      <c r="X58" s="196">
        <f t="shared" si="41"/>
        <v>33121</v>
      </c>
      <c r="Y58" s="196">
        <f t="shared" si="41"/>
        <v>31961.700712286951</v>
      </c>
      <c r="Z58" s="196">
        <f t="shared" si="41"/>
        <v>30918.018567596257</v>
      </c>
      <c r="AA58" s="196">
        <f t="shared" si="41"/>
        <v>29862.87122848639</v>
      </c>
      <c r="AB58" s="196">
        <f t="shared" si="41"/>
        <v>29812.682364623921</v>
      </c>
      <c r="AC58" s="196">
        <f>AC46+AC48+AC49+AC50+AC51+AC52+AC53</f>
        <v>29717.452778423329</v>
      </c>
      <c r="AD58" s="196">
        <f>AD46+AD48+AD49+AD50+AD51+AD52+AD53</f>
        <v>29624.763953181413</v>
      </c>
      <c r="AE58" s="196">
        <f>AE46+AE48+AE49+AE50+AE51+AE52+AE53</f>
        <v>29534.515495549065</v>
      </c>
      <c r="AF58" s="196">
        <f>AF46+AF48+AF49+AF50+AF51+AF52+AF53</f>
        <v>29446.613666246052</v>
      </c>
      <c r="AG58" s="196">
        <f>AG46+AG48+AG49+AG50+AG51+AG52+AG53</f>
        <v>29360.970861060599</v>
      </c>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c r="BE58" s="129"/>
      <c r="BF58" s="129"/>
      <c r="BG58" s="129"/>
      <c r="BH58" s="129"/>
      <c r="BI58" s="129"/>
      <c r="BJ58" s="129"/>
      <c r="BK58" s="129"/>
      <c r="BL58" s="129"/>
      <c r="BM58" s="129"/>
      <c r="BN58" s="129"/>
      <c r="BO58" s="129"/>
      <c r="BP58" s="129"/>
      <c r="BQ58" s="129"/>
      <c r="BR58" s="129"/>
      <c r="BS58" s="129"/>
      <c r="BT58" s="129"/>
      <c r="BU58" s="129"/>
      <c r="BV58" s="129"/>
      <c r="BW58" s="129"/>
      <c r="BX58" s="129"/>
      <c r="BY58" s="129"/>
      <c r="BZ58" s="129"/>
      <c r="CA58" s="129"/>
      <c r="CB58" s="129"/>
      <c r="CC58" s="129"/>
      <c r="CD58" s="129"/>
      <c r="CE58" s="129"/>
      <c r="CF58" s="129"/>
      <c r="CG58" s="129"/>
      <c r="CH58" s="129"/>
      <c r="CI58" s="129"/>
      <c r="CJ58" s="129"/>
      <c r="CK58" s="129"/>
      <c r="CL58" s="129"/>
      <c r="CM58" s="129"/>
      <c r="CN58" s="129"/>
      <c r="CO58" s="129"/>
      <c r="CP58" s="129"/>
      <c r="CQ58" s="129"/>
      <c r="CR58" s="129"/>
      <c r="CS58" s="129"/>
      <c r="CT58" s="129"/>
      <c r="CU58" s="129"/>
      <c r="CV58" s="129"/>
      <c r="CW58" s="129"/>
      <c r="CX58" s="129"/>
      <c r="CY58" s="129"/>
      <c r="CZ58" s="129"/>
      <c r="DA58" s="129"/>
      <c r="DB58" s="129"/>
      <c r="DC58" s="129"/>
      <c r="DD58" s="129"/>
      <c r="DE58" s="129"/>
      <c r="DF58" s="129"/>
      <c r="DG58" s="129"/>
      <c r="DH58" s="129"/>
      <c r="DI58" s="129"/>
      <c r="DJ58" s="129"/>
      <c r="DK58" s="129"/>
      <c r="DL58" s="129"/>
      <c r="DM58" s="129"/>
      <c r="DN58" s="129"/>
      <c r="DO58" s="129"/>
      <c r="DP58" s="129"/>
      <c r="DQ58" s="129"/>
      <c r="DR58" s="129"/>
      <c r="DS58" s="129"/>
      <c r="DT58" s="129"/>
      <c r="DU58" s="129"/>
      <c r="DV58" s="129"/>
      <c r="DW58" s="129"/>
      <c r="DX58" s="129"/>
      <c r="DY58" s="129"/>
      <c r="DZ58" s="129"/>
      <c r="EA58" s="129"/>
      <c r="EB58" s="129"/>
      <c r="EC58" s="129"/>
      <c r="ED58" s="129"/>
      <c r="EE58" s="129"/>
      <c r="EF58" s="129"/>
      <c r="EG58" s="129"/>
      <c r="EH58" s="129"/>
      <c r="EI58" s="129"/>
      <c r="EJ58" s="129"/>
      <c r="EK58" s="129"/>
      <c r="EL58" s="129"/>
      <c r="EM58" s="129"/>
      <c r="EN58" s="129"/>
      <c r="EO58" s="129"/>
      <c r="EP58" s="129"/>
      <c r="EQ58" s="129"/>
      <c r="ER58" s="129"/>
      <c r="ES58" s="129"/>
      <c r="ET58" s="129"/>
      <c r="EU58" s="129"/>
      <c r="EV58" s="129"/>
      <c r="EW58" s="129"/>
      <c r="EX58" s="129"/>
      <c r="EY58" s="129"/>
      <c r="EZ58" s="129"/>
      <c r="FA58" s="129"/>
      <c r="FB58" s="129"/>
      <c r="FC58" s="129"/>
      <c r="FD58" s="129"/>
      <c r="FE58" s="129"/>
      <c r="FF58" s="129"/>
      <c r="FG58" s="129"/>
      <c r="FH58" s="129"/>
      <c r="FI58" s="129"/>
      <c r="FJ58" s="129"/>
      <c r="FK58" s="129"/>
      <c r="FL58" s="129"/>
      <c r="FM58" s="129"/>
      <c r="FN58" s="129"/>
      <c r="FO58" s="129"/>
      <c r="FP58" s="129"/>
      <c r="FQ58" s="129"/>
      <c r="FR58" s="129"/>
      <c r="FS58" s="129"/>
      <c r="FT58" s="129"/>
      <c r="FU58" s="129"/>
      <c r="FV58" s="129"/>
      <c r="FW58" s="129"/>
      <c r="FX58" s="129"/>
      <c r="FY58" s="129"/>
      <c r="FZ58" s="129"/>
      <c r="GA58" s="129"/>
      <c r="GB58" s="129"/>
      <c r="GC58" s="129"/>
      <c r="GD58" s="129"/>
      <c r="GE58" s="129"/>
      <c r="GF58" s="129"/>
      <c r="GG58" s="129"/>
      <c r="GH58" s="129"/>
      <c r="GI58" s="129"/>
      <c r="GJ58" s="129"/>
      <c r="GK58" s="129"/>
      <c r="GL58" s="129"/>
      <c r="GM58" s="129"/>
      <c r="GN58" s="129"/>
      <c r="GO58" s="129"/>
      <c r="GP58" s="129"/>
      <c r="GQ58" s="129"/>
      <c r="GR58" s="129"/>
      <c r="GS58" s="129"/>
      <c r="GT58" s="129"/>
      <c r="GU58" s="129"/>
      <c r="GV58" s="129"/>
      <c r="GW58" s="129"/>
      <c r="GX58" s="129"/>
      <c r="GY58" s="129"/>
      <c r="GZ58" s="129"/>
      <c r="HA58" s="129"/>
      <c r="HB58" s="129"/>
      <c r="HC58" s="129"/>
      <c r="HD58" s="129"/>
      <c r="HE58" s="129"/>
      <c r="HF58" s="129"/>
      <c r="HG58" s="129"/>
      <c r="HH58" s="129"/>
      <c r="HI58" s="129"/>
      <c r="HJ58" s="129"/>
      <c r="HK58" s="129"/>
      <c r="HL58" s="129"/>
      <c r="HM58" s="129"/>
      <c r="HN58" s="129"/>
      <c r="HO58" s="129"/>
      <c r="HP58" s="129"/>
      <c r="HQ58" s="129"/>
      <c r="HR58"/>
      <c r="HS58"/>
      <c r="HT58"/>
      <c r="HU58"/>
      <c r="HV58"/>
      <c r="HW58"/>
      <c r="HX58"/>
      <c r="HY58"/>
      <c r="HZ58"/>
      <c r="IA58"/>
      <c r="IB58"/>
      <c r="IC58"/>
      <c r="ID58"/>
      <c r="IE58"/>
      <c r="IF58"/>
      <c r="IG58"/>
      <c r="IH58"/>
      <c r="II58"/>
      <c r="IJ58"/>
      <c r="IK58" s="34"/>
      <c r="IL58" s="34"/>
      <c r="IM58" s="34"/>
      <c r="IN58" s="34"/>
      <c r="IO58" s="34"/>
      <c r="IP58" s="34"/>
      <c r="IQ58" s="34"/>
    </row>
    <row r="60" spans="1:251" s="33" customFormat="1">
      <c r="A60" s="80"/>
      <c r="B60" s="429" t="s">
        <v>158</v>
      </c>
      <c r="C60" s="68"/>
      <c r="D60" s="156">
        <v>0</v>
      </c>
      <c r="E60" s="156">
        <v>0</v>
      </c>
      <c r="F60" s="156">
        <v>0</v>
      </c>
      <c r="G60" s="156">
        <v>0</v>
      </c>
      <c r="H60" s="156">
        <v>0</v>
      </c>
      <c r="I60" s="156">
        <v>0</v>
      </c>
      <c r="J60" s="156">
        <v>0</v>
      </c>
      <c r="K60" s="156">
        <v>0</v>
      </c>
      <c r="L60" s="156">
        <v>0</v>
      </c>
      <c r="M60" s="156">
        <v>0</v>
      </c>
      <c r="N60" s="156">
        <v>0</v>
      </c>
      <c r="O60" s="156">
        <v>0</v>
      </c>
      <c r="P60" s="156">
        <v>0</v>
      </c>
      <c r="Q60" s="222">
        <v>32</v>
      </c>
      <c r="R60" s="222">
        <v>32</v>
      </c>
      <c r="S60" s="222">
        <v>32</v>
      </c>
      <c r="T60" s="222">
        <v>34</v>
      </c>
      <c r="U60" s="222">
        <v>35</v>
      </c>
      <c r="V60" s="222">
        <v>35</v>
      </c>
      <c r="W60" s="222">
        <v>37</v>
      </c>
      <c r="X60" s="222">
        <v>38</v>
      </c>
      <c r="Y60" s="156">
        <f>X60</f>
        <v>38</v>
      </c>
      <c r="Z60" s="156">
        <f>Y60</f>
        <v>38</v>
      </c>
      <c r="AA60" s="156">
        <f>Z60</f>
        <v>38</v>
      </c>
      <c r="AB60" s="156">
        <f>AA60</f>
        <v>38</v>
      </c>
      <c r="AC60" s="156">
        <f t="shared" ref="AC60:AG62" si="42">AB60</f>
        <v>38</v>
      </c>
      <c r="AD60" s="156">
        <f t="shared" si="42"/>
        <v>38</v>
      </c>
      <c r="AE60" s="156">
        <f t="shared" si="42"/>
        <v>38</v>
      </c>
      <c r="AF60" s="156">
        <f t="shared" si="42"/>
        <v>38</v>
      </c>
      <c r="AG60" s="156">
        <f t="shared" si="42"/>
        <v>38</v>
      </c>
      <c r="AH60" s="43"/>
      <c r="AI60" s="43"/>
      <c r="AJ60" s="43"/>
      <c r="AK60" s="43"/>
      <c r="AL60" s="43"/>
      <c r="AM60" s="43"/>
      <c r="AN60" s="43"/>
      <c r="AO60" s="43"/>
      <c r="AP60" s="43"/>
      <c r="AQ60" s="43"/>
      <c r="AR60" s="43"/>
      <c r="AS60" s="43"/>
      <c r="AT60" s="43"/>
      <c r="AU60" s="43"/>
      <c r="AV60" s="43"/>
      <c r="AW60" s="43"/>
      <c r="AX60" s="43"/>
      <c r="AY60" s="43"/>
      <c r="AZ60" s="43"/>
      <c r="BA60" s="43"/>
      <c r="BB60" s="43"/>
      <c r="BC60" s="43"/>
      <c r="BD60" s="43"/>
      <c r="BE60" s="43"/>
      <c r="BF60" s="43"/>
      <c r="BG60" s="43"/>
      <c r="BH60" s="43"/>
      <c r="BI60" s="43"/>
      <c r="BJ60" s="43"/>
      <c r="BK60" s="43"/>
      <c r="BL60" s="43"/>
      <c r="BM60" s="43"/>
      <c r="BN60" s="43"/>
      <c r="BO60" s="43"/>
      <c r="BP60" s="43"/>
      <c r="BQ60" s="43"/>
      <c r="BR60" s="43"/>
      <c r="BS60" s="43"/>
      <c r="BT60" s="43"/>
      <c r="BU60" s="43"/>
      <c r="BV60" s="43"/>
      <c r="BW60" s="43"/>
      <c r="BX60" s="43"/>
      <c r="BY60" s="43"/>
      <c r="BZ60" s="43"/>
      <c r="CA60" s="43"/>
      <c r="CB60" s="43"/>
      <c r="CC60" s="43"/>
      <c r="CD60" s="43"/>
      <c r="CE60" s="43"/>
      <c r="CF60" s="43"/>
      <c r="CG60" s="43"/>
      <c r="CH60" s="43"/>
      <c r="CI60" s="43"/>
      <c r="CJ60" s="43"/>
      <c r="CK60" s="43"/>
      <c r="CL60" s="43"/>
      <c r="CM60" s="43"/>
      <c r="CN60" s="43"/>
      <c r="CO60" s="43"/>
      <c r="CP60" s="43"/>
      <c r="CQ60" s="43"/>
      <c r="CR60" s="43"/>
      <c r="CS60" s="43"/>
      <c r="CT60" s="43"/>
      <c r="CU60" s="43"/>
      <c r="CV60" s="43"/>
      <c r="CW60" s="43"/>
      <c r="CX60" s="43"/>
      <c r="CY60" s="43"/>
      <c r="CZ60" s="43"/>
      <c r="DA60" s="43"/>
      <c r="DB60" s="43"/>
      <c r="DC60" s="43"/>
      <c r="DD60" s="43"/>
      <c r="DE60" s="43"/>
      <c r="DF60" s="43"/>
      <c r="DG60" s="43"/>
      <c r="DH60" s="43"/>
      <c r="DI60" s="43"/>
      <c r="DJ60" s="43"/>
      <c r="DK60" s="43"/>
      <c r="DL60" s="43"/>
      <c r="DM60" s="43"/>
      <c r="DN60" s="43"/>
      <c r="DO60" s="43"/>
      <c r="DP60" s="43"/>
      <c r="DQ60" s="43"/>
      <c r="DR60" s="43"/>
      <c r="DS60" s="43"/>
      <c r="DT60" s="43"/>
      <c r="DU60" s="43"/>
      <c r="DV60" s="43"/>
      <c r="DW60" s="43"/>
      <c r="DX60" s="43"/>
      <c r="DY60" s="43"/>
      <c r="DZ60" s="43"/>
      <c r="EA60" s="43"/>
      <c r="EB60" s="43"/>
      <c r="EC60" s="43"/>
      <c r="ED60" s="43"/>
      <c r="EE60" s="43"/>
      <c r="EF60" s="43"/>
      <c r="EG60" s="43"/>
      <c r="EH60" s="43"/>
      <c r="EI60" s="43"/>
      <c r="EJ60" s="43"/>
      <c r="EK60" s="43"/>
      <c r="EL60" s="43"/>
      <c r="EM60" s="43"/>
      <c r="EN60" s="43"/>
      <c r="EO60" s="43"/>
      <c r="EP60" s="43"/>
      <c r="EQ60" s="43"/>
      <c r="ER60" s="43"/>
      <c r="ES60" s="43"/>
      <c r="ET60" s="43"/>
      <c r="EU60" s="43"/>
      <c r="EV60" s="43"/>
      <c r="EW60" s="43"/>
      <c r="EX60" s="43"/>
      <c r="EY60" s="43"/>
      <c r="EZ60" s="43"/>
      <c r="FA60" s="43"/>
      <c r="FB60" s="43"/>
      <c r="FC60" s="43"/>
      <c r="FD60" s="43"/>
      <c r="FE60" s="43"/>
      <c r="FF60" s="43"/>
      <c r="FG60" s="43"/>
      <c r="FH60" s="43"/>
      <c r="FI60" s="43"/>
      <c r="FJ60" s="43"/>
      <c r="FK60" s="43"/>
      <c r="FL60" s="43"/>
      <c r="FM60" s="43"/>
      <c r="FN60" s="43"/>
      <c r="FO60" s="43"/>
      <c r="FP60" s="43"/>
      <c r="FQ60" s="43"/>
      <c r="FR60" s="43"/>
      <c r="FS60" s="43"/>
      <c r="FT60" s="43"/>
      <c r="FU60" s="43"/>
      <c r="FV60" s="43"/>
      <c r="FW60" s="43"/>
      <c r="FX60" s="43"/>
      <c r="FY60" s="43"/>
      <c r="FZ60" s="43"/>
      <c r="GA60" s="43"/>
      <c r="GB60" s="43"/>
      <c r="GC60" s="43"/>
      <c r="GD60" s="43"/>
      <c r="GE60" s="43"/>
      <c r="GF60" s="43"/>
      <c r="GG60" s="43"/>
      <c r="GH60" s="43"/>
      <c r="GI60" s="43"/>
      <c r="GJ60" s="43"/>
      <c r="GK60" s="43"/>
      <c r="GL60" s="43"/>
      <c r="GM60" s="43"/>
      <c r="GN60" s="43"/>
      <c r="GO60" s="43"/>
      <c r="GP60" s="43"/>
      <c r="GQ60" s="43"/>
      <c r="GR60" s="43"/>
      <c r="GS60" s="43"/>
      <c r="GT60" s="43"/>
      <c r="GU60" s="43"/>
      <c r="GV60" s="43"/>
      <c r="GW60" s="43"/>
      <c r="GX60" s="43"/>
      <c r="GY60" s="43"/>
      <c r="GZ60" s="43"/>
      <c r="HA60" s="43"/>
      <c r="HB60" s="43"/>
      <c r="HC60" s="43"/>
      <c r="HD60" s="43"/>
      <c r="HE60" s="43"/>
      <c r="HF60" s="43"/>
      <c r="HG60" s="43"/>
      <c r="HH60" s="43"/>
      <c r="HI60" s="43"/>
      <c r="HJ60" s="43"/>
      <c r="HK60" s="43"/>
      <c r="HL60" s="43"/>
      <c r="HM60" s="43"/>
      <c r="HN60" s="43"/>
      <c r="HO60" s="43"/>
      <c r="HP60" s="43"/>
      <c r="HQ60" s="43"/>
      <c r="HR60"/>
      <c r="HS60"/>
      <c r="HT60"/>
      <c r="HU60"/>
      <c r="HV60"/>
      <c r="HW60"/>
      <c r="HX60"/>
      <c r="HY60"/>
      <c r="HZ60"/>
      <c r="IA60"/>
      <c r="IB60"/>
      <c r="IC60"/>
      <c r="ID60"/>
      <c r="IE60"/>
      <c r="IF60"/>
      <c r="IG60"/>
      <c r="IH60"/>
      <c r="II60"/>
      <c r="IJ60"/>
      <c r="IK60" s="32"/>
      <c r="IL60" s="32"/>
      <c r="IM60" s="32"/>
      <c r="IN60" s="32"/>
      <c r="IO60" s="32"/>
      <c r="IP60" s="32"/>
      <c r="IQ60" s="32"/>
    </row>
    <row r="61" spans="1:251" s="33" customFormat="1">
      <c r="A61" s="80"/>
      <c r="B61" s="80" t="s">
        <v>202</v>
      </c>
      <c r="C61" s="68"/>
      <c r="D61" s="156"/>
      <c r="E61" s="456">
        <v>935</v>
      </c>
      <c r="F61" s="456">
        <v>935</v>
      </c>
      <c r="G61" s="456">
        <v>935</v>
      </c>
      <c r="H61" s="456">
        <v>935</v>
      </c>
      <c r="I61" s="456">
        <f>H61</f>
        <v>935</v>
      </c>
      <c r="J61" s="456">
        <f>I61</f>
        <v>935</v>
      </c>
      <c r="K61" s="456">
        <f>J61</f>
        <v>935</v>
      </c>
      <c r="L61" s="456">
        <f>K61</f>
        <v>935</v>
      </c>
      <c r="M61" s="456">
        <f>+L61*12662/39619</f>
        <v>298.82051540927336</v>
      </c>
      <c r="N61" s="456">
        <v>935</v>
      </c>
      <c r="O61" s="456">
        <v>935</v>
      </c>
      <c r="P61" s="222">
        <v>935</v>
      </c>
      <c r="Q61" s="222">
        <v>935</v>
      </c>
      <c r="R61" s="222">
        <v>935</v>
      </c>
      <c r="S61" s="222">
        <v>935</v>
      </c>
      <c r="T61" s="222">
        <v>935</v>
      </c>
      <c r="U61" s="222">
        <v>935</v>
      </c>
      <c r="V61" s="222">
        <v>935</v>
      </c>
      <c r="W61" s="222">
        <f t="shared" ref="W61:Y62" si="43">V61</f>
        <v>935</v>
      </c>
      <c r="X61" s="222">
        <f t="shared" si="43"/>
        <v>935</v>
      </c>
      <c r="Y61" s="156">
        <f t="shared" si="43"/>
        <v>935</v>
      </c>
      <c r="Z61" s="156">
        <f t="shared" ref="Z61:AB62" si="44">Y61</f>
        <v>935</v>
      </c>
      <c r="AA61" s="156">
        <f t="shared" si="44"/>
        <v>935</v>
      </c>
      <c r="AB61" s="156">
        <f t="shared" si="44"/>
        <v>935</v>
      </c>
      <c r="AC61" s="156">
        <f t="shared" si="42"/>
        <v>935</v>
      </c>
      <c r="AD61" s="156">
        <f t="shared" si="42"/>
        <v>935</v>
      </c>
      <c r="AE61" s="156">
        <f t="shared" si="42"/>
        <v>935</v>
      </c>
      <c r="AF61" s="156">
        <f t="shared" si="42"/>
        <v>935</v>
      </c>
      <c r="AG61" s="156">
        <f t="shared" si="42"/>
        <v>935</v>
      </c>
      <c r="AH61" s="43"/>
      <c r="AI61" s="43"/>
      <c r="AJ61" s="43"/>
      <c r="AK61" s="43"/>
      <c r="AL61" s="43"/>
      <c r="AM61" s="43"/>
      <c r="AN61" s="43"/>
      <c r="AO61" s="43"/>
      <c r="AP61" s="43"/>
      <c r="AQ61" s="43"/>
      <c r="AR61" s="43"/>
      <c r="AS61" s="43"/>
      <c r="AT61" s="43"/>
      <c r="AU61" s="43"/>
      <c r="AV61" s="43"/>
      <c r="AW61" s="43"/>
      <c r="AX61" s="43"/>
      <c r="AY61" s="43"/>
      <c r="AZ61" s="43"/>
      <c r="BA61" s="43"/>
      <c r="BB61" s="43"/>
      <c r="BC61" s="43"/>
      <c r="BD61" s="43"/>
      <c r="BE61" s="43"/>
      <c r="BF61" s="43"/>
      <c r="BG61" s="43"/>
      <c r="BH61" s="43"/>
      <c r="BI61" s="43"/>
      <c r="BJ61" s="43"/>
      <c r="BK61" s="43"/>
      <c r="BL61" s="43"/>
      <c r="BM61" s="43"/>
      <c r="BN61" s="43"/>
      <c r="BO61" s="43"/>
      <c r="BP61" s="43"/>
      <c r="BQ61" s="43"/>
      <c r="BR61" s="43"/>
      <c r="BS61" s="43"/>
      <c r="BT61" s="43"/>
      <c r="BU61" s="43"/>
      <c r="BV61" s="43"/>
      <c r="BW61" s="43"/>
      <c r="BX61" s="43"/>
      <c r="BY61" s="43"/>
      <c r="BZ61" s="43"/>
      <c r="CA61" s="43"/>
      <c r="CB61" s="43"/>
      <c r="CC61" s="43"/>
      <c r="CD61" s="43"/>
      <c r="CE61" s="43"/>
      <c r="CF61" s="43"/>
      <c r="CG61" s="43"/>
      <c r="CH61" s="43"/>
      <c r="CI61" s="43"/>
      <c r="CJ61" s="43"/>
      <c r="CK61" s="43"/>
      <c r="CL61" s="43"/>
      <c r="CM61" s="43"/>
      <c r="CN61" s="43"/>
      <c r="CO61" s="43"/>
      <c r="CP61" s="43"/>
      <c r="CQ61" s="43"/>
      <c r="CR61" s="43"/>
      <c r="CS61" s="43"/>
      <c r="CT61" s="43"/>
      <c r="CU61" s="43"/>
      <c r="CV61" s="43"/>
      <c r="CW61" s="43"/>
      <c r="CX61" s="43"/>
      <c r="CY61" s="43"/>
      <c r="CZ61" s="43"/>
      <c r="DA61" s="43"/>
      <c r="DB61" s="43"/>
      <c r="DC61" s="43"/>
      <c r="DD61" s="43"/>
      <c r="DE61" s="43"/>
      <c r="DF61" s="43"/>
      <c r="DG61" s="43"/>
      <c r="DH61" s="43"/>
      <c r="DI61" s="43"/>
      <c r="DJ61" s="43"/>
      <c r="DK61" s="43"/>
      <c r="DL61" s="43"/>
      <c r="DM61" s="43"/>
      <c r="DN61" s="43"/>
      <c r="DO61" s="43"/>
      <c r="DP61" s="43"/>
      <c r="DQ61" s="43"/>
      <c r="DR61" s="43"/>
      <c r="DS61" s="43"/>
      <c r="DT61" s="43"/>
      <c r="DU61" s="43"/>
      <c r="DV61" s="43"/>
      <c r="DW61" s="43"/>
      <c r="DX61" s="43"/>
      <c r="DY61" s="43"/>
      <c r="DZ61" s="43"/>
      <c r="EA61" s="43"/>
      <c r="EB61" s="43"/>
      <c r="EC61" s="43"/>
      <c r="ED61" s="43"/>
      <c r="EE61" s="43"/>
      <c r="EF61" s="43"/>
      <c r="EG61" s="43"/>
      <c r="EH61" s="43"/>
      <c r="EI61" s="43"/>
      <c r="EJ61" s="43"/>
      <c r="EK61" s="43"/>
      <c r="EL61" s="43"/>
      <c r="EM61" s="43"/>
      <c r="EN61" s="43"/>
      <c r="EO61" s="43"/>
      <c r="EP61" s="43"/>
      <c r="EQ61" s="43"/>
      <c r="ER61" s="43"/>
      <c r="ES61" s="43"/>
      <c r="ET61" s="43"/>
      <c r="EU61" s="43"/>
      <c r="EV61" s="43"/>
      <c r="EW61" s="43"/>
      <c r="EX61" s="43"/>
      <c r="EY61" s="43"/>
      <c r="EZ61" s="43"/>
      <c r="FA61" s="43"/>
      <c r="FB61" s="43"/>
      <c r="FC61" s="43"/>
      <c r="FD61" s="43"/>
      <c r="FE61" s="43"/>
      <c r="FF61" s="43"/>
      <c r="FG61" s="43"/>
      <c r="FH61" s="43"/>
      <c r="FI61" s="43"/>
      <c r="FJ61" s="43"/>
      <c r="FK61" s="43"/>
      <c r="FL61" s="43"/>
      <c r="FM61" s="43"/>
      <c r="FN61" s="43"/>
      <c r="FO61" s="43"/>
      <c r="FP61" s="43"/>
      <c r="FQ61" s="43"/>
      <c r="FR61" s="43"/>
      <c r="FS61" s="43"/>
      <c r="FT61" s="43"/>
      <c r="FU61" s="43"/>
      <c r="FV61" s="43"/>
      <c r="FW61" s="43"/>
      <c r="FX61" s="43"/>
      <c r="FY61" s="43"/>
      <c r="FZ61" s="43"/>
      <c r="GA61" s="43"/>
      <c r="GB61" s="43"/>
      <c r="GC61" s="43"/>
      <c r="GD61" s="43"/>
      <c r="GE61" s="43"/>
      <c r="GF61" s="43"/>
      <c r="GG61" s="43"/>
      <c r="GH61" s="43"/>
      <c r="GI61" s="43"/>
      <c r="GJ61" s="43"/>
      <c r="GK61" s="43"/>
      <c r="GL61" s="43"/>
      <c r="GM61" s="43"/>
      <c r="GN61" s="43"/>
      <c r="GO61" s="43"/>
      <c r="GP61" s="43"/>
      <c r="GQ61" s="43"/>
      <c r="GR61" s="43"/>
      <c r="GS61" s="43"/>
      <c r="GT61" s="43"/>
      <c r="GU61" s="43"/>
      <c r="GV61" s="43"/>
      <c r="GW61" s="43"/>
      <c r="GX61" s="43"/>
      <c r="GY61" s="43"/>
      <c r="GZ61" s="43"/>
      <c r="HA61" s="43"/>
      <c r="HB61" s="43"/>
      <c r="HC61" s="43"/>
      <c r="HD61" s="43"/>
      <c r="HE61" s="43"/>
      <c r="HF61" s="43"/>
      <c r="HG61" s="43"/>
      <c r="HH61" s="43"/>
      <c r="HI61" s="43"/>
      <c r="HJ61" s="43"/>
      <c r="HK61" s="43"/>
      <c r="HL61" s="43"/>
      <c r="HM61" s="43"/>
      <c r="HN61" s="43"/>
      <c r="HO61" s="43"/>
      <c r="HP61" s="43"/>
      <c r="HQ61" s="43"/>
      <c r="HR61"/>
      <c r="HS61"/>
      <c r="HT61"/>
      <c r="HU61"/>
      <c r="HV61"/>
      <c r="HW61"/>
      <c r="HX61"/>
      <c r="HY61"/>
      <c r="HZ61"/>
      <c r="IA61"/>
      <c r="IB61"/>
      <c r="IC61"/>
      <c r="ID61"/>
      <c r="IE61"/>
      <c r="IF61"/>
      <c r="IG61"/>
      <c r="IH61"/>
      <c r="II61"/>
      <c r="IJ61"/>
      <c r="IK61" s="32"/>
      <c r="IL61" s="32"/>
      <c r="IM61" s="32"/>
      <c r="IN61" s="32"/>
      <c r="IO61" s="32"/>
      <c r="IP61" s="32"/>
      <c r="IQ61" s="32"/>
    </row>
    <row r="62" spans="1:251" s="33" customFormat="1">
      <c r="A62" s="80"/>
      <c r="B62" s="80" t="s">
        <v>255</v>
      </c>
      <c r="C62" s="68"/>
      <c r="D62" s="156"/>
      <c r="E62" s="156" t="s">
        <v>269</v>
      </c>
      <c r="F62" s="156" t="s">
        <v>269</v>
      </c>
      <c r="G62" s="456">
        <v>4503</v>
      </c>
      <c r="H62" s="456">
        <v>4642</v>
      </c>
      <c r="I62" s="222">
        <v>4813</v>
      </c>
      <c r="J62" s="222">
        <v>5176</v>
      </c>
      <c r="K62" s="222">
        <v>6061</v>
      </c>
      <c r="L62" s="222">
        <v>6356</v>
      </c>
      <c r="M62" s="456">
        <f>+L62*12662/39619</f>
        <v>2031.3403165148036</v>
      </c>
      <c r="N62" s="222">
        <v>6884</v>
      </c>
      <c r="O62" s="222">
        <v>6884</v>
      </c>
      <c r="P62" s="222">
        <v>6350</v>
      </c>
      <c r="Q62" s="222">
        <v>5997</v>
      </c>
      <c r="R62" s="222">
        <v>5751</v>
      </c>
      <c r="S62" s="222">
        <v>5674</v>
      </c>
      <c r="T62" s="222">
        <v>5688</v>
      </c>
      <c r="U62" s="222">
        <v>5714</v>
      </c>
      <c r="V62" s="222">
        <v>5735</v>
      </c>
      <c r="W62" s="222">
        <v>5813</v>
      </c>
      <c r="X62" s="222">
        <v>5893</v>
      </c>
      <c r="Y62" s="156">
        <f t="shared" si="43"/>
        <v>5893</v>
      </c>
      <c r="Z62" s="156">
        <f t="shared" si="44"/>
        <v>5893</v>
      </c>
      <c r="AA62" s="156">
        <f t="shared" si="44"/>
        <v>5893</v>
      </c>
      <c r="AB62" s="156">
        <f t="shared" si="44"/>
        <v>5893</v>
      </c>
      <c r="AC62" s="156">
        <f t="shared" si="42"/>
        <v>5893</v>
      </c>
      <c r="AD62" s="156">
        <f t="shared" si="42"/>
        <v>5893</v>
      </c>
      <c r="AE62" s="156">
        <f t="shared" si="42"/>
        <v>5893</v>
      </c>
      <c r="AF62" s="156">
        <f t="shared" si="42"/>
        <v>5893</v>
      </c>
      <c r="AG62" s="156">
        <f t="shared" si="42"/>
        <v>5893</v>
      </c>
      <c r="AH62" s="43"/>
      <c r="AI62" s="43"/>
      <c r="AJ62" s="43"/>
      <c r="AK62" s="43"/>
      <c r="AL62" s="43"/>
      <c r="AM62" s="43"/>
      <c r="AN62" s="43"/>
      <c r="AO62" s="43"/>
      <c r="AP62" s="43"/>
      <c r="AQ62" s="43"/>
      <c r="AR62" s="43"/>
      <c r="AS62" s="43"/>
      <c r="AT62" s="43"/>
      <c r="AU62" s="43"/>
      <c r="AV62" s="43"/>
      <c r="AW62" s="43"/>
      <c r="AX62" s="43"/>
      <c r="AY62" s="43"/>
      <c r="AZ62" s="43"/>
      <c r="BA62" s="43"/>
      <c r="BB62" s="43"/>
      <c r="BC62" s="43"/>
      <c r="BD62" s="43"/>
      <c r="BE62" s="43"/>
      <c r="BF62" s="43"/>
      <c r="BG62" s="43"/>
      <c r="BH62" s="43"/>
      <c r="BI62" s="43"/>
      <c r="BJ62" s="43"/>
      <c r="BK62" s="43"/>
      <c r="BL62" s="43"/>
      <c r="BM62" s="43"/>
      <c r="BN62" s="43"/>
      <c r="BO62" s="43"/>
      <c r="BP62" s="43"/>
      <c r="BQ62" s="43"/>
      <c r="BR62" s="43"/>
      <c r="BS62" s="43"/>
      <c r="BT62" s="43"/>
      <c r="BU62" s="43"/>
      <c r="BV62" s="43"/>
      <c r="BW62" s="43"/>
      <c r="BX62" s="43"/>
      <c r="BY62" s="43"/>
      <c r="BZ62" s="43"/>
      <c r="CA62" s="43"/>
      <c r="CB62" s="43"/>
      <c r="CC62" s="43"/>
      <c r="CD62" s="43"/>
      <c r="CE62" s="43"/>
      <c r="CF62" s="43"/>
      <c r="CG62" s="43"/>
      <c r="CH62" s="43"/>
      <c r="CI62" s="43"/>
      <c r="CJ62" s="43"/>
      <c r="CK62" s="43"/>
      <c r="CL62" s="43"/>
      <c r="CM62" s="43"/>
      <c r="CN62" s="43"/>
      <c r="CO62" s="43"/>
      <c r="CP62" s="43"/>
      <c r="CQ62" s="43"/>
      <c r="CR62" s="43"/>
      <c r="CS62" s="43"/>
      <c r="CT62" s="43"/>
      <c r="CU62" s="43"/>
      <c r="CV62" s="43"/>
      <c r="CW62" s="43"/>
      <c r="CX62" s="43"/>
      <c r="CY62" s="43"/>
      <c r="CZ62" s="43"/>
      <c r="DA62" s="43"/>
      <c r="DB62" s="43"/>
      <c r="DC62" s="43"/>
      <c r="DD62" s="43"/>
      <c r="DE62" s="43"/>
      <c r="DF62" s="43"/>
      <c r="DG62" s="43"/>
      <c r="DH62" s="43"/>
      <c r="DI62" s="43"/>
      <c r="DJ62" s="43"/>
      <c r="DK62" s="43"/>
      <c r="DL62" s="43"/>
      <c r="DM62" s="43"/>
      <c r="DN62" s="43"/>
      <c r="DO62" s="43"/>
      <c r="DP62" s="43"/>
      <c r="DQ62" s="43"/>
      <c r="DR62" s="43"/>
      <c r="DS62" s="43"/>
      <c r="DT62" s="43"/>
      <c r="DU62" s="43"/>
      <c r="DV62" s="43"/>
      <c r="DW62" s="43"/>
      <c r="DX62" s="43"/>
      <c r="DY62" s="43"/>
      <c r="DZ62" s="43"/>
      <c r="EA62" s="43"/>
      <c r="EB62" s="43"/>
      <c r="EC62" s="43"/>
      <c r="ED62" s="43"/>
      <c r="EE62" s="43"/>
      <c r="EF62" s="43"/>
      <c r="EG62" s="43"/>
      <c r="EH62" s="43"/>
      <c r="EI62" s="43"/>
      <c r="EJ62" s="43"/>
      <c r="EK62" s="43"/>
      <c r="EL62" s="43"/>
      <c r="EM62" s="43"/>
      <c r="EN62" s="43"/>
      <c r="EO62" s="43"/>
      <c r="EP62" s="43"/>
      <c r="EQ62" s="43"/>
      <c r="ER62" s="43"/>
      <c r="ES62" s="43"/>
      <c r="ET62" s="43"/>
      <c r="EU62" s="43"/>
      <c r="EV62" s="43"/>
      <c r="EW62" s="43"/>
      <c r="EX62" s="43"/>
      <c r="EY62" s="43"/>
      <c r="EZ62" s="43"/>
      <c r="FA62" s="43"/>
      <c r="FB62" s="43"/>
      <c r="FC62" s="43"/>
      <c r="FD62" s="43"/>
      <c r="FE62" s="43"/>
      <c r="FF62" s="43"/>
      <c r="FG62" s="43"/>
      <c r="FH62" s="43"/>
      <c r="FI62" s="43"/>
      <c r="FJ62" s="43"/>
      <c r="FK62" s="43"/>
      <c r="FL62" s="43"/>
      <c r="FM62" s="43"/>
      <c r="FN62" s="43"/>
      <c r="FO62" s="43"/>
      <c r="FP62" s="43"/>
      <c r="FQ62" s="43"/>
      <c r="FR62" s="43"/>
      <c r="FS62" s="43"/>
      <c r="FT62" s="43"/>
      <c r="FU62" s="43"/>
      <c r="FV62" s="43"/>
      <c r="FW62" s="43"/>
      <c r="FX62" s="43"/>
      <c r="FY62" s="43"/>
      <c r="FZ62" s="43"/>
      <c r="GA62" s="43"/>
      <c r="GB62" s="43"/>
      <c r="GC62" s="43"/>
      <c r="GD62" s="43"/>
      <c r="GE62" s="43"/>
      <c r="GF62" s="43"/>
      <c r="GG62" s="43"/>
      <c r="GH62" s="43"/>
      <c r="GI62" s="43"/>
      <c r="GJ62" s="43"/>
      <c r="GK62" s="43"/>
      <c r="GL62" s="43"/>
      <c r="GM62" s="43"/>
      <c r="GN62" s="43"/>
      <c r="GO62" s="43"/>
      <c r="GP62" s="43"/>
      <c r="GQ62" s="43"/>
      <c r="GR62" s="43"/>
      <c r="GS62" s="43"/>
      <c r="GT62" s="43"/>
      <c r="GU62" s="43"/>
      <c r="GV62" s="43"/>
      <c r="GW62" s="43"/>
      <c r="GX62" s="43"/>
      <c r="GY62" s="43"/>
      <c r="GZ62" s="43"/>
      <c r="HA62" s="43"/>
      <c r="HB62" s="43"/>
      <c r="HC62" s="43"/>
      <c r="HD62" s="43"/>
      <c r="HE62" s="43"/>
      <c r="HF62" s="43"/>
      <c r="HG62" s="43"/>
      <c r="HH62" s="43"/>
      <c r="HI62" s="43"/>
      <c r="HJ62" s="43"/>
      <c r="HK62" s="43"/>
      <c r="HL62" s="43"/>
      <c r="HM62" s="43"/>
      <c r="HN62" s="43"/>
      <c r="HO62" s="43"/>
      <c r="HP62" s="43"/>
      <c r="HQ62" s="43"/>
      <c r="HR62"/>
      <c r="HS62"/>
      <c r="HT62"/>
      <c r="HU62"/>
      <c r="HV62"/>
      <c r="HW62"/>
      <c r="HX62"/>
      <c r="HY62"/>
      <c r="HZ62"/>
      <c r="IA62"/>
      <c r="IB62"/>
      <c r="IC62"/>
      <c r="ID62"/>
      <c r="IE62"/>
      <c r="IF62"/>
      <c r="IG62"/>
      <c r="IH62"/>
      <c r="II62"/>
      <c r="IJ62"/>
      <c r="IK62" s="32"/>
      <c r="IL62" s="32"/>
      <c r="IM62" s="32"/>
      <c r="IN62" s="32"/>
      <c r="IO62" s="32"/>
      <c r="IP62" s="32"/>
      <c r="IQ62" s="32"/>
    </row>
    <row r="63" spans="1:251" s="33" customFormat="1">
      <c r="A63" s="80"/>
      <c r="B63" s="80" t="s">
        <v>203</v>
      </c>
      <c r="C63" s="68"/>
      <c r="D63" s="156"/>
      <c r="E63" s="456">
        <v>29556</v>
      </c>
      <c r="F63" s="456">
        <v>33481</v>
      </c>
      <c r="G63" s="456">
        <v>37269</v>
      </c>
      <c r="H63" s="456">
        <v>43259</v>
      </c>
      <c r="I63" s="456">
        <v>47008</v>
      </c>
      <c r="J63" s="456">
        <v>50595</v>
      </c>
      <c r="K63" s="456">
        <v>54666</v>
      </c>
      <c r="L63" s="456">
        <v>59879</v>
      </c>
      <c r="M63" s="456">
        <f>+L63*12662/39619</f>
        <v>19136.97715742447</v>
      </c>
      <c r="N63" s="456">
        <v>34426</v>
      </c>
      <c r="O63" s="456">
        <v>19028</v>
      </c>
      <c r="P63" s="222">
        <v>22131</v>
      </c>
      <c r="Q63" s="222">
        <v>22599</v>
      </c>
      <c r="R63" s="222">
        <v>23459</v>
      </c>
      <c r="S63" s="222">
        <v>23583</v>
      </c>
      <c r="T63" s="222">
        <v>24316</v>
      </c>
      <c r="U63" s="222">
        <v>25168</v>
      </c>
      <c r="V63" s="222">
        <v>26277</v>
      </c>
      <c r="W63" s="222">
        <v>27257</v>
      </c>
      <c r="X63" s="222">
        <v>36906</v>
      </c>
      <c r="Y63" s="156">
        <f>X63+IS!T91+CFS!X36</f>
        <v>38449.198583502992</v>
      </c>
      <c r="Z63" s="156">
        <f ca="1">Y63+IS!U91+CFS!Y36</f>
        <v>40413.608317347389</v>
      </c>
      <c r="AA63" s="156">
        <f ca="1">Z63+IS!V91+CFS!Z36</f>
        <v>42388.626814429481</v>
      </c>
      <c r="AB63" s="156">
        <f ca="1">AA63+IS!W91+CFS!AA36</f>
        <v>44505.787165089707</v>
      </c>
      <c r="AC63" s="156">
        <f ca="1">AB63+IS!X91+CFS!AB36</f>
        <v>46699.062031177265</v>
      </c>
      <c r="AD63" s="156">
        <f ca="1">AC63+IS!Y91+CFS!AC36</f>
        <v>49005.371211831807</v>
      </c>
      <c r="AE63" s="156">
        <f ca="1">AD63+IS!Z91+CFS!AD36</f>
        <v>51426.122320220238</v>
      </c>
      <c r="AF63" s="156">
        <f ca="1">AE63+IS!AA91+CFS!AE36</f>
        <v>53963.047867831912</v>
      </c>
      <c r="AG63" s="156">
        <f ca="1">AF63+IS!AB91+CFS!AF36</f>
        <v>56618.287826249383</v>
      </c>
      <c r="AH63" s="43"/>
      <c r="AI63" s="43"/>
      <c r="AJ63" s="43"/>
      <c r="AK63" s="43"/>
      <c r="AL63" s="43"/>
      <c r="AM63" s="43"/>
      <c r="AN63" s="43"/>
      <c r="AO63" s="43"/>
      <c r="AP63" s="43"/>
      <c r="AQ63" s="43"/>
      <c r="AR63" s="43"/>
      <c r="AS63" s="43"/>
      <c r="AT63" s="43"/>
      <c r="AU63" s="43"/>
      <c r="AV63" s="43"/>
      <c r="AW63" s="43"/>
      <c r="AX63" s="43"/>
      <c r="AY63" s="43"/>
      <c r="AZ63" s="43"/>
      <c r="BA63" s="43"/>
      <c r="BB63" s="43"/>
      <c r="BC63" s="43"/>
      <c r="BD63" s="43"/>
      <c r="BE63" s="43"/>
      <c r="BF63" s="43"/>
      <c r="BG63" s="43"/>
      <c r="BH63" s="43"/>
      <c r="BI63" s="43"/>
      <c r="BJ63" s="43"/>
      <c r="BK63" s="43"/>
      <c r="BL63" s="43"/>
      <c r="BM63" s="43"/>
      <c r="BN63" s="43"/>
      <c r="BO63" s="43"/>
      <c r="BP63" s="43"/>
      <c r="BQ63" s="43"/>
      <c r="BR63" s="43"/>
      <c r="BS63" s="43"/>
      <c r="BT63" s="43"/>
      <c r="BU63" s="43"/>
      <c r="BV63" s="43"/>
      <c r="BW63" s="43"/>
      <c r="BX63" s="43"/>
      <c r="BY63" s="43"/>
      <c r="BZ63" s="43"/>
      <c r="CA63" s="43"/>
      <c r="CB63" s="43"/>
      <c r="CC63" s="43"/>
      <c r="CD63" s="43"/>
      <c r="CE63" s="43"/>
      <c r="CF63" s="43"/>
      <c r="CG63" s="43"/>
      <c r="CH63" s="43"/>
      <c r="CI63" s="43"/>
      <c r="CJ63" s="43"/>
      <c r="CK63" s="43"/>
      <c r="CL63" s="43"/>
      <c r="CM63" s="43"/>
      <c r="CN63" s="43"/>
      <c r="CO63" s="43"/>
      <c r="CP63" s="43"/>
      <c r="CQ63" s="43"/>
      <c r="CR63" s="43"/>
      <c r="CS63" s="43"/>
      <c r="CT63" s="43"/>
      <c r="CU63" s="43"/>
      <c r="CV63" s="43"/>
      <c r="CW63" s="43"/>
      <c r="CX63" s="43"/>
      <c r="CY63" s="43"/>
      <c r="CZ63" s="43"/>
      <c r="DA63" s="43"/>
      <c r="DB63" s="43"/>
      <c r="DC63" s="43"/>
      <c r="DD63" s="43"/>
      <c r="DE63" s="43"/>
      <c r="DF63" s="43"/>
      <c r="DG63" s="43"/>
      <c r="DH63" s="43"/>
      <c r="DI63" s="43"/>
      <c r="DJ63" s="43"/>
      <c r="DK63" s="43"/>
      <c r="DL63" s="43"/>
      <c r="DM63" s="43"/>
      <c r="DN63" s="43"/>
      <c r="DO63" s="43"/>
      <c r="DP63" s="43"/>
      <c r="DQ63" s="43"/>
      <c r="DR63" s="43"/>
      <c r="DS63" s="43"/>
      <c r="DT63" s="43"/>
      <c r="DU63" s="43"/>
      <c r="DV63" s="43"/>
      <c r="DW63" s="43"/>
      <c r="DX63" s="43"/>
      <c r="DY63" s="43"/>
      <c r="DZ63" s="43"/>
      <c r="EA63" s="43"/>
      <c r="EB63" s="43"/>
      <c r="EC63" s="43"/>
      <c r="ED63" s="43"/>
      <c r="EE63" s="43"/>
      <c r="EF63" s="43"/>
      <c r="EG63" s="43"/>
      <c r="EH63" s="43"/>
      <c r="EI63" s="43"/>
      <c r="EJ63" s="43"/>
      <c r="EK63" s="43"/>
      <c r="EL63" s="43"/>
      <c r="EM63" s="43"/>
      <c r="EN63" s="43"/>
      <c r="EO63" s="43"/>
      <c r="EP63" s="43"/>
      <c r="EQ63" s="43"/>
      <c r="ER63" s="43"/>
      <c r="ES63" s="43"/>
      <c r="ET63" s="43"/>
      <c r="EU63" s="43"/>
      <c r="EV63" s="43"/>
      <c r="EW63" s="43"/>
      <c r="EX63" s="43"/>
      <c r="EY63" s="43"/>
      <c r="EZ63" s="43"/>
      <c r="FA63" s="43"/>
      <c r="FB63" s="43"/>
      <c r="FC63" s="43"/>
      <c r="FD63" s="43"/>
      <c r="FE63" s="43"/>
      <c r="FF63" s="43"/>
      <c r="FG63" s="43"/>
      <c r="FH63" s="43"/>
      <c r="FI63" s="43"/>
      <c r="FJ63" s="43"/>
      <c r="FK63" s="43"/>
      <c r="FL63" s="43"/>
      <c r="FM63" s="43"/>
      <c r="FN63" s="43"/>
      <c r="FO63" s="43"/>
      <c r="FP63" s="43"/>
      <c r="FQ63" s="43"/>
      <c r="FR63" s="43"/>
      <c r="FS63" s="43"/>
      <c r="FT63" s="43"/>
      <c r="FU63" s="43"/>
      <c r="FV63" s="43"/>
      <c r="FW63" s="43"/>
      <c r="FX63" s="43"/>
      <c r="FY63" s="43"/>
      <c r="FZ63" s="43"/>
      <c r="GA63" s="43"/>
      <c r="GB63" s="43"/>
      <c r="GC63" s="43"/>
      <c r="GD63" s="43"/>
      <c r="GE63" s="43"/>
      <c r="GF63" s="43"/>
      <c r="GG63" s="43"/>
      <c r="GH63" s="43"/>
      <c r="GI63" s="43"/>
      <c r="GJ63" s="43"/>
      <c r="GK63" s="43"/>
      <c r="GL63" s="43"/>
      <c r="GM63" s="43"/>
      <c r="GN63" s="43"/>
      <c r="GO63" s="43"/>
      <c r="GP63" s="43"/>
      <c r="GQ63" s="43"/>
      <c r="GR63" s="43"/>
      <c r="GS63" s="43"/>
      <c r="GT63" s="43"/>
      <c r="GU63" s="43"/>
      <c r="GV63" s="43"/>
      <c r="GW63" s="43"/>
      <c r="GX63" s="43"/>
      <c r="GY63" s="43"/>
      <c r="GZ63" s="43"/>
      <c r="HA63" s="43"/>
      <c r="HB63" s="43"/>
      <c r="HC63" s="43"/>
      <c r="HD63" s="43"/>
      <c r="HE63" s="43"/>
      <c r="HF63" s="43"/>
      <c r="HG63" s="43"/>
      <c r="HH63" s="43"/>
      <c r="HI63" s="43"/>
      <c r="HJ63" s="43"/>
      <c r="HK63" s="43"/>
      <c r="HL63" s="43"/>
      <c r="HM63" s="43"/>
      <c r="HN63" s="43"/>
      <c r="HO63" s="43"/>
      <c r="HP63" s="43"/>
      <c r="HQ63" s="43"/>
      <c r="HR63"/>
      <c r="HS63"/>
      <c r="HT63"/>
      <c r="HU63"/>
      <c r="HV63"/>
      <c r="HW63"/>
      <c r="HX63"/>
      <c r="HY63"/>
      <c r="HZ63"/>
      <c r="IA63"/>
      <c r="IB63"/>
      <c r="IC63"/>
      <c r="ID63"/>
      <c r="IE63"/>
      <c r="IF63"/>
      <c r="IG63"/>
      <c r="IH63"/>
      <c r="II63"/>
      <c r="IJ63"/>
      <c r="IK63" s="32"/>
      <c r="IL63" s="32"/>
      <c r="IM63" s="32"/>
      <c r="IN63" s="32"/>
      <c r="IO63" s="32"/>
      <c r="IP63" s="32"/>
      <c r="IQ63" s="32"/>
    </row>
    <row r="64" spans="1:251" s="33" customFormat="1">
      <c r="A64" s="80"/>
      <c r="B64" s="80" t="s">
        <v>254</v>
      </c>
      <c r="C64" s="68"/>
      <c r="D64" s="156"/>
      <c r="E64" s="456">
        <v>-2108</v>
      </c>
      <c r="F64" s="456">
        <v>-2950</v>
      </c>
      <c r="G64" s="456">
        <v>-3373</v>
      </c>
      <c r="H64" s="456">
        <v>-3956</v>
      </c>
      <c r="I64" s="456">
        <v>-2125</v>
      </c>
      <c r="J64" s="456">
        <v>-1141</v>
      </c>
      <c r="K64" s="456">
        <v>-1853</v>
      </c>
      <c r="L64" s="456">
        <v>-3808</v>
      </c>
      <c r="M64" s="456">
        <f>+L64*12662/39619</f>
        <v>-1217.0144627577677</v>
      </c>
      <c r="N64" s="456">
        <v>-237</v>
      </c>
      <c r="O64" s="456">
        <v>-237</v>
      </c>
      <c r="P64" s="222">
        <v>-2181</v>
      </c>
      <c r="Q64" s="222">
        <v>-1561</v>
      </c>
      <c r="R64" s="222">
        <v>-1484</v>
      </c>
      <c r="S64" s="222">
        <v>-1887</v>
      </c>
      <c r="T64" s="222">
        <v>-2040</v>
      </c>
      <c r="U64" s="222">
        <v>-1378</v>
      </c>
      <c r="V64" s="222">
        <v>-2682</v>
      </c>
      <c r="W64" s="222">
        <v>-3280</v>
      </c>
      <c r="X64" s="222">
        <v>-2052</v>
      </c>
      <c r="Y64" s="156">
        <v>-2052</v>
      </c>
      <c r="Z64" s="156">
        <v>-2052</v>
      </c>
      <c r="AA64" s="156">
        <v>-2052</v>
      </c>
      <c r="AB64" s="156">
        <v>-2052</v>
      </c>
      <c r="AC64" s="156">
        <v>-2052</v>
      </c>
      <c r="AD64" s="156">
        <v>-2052</v>
      </c>
      <c r="AE64" s="156">
        <v>-2052</v>
      </c>
      <c r="AF64" s="156">
        <v>-2052</v>
      </c>
      <c r="AG64" s="156">
        <v>-2052</v>
      </c>
      <c r="AH64" s="43"/>
      <c r="AI64" s="43"/>
      <c r="AJ64" s="43"/>
      <c r="AK64" s="43"/>
      <c r="AL64" s="43"/>
      <c r="AM64" s="43"/>
      <c r="AN64" s="43"/>
      <c r="AO64" s="43"/>
      <c r="AP64" s="43"/>
      <c r="AQ64" s="43"/>
      <c r="AR64" s="43"/>
      <c r="AS64" s="43"/>
      <c r="AT64" s="43"/>
      <c r="AU64" s="43"/>
      <c r="AV64" s="43"/>
      <c r="AW64" s="43"/>
      <c r="AX64" s="43"/>
      <c r="AY64" s="43"/>
      <c r="AZ64" s="43"/>
      <c r="BA64" s="43"/>
      <c r="BB64" s="43"/>
      <c r="BC64" s="43"/>
      <c r="BD64" s="43"/>
      <c r="BE64" s="43"/>
      <c r="BF64" s="43"/>
      <c r="BG64" s="43"/>
      <c r="BH64" s="43"/>
      <c r="BI64" s="43"/>
      <c r="BJ64" s="43"/>
      <c r="BK64" s="43"/>
      <c r="BL64" s="43"/>
      <c r="BM64" s="43"/>
      <c r="BN64" s="43"/>
      <c r="BO64" s="43"/>
      <c r="BP64" s="43"/>
      <c r="BQ64" s="43"/>
      <c r="BR64" s="43"/>
      <c r="BS64" s="43"/>
      <c r="BT64" s="43"/>
      <c r="BU64" s="43"/>
      <c r="BV64" s="43"/>
      <c r="BW64" s="43"/>
      <c r="BX64" s="43"/>
      <c r="BY64" s="43"/>
      <c r="BZ64" s="43"/>
      <c r="CA64" s="43"/>
      <c r="CB64" s="43"/>
      <c r="CC64" s="43"/>
      <c r="CD64" s="43"/>
      <c r="CE64" s="43"/>
      <c r="CF64" s="43"/>
      <c r="CG64" s="43"/>
      <c r="CH64" s="43"/>
      <c r="CI64" s="43"/>
      <c r="CJ64" s="43"/>
      <c r="CK64" s="43"/>
      <c r="CL64" s="43"/>
      <c r="CM64" s="43"/>
      <c r="CN64" s="43"/>
      <c r="CO64" s="43"/>
      <c r="CP64" s="43"/>
      <c r="CQ64" s="43"/>
      <c r="CR64" s="43"/>
      <c r="CS64" s="43"/>
      <c r="CT64" s="43"/>
      <c r="CU64" s="43"/>
      <c r="CV64" s="43"/>
      <c r="CW64" s="43"/>
      <c r="CX64" s="43"/>
      <c r="CY64" s="43"/>
      <c r="CZ64" s="43"/>
      <c r="DA64" s="43"/>
      <c r="DB64" s="43"/>
      <c r="DC64" s="43"/>
      <c r="DD64" s="43"/>
      <c r="DE64" s="43"/>
      <c r="DF64" s="43"/>
      <c r="DG64" s="43"/>
      <c r="DH64" s="43"/>
      <c r="DI64" s="43"/>
      <c r="DJ64" s="43"/>
      <c r="DK64" s="43"/>
      <c r="DL64" s="43"/>
      <c r="DM64" s="43"/>
      <c r="DN64" s="43"/>
      <c r="DO64" s="43"/>
      <c r="DP64" s="43"/>
      <c r="DQ64" s="43"/>
      <c r="DR64" s="43"/>
      <c r="DS64" s="43"/>
      <c r="DT64" s="43"/>
      <c r="DU64" s="43"/>
      <c r="DV64" s="43"/>
      <c r="DW64" s="43"/>
      <c r="DX64" s="43"/>
      <c r="DY64" s="43"/>
      <c r="DZ64" s="43"/>
      <c r="EA64" s="43"/>
      <c r="EB64" s="43"/>
      <c r="EC64" s="43"/>
      <c r="ED64" s="43"/>
      <c r="EE64" s="43"/>
      <c r="EF64" s="43"/>
      <c r="EG64" s="43"/>
      <c r="EH64" s="43"/>
      <c r="EI64" s="43"/>
      <c r="EJ64" s="43"/>
      <c r="EK64" s="43"/>
      <c r="EL64" s="43"/>
      <c r="EM64" s="43"/>
      <c r="EN64" s="43"/>
      <c r="EO64" s="43"/>
      <c r="EP64" s="43"/>
      <c r="EQ64" s="43"/>
      <c r="ER64" s="43"/>
      <c r="ES64" s="43"/>
      <c r="ET64" s="43"/>
      <c r="EU64" s="43"/>
      <c r="EV64" s="43"/>
      <c r="EW64" s="43"/>
      <c r="EX64" s="43"/>
      <c r="EY64" s="43"/>
      <c r="EZ64" s="43"/>
      <c r="FA64" s="43"/>
      <c r="FB64" s="43"/>
      <c r="FC64" s="43"/>
      <c r="FD64" s="43"/>
      <c r="FE64" s="43"/>
      <c r="FF64" s="43"/>
      <c r="FG64" s="43"/>
      <c r="FH64" s="43"/>
      <c r="FI64" s="43"/>
      <c r="FJ64" s="43"/>
      <c r="FK64" s="43"/>
      <c r="FL64" s="43"/>
      <c r="FM64" s="43"/>
      <c r="FN64" s="43"/>
      <c r="FO64" s="43"/>
      <c r="FP64" s="43"/>
      <c r="FQ64" s="43"/>
      <c r="FR64" s="43"/>
      <c r="FS64" s="43"/>
      <c r="FT64" s="43"/>
      <c r="FU64" s="43"/>
      <c r="FV64" s="43"/>
      <c r="FW64" s="43"/>
      <c r="FX64" s="43"/>
      <c r="FY64" s="43"/>
      <c r="FZ64" s="43"/>
      <c r="GA64" s="43"/>
      <c r="GB64" s="43"/>
      <c r="GC64" s="43"/>
      <c r="GD64" s="43"/>
      <c r="GE64" s="43"/>
      <c r="GF64" s="43"/>
      <c r="GG64" s="43"/>
      <c r="GH64" s="43"/>
      <c r="GI64" s="43"/>
      <c r="GJ64" s="43"/>
      <c r="GK64" s="43"/>
      <c r="GL64" s="43"/>
      <c r="GM64" s="43"/>
      <c r="GN64" s="43"/>
      <c r="GO64" s="43"/>
      <c r="GP64" s="43"/>
      <c r="GQ64" s="43"/>
      <c r="GR64" s="43"/>
      <c r="GS64" s="43"/>
      <c r="GT64" s="43"/>
      <c r="GU64" s="43"/>
      <c r="GV64" s="43"/>
      <c r="GW64" s="43"/>
      <c r="GX64" s="43"/>
      <c r="GY64" s="43"/>
      <c r="GZ64" s="43"/>
      <c r="HA64" s="43"/>
      <c r="HB64" s="43"/>
      <c r="HC64" s="43"/>
      <c r="HD64" s="43"/>
      <c r="HE64" s="43"/>
      <c r="HF64" s="43"/>
      <c r="HG64" s="43"/>
      <c r="HH64" s="43"/>
      <c r="HI64" s="43"/>
      <c r="HJ64" s="43"/>
      <c r="HK64" s="43"/>
      <c r="HL64" s="43"/>
      <c r="HM64" s="43"/>
      <c r="HN64" s="43"/>
      <c r="HO64" s="43"/>
      <c r="HP64" s="43"/>
      <c r="HQ64" s="43"/>
      <c r="HR64"/>
      <c r="HS64"/>
      <c r="HT64"/>
      <c r="HU64"/>
      <c r="HV64"/>
      <c r="HW64"/>
      <c r="HX64"/>
      <c r="HY64"/>
      <c r="HZ64"/>
      <c r="IA64"/>
      <c r="IB64"/>
      <c r="IC64"/>
      <c r="ID64"/>
      <c r="IE64"/>
      <c r="IF64"/>
      <c r="IG64"/>
      <c r="IH64"/>
      <c r="II64"/>
      <c r="IJ64"/>
      <c r="IK64" s="32"/>
      <c r="IL64" s="32"/>
      <c r="IM64" s="32"/>
      <c r="IN64" s="32"/>
      <c r="IO64" s="32"/>
      <c r="IP64" s="32"/>
      <c r="IQ64" s="32"/>
    </row>
    <row r="65" spans="1:251" s="33" customFormat="1">
      <c r="A65" s="80"/>
      <c r="B65" s="80" t="s">
        <v>26</v>
      </c>
      <c r="C65" s="68"/>
      <c r="D65" s="156"/>
      <c r="E65" s="456">
        <v>-13078</v>
      </c>
      <c r="F65" s="456">
        <v>-16461</v>
      </c>
      <c r="G65" s="456">
        <v>-19714</v>
      </c>
      <c r="H65" s="456">
        <v>-25402</v>
      </c>
      <c r="I65" s="456">
        <v>-25554.3</v>
      </c>
      <c r="J65" s="456">
        <v>-24851</v>
      </c>
      <c r="K65" s="456">
        <v>-24102</v>
      </c>
      <c r="L65" s="456">
        <v>-23743</v>
      </c>
      <c r="M65" s="456">
        <f>+L65*12662/39619</f>
        <v>-7588.1235265907771</v>
      </c>
      <c r="N65" s="456">
        <v>-23454</v>
      </c>
      <c r="O65" s="156">
        <f>+N65</f>
        <v>-23454</v>
      </c>
      <c r="P65" s="222">
        <v>-24407</v>
      </c>
      <c r="Q65" s="222">
        <v>-23901</v>
      </c>
      <c r="R65" s="222">
        <v>-23469</v>
      </c>
      <c r="S65" s="222">
        <v>-24625</v>
      </c>
      <c r="T65" s="222">
        <v>-25731</v>
      </c>
      <c r="U65" s="222">
        <v>-26320</v>
      </c>
      <c r="V65" s="222">
        <v>-27251</v>
      </c>
      <c r="W65" s="222">
        <v>-27845</v>
      </c>
      <c r="X65" s="222">
        <v>-28912</v>
      </c>
      <c r="Y65" s="156">
        <f>X65+CFS!X41</f>
        <v>-31830</v>
      </c>
      <c r="Z65" s="156">
        <f>Y65+CFS!Y41</f>
        <v>-32830</v>
      </c>
      <c r="AA65" s="156">
        <f>Z65+CFS!Z41</f>
        <v>-34830</v>
      </c>
      <c r="AB65" s="156">
        <f>AA65+CFS!AA41</f>
        <v>-36830</v>
      </c>
      <c r="AC65" s="156">
        <f>AB65+CFS!AB41</f>
        <v>-38830</v>
      </c>
      <c r="AD65" s="156">
        <f>AC65+CFS!AC41</f>
        <v>-40830</v>
      </c>
      <c r="AE65" s="156">
        <f>AD65+CFS!AD41</f>
        <v>-42830</v>
      </c>
      <c r="AF65" s="156">
        <f>AE65+CFS!AE41</f>
        <v>-44830</v>
      </c>
      <c r="AG65" s="156">
        <f>AF65+CFS!AF41</f>
        <v>-46830</v>
      </c>
      <c r="AH65" s="43"/>
      <c r="AI65" s="43"/>
      <c r="AJ65" s="43"/>
      <c r="AK65" s="43"/>
      <c r="AL65" s="43"/>
      <c r="AM65" s="43"/>
      <c r="AN65" s="43"/>
      <c r="AO65" s="43"/>
      <c r="AP65" s="43"/>
      <c r="AQ65" s="43"/>
      <c r="AR65" s="43"/>
      <c r="AS65" s="43"/>
      <c r="AT65" s="43"/>
      <c r="AU65" s="43"/>
      <c r="AV65" s="43"/>
      <c r="AW65" s="43"/>
      <c r="AX65" s="43"/>
      <c r="AY65" s="43"/>
      <c r="AZ65" s="43"/>
      <c r="BA65" s="43"/>
      <c r="BB65" s="43"/>
      <c r="BC65" s="43"/>
      <c r="BD65" s="43"/>
      <c r="BE65" s="43"/>
      <c r="BF65" s="43"/>
      <c r="BG65" s="43"/>
      <c r="BH65" s="43"/>
      <c r="BI65" s="43"/>
      <c r="BJ65" s="43"/>
      <c r="BK65" s="43"/>
      <c r="BL65" s="43"/>
      <c r="BM65" s="43"/>
      <c r="BN65" s="43"/>
      <c r="BO65" s="43"/>
      <c r="BP65" s="43"/>
      <c r="BQ65" s="43"/>
      <c r="BR65" s="43"/>
      <c r="BS65" s="43"/>
      <c r="BT65" s="43"/>
      <c r="BU65" s="43"/>
      <c r="BV65" s="43"/>
      <c r="BW65" s="43"/>
      <c r="BX65" s="43"/>
      <c r="BY65" s="43"/>
      <c r="BZ65" s="43"/>
      <c r="CA65" s="43"/>
      <c r="CB65" s="43"/>
      <c r="CC65" s="43"/>
      <c r="CD65" s="43"/>
      <c r="CE65" s="43"/>
      <c r="CF65" s="43"/>
      <c r="CG65" s="43"/>
      <c r="CH65" s="43"/>
      <c r="CI65" s="43"/>
      <c r="CJ65" s="43"/>
      <c r="CK65" s="43"/>
      <c r="CL65" s="43"/>
      <c r="CM65" s="43"/>
      <c r="CN65" s="43"/>
      <c r="CO65" s="43"/>
      <c r="CP65" s="43"/>
      <c r="CQ65" s="43"/>
      <c r="CR65" s="43"/>
      <c r="CS65" s="43"/>
      <c r="CT65" s="43"/>
      <c r="CU65" s="43"/>
      <c r="CV65" s="43"/>
      <c r="CW65" s="43"/>
      <c r="CX65" s="43"/>
      <c r="CY65" s="43"/>
      <c r="CZ65" s="43"/>
      <c r="DA65" s="43"/>
      <c r="DB65" s="43"/>
      <c r="DC65" s="43"/>
      <c r="DD65" s="43"/>
      <c r="DE65" s="43"/>
      <c r="DF65" s="43"/>
      <c r="DG65" s="43"/>
      <c r="DH65" s="43"/>
      <c r="DI65" s="43"/>
      <c r="DJ65" s="43"/>
      <c r="DK65" s="43"/>
      <c r="DL65" s="43"/>
      <c r="DM65" s="43"/>
      <c r="DN65" s="43"/>
      <c r="DO65" s="43"/>
      <c r="DP65" s="43"/>
      <c r="DQ65" s="43"/>
      <c r="DR65" s="43"/>
      <c r="DS65" s="43"/>
      <c r="DT65" s="43"/>
      <c r="DU65" s="43"/>
      <c r="DV65" s="43"/>
      <c r="DW65" s="43"/>
      <c r="DX65" s="43"/>
      <c r="DY65" s="43"/>
      <c r="DZ65" s="43"/>
      <c r="EA65" s="43"/>
      <c r="EB65" s="43"/>
      <c r="EC65" s="43"/>
      <c r="ED65" s="43"/>
      <c r="EE65" s="43"/>
      <c r="EF65" s="43"/>
      <c r="EG65" s="43"/>
      <c r="EH65" s="43"/>
      <c r="EI65" s="43"/>
      <c r="EJ65" s="43"/>
      <c r="EK65" s="43"/>
      <c r="EL65" s="43"/>
      <c r="EM65" s="43"/>
      <c r="EN65" s="43"/>
      <c r="EO65" s="43"/>
      <c r="EP65" s="43"/>
      <c r="EQ65" s="43"/>
      <c r="ER65" s="43"/>
      <c r="ES65" s="43"/>
      <c r="ET65" s="43"/>
      <c r="EU65" s="43"/>
      <c r="EV65" s="43"/>
      <c r="EW65" s="43"/>
      <c r="EX65" s="43"/>
      <c r="EY65" s="43"/>
      <c r="EZ65" s="43"/>
      <c r="FA65" s="43"/>
      <c r="FB65" s="43"/>
      <c r="FC65" s="43"/>
      <c r="FD65" s="43"/>
      <c r="FE65" s="43"/>
      <c r="FF65" s="43"/>
      <c r="FG65" s="43"/>
      <c r="FH65" s="43"/>
      <c r="FI65" s="43"/>
      <c r="FJ65" s="43"/>
      <c r="FK65" s="43"/>
      <c r="FL65" s="43"/>
      <c r="FM65" s="43"/>
      <c r="FN65" s="43"/>
      <c r="FO65" s="43"/>
      <c r="FP65" s="43"/>
      <c r="FQ65" s="43"/>
      <c r="FR65" s="43"/>
      <c r="FS65" s="43"/>
      <c r="FT65" s="43"/>
      <c r="FU65" s="43"/>
      <c r="FV65" s="43"/>
      <c r="FW65" s="43"/>
      <c r="FX65" s="43"/>
      <c r="FY65" s="43"/>
      <c r="FZ65" s="43"/>
      <c r="GA65" s="43"/>
      <c r="GB65" s="43"/>
      <c r="GC65" s="43"/>
      <c r="GD65" s="43"/>
      <c r="GE65" s="43"/>
      <c r="GF65" s="43"/>
      <c r="GG65" s="43"/>
      <c r="GH65" s="43"/>
      <c r="GI65" s="43"/>
      <c r="GJ65" s="43"/>
      <c r="GK65" s="43"/>
      <c r="GL65" s="43"/>
      <c r="GM65" s="43"/>
      <c r="GN65" s="43"/>
      <c r="GO65" s="43"/>
      <c r="GP65" s="43"/>
      <c r="GQ65" s="43"/>
      <c r="GR65" s="43"/>
      <c r="GS65" s="43"/>
      <c r="GT65" s="43"/>
      <c r="GU65" s="43"/>
      <c r="GV65" s="43"/>
      <c r="GW65" s="43"/>
      <c r="GX65" s="43"/>
      <c r="GY65" s="43"/>
      <c r="GZ65" s="43"/>
      <c r="HA65" s="43"/>
      <c r="HB65" s="43"/>
      <c r="HC65" s="43"/>
      <c r="HD65" s="43"/>
      <c r="HE65" s="43"/>
      <c r="HF65" s="43"/>
      <c r="HG65" s="43"/>
      <c r="HH65" s="43"/>
      <c r="HI65" s="43"/>
      <c r="HJ65" s="43"/>
      <c r="HK65" s="43"/>
      <c r="HL65" s="43"/>
      <c r="HM65" s="43"/>
      <c r="HN65" s="43"/>
      <c r="HO65" s="43"/>
      <c r="HP65" s="43"/>
      <c r="HQ65" s="43"/>
      <c r="HR65"/>
      <c r="HS65"/>
      <c r="HT65"/>
      <c r="HU65"/>
      <c r="HV65"/>
      <c r="HW65"/>
      <c r="HX65"/>
      <c r="HY65"/>
      <c r="HZ65"/>
      <c r="IA65"/>
      <c r="IB65"/>
      <c r="IC65"/>
      <c r="ID65"/>
      <c r="IE65"/>
      <c r="IF65"/>
      <c r="IG65"/>
      <c r="IH65"/>
      <c r="II65"/>
      <c r="IJ65"/>
      <c r="IK65" s="32"/>
      <c r="IL65" s="32"/>
      <c r="IM65" s="32"/>
      <c r="IN65" s="32"/>
      <c r="IO65" s="32"/>
      <c r="IP65" s="32"/>
      <c r="IQ65" s="32"/>
    </row>
    <row r="66" spans="1:251" s="33" customFormat="1">
      <c r="A66" s="80"/>
      <c r="B66" s="80" t="s">
        <v>80</v>
      </c>
      <c r="C66" s="68"/>
      <c r="D66" s="156"/>
      <c r="E66" s="156">
        <v>0</v>
      </c>
      <c r="F66" s="156">
        <v>0</v>
      </c>
      <c r="G66" s="156">
        <v>0</v>
      </c>
      <c r="H66" s="156">
        <v>0</v>
      </c>
      <c r="I66" s="156">
        <v>0</v>
      </c>
      <c r="J66" s="156">
        <v>0</v>
      </c>
      <c r="K66" s="156">
        <v>0</v>
      </c>
      <c r="L66" s="156">
        <v>0</v>
      </c>
      <c r="M66" s="156">
        <v>0</v>
      </c>
      <c r="N66" s="156">
        <v>0</v>
      </c>
      <c r="O66" s="156">
        <v>0</v>
      </c>
      <c r="P66" s="156">
        <v>0</v>
      </c>
      <c r="Q66" s="222">
        <v>3</v>
      </c>
      <c r="R66" s="222">
        <v>3</v>
      </c>
      <c r="S66" s="222">
        <v>3</v>
      </c>
      <c r="T66" s="222">
        <v>2</v>
      </c>
      <c r="U66" s="156">
        <v>-1</v>
      </c>
      <c r="V66" s="222">
        <v>-4</v>
      </c>
      <c r="W66" s="222">
        <v>-7</v>
      </c>
      <c r="X66" s="222">
        <v>3</v>
      </c>
      <c r="Y66" s="156">
        <f t="shared" ref="Y66:AG66" si="45">X66</f>
        <v>3</v>
      </c>
      <c r="Z66" s="156">
        <f t="shared" si="45"/>
        <v>3</v>
      </c>
      <c r="AA66" s="156">
        <f t="shared" si="45"/>
        <v>3</v>
      </c>
      <c r="AB66" s="156">
        <f t="shared" si="45"/>
        <v>3</v>
      </c>
      <c r="AC66" s="156">
        <f t="shared" si="45"/>
        <v>3</v>
      </c>
      <c r="AD66" s="156">
        <f t="shared" si="45"/>
        <v>3</v>
      </c>
      <c r="AE66" s="156">
        <f t="shared" si="45"/>
        <v>3</v>
      </c>
      <c r="AF66" s="156">
        <f t="shared" si="45"/>
        <v>3</v>
      </c>
      <c r="AG66" s="156">
        <f t="shared" si="45"/>
        <v>3</v>
      </c>
      <c r="AH66" s="43"/>
      <c r="AI66" s="43"/>
      <c r="AJ66" s="43"/>
      <c r="AK66" s="43"/>
      <c r="AL66" s="43"/>
      <c r="AM66" s="43"/>
      <c r="AN66" s="43"/>
      <c r="AO66" s="43"/>
      <c r="AP66" s="43"/>
      <c r="AQ66" s="43"/>
      <c r="AR66" s="43"/>
      <c r="AS66" s="43"/>
      <c r="AT66" s="43"/>
      <c r="AU66" s="43"/>
      <c r="AV66" s="43"/>
      <c r="AW66" s="43"/>
      <c r="AX66" s="43"/>
      <c r="AY66" s="43"/>
      <c r="AZ66" s="43"/>
      <c r="BA66" s="43"/>
      <c r="BB66" s="43"/>
      <c r="BC66" s="43"/>
      <c r="BD66" s="43"/>
      <c r="BE66" s="43"/>
      <c r="BF66" s="43"/>
      <c r="BG66" s="43"/>
      <c r="BH66" s="43"/>
      <c r="BI66" s="43"/>
      <c r="BJ66" s="43"/>
      <c r="BK66" s="43"/>
      <c r="BL66" s="43"/>
      <c r="BM66" s="43"/>
      <c r="BN66" s="43"/>
      <c r="BO66" s="43"/>
      <c r="BP66" s="43"/>
      <c r="BQ66" s="43"/>
      <c r="BR66" s="43"/>
      <c r="BS66" s="43"/>
      <c r="BT66" s="43"/>
      <c r="BU66" s="43"/>
      <c r="BV66" s="43"/>
      <c r="BW66" s="43"/>
      <c r="BX66" s="43"/>
      <c r="BY66" s="43"/>
      <c r="BZ66" s="43"/>
      <c r="CA66" s="43"/>
      <c r="CB66" s="43"/>
      <c r="CC66" s="43"/>
      <c r="CD66" s="43"/>
      <c r="CE66" s="43"/>
      <c r="CF66" s="43"/>
      <c r="CG66" s="43"/>
      <c r="CH66" s="43"/>
      <c r="CI66" s="43"/>
      <c r="CJ66" s="43"/>
      <c r="CK66" s="43"/>
      <c r="CL66" s="43"/>
      <c r="CM66" s="43"/>
      <c r="CN66" s="43"/>
      <c r="CO66" s="43"/>
      <c r="CP66" s="43"/>
      <c r="CQ66" s="43"/>
      <c r="CR66" s="43"/>
      <c r="CS66" s="43"/>
      <c r="CT66" s="43"/>
      <c r="CU66" s="43"/>
      <c r="CV66" s="43"/>
      <c r="CW66" s="43"/>
      <c r="CX66" s="43"/>
      <c r="CY66" s="43"/>
      <c r="CZ66" s="43"/>
      <c r="DA66" s="43"/>
      <c r="DB66" s="43"/>
      <c r="DC66" s="43"/>
      <c r="DD66" s="43"/>
      <c r="DE66" s="43"/>
      <c r="DF66" s="43"/>
      <c r="DG66" s="43"/>
      <c r="DH66" s="43"/>
      <c r="DI66" s="43"/>
      <c r="DJ66" s="43"/>
      <c r="DK66" s="43"/>
      <c r="DL66" s="43"/>
      <c r="DM66" s="43"/>
      <c r="DN66" s="43"/>
      <c r="DO66" s="43"/>
      <c r="DP66" s="43"/>
      <c r="DQ66" s="43"/>
      <c r="DR66" s="43"/>
      <c r="DS66" s="43"/>
      <c r="DT66" s="43"/>
      <c r="DU66" s="43"/>
      <c r="DV66" s="43"/>
      <c r="DW66" s="43"/>
      <c r="DX66" s="43"/>
      <c r="DY66" s="43"/>
      <c r="DZ66" s="43"/>
      <c r="EA66" s="43"/>
      <c r="EB66" s="43"/>
      <c r="EC66" s="43"/>
      <c r="ED66" s="43"/>
      <c r="EE66" s="43"/>
      <c r="EF66" s="43"/>
      <c r="EG66" s="43"/>
      <c r="EH66" s="43"/>
      <c r="EI66" s="43"/>
      <c r="EJ66" s="43"/>
      <c r="EK66" s="43"/>
      <c r="EL66" s="43"/>
      <c r="EM66" s="43"/>
      <c r="EN66" s="43"/>
      <c r="EO66" s="43"/>
      <c r="EP66" s="43"/>
      <c r="EQ66" s="43"/>
      <c r="ER66" s="43"/>
      <c r="ES66" s="43"/>
      <c r="ET66" s="43"/>
      <c r="EU66" s="43"/>
      <c r="EV66" s="43"/>
      <c r="EW66" s="43"/>
      <c r="EX66" s="43"/>
      <c r="EY66" s="43"/>
      <c r="EZ66" s="43"/>
      <c r="FA66" s="43"/>
      <c r="FB66" s="43"/>
      <c r="FC66" s="43"/>
      <c r="FD66" s="43"/>
      <c r="FE66" s="43"/>
      <c r="FF66" s="43"/>
      <c r="FG66" s="43"/>
      <c r="FH66" s="43"/>
      <c r="FI66" s="43"/>
      <c r="FJ66" s="43"/>
      <c r="FK66" s="43"/>
      <c r="FL66" s="43"/>
      <c r="FM66" s="43"/>
      <c r="FN66" s="43"/>
      <c r="FO66" s="43"/>
      <c r="FP66" s="43"/>
      <c r="FQ66" s="43"/>
      <c r="FR66" s="43"/>
      <c r="FS66" s="43"/>
      <c r="FT66" s="43"/>
      <c r="FU66" s="43"/>
      <c r="FV66" s="43"/>
      <c r="FW66" s="43"/>
      <c r="FX66" s="43"/>
      <c r="FY66" s="43"/>
      <c r="FZ66" s="43"/>
      <c r="GA66" s="43"/>
      <c r="GB66" s="43"/>
      <c r="GC66" s="43"/>
      <c r="GD66" s="43"/>
      <c r="GE66" s="43"/>
      <c r="GF66" s="43"/>
      <c r="GG66" s="43"/>
      <c r="GH66" s="43"/>
      <c r="GI66" s="43"/>
      <c r="GJ66" s="43"/>
      <c r="GK66" s="43"/>
      <c r="GL66" s="43"/>
      <c r="GM66" s="43"/>
      <c r="GN66" s="43"/>
      <c r="GO66" s="43"/>
      <c r="GP66" s="43"/>
      <c r="GQ66" s="43"/>
      <c r="GR66" s="43"/>
      <c r="GS66" s="43"/>
      <c r="GT66" s="43"/>
      <c r="GU66" s="43"/>
      <c r="GV66" s="43"/>
      <c r="GW66" s="43"/>
      <c r="GX66" s="43"/>
      <c r="GY66" s="43"/>
      <c r="GZ66" s="43"/>
      <c r="HA66" s="43"/>
      <c r="HB66" s="43"/>
      <c r="HC66" s="43"/>
      <c r="HD66" s="43"/>
      <c r="HE66" s="43"/>
      <c r="HF66" s="43"/>
      <c r="HG66" s="43"/>
      <c r="HH66" s="43"/>
      <c r="HI66" s="43"/>
      <c r="HJ66" s="43"/>
      <c r="HK66" s="43"/>
      <c r="HL66" s="43"/>
      <c r="HM66" s="43"/>
      <c r="HN66" s="43"/>
      <c r="HO66" s="43"/>
      <c r="HP66" s="43"/>
      <c r="HQ66" s="43"/>
      <c r="HR66"/>
      <c r="HS66"/>
      <c r="HT66"/>
      <c r="HU66"/>
      <c r="HV66"/>
      <c r="HW66"/>
      <c r="HX66"/>
      <c r="HY66"/>
      <c r="HZ66"/>
      <c r="IA66"/>
      <c r="IB66"/>
      <c r="IC66"/>
      <c r="ID66"/>
      <c r="IE66"/>
      <c r="IF66"/>
      <c r="IG66"/>
      <c r="IH66"/>
      <c r="II66"/>
      <c r="IJ66"/>
      <c r="IK66" s="32"/>
      <c r="IL66" s="32"/>
      <c r="IM66" s="32"/>
      <c r="IN66" s="32"/>
      <c r="IO66" s="32"/>
      <c r="IP66" s="32"/>
      <c r="IQ66" s="32"/>
    </row>
    <row r="67" spans="1:251" s="37" customFormat="1">
      <c r="A67" s="45" t="s">
        <v>559</v>
      </c>
      <c r="B67" s="34"/>
      <c r="C67" s="139"/>
      <c r="D67" s="196">
        <v>16197</v>
      </c>
      <c r="E67" s="196">
        <f>E61+E63+E64+E65</f>
        <v>15305</v>
      </c>
      <c r="F67" s="196">
        <f>F61+F63+F64+F65</f>
        <v>15005</v>
      </c>
      <c r="G67" s="196">
        <f t="shared" ref="G67:M67" si="46">G61+G62+G63+G64+G65</f>
        <v>19620</v>
      </c>
      <c r="H67" s="196">
        <f t="shared" si="46"/>
        <v>19478</v>
      </c>
      <c r="I67" s="196">
        <f t="shared" si="46"/>
        <v>25076.7</v>
      </c>
      <c r="J67" s="196">
        <f t="shared" si="46"/>
        <v>30714</v>
      </c>
      <c r="K67" s="196">
        <f t="shared" si="46"/>
        <v>35707</v>
      </c>
      <c r="L67" s="196">
        <f t="shared" si="46"/>
        <v>39619</v>
      </c>
      <c r="M67" s="196">
        <f t="shared" si="46"/>
        <v>12662</v>
      </c>
      <c r="N67" s="196">
        <f>N61+N62+N63+N64+N65</f>
        <v>18554</v>
      </c>
      <c r="O67" s="196">
        <f>O61+O62+O63+O64+O65</f>
        <v>3156</v>
      </c>
      <c r="P67" s="196">
        <f>P61+P62+P63+P64+P65</f>
        <v>2828</v>
      </c>
      <c r="Q67" s="196">
        <f t="shared" ref="Q67:W67" si="47">Q61+Q62+Q63+Q64+Q65+Q66</f>
        <v>4072</v>
      </c>
      <c r="R67" s="196">
        <f t="shared" si="47"/>
        <v>5195</v>
      </c>
      <c r="S67" s="196">
        <f>S61+S62+S63+S64+S65+S66</f>
        <v>3683</v>
      </c>
      <c r="T67" s="196">
        <f t="shared" si="47"/>
        <v>3170</v>
      </c>
      <c r="U67" s="196">
        <f t="shared" si="47"/>
        <v>4118</v>
      </c>
      <c r="V67" s="196">
        <f t="shared" si="47"/>
        <v>3010</v>
      </c>
      <c r="W67" s="196">
        <f t="shared" si="47"/>
        <v>2873</v>
      </c>
      <c r="X67" s="196">
        <f t="shared" ref="X67:AG67" si="48">X61+X62+X63+X64+X65+X66</f>
        <v>12773</v>
      </c>
      <c r="Y67" s="196">
        <f t="shared" si="48"/>
        <v>11398.198583502992</v>
      </c>
      <c r="Z67" s="196">
        <f t="shared" ca="1" si="48"/>
        <v>12362.608317347389</v>
      </c>
      <c r="AA67" s="196">
        <f t="shared" ca="1" si="48"/>
        <v>12337.626814429481</v>
      </c>
      <c r="AB67" s="196">
        <f t="shared" ca="1" si="48"/>
        <v>12454.787165089707</v>
      </c>
      <c r="AC67" s="196">
        <f t="shared" ca="1" si="48"/>
        <v>12648.062031177265</v>
      </c>
      <c r="AD67" s="196">
        <f t="shared" ca="1" si="48"/>
        <v>12954.371211831807</v>
      </c>
      <c r="AE67" s="196">
        <f t="shared" ca="1" si="48"/>
        <v>13375.122320220238</v>
      </c>
      <c r="AF67" s="196">
        <f t="shared" ca="1" si="48"/>
        <v>13912.047867831912</v>
      </c>
      <c r="AG67" s="196">
        <f t="shared" ca="1" si="48"/>
        <v>14567.287826249383</v>
      </c>
      <c r="AH67" s="129"/>
      <c r="AI67" s="129"/>
      <c r="AJ67" s="129"/>
      <c r="AK67" s="129"/>
      <c r="AL67" s="129"/>
      <c r="AM67" s="129"/>
      <c r="AN67" s="129"/>
      <c r="AO67" s="129"/>
      <c r="AP67" s="129"/>
      <c r="AQ67" s="129"/>
      <c r="AR67" s="129"/>
      <c r="AS67" s="129"/>
      <c r="AT67" s="129"/>
      <c r="AU67" s="129"/>
      <c r="AV67" s="129"/>
      <c r="AW67" s="129"/>
      <c r="AX67" s="129"/>
      <c r="AY67" s="129"/>
      <c r="AZ67" s="129"/>
      <c r="BA67" s="129"/>
      <c r="BB67" s="129"/>
      <c r="BC67" s="129"/>
      <c r="BD67" s="129"/>
      <c r="BE67" s="129"/>
      <c r="BF67" s="129"/>
      <c r="BG67" s="129"/>
      <c r="BH67" s="129"/>
      <c r="BI67" s="129"/>
      <c r="BJ67" s="129"/>
      <c r="BK67" s="129"/>
      <c r="BL67" s="129"/>
      <c r="BM67" s="129"/>
      <c r="BN67" s="129"/>
      <c r="BO67" s="129"/>
      <c r="BP67" s="129"/>
      <c r="BQ67" s="129"/>
      <c r="BR67" s="129"/>
      <c r="BS67" s="129"/>
      <c r="BT67" s="129"/>
      <c r="BU67" s="129"/>
      <c r="BV67" s="129"/>
      <c r="BW67" s="129"/>
      <c r="BX67" s="129"/>
      <c r="BY67" s="129"/>
      <c r="BZ67" s="129"/>
      <c r="CA67" s="129"/>
      <c r="CB67" s="129"/>
      <c r="CC67" s="129"/>
      <c r="CD67" s="129"/>
      <c r="CE67" s="129"/>
      <c r="CF67" s="129"/>
      <c r="CG67" s="129"/>
      <c r="CH67" s="129"/>
      <c r="CI67" s="129"/>
      <c r="CJ67" s="129"/>
      <c r="CK67" s="129"/>
      <c r="CL67" s="129"/>
      <c r="CM67" s="129"/>
      <c r="CN67" s="129"/>
      <c r="CO67" s="129"/>
      <c r="CP67" s="129"/>
      <c r="CQ67" s="129"/>
      <c r="CR67" s="129"/>
      <c r="CS67" s="129"/>
      <c r="CT67" s="129"/>
      <c r="CU67" s="129"/>
      <c r="CV67" s="129"/>
      <c r="CW67" s="129"/>
      <c r="CX67" s="129"/>
      <c r="CY67" s="129"/>
      <c r="CZ67" s="129"/>
      <c r="DA67" s="129"/>
      <c r="DB67" s="129"/>
      <c r="DC67" s="129"/>
      <c r="DD67" s="129"/>
      <c r="DE67" s="129"/>
      <c r="DF67" s="129"/>
      <c r="DG67" s="129"/>
      <c r="DH67" s="129"/>
      <c r="DI67" s="129"/>
      <c r="DJ67" s="129"/>
      <c r="DK67" s="129"/>
      <c r="DL67" s="129"/>
      <c r="DM67" s="129"/>
      <c r="DN67" s="129"/>
      <c r="DO67" s="129"/>
      <c r="DP67" s="129"/>
      <c r="DQ67" s="129"/>
      <c r="DR67" s="129"/>
      <c r="DS67" s="129"/>
      <c r="DT67" s="129"/>
      <c r="DU67" s="129"/>
      <c r="DV67" s="129"/>
      <c r="DW67" s="129"/>
      <c r="DX67" s="129"/>
      <c r="DY67" s="129"/>
      <c r="DZ67" s="129"/>
      <c r="EA67" s="129"/>
      <c r="EB67" s="129"/>
      <c r="EC67" s="129"/>
      <c r="ED67" s="129"/>
      <c r="EE67" s="129"/>
      <c r="EF67" s="129"/>
      <c r="EG67" s="129"/>
      <c r="EH67" s="129"/>
      <c r="EI67" s="129"/>
      <c r="EJ67" s="129"/>
      <c r="EK67" s="129"/>
      <c r="EL67" s="129"/>
      <c r="EM67" s="129"/>
      <c r="EN67" s="129"/>
      <c r="EO67" s="129"/>
      <c r="EP67" s="129"/>
      <c r="EQ67" s="129"/>
      <c r="ER67" s="129"/>
      <c r="ES67" s="129"/>
      <c r="ET67" s="129"/>
      <c r="EU67" s="129"/>
      <c r="EV67" s="129"/>
      <c r="EW67" s="129"/>
      <c r="EX67" s="129"/>
      <c r="EY67" s="129"/>
      <c r="EZ67" s="129"/>
      <c r="FA67" s="129"/>
      <c r="FB67" s="129"/>
      <c r="FC67" s="129"/>
      <c r="FD67" s="129"/>
      <c r="FE67" s="129"/>
      <c r="FF67" s="129"/>
      <c r="FG67" s="129"/>
      <c r="FH67" s="129"/>
      <c r="FI67" s="129"/>
      <c r="FJ67" s="129"/>
      <c r="FK67" s="129"/>
      <c r="FL67" s="129"/>
      <c r="FM67" s="129"/>
      <c r="FN67" s="129"/>
      <c r="FO67" s="129"/>
      <c r="FP67" s="129"/>
      <c r="FQ67" s="129"/>
      <c r="FR67" s="129"/>
      <c r="FS67" s="129"/>
      <c r="FT67" s="129"/>
      <c r="FU67" s="129"/>
      <c r="FV67" s="129"/>
      <c r="FW67" s="129"/>
      <c r="FX67" s="129"/>
      <c r="FY67" s="129"/>
      <c r="FZ67" s="129"/>
      <c r="GA67" s="129"/>
      <c r="GB67" s="129"/>
      <c r="GC67" s="129"/>
      <c r="GD67" s="129"/>
      <c r="GE67" s="129"/>
      <c r="GF67" s="129"/>
      <c r="GG67" s="129"/>
      <c r="GH67" s="129"/>
      <c r="GI67" s="129"/>
      <c r="GJ67" s="129"/>
      <c r="GK67" s="129"/>
      <c r="GL67" s="129"/>
      <c r="GM67" s="129"/>
      <c r="GN67" s="129"/>
      <c r="GO67" s="129"/>
      <c r="GP67" s="129"/>
      <c r="GQ67" s="129"/>
      <c r="GR67" s="129"/>
      <c r="GS67" s="129"/>
      <c r="GT67" s="129"/>
      <c r="GU67" s="129"/>
      <c r="GV67" s="129"/>
      <c r="GW67" s="129"/>
      <c r="GX67" s="129"/>
      <c r="GY67" s="129"/>
      <c r="GZ67" s="129"/>
      <c r="HA67" s="129"/>
      <c r="HB67" s="129"/>
      <c r="HC67" s="129"/>
      <c r="HD67" s="129"/>
      <c r="HE67" s="129"/>
      <c r="HF67" s="129"/>
      <c r="HG67" s="129"/>
      <c r="HH67" s="129"/>
      <c r="HI67" s="129"/>
      <c r="HJ67" s="129"/>
      <c r="HK67" s="129"/>
      <c r="HL67" s="129"/>
      <c r="HM67" s="129"/>
      <c r="HN67" s="129"/>
      <c r="HO67" s="129"/>
      <c r="HP67" s="129"/>
      <c r="HQ67" s="129"/>
      <c r="HR67"/>
      <c r="HS67"/>
      <c r="HT67"/>
      <c r="HU67"/>
      <c r="HV67"/>
      <c r="HW67"/>
      <c r="HX67"/>
      <c r="HY67"/>
      <c r="HZ67"/>
      <c r="IA67"/>
      <c r="IB67"/>
      <c r="IC67"/>
      <c r="ID67"/>
      <c r="IE67"/>
      <c r="IF67"/>
      <c r="IG67"/>
      <c r="IH67"/>
      <c r="II67"/>
      <c r="IJ67"/>
      <c r="IK67" s="34"/>
      <c r="IL67" s="34"/>
      <c r="IM67" s="34"/>
      <c r="IN67" s="34"/>
      <c r="IO67" s="34"/>
      <c r="IP67" s="34"/>
      <c r="IQ67" s="34"/>
    </row>
    <row r="68" spans="1:251" s="33" customFormat="1">
      <c r="A68" s="45"/>
      <c r="B68" s="32"/>
      <c r="C68" s="68"/>
      <c r="D68" s="156"/>
      <c r="E68" s="156"/>
      <c r="F68" s="156"/>
      <c r="G68" s="156"/>
      <c r="H68" s="156"/>
      <c r="I68" s="156"/>
      <c r="J68" s="156"/>
      <c r="K68" s="156"/>
      <c r="L68" s="156"/>
      <c r="M68" s="156"/>
      <c r="N68" s="156"/>
      <c r="O68" s="156"/>
      <c r="P68" s="156"/>
      <c r="Q68" s="156"/>
      <c r="R68" s="156"/>
      <c r="S68" s="156"/>
      <c r="T68" s="156"/>
      <c r="U68" s="156"/>
      <c r="V68" s="156"/>
      <c r="W68" s="156"/>
      <c r="X68" s="156"/>
      <c r="Y68" s="156"/>
      <c r="Z68" s="156"/>
      <c r="AA68" s="156"/>
      <c r="AB68" s="156"/>
      <c r="AC68" s="156"/>
      <c r="AD68" s="156"/>
      <c r="AE68" s="156"/>
      <c r="AF68" s="156"/>
      <c r="AG68" s="156"/>
      <c r="AH68" s="43"/>
      <c r="AI68" s="43"/>
      <c r="AJ68" s="43"/>
      <c r="AK68" s="43"/>
      <c r="AL68" s="43"/>
      <c r="AM68" s="43"/>
      <c r="AN68" s="43"/>
      <c r="AO68" s="43"/>
      <c r="AP68" s="43"/>
      <c r="AQ68" s="43"/>
      <c r="AR68" s="43"/>
      <c r="AS68" s="43"/>
      <c r="AT68" s="43"/>
      <c r="AU68" s="43"/>
      <c r="AV68" s="43"/>
      <c r="AW68" s="43"/>
      <c r="AX68" s="43"/>
      <c r="AY68" s="43"/>
      <c r="AZ68" s="43"/>
      <c r="BA68" s="43"/>
      <c r="BB68" s="43"/>
      <c r="BC68" s="43"/>
      <c r="BD68" s="43"/>
      <c r="BE68" s="43"/>
      <c r="BF68" s="43"/>
      <c r="BG68" s="43"/>
      <c r="BH68" s="43"/>
      <c r="BI68" s="43"/>
      <c r="BJ68" s="43"/>
      <c r="BK68" s="43"/>
      <c r="BL68" s="43"/>
      <c r="BM68" s="43"/>
      <c r="BN68" s="43"/>
      <c r="BO68" s="43"/>
      <c r="BP68" s="43"/>
      <c r="BQ68" s="43"/>
      <c r="BR68" s="43"/>
      <c r="BS68" s="43"/>
      <c r="BT68" s="43"/>
      <c r="BU68" s="43"/>
      <c r="BV68" s="43"/>
      <c r="BW68" s="43"/>
      <c r="BX68" s="43"/>
      <c r="BY68" s="43"/>
      <c r="BZ68" s="43"/>
      <c r="CA68" s="43"/>
      <c r="CB68" s="43"/>
      <c r="CC68" s="43"/>
      <c r="CD68" s="43"/>
      <c r="CE68" s="43"/>
      <c r="CF68" s="43"/>
      <c r="CG68" s="43"/>
      <c r="CH68" s="43"/>
      <c r="CI68" s="43"/>
      <c r="CJ68" s="43"/>
      <c r="CK68" s="43"/>
      <c r="CL68" s="43"/>
      <c r="CM68" s="43"/>
      <c r="CN68" s="43"/>
      <c r="CO68" s="43"/>
      <c r="CP68" s="43"/>
      <c r="CQ68" s="43"/>
      <c r="CR68" s="43"/>
      <c r="CS68" s="43"/>
      <c r="CT68" s="43"/>
      <c r="CU68" s="43"/>
      <c r="CV68" s="43"/>
      <c r="CW68" s="43"/>
      <c r="CX68" s="43"/>
      <c r="CY68" s="43"/>
      <c r="CZ68" s="43"/>
      <c r="DA68" s="43"/>
      <c r="DB68" s="43"/>
      <c r="DC68" s="43"/>
      <c r="DD68" s="43"/>
      <c r="DE68" s="43"/>
      <c r="DF68" s="43"/>
      <c r="DG68" s="43"/>
      <c r="DH68" s="43"/>
      <c r="DI68" s="43"/>
      <c r="DJ68" s="43"/>
      <c r="DK68" s="43"/>
      <c r="DL68" s="43"/>
      <c r="DM68" s="43"/>
      <c r="DN68" s="43"/>
      <c r="DO68" s="43"/>
      <c r="DP68" s="43"/>
      <c r="DQ68" s="43"/>
      <c r="DR68" s="43"/>
      <c r="DS68" s="43"/>
      <c r="DT68" s="43"/>
      <c r="DU68" s="43"/>
      <c r="DV68" s="43"/>
      <c r="DW68" s="43"/>
      <c r="DX68" s="43"/>
      <c r="DY68" s="43"/>
      <c r="DZ68" s="43"/>
      <c r="EA68" s="43"/>
      <c r="EB68" s="43"/>
      <c r="EC68" s="43"/>
      <c r="ED68" s="43"/>
      <c r="EE68" s="43"/>
      <c r="EF68" s="43"/>
      <c r="EG68" s="43"/>
      <c r="EH68" s="43"/>
      <c r="EI68" s="43"/>
      <c r="EJ68" s="43"/>
      <c r="EK68" s="43"/>
      <c r="EL68" s="43"/>
      <c r="EM68" s="43"/>
      <c r="EN68" s="43"/>
      <c r="EO68" s="43"/>
      <c r="EP68" s="43"/>
      <c r="EQ68" s="43"/>
      <c r="ER68" s="43"/>
      <c r="ES68" s="43"/>
      <c r="ET68" s="43"/>
      <c r="EU68" s="43"/>
      <c r="EV68" s="43"/>
      <c r="EW68" s="43"/>
      <c r="EX68" s="43"/>
      <c r="EY68" s="43"/>
      <c r="EZ68" s="43"/>
      <c r="FA68" s="43"/>
      <c r="FB68" s="43"/>
      <c r="FC68" s="43"/>
      <c r="FD68" s="43"/>
      <c r="FE68" s="43"/>
      <c r="FF68" s="43"/>
      <c r="FG68" s="43"/>
      <c r="FH68" s="43"/>
      <c r="FI68" s="43"/>
      <c r="FJ68" s="43"/>
      <c r="FK68" s="43"/>
      <c r="FL68" s="43"/>
      <c r="FM68" s="43"/>
      <c r="FN68" s="43"/>
      <c r="FO68" s="43"/>
      <c r="FP68" s="43"/>
      <c r="FQ68" s="43"/>
      <c r="FR68" s="43"/>
      <c r="FS68" s="43"/>
      <c r="FT68" s="43"/>
      <c r="FU68" s="43"/>
      <c r="FV68" s="43"/>
      <c r="FW68" s="43"/>
      <c r="FX68" s="43"/>
      <c r="FY68" s="43"/>
      <c r="FZ68" s="43"/>
      <c r="GA68" s="43"/>
      <c r="GB68" s="43"/>
      <c r="GC68" s="43"/>
      <c r="GD68" s="43"/>
      <c r="GE68" s="43"/>
      <c r="GF68" s="43"/>
      <c r="GG68" s="43"/>
      <c r="GH68" s="43"/>
      <c r="GI68" s="43"/>
      <c r="GJ68" s="43"/>
      <c r="GK68" s="43"/>
      <c r="GL68" s="43"/>
      <c r="GM68" s="43"/>
      <c r="GN68" s="43"/>
      <c r="GO68" s="43"/>
      <c r="GP68" s="43"/>
      <c r="GQ68" s="43"/>
      <c r="GR68" s="43"/>
      <c r="GS68" s="43"/>
      <c r="GT68" s="43"/>
      <c r="GU68" s="43"/>
      <c r="GV68" s="43"/>
      <c r="GW68" s="43"/>
      <c r="GX68" s="43"/>
      <c r="GY68" s="43"/>
      <c r="GZ68" s="43"/>
      <c r="HA68" s="43"/>
      <c r="HB68" s="43"/>
      <c r="HC68" s="43"/>
      <c r="HD68" s="43"/>
      <c r="HE68" s="43"/>
      <c r="HF68" s="43"/>
      <c r="HG68" s="43"/>
      <c r="HH68" s="43"/>
      <c r="HI68" s="43"/>
      <c r="HJ68" s="43"/>
      <c r="HK68" s="43"/>
      <c r="HL68" s="43"/>
      <c r="HM68" s="43"/>
      <c r="HN68" s="43"/>
      <c r="HO68" s="43"/>
      <c r="HP68" s="43"/>
      <c r="HQ68" s="43"/>
      <c r="HR68"/>
      <c r="HS68"/>
      <c r="HT68"/>
      <c r="HU68"/>
      <c r="HV68"/>
      <c r="HW68"/>
      <c r="HX68"/>
      <c r="HY68"/>
      <c r="HZ68"/>
      <c r="IA68"/>
      <c r="IB68"/>
      <c r="IC68"/>
      <c r="ID68"/>
      <c r="IE68"/>
      <c r="IF68"/>
      <c r="IG68"/>
      <c r="IH68"/>
      <c r="II68"/>
      <c r="IJ68"/>
      <c r="IK68" s="32"/>
      <c r="IL68" s="32"/>
      <c r="IM68" s="32"/>
      <c r="IN68" s="32"/>
      <c r="IO68" s="32"/>
      <c r="IP68" s="32"/>
      <c r="IQ68" s="32"/>
    </row>
    <row r="69" spans="1:251" s="37" customFormat="1">
      <c r="A69" s="45" t="s">
        <v>122</v>
      </c>
      <c r="B69" s="34"/>
      <c r="C69" s="139"/>
      <c r="D69" s="196">
        <f>D58+D67+D60</f>
        <v>59920</v>
      </c>
      <c r="E69" s="196">
        <f t="shared" ref="E69:AB69" si="49">E58+E67+E60</f>
        <v>61381</v>
      </c>
      <c r="F69" s="196">
        <f t="shared" si="49"/>
        <v>79067</v>
      </c>
      <c r="G69" s="196">
        <f t="shared" si="49"/>
        <v>84968</v>
      </c>
      <c r="H69" s="196">
        <f t="shared" si="49"/>
        <v>87540</v>
      </c>
      <c r="I69" s="196">
        <f t="shared" si="49"/>
        <v>96174.7</v>
      </c>
      <c r="J69" s="196">
        <f t="shared" si="49"/>
        <v>101648</v>
      </c>
      <c r="K69" s="196">
        <f t="shared" si="49"/>
        <v>107949</v>
      </c>
      <c r="L69" s="196">
        <f t="shared" si="49"/>
        <v>104270</v>
      </c>
      <c r="M69" s="196">
        <f t="shared" si="49"/>
        <v>47818</v>
      </c>
      <c r="N69" s="196">
        <f t="shared" si="49"/>
        <v>57211</v>
      </c>
      <c r="O69" s="196">
        <f t="shared" si="49"/>
        <v>25475</v>
      </c>
      <c r="P69" s="196">
        <f t="shared" si="49"/>
        <v>27215</v>
      </c>
      <c r="Q69" s="196">
        <f t="shared" si="49"/>
        <v>36677</v>
      </c>
      <c r="R69" s="196">
        <f t="shared" si="49"/>
        <v>37402</v>
      </c>
      <c r="S69" s="196">
        <f t="shared" si="49"/>
        <v>36962</v>
      </c>
      <c r="T69" s="196">
        <f t="shared" si="49"/>
        <v>35329</v>
      </c>
      <c r="U69" s="196">
        <f t="shared" si="49"/>
        <v>34859</v>
      </c>
      <c r="V69" s="196">
        <f t="shared" si="49"/>
        <v>34475</v>
      </c>
      <c r="W69" s="196">
        <f>W58+W67+W60</f>
        <v>32535</v>
      </c>
      <c r="X69" s="196">
        <f t="shared" si="49"/>
        <v>45932</v>
      </c>
      <c r="Y69" s="196">
        <f t="shared" si="49"/>
        <v>43397.899295789946</v>
      </c>
      <c r="Z69" s="196">
        <f t="shared" ca="1" si="49"/>
        <v>43318.626884943646</v>
      </c>
      <c r="AA69" s="196">
        <f t="shared" ca="1" si="49"/>
        <v>42238.498042915875</v>
      </c>
      <c r="AB69" s="196">
        <f t="shared" ca="1" si="49"/>
        <v>42305.469529713628</v>
      </c>
      <c r="AC69" s="196">
        <f ca="1">AC58+AC67+AC60</f>
        <v>42403.514809600594</v>
      </c>
      <c r="AD69" s="196">
        <f ca="1">AD58+AD67+AD60</f>
        <v>42617.13516501322</v>
      </c>
      <c r="AE69" s="196">
        <f ca="1">AE58+AE67+AE60</f>
        <v>42947.637815769303</v>
      </c>
      <c r="AF69" s="196">
        <f ca="1">AF58+AF67+AF60</f>
        <v>43396.661534077968</v>
      </c>
      <c r="AG69" s="196">
        <f ca="1">AG58+AG67+AG60</f>
        <v>43966.258687309979</v>
      </c>
      <c r="AH69" s="129"/>
      <c r="AI69" s="129"/>
      <c r="AJ69" s="129"/>
      <c r="AK69" s="129"/>
      <c r="AL69" s="129"/>
      <c r="AM69" s="129"/>
      <c r="AN69" s="129"/>
      <c r="AO69" s="129"/>
      <c r="AP69" s="129"/>
      <c r="AQ69" s="129"/>
      <c r="AR69" s="129"/>
      <c r="AS69" s="129"/>
      <c r="AT69" s="129"/>
      <c r="AU69" s="129"/>
      <c r="AV69" s="129"/>
      <c r="AW69" s="129"/>
      <c r="AX69" s="129"/>
      <c r="AY69" s="129"/>
      <c r="AZ69" s="129"/>
      <c r="BA69" s="129"/>
      <c r="BB69" s="129"/>
      <c r="BC69" s="129"/>
      <c r="BD69" s="129"/>
      <c r="BE69" s="129"/>
      <c r="BF69" s="129"/>
      <c r="BG69" s="129"/>
      <c r="BH69" s="129"/>
      <c r="BI69" s="129"/>
      <c r="BJ69" s="129"/>
      <c r="BK69" s="129"/>
      <c r="BL69" s="129"/>
      <c r="BM69" s="129"/>
      <c r="BN69" s="129"/>
      <c r="BO69" s="129"/>
      <c r="BP69" s="129"/>
      <c r="BQ69" s="129"/>
      <c r="BR69" s="129"/>
      <c r="BS69" s="129"/>
      <c r="BT69" s="129"/>
      <c r="BU69" s="129"/>
      <c r="BV69" s="129"/>
      <c r="BW69" s="129"/>
      <c r="BX69" s="129"/>
      <c r="BY69" s="129"/>
      <c r="BZ69" s="129"/>
      <c r="CA69" s="129"/>
      <c r="CB69" s="129"/>
      <c r="CC69" s="129"/>
      <c r="CD69" s="129"/>
      <c r="CE69" s="129"/>
      <c r="CF69" s="129"/>
      <c r="CG69" s="129"/>
      <c r="CH69" s="129"/>
      <c r="CI69" s="129"/>
      <c r="CJ69" s="129"/>
      <c r="CK69" s="129"/>
      <c r="CL69" s="129"/>
      <c r="CM69" s="129"/>
      <c r="CN69" s="129"/>
      <c r="CO69" s="129"/>
      <c r="CP69" s="129"/>
      <c r="CQ69" s="129"/>
      <c r="CR69" s="129"/>
      <c r="CS69" s="129"/>
      <c r="CT69" s="129"/>
      <c r="CU69" s="129"/>
      <c r="CV69" s="129"/>
      <c r="CW69" s="129"/>
      <c r="CX69" s="129"/>
      <c r="CY69" s="129"/>
      <c r="CZ69" s="129"/>
      <c r="DA69" s="129"/>
      <c r="DB69" s="129"/>
      <c r="DC69" s="129"/>
      <c r="DD69" s="129"/>
      <c r="DE69" s="129"/>
      <c r="DF69" s="129"/>
      <c r="DG69" s="129"/>
      <c r="DH69" s="129"/>
      <c r="DI69" s="129"/>
      <c r="DJ69" s="129"/>
      <c r="DK69" s="129"/>
      <c r="DL69" s="129"/>
      <c r="DM69" s="129"/>
      <c r="DN69" s="129"/>
      <c r="DO69" s="129"/>
      <c r="DP69" s="129"/>
      <c r="DQ69" s="129"/>
      <c r="DR69" s="129"/>
      <c r="DS69" s="129"/>
      <c r="DT69" s="129"/>
      <c r="DU69" s="129"/>
      <c r="DV69" s="129"/>
      <c r="DW69" s="129"/>
      <c r="DX69" s="129"/>
      <c r="DY69" s="129"/>
      <c r="DZ69" s="129"/>
      <c r="EA69" s="129"/>
      <c r="EB69" s="129"/>
      <c r="EC69" s="129"/>
      <c r="ED69" s="129"/>
      <c r="EE69" s="129"/>
      <c r="EF69" s="129"/>
      <c r="EG69" s="129"/>
      <c r="EH69" s="129"/>
      <c r="EI69" s="129"/>
      <c r="EJ69" s="129"/>
      <c r="EK69" s="129"/>
      <c r="EL69" s="129"/>
      <c r="EM69" s="129"/>
      <c r="EN69" s="129"/>
      <c r="EO69" s="129"/>
      <c r="EP69" s="129"/>
      <c r="EQ69" s="129"/>
      <c r="ER69" s="129"/>
      <c r="ES69" s="129"/>
      <c r="ET69" s="129"/>
      <c r="EU69" s="129"/>
      <c r="EV69" s="129"/>
      <c r="EW69" s="129"/>
      <c r="EX69" s="129"/>
      <c r="EY69" s="129"/>
      <c r="EZ69" s="129"/>
      <c r="FA69" s="129"/>
      <c r="FB69" s="129"/>
      <c r="FC69" s="129"/>
      <c r="FD69" s="129"/>
      <c r="FE69" s="129"/>
      <c r="FF69" s="129"/>
      <c r="FG69" s="129"/>
      <c r="FH69" s="129"/>
      <c r="FI69" s="129"/>
      <c r="FJ69" s="129"/>
      <c r="FK69" s="129"/>
      <c r="FL69" s="129"/>
      <c r="FM69" s="129"/>
      <c r="FN69" s="129"/>
      <c r="FO69" s="129"/>
      <c r="FP69" s="129"/>
      <c r="FQ69" s="129"/>
      <c r="FR69" s="129"/>
      <c r="FS69" s="129"/>
      <c r="FT69" s="129"/>
      <c r="FU69" s="129"/>
      <c r="FV69" s="129"/>
      <c r="FW69" s="129"/>
      <c r="FX69" s="129"/>
      <c r="FY69" s="129"/>
      <c r="FZ69" s="129"/>
      <c r="GA69" s="129"/>
      <c r="GB69" s="129"/>
      <c r="GC69" s="129"/>
      <c r="GD69" s="129"/>
      <c r="GE69" s="129"/>
      <c r="GF69" s="129"/>
      <c r="GG69" s="129"/>
      <c r="GH69" s="129"/>
      <c r="GI69" s="129"/>
      <c r="GJ69" s="129"/>
      <c r="GK69" s="129"/>
      <c r="GL69" s="129"/>
      <c r="GM69" s="129"/>
      <c r="GN69" s="129"/>
      <c r="GO69" s="129"/>
      <c r="GP69" s="129"/>
      <c r="GQ69" s="129"/>
      <c r="GR69" s="129"/>
      <c r="GS69" s="129"/>
      <c r="GT69" s="129"/>
      <c r="GU69" s="129"/>
      <c r="GV69" s="129"/>
      <c r="GW69" s="129"/>
      <c r="GX69" s="129"/>
      <c r="GY69" s="129"/>
      <c r="GZ69" s="129"/>
      <c r="HA69" s="129"/>
      <c r="HB69" s="129"/>
      <c r="HC69" s="129"/>
      <c r="HD69" s="129"/>
      <c r="HE69" s="129"/>
      <c r="HF69" s="129"/>
      <c r="HG69" s="129"/>
      <c r="HH69" s="129"/>
      <c r="HI69" s="129"/>
      <c r="HJ69" s="129"/>
      <c r="HK69" s="129"/>
      <c r="HL69" s="129"/>
      <c r="HM69" s="129"/>
      <c r="HN69" s="129"/>
      <c r="HO69" s="129"/>
      <c r="HP69" s="129"/>
      <c r="HQ69" s="129"/>
      <c r="HR69"/>
      <c r="HS69"/>
      <c r="HT69"/>
      <c r="HU69"/>
      <c r="HV69"/>
      <c r="HW69"/>
      <c r="HX69"/>
      <c r="HY69"/>
      <c r="HZ69"/>
      <c r="IA69"/>
      <c r="IB69"/>
      <c r="IC69"/>
      <c r="ID69"/>
      <c r="IE69"/>
      <c r="IF69"/>
      <c r="IG69"/>
      <c r="IH69"/>
      <c r="II69"/>
      <c r="IJ69"/>
      <c r="IK69" s="34"/>
      <c r="IL69" s="34"/>
      <c r="IM69" s="34"/>
      <c r="IN69" s="34"/>
      <c r="IO69" s="34"/>
      <c r="IP69" s="34"/>
      <c r="IQ69" s="34"/>
    </row>
    <row r="70" spans="1:251" s="37" customFormat="1">
      <c r="A70" s="45"/>
      <c r="B70" s="34"/>
      <c r="C70" s="139"/>
      <c r="D70" s="196"/>
      <c r="E70" s="196"/>
      <c r="F70" s="196"/>
      <c r="G70" s="196"/>
      <c r="H70" s="196"/>
      <c r="I70" s="196"/>
      <c r="J70" s="196"/>
      <c r="K70" s="196"/>
      <c r="L70" s="196"/>
      <c r="M70" s="196"/>
      <c r="N70" s="196"/>
      <c r="O70" s="196"/>
      <c r="P70" s="196"/>
      <c r="Q70" s="196"/>
      <c r="R70" s="196"/>
      <c r="S70" s="196"/>
      <c r="T70" s="196"/>
      <c r="U70" s="358"/>
      <c r="V70" s="210"/>
      <c r="W70" s="210"/>
      <c r="X70" s="210"/>
      <c r="Y70" s="210"/>
      <c r="Z70" s="196"/>
      <c r="AA70" s="196"/>
      <c r="AB70" s="196"/>
      <c r="AC70" s="196"/>
      <c r="AD70" s="196"/>
      <c r="AE70" s="196"/>
      <c r="AF70" s="196"/>
      <c r="AG70" s="196"/>
      <c r="AH70" s="129"/>
      <c r="AI70" s="129"/>
      <c r="AJ70" s="129"/>
      <c r="AK70" s="129"/>
      <c r="AL70" s="129"/>
      <c r="AM70" s="129"/>
      <c r="AN70" s="129"/>
      <c r="AO70" s="129"/>
      <c r="AP70" s="129"/>
      <c r="AQ70" s="129"/>
      <c r="AR70" s="129"/>
      <c r="AS70" s="129"/>
      <c r="AT70" s="129"/>
      <c r="AU70" s="129"/>
      <c r="AV70" s="129"/>
      <c r="AW70" s="129"/>
      <c r="AX70" s="129"/>
      <c r="AY70" s="129"/>
      <c r="AZ70" s="129"/>
      <c r="BA70" s="129"/>
      <c r="BB70" s="129"/>
      <c r="BC70" s="129"/>
      <c r="BD70" s="129"/>
      <c r="BE70" s="129"/>
      <c r="BF70" s="129"/>
      <c r="BG70" s="129"/>
      <c r="BH70" s="129"/>
      <c r="BI70" s="129"/>
      <c r="BJ70" s="129"/>
      <c r="BK70" s="129"/>
      <c r="BL70" s="129"/>
      <c r="BM70" s="129"/>
      <c r="BN70" s="129"/>
      <c r="BO70" s="129"/>
      <c r="BP70" s="129"/>
      <c r="BQ70" s="129"/>
      <c r="BR70" s="129"/>
      <c r="BS70" s="129"/>
      <c r="BT70" s="129"/>
      <c r="BU70" s="129"/>
      <c r="BV70" s="129"/>
      <c r="BW70" s="129"/>
      <c r="BX70" s="129"/>
      <c r="BY70" s="129"/>
      <c r="BZ70" s="129"/>
      <c r="CA70" s="129"/>
      <c r="CB70" s="129"/>
      <c r="CC70" s="129"/>
      <c r="CD70" s="129"/>
      <c r="CE70" s="129"/>
      <c r="CF70" s="129"/>
      <c r="CG70" s="129"/>
      <c r="CH70" s="129"/>
      <c r="CI70" s="129"/>
      <c r="CJ70" s="129"/>
      <c r="CK70" s="129"/>
      <c r="CL70" s="129"/>
      <c r="CM70" s="129"/>
      <c r="CN70" s="129"/>
      <c r="CO70" s="129"/>
      <c r="CP70" s="129"/>
      <c r="CQ70" s="129"/>
      <c r="CR70" s="129"/>
      <c r="CS70" s="129"/>
      <c r="CT70" s="129"/>
      <c r="CU70" s="129"/>
      <c r="CV70" s="129"/>
      <c r="CW70" s="129"/>
      <c r="CX70" s="129"/>
      <c r="CY70" s="129"/>
      <c r="CZ70" s="129"/>
      <c r="DA70" s="129"/>
      <c r="DB70" s="129"/>
      <c r="DC70" s="129"/>
      <c r="DD70" s="129"/>
      <c r="DE70" s="129"/>
      <c r="DF70" s="129"/>
      <c r="DG70" s="129"/>
      <c r="DH70" s="129"/>
      <c r="DI70" s="129"/>
      <c r="DJ70" s="129"/>
      <c r="DK70" s="129"/>
      <c r="DL70" s="129"/>
      <c r="DM70" s="129"/>
      <c r="DN70" s="129"/>
      <c r="DO70" s="129"/>
      <c r="DP70" s="129"/>
      <c r="DQ70" s="129"/>
      <c r="DR70" s="129"/>
      <c r="DS70" s="129"/>
      <c r="DT70" s="129"/>
      <c r="DU70" s="129"/>
      <c r="DV70" s="129"/>
      <c r="DW70" s="129"/>
      <c r="DX70" s="129"/>
      <c r="DY70" s="129"/>
      <c r="DZ70" s="129"/>
      <c r="EA70" s="129"/>
      <c r="EB70" s="129"/>
      <c r="EC70" s="129"/>
      <c r="ED70" s="129"/>
      <c r="EE70" s="129"/>
      <c r="EF70" s="129"/>
      <c r="EG70" s="129"/>
      <c r="EH70" s="129"/>
      <c r="EI70" s="129"/>
      <c r="EJ70" s="129"/>
      <c r="EK70" s="129"/>
      <c r="EL70" s="129"/>
      <c r="EM70" s="129"/>
      <c r="EN70" s="129"/>
      <c r="EO70" s="129"/>
      <c r="EP70" s="129"/>
      <c r="EQ70" s="129"/>
      <c r="ER70" s="129"/>
      <c r="ES70" s="129"/>
      <c r="ET70" s="129"/>
      <c r="EU70" s="129"/>
      <c r="EV70" s="129"/>
      <c r="EW70" s="129"/>
      <c r="EX70" s="129"/>
      <c r="EY70" s="129"/>
      <c r="EZ70" s="129"/>
      <c r="FA70" s="129"/>
      <c r="FB70" s="129"/>
      <c r="FC70" s="129"/>
      <c r="FD70" s="129"/>
      <c r="FE70" s="129"/>
      <c r="FF70" s="129"/>
      <c r="FG70" s="129"/>
      <c r="FH70" s="129"/>
      <c r="FI70" s="129"/>
      <c r="FJ70" s="129"/>
      <c r="FK70" s="129"/>
      <c r="FL70" s="129"/>
      <c r="FM70" s="129"/>
      <c r="FN70" s="129"/>
      <c r="FO70" s="129"/>
      <c r="FP70" s="129"/>
      <c r="FQ70" s="129"/>
      <c r="FR70" s="129"/>
      <c r="FS70" s="129"/>
      <c r="FT70" s="129"/>
      <c r="FU70" s="129"/>
      <c r="FV70" s="129"/>
      <c r="FW70" s="129"/>
      <c r="FX70" s="129"/>
      <c r="FY70" s="129"/>
      <c r="FZ70" s="129"/>
      <c r="GA70" s="129"/>
      <c r="GB70" s="129"/>
      <c r="GC70" s="129"/>
      <c r="GD70" s="129"/>
      <c r="GE70" s="129"/>
      <c r="GF70" s="129"/>
      <c r="GG70" s="129"/>
      <c r="GH70" s="129"/>
      <c r="GI70" s="129"/>
      <c r="GJ70" s="129"/>
      <c r="GK70" s="129"/>
      <c r="GL70" s="129"/>
      <c r="GM70" s="129"/>
      <c r="GN70" s="129"/>
      <c r="GO70" s="129"/>
      <c r="GP70" s="129"/>
      <c r="GQ70" s="129"/>
      <c r="GR70" s="129"/>
      <c r="GS70" s="129"/>
      <c r="GT70" s="129"/>
      <c r="GU70" s="129"/>
      <c r="GV70" s="129"/>
      <c r="GW70" s="129"/>
      <c r="GX70" s="129"/>
      <c r="GY70" s="129"/>
      <c r="GZ70" s="129"/>
      <c r="HA70" s="129"/>
      <c r="HB70" s="129"/>
      <c r="HC70" s="129"/>
      <c r="HD70" s="129"/>
      <c r="HE70" s="129"/>
      <c r="HF70" s="129"/>
      <c r="HG70" s="129"/>
      <c r="HH70" s="129"/>
      <c r="HI70" s="129"/>
      <c r="HJ70" s="129"/>
      <c r="HK70" s="129"/>
      <c r="HL70" s="129"/>
      <c r="HM70" s="129"/>
      <c r="HN70" s="129"/>
      <c r="HO70" s="129"/>
      <c r="HP70" s="129"/>
      <c r="HQ70" s="129"/>
      <c r="HR70"/>
      <c r="HS70"/>
      <c r="HT70"/>
      <c r="HU70"/>
      <c r="HV70"/>
      <c r="HW70"/>
      <c r="HX70"/>
      <c r="HY70"/>
      <c r="HZ70"/>
      <c r="IA70"/>
      <c r="IB70"/>
      <c r="IC70"/>
      <c r="ID70"/>
      <c r="IE70"/>
      <c r="IF70"/>
      <c r="IG70"/>
      <c r="IH70"/>
      <c r="II70"/>
      <c r="IJ70"/>
      <c r="IK70" s="34"/>
      <c r="IL70" s="34"/>
      <c r="IM70" s="34"/>
      <c r="IN70" s="34"/>
      <c r="IO70" s="34"/>
      <c r="IP70" s="34"/>
      <c r="IQ70" s="34"/>
    </row>
    <row r="71" spans="1:251" s="33" customFormat="1" hidden="1" outlineLevel="1">
      <c r="A71" s="179" t="s">
        <v>91</v>
      </c>
      <c r="B71" s="180"/>
      <c r="C71" s="180"/>
      <c r="D71" s="255">
        <f>+D32-D69</f>
        <v>0</v>
      </c>
      <c r="E71" s="255">
        <f t="shared" ref="E71:AB71" si="50">+E32-E69</f>
        <v>0</v>
      </c>
      <c r="F71" s="255">
        <f t="shared" si="50"/>
        <v>0</v>
      </c>
      <c r="G71" s="255">
        <f t="shared" si="50"/>
        <v>0</v>
      </c>
      <c r="H71" s="255">
        <f t="shared" si="50"/>
        <v>0</v>
      </c>
      <c r="I71" s="255">
        <f t="shared" si="50"/>
        <v>0.30000000000291038</v>
      </c>
      <c r="J71" s="255">
        <f t="shared" si="50"/>
        <v>-718.91404578035872</v>
      </c>
      <c r="K71" s="255">
        <f t="shared" si="50"/>
        <v>-718.91404578035872</v>
      </c>
      <c r="L71" s="255">
        <f t="shared" si="50"/>
        <v>-718.91404578035872</v>
      </c>
      <c r="M71" s="255">
        <f t="shared" si="50"/>
        <v>0</v>
      </c>
      <c r="N71" s="255">
        <f t="shared" si="50"/>
        <v>0</v>
      </c>
      <c r="O71" s="255">
        <f t="shared" si="50"/>
        <v>0</v>
      </c>
      <c r="P71" s="255">
        <f t="shared" si="50"/>
        <v>0</v>
      </c>
      <c r="Q71" s="255">
        <f t="shared" si="50"/>
        <v>0</v>
      </c>
      <c r="R71" s="255">
        <f t="shared" si="50"/>
        <v>0</v>
      </c>
      <c r="S71" s="255">
        <f t="shared" si="50"/>
        <v>0</v>
      </c>
      <c r="T71" s="255">
        <f t="shared" si="50"/>
        <v>0</v>
      </c>
      <c r="U71" s="255">
        <f t="shared" si="50"/>
        <v>0</v>
      </c>
      <c r="V71" s="255">
        <f t="shared" si="50"/>
        <v>0</v>
      </c>
      <c r="W71" s="255">
        <f>+W32-W69</f>
        <v>0</v>
      </c>
      <c r="X71" s="255">
        <f>+X32-X69</f>
        <v>0</v>
      </c>
      <c r="Y71" s="255">
        <f t="shared" si="50"/>
        <v>0</v>
      </c>
      <c r="Z71" s="255">
        <f t="shared" ca="1" si="50"/>
        <v>0</v>
      </c>
      <c r="AA71" s="255">
        <f t="shared" ca="1" si="50"/>
        <v>0</v>
      </c>
      <c r="AB71" s="255">
        <f t="shared" ca="1" si="50"/>
        <v>0</v>
      </c>
      <c r="AC71" s="255">
        <f ca="1">+AC32-AC69</f>
        <v>0</v>
      </c>
      <c r="AD71" s="255">
        <f ca="1">+AD32-AD69</f>
        <v>0</v>
      </c>
      <c r="AE71" s="255">
        <f ca="1">+AE32-AE69</f>
        <v>0</v>
      </c>
      <c r="AF71" s="255">
        <f ca="1">+AF32-AF69</f>
        <v>0</v>
      </c>
      <c r="AG71" s="255">
        <f ca="1">+AG32-AG69</f>
        <v>0</v>
      </c>
      <c r="AH71" s="43"/>
      <c r="AI71" s="43"/>
      <c r="AJ71" s="43"/>
      <c r="AK71" s="43"/>
      <c r="AL71" s="43"/>
      <c r="AM71" s="43"/>
      <c r="AN71" s="43"/>
      <c r="AO71" s="43"/>
      <c r="AP71" s="43"/>
      <c r="AQ71" s="43"/>
      <c r="AR71" s="43"/>
      <c r="AS71" s="43"/>
      <c r="AT71" s="43"/>
      <c r="AU71" s="43"/>
      <c r="AV71" s="43"/>
      <c r="AW71" s="43"/>
      <c r="AX71" s="43"/>
      <c r="AY71" s="43"/>
      <c r="AZ71" s="43"/>
      <c r="BA71" s="43"/>
      <c r="BB71" s="43"/>
      <c r="BC71" s="43"/>
      <c r="BD71" s="43"/>
      <c r="BE71" s="43"/>
      <c r="BF71" s="43"/>
      <c r="BG71" s="43"/>
      <c r="BH71" s="43"/>
      <c r="BI71" s="43"/>
      <c r="BJ71" s="43"/>
      <c r="BK71" s="43"/>
      <c r="BL71" s="43"/>
      <c r="BM71" s="43"/>
      <c r="BN71" s="43"/>
      <c r="BO71" s="43"/>
      <c r="BP71" s="43"/>
      <c r="BQ71" s="43"/>
      <c r="BR71" s="43"/>
      <c r="BS71" s="43"/>
      <c r="BT71" s="43"/>
      <c r="BU71" s="43"/>
      <c r="BV71" s="43"/>
      <c r="BW71" s="43"/>
      <c r="BX71" s="43"/>
      <c r="BY71" s="43"/>
      <c r="BZ71" s="43"/>
      <c r="CA71" s="43"/>
      <c r="CB71" s="43"/>
      <c r="CC71" s="43"/>
      <c r="CD71" s="43"/>
      <c r="CE71" s="43"/>
      <c r="CF71" s="43"/>
      <c r="CG71" s="43"/>
      <c r="CH71" s="43"/>
      <c r="CI71" s="43"/>
      <c r="CJ71" s="43"/>
      <c r="CK71" s="43"/>
      <c r="CL71" s="43"/>
      <c r="CM71" s="43"/>
      <c r="CN71" s="43"/>
      <c r="CO71" s="43"/>
      <c r="CP71" s="43"/>
      <c r="CQ71" s="43"/>
      <c r="CR71" s="43"/>
      <c r="CS71" s="43"/>
      <c r="CT71" s="43"/>
      <c r="CU71" s="43"/>
      <c r="CV71" s="43"/>
      <c r="CW71" s="43"/>
      <c r="CX71" s="43"/>
      <c r="CY71" s="43"/>
      <c r="CZ71" s="43"/>
      <c r="DA71" s="43"/>
      <c r="DB71" s="43"/>
      <c r="DC71" s="43"/>
      <c r="DD71" s="43"/>
      <c r="DE71" s="43"/>
      <c r="DF71" s="43"/>
      <c r="DG71" s="43"/>
      <c r="DH71" s="43"/>
      <c r="DI71" s="43"/>
      <c r="DJ71" s="43"/>
      <c r="DK71" s="43"/>
      <c r="DL71" s="43"/>
      <c r="DM71" s="43"/>
      <c r="DN71" s="43"/>
      <c r="DO71" s="43"/>
      <c r="DP71" s="43"/>
      <c r="DQ71" s="43"/>
      <c r="DR71" s="43"/>
      <c r="DS71" s="43"/>
      <c r="DT71" s="43"/>
      <c r="DU71" s="43"/>
      <c r="DV71" s="43"/>
      <c r="DW71" s="43"/>
      <c r="DX71" s="43"/>
      <c r="DY71" s="43"/>
      <c r="DZ71" s="43"/>
      <c r="EA71" s="43"/>
      <c r="EB71" s="43"/>
      <c r="EC71" s="43"/>
      <c r="ED71" s="43"/>
      <c r="EE71" s="43"/>
      <c r="EF71" s="43"/>
      <c r="EG71" s="43"/>
      <c r="EH71" s="43"/>
      <c r="EI71" s="43"/>
      <c r="EJ71" s="43"/>
      <c r="EK71" s="43"/>
      <c r="EL71" s="43"/>
      <c r="EM71" s="43"/>
      <c r="EN71" s="43"/>
      <c r="EO71" s="43"/>
      <c r="EP71" s="43"/>
      <c r="EQ71" s="43"/>
      <c r="ER71" s="43"/>
      <c r="ES71" s="43"/>
      <c r="ET71" s="43"/>
      <c r="EU71" s="43"/>
      <c r="EV71" s="43"/>
      <c r="EW71" s="43"/>
      <c r="EX71" s="43"/>
      <c r="EY71" s="43"/>
      <c r="EZ71" s="43"/>
      <c r="FA71" s="43"/>
      <c r="FB71" s="43"/>
      <c r="FC71" s="43"/>
      <c r="FD71" s="43"/>
      <c r="FE71" s="43"/>
      <c r="FF71" s="43"/>
      <c r="FG71" s="43"/>
      <c r="FH71" s="43"/>
      <c r="FI71" s="43"/>
      <c r="FJ71" s="43"/>
      <c r="FK71" s="43"/>
      <c r="FL71" s="43"/>
      <c r="FM71" s="43"/>
      <c r="FN71" s="43"/>
      <c r="FO71" s="43"/>
      <c r="FP71" s="43"/>
      <c r="FQ71" s="43"/>
      <c r="FR71" s="43"/>
      <c r="FS71" s="43"/>
      <c r="FT71" s="43"/>
      <c r="FU71" s="43"/>
      <c r="FV71" s="43"/>
      <c r="FW71" s="43"/>
      <c r="FX71" s="43"/>
      <c r="FY71" s="43"/>
      <c r="FZ71" s="43"/>
      <c r="GA71" s="43"/>
      <c r="GB71" s="43"/>
      <c r="GC71" s="43"/>
      <c r="GD71" s="43"/>
      <c r="GE71" s="43"/>
      <c r="GF71" s="43"/>
      <c r="GG71" s="43"/>
      <c r="GH71" s="43"/>
      <c r="GI71" s="43"/>
      <c r="GJ71" s="43"/>
      <c r="GK71" s="43"/>
      <c r="GL71" s="43"/>
      <c r="GM71" s="43"/>
      <c r="GN71" s="43"/>
      <c r="GO71" s="43"/>
      <c r="GP71" s="43"/>
      <c r="GQ71" s="43"/>
      <c r="GR71" s="43"/>
      <c r="GS71" s="43"/>
      <c r="GT71" s="43"/>
      <c r="GU71" s="43"/>
      <c r="GV71" s="43"/>
      <c r="GW71" s="43"/>
      <c r="GX71" s="43"/>
      <c r="GY71" s="43"/>
      <c r="GZ71" s="43"/>
      <c r="HA71" s="43"/>
      <c r="HB71" s="43"/>
      <c r="HC71" s="43"/>
      <c r="HD71" s="43"/>
      <c r="HE71" s="43"/>
      <c r="HF71" s="43"/>
      <c r="HG71" s="43"/>
      <c r="HH71" s="43"/>
      <c r="HI71" s="43"/>
      <c r="HJ71" s="43"/>
      <c r="HK71" s="43"/>
      <c r="HL71" s="43"/>
      <c r="HM71" s="43"/>
      <c r="HN71" s="43"/>
      <c r="HO71" s="43"/>
      <c r="HP71" s="43"/>
      <c r="HQ71" s="43"/>
      <c r="HR71"/>
      <c r="HS71"/>
      <c r="HT71"/>
      <c r="HU71"/>
      <c r="HV71"/>
      <c r="HW71"/>
      <c r="HX71"/>
      <c r="HY71"/>
      <c r="HZ71"/>
      <c r="IA71"/>
      <c r="IB71"/>
      <c r="IC71"/>
      <c r="ID71"/>
      <c r="IE71"/>
      <c r="IF71"/>
      <c r="IG71"/>
      <c r="IH71"/>
      <c r="II71"/>
      <c r="IJ71"/>
      <c r="IK71" s="32"/>
      <c r="IL71" s="32"/>
      <c r="IM71" s="32"/>
      <c r="IN71" s="32"/>
      <c r="IO71" s="32"/>
      <c r="IP71" s="32"/>
      <c r="IQ71" s="32"/>
    </row>
    <row r="72" spans="1:251" collapsed="1">
      <c r="Y72" s="352"/>
      <c r="Z72" s="352"/>
      <c r="AA72" s="352"/>
      <c r="AB72" s="352"/>
      <c r="AC72" s="352"/>
      <c r="AD72" s="352"/>
      <c r="AE72" s="352"/>
      <c r="AF72" s="352"/>
      <c r="AG72" s="352"/>
    </row>
    <row r="73" spans="1:251" s="33" customFormat="1">
      <c r="A73" s="218" t="s">
        <v>322</v>
      </c>
      <c r="B73" s="256"/>
      <c r="C73" s="256"/>
      <c r="D73" s="257"/>
      <c r="E73" s="257"/>
      <c r="F73" s="257"/>
      <c r="G73" s="257"/>
      <c r="H73" s="258"/>
      <c r="I73" s="258"/>
      <c r="J73" s="259"/>
      <c r="K73" s="259"/>
      <c r="L73" s="259"/>
      <c r="M73" s="259"/>
      <c r="N73" s="259"/>
      <c r="O73" s="259"/>
      <c r="P73" s="259"/>
      <c r="Q73" s="259"/>
      <c r="R73" s="259"/>
      <c r="S73" s="259"/>
      <c r="T73" s="260"/>
      <c r="U73" s="260"/>
      <c r="V73" s="260"/>
      <c r="W73" s="260"/>
      <c r="X73" s="260"/>
      <c r="Y73" s="260"/>
      <c r="Z73" s="260"/>
      <c r="AA73" s="260"/>
      <c r="AB73" s="260"/>
      <c r="AC73" s="260"/>
      <c r="AD73" s="260"/>
      <c r="AE73" s="260"/>
      <c r="AF73" s="260"/>
      <c r="AG73" s="260"/>
      <c r="AH73" s="43"/>
      <c r="AI73" s="43"/>
      <c r="AJ73" s="43"/>
      <c r="AK73" s="43"/>
      <c r="AL73" s="43"/>
      <c r="AM73" s="43"/>
      <c r="AN73" s="43"/>
      <c r="AO73" s="43"/>
      <c r="AP73" s="43"/>
      <c r="AQ73" s="43"/>
      <c r="AR73" s="43"/>
      <c r="AS73" s="43"/>
      <c r="AT73" s="43"/>
      <c r="AU73" s="43"/>
      <c r="AV73" s="43"/>
      <c r="AW73" s="43"/>
      <c r="AX73" s="43"/>
      <c r="AY73" s="43"/>
      <c r="AZ73" s="43"/>
      <c r="BA73" s="43"/>
      <c r="BB73" s="43"/>
      <c r="BC73" s="43"/>
      <c r="BD73" s="43"/>
      <c r="BE73" s="43"/>
      <c r="BF73" s="43"/>
      <c r="BG73" s="43"/>
      <c r="BH73" s="43"/>
      <c r="BI73" s="43"/>
      <c r="BJ73" s="43"/>
      <c r="BK73" s="43"/>
      <c r="BL73" s="43"/>
      <c r="BM73" s="43"/>
      <c r="BN73" s="43"/>
      <c r="BO73" s="43"/>
      <c r="BP73" s="43"/>
      <c r="BQ73" s="43"/>
      <c r="BR73" s="43"/>
      <c r="BS73" s="43"/>
      <c r="BT73" s="43"/>
      <c r="BU73" s="43"/>
      <c r="BV73" s="43"/>
      <c r="BW73" s="43"/>
      <c r="BX73" s="43"/>
      <c r="BY73" s="43"/>
      <c r="BZ73" s="43"/>
      <c r="CA73" s="43"/>
      <c r="CB73" s="43"/>
      <c r="CC73" s="43"/>
      <c r="CD73" s="43"/>
      <c r="CE73" s="43"/>
      <c r="CF73" s="43"/>
      <c r="CG73" s="43"/>
      <c r="CH73" s="43"/>
      <c r="CI73" s="43"/>
      <c r="CJ73" s="43"/>
      <c r="CK73" s="43"/>
      <c r="CL73" s="43"/>
      <c r="CM73" s="43"/>
      <c r="CN73" s="43"/>
      <c r="CO73" s="43"/>
      <c r="CP73" s="43"/>
      <c r="CQ73" s="43"/>
      <c r="CR73" s="43"/>
      <c r="CS73" s="43"/>
      <c r="CT73" s="43"/>
      <c r="CU73" s="43"/>
      <c r="CV73" s="43"/>
      <c r="CW73" s="43"/>
      <c r="CX73" s="43"/>
      <c r="CY73" s="43"/>
      <c r="CZ73" s="43"/>
      <c r="DA73" s="43"/>
      <c r="DB73" s="43"/>
      <c r="DC73" s="43"/>
      <c r="DD73" s="43"/>
      <c r="DE73" s="43"/>
      <c r="DF73" s="43"/>
      <c r="DG73" s="43"/>
      <c r="DH73" s="43"/>
      <c r="DI73" s="43"/>
      <c r="DJ73" s="43"/>
      <c r="DK73" s="43"/>
      <c r="DL73" s="43"/>
      <c r="DM73" s="43"/>
      <c r="DN73" s="43"/>
      <c r="DO73" s="43"/>
      <c r="DP73" s="43"/>
      <c r="DQ73" s="43"/>
      <c r="DR73" s="43"/>
      <c r="DS73" s="43"/>
      <c r="DT73" s="43"/>
      <c r="DU73" s="43"/>
      <c r="DV73" s="43"/>
      <c r="DW73" s="43"/>
      <c r="DX73" s="43"/>
      <c r="DY73" s="43"/>
      <c r="DZ73" s="43"/>
      <c r="EA73" s="43"/>
      <c r="EB73" s="43"/>
      <c r="EC73" s="43"/>
      <c r="ED73" s="43"/>
      <c r="EE73" s="43"/>
      <c r="EF73" s="43"/>
      <c r="EG73" s="43"/>
      <c r="EH73" s="43"/>
      <c r="EI73" s="43"/>
      <c r="EJ73" s="43"/>
      <c r="EK73" s="43"/>
      <c r="EL73" s="43"/>
      <c r="EM73" s="43"/>
      <c r="EN73" s="43"/>
      <c r="EO73" s="43"/>
      <c r="EP73" s="43"/>
      <c r="EQ73" s="43"/>
      <c r="ER73" s="43"/>
      <c r="ES73" s="43"/>
      <c r="ET73" s="43"/>
      <c r="EU73" s="43"/>
      <c r="EV73" s="43"/>
      <c r="EW73" s="43"/>
      <c r="EX73" s="43"/>
      <c r="EY73" s="43"/>
      <c r="EZ73" s="43"/>
      <c r="FA73" s="43"/>
      <c r="FB73" s="43"/>
      <c r="FC73" s="43"/>
      <c r="FD73" s="43"/>
      <c r="FE73" s="43"/>
      <c r="FF73" s="43"/>
      <c r="FG73" s="43"/>
      <c r="FH73" s="43"/>
      <c r="FI73" s="43"/>
      <c r="FJ73" s="43"/>
      <c r="FK73" s="43"/>
      <c r="FL73" s="43"/>
      <c r="FM73" s="43"/>
      <c r="FN73" s="43"/>
      <c r="FO73" s="43"/>
      <c r="FP73" s="43"/>
      <c r="FQ73" s="43"/>
      <c r="FR73" s="43"/>
      <c r="FS73" s="43"/>
      <c r="FT73" s="43"/>
      <c r="FU73" s="43"/>
      <c r="FV73" s="43"/>
      <c r="FW73" s="43"/>
      <c r="FX73" s="43"/>
      <c r="FY73" s="43"/>
      <c r="FZ73" s="43"/>
      <c r="GA73" s="43"/>
      <c r="GB73" s="43"/>
      <c r="GC73" s="43"/>
      <c r="GD73" s="43"/>
      <c r="GE73" s="43"/>
      <c r="GF73" s="43"/>
      <c r="GG73" s="43"/>
      <c r="GH73" s="43"/>
      <c r="GI73" s="43"/>
      <c r="GJ73" s="43"/>
      <c r="GK73" s="43"/>
      <c r="GL73" s="43"/>
      <c r="GM73" s="43"/>
      <c r="GN73" s="43"/>
      <c r="GO73" s="43"/>
      <c r="GP73" s="43"/>
      <c r="GQ73" s="43"/>
      <c r="GR73" s="43"/>
      <c r="GS73" s="43"/>
      <c r="GT73" s="43"/>
      <c r="GU73" s="43"/>
      <c r="GV73" s="43"/>
      <c r="GW73" s="43"/>
      <c r="GX73" s="43"/>
      <c r="GY73" s="43"/>
      <c r="GZ73" s="43"/>
      <c r="HA73" s="43"/>
      <c r="HB73" s="43"/>
      <c r="HC73" s="43"/>
      <c r="HD73" s="43"/>
      <c r="HE73" s="43"/>
      <c r="HF73" s="43"/>
      <c r="HG73" s="43"/>
      <c r="HH73" s="43"/>
      <c r="HI73" s="43"/>
      <c r="HJ73" s="43"/>
      <c r="HK73" s="43"/>
      <c r="HL73" s="43"/>
      <c r="HM73" s="43"/>
      <c r="HN73" s="43"/>
      <c r="HO73" s="43"/>
      <c r="HP73" s="43"/>
      <c r="HQ73" s="43"/>
      <c r="HR73"/>
      <c r="HS73"/>
      <c r="HT73"/>
      <c r="HU73"/>
      <c r="HV73"/>
      <c r="HW73"/>
      <c r="HX73"/>
      <c r="HY73"/>
      <c r="HZ73"/>
      <c r="IA73"/>
      <c r="IB73"/>
      <c r="IC73"/>
      <c r="ID73"/>
      <c r="IE73"/>
      <c r="IF73"/>
      <c r="IG73"/>
      <c r="IH73"/>
      <c r="II73"/>
      <c r="IJ73"/>
      <c r="IK73" s="32"/>
      <c r="IL73" s="32"/>
      <c r="IM73" s="32"/>
      <c r="IN73" s="32"/>
      <c r="IO73" s="32"/>
      <c r="IP73" s="32"/>
      <c r="IQ73" s="32"/>
    </row>
    <row r="74" spans="1:251" s="33" customFormat="1">
      <c r="A74" s="168"/>
      <c r="B74" s="35"/>
      <c r="C74" s="35"/>
      <c r="D74" s="165"/>
      <c r="E74" s="165"/>
      <c r="F74" s="165"/>
      <c r="G74" s="165"/>
      <c r="H74" s="166"/>
      <c r="I74" s="166"/>
      <c r="J74" s="82"/>
      <c r="K74" s="82"/>
      <c r="L74" s="82"/>
      <c r="M74" s="82"/>
      <c r="N74" s="82"/>
      <c r="O74" s="82"/>
      <c r="P74" s="82"/>
      <c r="Q74" s="82"/>
      <c r="R74" s="82"/>
      <c r="S74" s="82"/>
      <c r="T74" s="144"/>
      <c r="U74" s="144"/>
      <c r="V74" s="144"/>
      <c r="W74" s="144"/>
      <c r="X74" s="144"/>
      <c r="Y74" s="144"/>
      <c r="Z74" s="144"/>
      <c r="AA74" s="144"/>
      <c r="AB74" s="144"/>
      <c r="AC74" s="144"/>
      <c r="AD74" s="144"/>
      <c r="AE74" s="144"/>
      <c r="AF74" s="144"/>
      <c r="AG74" s="144"/>
      <c r="AH74" s="43"/>
      <c r="AI74" s="43"/>
      <c r="AJ74" s="43"/>
      <c r="AK74" s="43"/>
      <c r="AL74" s="43"/>
      <c r="AM74" s="43"/>
      <c r="AN74" s="43"/>
      <c r="AO74" s="43"/>
      <c r="AP74" s="43"/>
      <c r="AQ74" s="43"/>
      <c r="AR74" s="43"/>
      <c r="AS74" s="43"/>
      <c r="AT74" s="43"/>
      <c r="AU74" s="43"/>
      <c r="AV74" s="43"/>
      <c r="AW74" s="43"/>
      <c r="AX74" s="43"/>
      <c r="AY74" s="43"/>
      <c r="AZ74" s="43"/>
      <c r="BA74" s="43"/>
      <c r="BB74" s="43"/>
      <c r="BC74" s="43"/>
      <c r="BD74" s="43"/>
      <c r="BE74" s="43"/>
      <c r="BF74" s="43"/>
      <c r="BG74" s="43"/>
      <c r="BH74" s="43"/>
      <c r="BI74" s="43"/>
      <c r="BJ74" s="43"/>
      <c r="BK74" s="43"/>
      <c r="BL74" s="43"/>
      <c r="BM74" s="43"/>
      <c r="BN74" s="43"/>
      <c r="BO74" s="43"/>
      <c r="BP74" s="43"/>
      <c r="BQ74" s="43"/>
      <c r="BR74" s="43"/>
      <c r="BS74" s="43"/>
      <c r="BT74" s="43"/>
      <c r="BU74" s="43"/>
      <c r="BV74" s="43"/>
      <c r="BW74" s="43"/>
      <c r="BX74" s="43"/>
      <c r="BY74" s="43"/>
      <c r="BZ74" s="43"/>
      <c r="CA74" s="43"/>
      <c r="CB74" s="43"/>
      <c r="CC74" s="43"/>
      <c r="CD74" s="43"/>
      <c r="CE74" s="43"/>
      <c r="CF74" s="43"/>
      <c r="CG74" s="43"/>
      <c r="CH74" s="43"/>
      <c r="CI74" s="43"/>
      <c r="CJ74" s="43"/>
      <c r="CK74" s="43"/>
      <c r="CL74" s="43"/>
      <c r="CM74" s="43"/>
      <c r="CN74" s="43"/>
      <c r="CO74" s="43"/>
      <c r="CP74" s="43"/>
      <c r="CQ74" s="43"/>
      <c r="CR74" s="43"/>
      <c r="CS74" s="43"/>
      <c r="CT74" s="43"/>
      <c r="CU74" s="43"/>
      <c r="CV74" s="43"/>
      <c r="CW74" s="43"/>
      <c r="CX74" s="43"/>
      <c r="CY74" s="43"/>
      <c r="CZ74" s="43"/>
      <c r="DA74" s="43"/>
      <c r="DB74" s="43"/>
      <c r="DC74" s="43"/>
      <c r="DD74" s="43"/>
      <c r="DE74" s="43"/>
      <c r="DF74" s="43"/>
      <c r="DG74" s="43"/>
      <c r="DH74" s="43"/>
      <c r="DI74" s="43"/>
      <c r="DJ74" s="43"/>
      <c r="DK74" s="43"/>
      <c r="DL74" s="43"/>
      <c r="DM74" s="43"/>
      <c r="DN74" s="43"/>
      <c r="DO74" s="43"/>
      <c r="DP74" s="43"/>
      <c r="DQ74" s="43"/>
      <c r="DR74" s="43"/>
      <c r="DS74" s="43"/>
      <c r="DT74" s="43"/>
      <c r="DU74" s="43"/>
      <c r="DV74" s="43"/>
      <c r="DW74" s="43"/>
      <c r="DX74" s="43"/>
      <c r="DY74" s="43"/>
      <c r="DZ74" s="43"/>
      <c r="EA74" s="43"/>
      <c r="EB74" s="43"/>
      <c r="EC74" s="43"/>
      <c r="ED74" s="43"/>
      <c r="EE74" s="43"/>
      <c r="EF74" s="43"/>
      <c r="EG74" s="43"/>
      <c r="EH74" s="43"/>
      <c r="EI74" s="43"/>
      <c r="EJ74" s="43"/>
      <c r="EK74" s="43"/>
      <c r="EL74" s="43"/>
      <c r="EM74" s="43"/>
      <c r="EN74" s="43"/>
      <c r="EO74" s="43"/>
      <c r="EP74" s="43"/>
      <c r="EQ74" s="43"/>
      <c r="ER74" s="43"/>
      <c r="ES74" s="43"/>
      <c r="ET74" s="43"/>
      <c r="EU74" s="43"/>
      <c r="EV74" s="43"/>
      <c r="EW74" s="43"/>
      <c r="EX74" s="43"/>
      <c r="EY74" s="43"/>
      <c r="EZ74" s="43"/>
      <c r="FA74" s="43"/>
      <c r="FB74" s="43"/>
      <c r="FC74" s="43"/>
      <c r="FD74" s="43"/>
      <c r="FE74" s="43"/>
      <c r="FF74" s="43"/>
      <c r="FG74" s="43"/>
      <c r="FH74" s="43"/>
      <c r="FI74" s="43"/>
      <c r="FJ74" s="43"/>
      <c r="FK74" s="43"/>
      <c r="FL74" s="43"/>
      <c r="FM74" s="43"/>
      <c r="FN74" s="43"/>
      <c r="FO74" s="43"/>
      <c r="FP74" s="43"/>
      <c r="FQ74" s="43"/>
      <c r="FR74" s="43"/>
      <c r="FS74" s="43"/>
      <c r="FT74" s="43"/>
      <c r="FU74" s="43"/>
      <c r="FV74" s="43"/>
      <c r="FW74" s="43"/>
      <c r="FX74" s="43"/>
      <c r="FY74" s="43"/>
      <c r="FZ74" s="43"/>
      <c r="GA74" s="43"/>
      <c r="GB74" s="43"/>
      <c r="GC74" s="43"/>
      <c r="GD74" s="43"/>
      <c r="GE74" s="43"/>
      <c r="GF74" s="43"/>
      <c r="GG74" s="43"/>
      <c r="GH74" s="43"/>
      <c r="GI74" s="43"/>
      <c r="GJ74" s="43"/>
      <c r="GK74" s="43"/>
      <c r="GL74" s="43"/>
      <c r="GM74" s="43"/>
      <c r="GN74" s="43"/>
      <c r="GO74" s="43"/>
      <c r="GP74" s="43"/>
      <c r="GQ74" s="43"/>
      <c r="GR74" s="43"/>
      <c r="GS74" s="43"/>
      <c r="GT74" s="43"/>
      <c r="GU74" s="43"/>
      <c r="GV74" s="43"/>
      <c r="GW74" s="43"/>
      <c r="GX74" s="43"/>
      <c r="GY74" s="43"/>
      <c r="GZ74" s="43"/>
      <c r="HA74" s="43"/>
      <c r="HB74" s="43"/>
      <c r="HC74" s="43"/>
      <c r="HD74" s="43"/>
      <c r="HE74" s="43"/>
      <c r="HF74" s="43"/>
      <c r="HG74" s="43"/>
      <c r="HH74" s="43"/>
      <c r="HI74" s="43"/>
      <c r="HJ74" s="43"/>
      <c r="HK74" s="43"/>
      <c r="HL74" s="43"/>
      <c r="HM74" s="43"/>
      <c r="HN74" s="43"/>
      <c r="HO74" s="43"/>
      <c r="HP74" s="43"/>
      <c r="HQ74" s="43"/>
      <c r="HR74"/>
      <c r="HS74"/>
      <c r="HT74"/>
      <c r="HU74"/>
      <c r="HV74"/>
      <c r="HW74"/>
      <c r="HX74"/>
      <c r="HY74"/>
      <c r="HZ74"/>
      <c r="IA74"/>
      <c r="IB74"/>
      <c r="IC74"/>
      <c r="ID74"/>
      <c r="IE74"/>
      <c r="IF74"/>
      <c r="IG74"/>
      <c r="IH74"/>
      <c r="II74"/>
      <c r="IJ74"/>
      <c r="IK74" s="32"/>
      <c r="IL74" s="32"/>
      <c r="IM74" s="32"/>
      <c r="IN74" s="32"/>
      <c r="IO74" s="32"/>
      <c r="IP74" s="32"/>
      <c r="IQ74" s="32"/>
    </row>
    <row r="75" spans="1:251" s="33" customFormat="1">
      <c r="A75" s="43" t="s">
        <v>126</v>
      </c>
      <c r="B75" s="32"/>
      <c r="C75" s="32"/>
      <c r="D75" s="198">
        <f t="shared" ref="D75:AB75" si="51">D45+D48+D55</f>
        <v>13953</v>
      </c>
      <c r="E75" s="198">
        <f t="shared" si="51"/>
        <v>13522</v>
      </c>
      <c r="F75" s="198">
        <f t="shared" si="51"/>
        <v>28095</v>
      </c>
      <c r="G75" s="198">
        <f t="shared" si="51"/>
        <v>21590</v>
      </c>
      <c r="H75" s="198">
        <f t="shared" si="51"/>
        <v>23320</v>
      </c>
      <c r="I75" s="198">
        <f t="shared" si="51"/>
        <v>24539</v>
      </c>
      <c r="J75" s="198">
        <f t="shared" si="51"/>
        <v>22980</v>
      </c>
      <c r="K75" s="198">
        <f t="shared" si="51"/>
        <v>23933</v>
      </c>
      <c r="L75" s="198">
        <f t="shared" si="51"/>
        <v>18699</v>
      </c>
      <c r="M75" s="198">
        <f t="shared" si="51"/>
        <v>8485</v>
      </c>
      <c r="N75" s="198">
        <f t="shared" si="51"/>
        <v>11046</v>
      </c>
      <c r="O75" s="198">
        <f t="shared" si="51"/>
        <v>4739</v>
      </c>
      <c r="P75" s="198">
        <f t="shared" si="51"/>
        <v>7474</v>
      </c>
      <c r="Q75" s="198">
        <f t="shared" si="51"/>
        <v>11960</v>
      </c>
      <c r="R75" s="198">
        <f t="shared" si="51"/>
        <v>12194</v>
      </c>
      <c r="S75" s="198">
        <f t="shared" si="51"/>
        <v>13689</v>
      </c>
      <c r="T75" s="198">
        <f t="shared" si="51"/>
        <v>13878</v>
      </c>
      <c r="U75" s="198">
        <f t="shared" si="51"/>
        <v>14517</v>
      </c>
      <c r="V75" s="198">
        <f t="shared" si="51"/>
        <v>14693</v>
      </c>
      <c r="W75" s="198">
        <f>W45+W48+W55</f>
        <v>12919</v>
      </c>
      <c r="X75" s="198">
        <f>X45+X48+X55</f>
        <v>13881</v>
      </c>
      <c r="Y75" s="198">
        <f t="shared" si="51"/>
        <v>12881</v>
      </c>
      <c r="Z75" s="198">
        <f t="shared" si="51"/>
        <v>11881</v>
      </c>
      <c r="AA75" s="198">
        <f t="shared" si="51"/>
        <v>10881</v>
      </c>
      <c r="AB75" s="198">
        <f t="shared" si="51"/>
        <v>10881</v>
      </c>
      <c r="AC75" s="198">
        <f>AC45+AC48+AC55</f>
        <v>10881</v>
      </c>
      <c r="AD75" s="198">
        <f>AD45+AD48+AD55</f>
        <v>10881</v>
      </c>
      <c r="AE75" s="198">
        <f>AE45+AE48+AE55</f>
        <v>10881</v>
      </c>
      <c r="AF75" s="198">
        <f>AF45+AF48+AF55</f>
        <v>10881</v>
      </c>
      <c r="AG75" s="198">
        <f>AG45+AG48+AG55</f>
        <v>10881</v>
      </c>
      <c r="AH75" s="43"/>
      <c r="AI75" s="43"/>
      <c r="AJ75" s="43"/>
      <c r="AK75" s="43"/>
      <c r="AL75" s="43"/>
      <c r="AM75" s="43"/>
      <c r="AN75" s="43"/>
      <c r="AO75" s="43"/>
      <c r="AP75" s="43"/>
      <c r="AQ75" s="43"/>
      <c r="AR75" s="43"/>
      <c r="AS75" s="43"/>
      <c r="AT75" s="43"/>
      <c r="AU75" s="43"/>
      <c r="AV75" s="43"/>
      <c r="AW75" s="43"/>
      <c r="AX75" s="43"/>
      <c r="AY75" s="43"/>
      <c r="AZ75" s="43"/>
      <c r="BA75" s="43"/>
      <c r="BB75" s="43"/>
      <c r="BC75" s="43"/>
      <c r="BD75" s="43"/>
      <c r="BE75" s="43"/>
      <c r="BF75" s="43"/>
      <c r="BG75" s="43"/>
      <c r="BH75" s="43"/>
      <c r="BI75" s="43"/>
      <c r="BJ75" s="43"/>
      <c r="BK75" s="43"/>
      <c r="BL75" s="43"/>
      <c r="BM75" s="43"/>
      <c r="BN75" s="43"/>
      <c r="BO75" s="43"/>
      <c r="BP75" s="43"/>
      <c r="BQ75" s="43"/>
      <c r="BR75" s="43"/>
      <c r="BS75" s="43"/>
      <c r="BT75" s="43"/>
      <c r="BU75" s="43"/>
      <c r="BV75" s="43"/>
      <c r="BW75" s="43"/>
      <c r="BX75" s="43"/>
      <c r="BY75" s="43"/>
      <c r="BZ75" s="43"/>
      <c r="CA75" s="43"/>
      <c r="CB75" s="43"/>
      <c r="CC75" s="43"/>
      <c r="CD75" s="43"/>
      <c r="CE75" s="43"/>
      <c r="CF75" s="43"/>
      <c r="CG75" s="43"/>
      <c r="CH75" s="43"/>
      <c r="CI75" s="43"/>
      <c r="CJ75" s="43"/>
      <c r="CK75" s="43"/>
      <c r="CL75" s="43"/>
      <c r="CM75" s="43"/>
      <c r="CN75" s="43"/>
      <c r="CO75" s="43"/>
      <c r="CP75" s="43"/>
      <c r="CQ75" s="43"/>
      <c r="CR75" s="43"/>
      <c r="CS75" s="43"/>
      <c r="CT75" s="43"/>
      <c r="CU75" s="43"/>
      <c r="CV75" s="43"/>
      <c r="CW75" s="43"/>
      <c r="CX75" s="43"/>
      <c r="CY75" s="43"/>
      <c r="CZ75" s="43"/>
      <c r="DA75" s="43"/>
      <c r="DB75" s="43"/>
      <c r="DC75" s="43"/>
      <c r="DD75" s="43"/>
      <c r="DE75" s="43"/>
      <c r="DF75" s="43"/>
      <c r="DG75" s="43"/>
      <c r="DH75" s="43"/>
      <c r="DI75" s="43"/>
      <c r="DJ75" s="43"/>
      <c r="DK75" s="43"/>
      <c r="DL75" s="43"/>
      <c r="DM75" s="43"/>
      <c r="DN75" s="43"/>
      <c r="DO75" s="43"/>
      <c r="DP75" s="43"/>
      <c r="DQ75" s="43"/>
      <c r="DR75" s="43"/>
      <c r="DS75" s="43"/>
      <c r="DT75" s="43"/>
      <c r="DU75" s="43"/>
      <c r="DV75" s="43"/>
      <c r="DW75" s="43"/>
      <c r="DX75" s="43"/>
      <c r="DY75" s="43"/>
      <c r="DZ75" s="43"/>
      <c r="EA75" s="43"/>
      <c r="EB75" s="43"/>
      <c r="EC75" s="43"/>
      <c r="ED75" s="43"/>
      <c r="EE75" s="43"/>
      <c r="EF75" s="43"/>
      <c r="EG75" s="43"/>
      <c r="EH75" s="43"/>
      <c r="EI75" s="43"/>
      <c r="EJ75" s="43"/>
      <c r="EK75" s="43"/>
      <c r="EL75" s="43"/>
      <c r="EM75" s="43"/>
      <c r="EN75" s="43"/>
      <c r="EO75" s="43"/>
      <c r="EP75" s="43"/>
      <c r="EQ75" s="43"/>
      <c r="ER75" s="43"/>
      <c r="ES75" s="43"/>
      <c r="ET75" s="43"/>
      <c r="EU75" s="43"/>
      <c r="EV75" s="43"/>
      <c r="EW75" s="43"/>
      <c r="EX75" s="43"/>
      <c r="EY75" s="43"/>
      <c r="EZ75" s="43"/>
      <c r="FA75" s="43"/>
      <c r="FB75" s="43"/>
      <c r="FC75" s="43"/>
      <c r="FD75" s="43"/>
      <c r="FE75" s="43"/>
      <c r="FF75" s="43"/>
      <c r="FG75" s="43"/>
      <c r="FH75" s="43"/>
      <c r="FI75" s="43"/>
      <c r="FJ75" s="43"/>
      <c r="FK75" s="43"/>
      <c r="FL75" s="43"/>
      <c r="FM75" s="43"/>
      <c r="FN75" s="43"/>
      <c r="FO75" s="43"/>
      <c r="FP75" s="43"/>
      <c r="FQ75" s="43"/>
      <c r="FR75" s="43"/>
      <c r="FS75" s="43"/>
      <c r="FT75" s="43"/>
      <c r="FU75" s="43"/>
      <c r="FV75" s="43"/>
      <c r="FW75" s="43"/>
      <c r="FX75" s="43"/>
      <c r="FY75" s="43"/>
      <c r="FZ75" s="43"/>
      <c r="GA75" s="43"/>
      <c r="GB75" s="43"/>
      <c r="GC75" s="43"/>
      <c r="GD75" s="43"/>
      <c r="GE75" s="43"/>
      <c r="GF75" s="43"/>
      <c r="GG75" s="43"/>
      <c r="GH75" s="43"/>
      <c r="GI75" s="43"/>
      <c r="GJ75" s="43"/>
      <c r="GK75" s="43"/>
      <c r="GL75" s="43"/>
      <c r="GM75" s="43"/>
      <c r="GN75" s="43"/>
      <c r="GO75" s="43"/>
      <c r="GP75" s="43"/>
      <c r="GQ75" s="43"/>
      <c r="GR75" s="43"/>
      <c r="GS75" s="43"/>
      <c r="GT75" s="43"/>
      <c r="GU75" s="43"/>
      <c r="GV75" s="43"/>
      <c r="GW75" s="43"/>
      <c r="GX75" s="43"/>
      <c r="GY75" s="43"/>
      <c r="GZ75" s="43"/>
      <c r="HA75" s="43"/>
      <c r="HB75" s="43"/>
      <c r="HC75" s="43"/>
      <c r="HD75" s="43"/>
      <c r="HE75" s="43"/>
      <c r="HF75" s="43"/>
      <c r="HG75" s="43"/>
      <c r="HH75" s="43"/>
      <c r="HI75" s="43"/>
      <c r="HJ75" s="43"/>
      <c r="HK75" s="43"/>
      <c r="HL75" s="43"/>
      <c r="HM75" s="43"/>
      <c r="HN75" s="43"/>
      <c r="HO75" s="43"/>
      <c r="HP75" s="43"/>
      <c r="HQ75" s="43"/>
      <c r="HR75"/>
      <c r="HS75"/>
      <c r="HT75"/>
      <c r="HU75"/>
      <c r="HV75"/>
      <c r="HW75"/>
      <c r="HX75"/>
      <c r="HY75"/>
      <c r="HZ75"/>
      <c r="IA75"/>
      <c r="IB75"/>
      <c r="IC75"/>
      <c r="ID75"/>
      <c r="IE75"/>
      <c r="IF75"/>
      <c r="IG75"/>
      <c r="IH75"/>
      <c r="II75"/>
      <c r="IJ75"/>
      <c r="IK75" s="32"/>
      <c r="IL75" s="32"/>
      <c r="IM75" s="32"/>
      <c r="IN75" s="32"/>
      <c r="IO75" s="32"/>
      <c r="IP75" s="32"/>
      <c r="IQ75" s="32"/>
    </row>
    <row r="76" spans="1:251" s="33" customFormat="1">
      <c r="A76" s="261" t="s">
        <v>36</v>
      </c>
      <c r="B76" s="32"/>
      <c r="C76" s="32"/>
      <c r="D76" s="68"/>
      <c r="E76" s="68"/>
      <c r="F76" s="68"/>
      <c r="G76" s="68"/>
      <c r="H76" s="68"/>
      <c r="I76" s="68"/>
      <c r="J76" s="68"/>
      <c r="K76" s="240">
        <f>K75/IS!H115</f>
        <v>1.3227767644945558</v>
      </c>
      <c r="L76" s="240"/>
      <c r="M76" s="240">
        <f>M75/IS!I115</f>
        <v>0.42726219849942093</v>
      </c>
      <c r="N76" s="240"/>
      <c r="O76" s="240">
        <f>O75/IS!J115</f>
        <v>0.89229900207117308</v>
      </c>
      <c r="P76" s="240">
        <f ca="1">P75/IS!K115</f>
        <v>1.2950961705077109</v>
      </c>
      <c r="Q76" s="240">
        <f>Q75/IS!L115</f>
        <v>1.6747813348270066</v>
      </c>
      <c r="R76" s="240">
        <f>R75/IS!M115</f>
        <v>1.6170395332147649</v>
      </c>
      <c r="S76" s="240">
        <f>S75/IS!N115</f>
        <v>1.7282935632644876</v>
      </c>
      <c r="T76" s="240">
        <f>T75/IS!O115</f>
        <v>1.6437170805116628</v>
      </c>
      <c r="U76" s="240">
        <f>U75/IS!P115</f>
        <v>1.6689027895181741</v>
      </c>
      <c r="V76" s="240">
        <f>V75/IS!Q115</f>
        <v>1.6581649926644848</v>
      </c>
      <c r="W76" s="240">
        <f>W75/IS!R115</f>
        <v>1.350827879742164</v>
      </c>
      <c r="X76" s="240">
        <f>X75/IS!S115</f>
        <v>1.3872594839597183</v>
      </c>
      <c r="Y76" s="240">
        <f>Y75/IS!T115</f>
        <v>1.2049101104359308</v>
      </c>
      <c r="Z76" s="240">
        <f ca="1">Z75/IS!U115</f>
        <v>1.1040330082458774</v>
      </c>
      <c r="AA76" s="240">
        <f ca="1">AA75/IS!V115</f>
        <v>0.94341679572690362</v>
      </c>
      <c r="AB76" s="240">
        <f ca="1">AB75/IS!W115</f>
        <v>0.8825316358718468</v>
      </c>
      <c r="AC76" s="240">
        <f ca="1">AC75/IS!X115</f>
        <v>0.83521139006908418</v>
      </c>
      <c r="AD76" s="240">
        <f ca="1">AD75/IS!Y115</f>
        <v>0.79266755222410989</v>
      </c>
      <c r="AE76" s="240">
        <f ca="1">AE75/IS!Z115</f>
        <v>0.75407736948101556</v>
      </c>
      <c r="AF76" s="240">
        <f ca="1">AF75/IS!AA115</f>
        <v>0.71879451922433035</v>
      </c>
      <c r="AG76" s="240">
        <f ca="1">AG75/IS!AB115</f>
        <v>0.68630494206587256</v>
      </c>
      <c r="AH76" s="43"/>
      <c r="AI76" s="43"/>
      <c r="AJ76" s="43"/>
      <c r="AK76" s="43"/>
      <c r="AL76" s="43"/>
      <c r="AM76" s="43"/>
      <c r="AN76" s="43"/>
      <c r="AO76" s="43"/>
      <c r="AP76" s="43"/>
      <c r="AQ76" s="43"/>
      <c r="AR76" s="43"/>
      <c r="AS76" s="43"/>
      <c r="AT76" s="43"/>
      <c r="AU76" s="43"/>
      <c r="AV76" s="43"/>
      <c r="AW76" s="43"/>
      <c r="AX76" s="43"/>
      <c r="AY76" s="43"/>
      <c r="AZ76" s="43"/>
      <c r="BA76" s="43"/>
      <c r="BB76" s="43"/>
      <c r="BC76" s="43"/>
      <c r="BD76" s="43"/>
      <c r="BE76" s="43"/>
      <c r="BF76" s="43"/>
      <c r="BG76" s="43"/>
      <c r="BH76" s="43"/>
      <c r="BI76" s="43"/>
      <c r="BJ76" s="43"/>
      <c r="BK76" s="43"/>
      <c r="BL76" s="43"/>
      <c r="BM76" s="43"/>
      <c r="BN76" s="43"/>
      <c r="BO76" s="43"/>
      <c r="BP76" s="43"/>
      <c r="BQ76" s="43"/>
      <c r="BR76" s="43"/>
      <c r="BS76" s="43"/>
      <c r="BT76" s="43"/>
      <c r="BU76" s="43"/>
      <c r="BV76" s="43"/>
      <c r="BW76" s="43"/>
      <c r="BX76" s="43"/>
      <c r="BY76" s="43"/>
      <c r="BZ76" s="43"/>
      <c r="CA76" s="43"/>
      <c r="CB76" s="43"/>
      <c r="CC76" s="43"/>
      <c r="CD76" s="43"/>
      <c r="CE76" s="43"/>
      <c r="CF76" s="43"/>
      <c r="CG76" s="43"/>
      <c r="CH76" s="43"/>
      <c r="CI76" s="43"/>
      <c r="CJ76" s="43"/>
      <c r="CK76" s="43"/>
      <c r="CL76" s="43"/>
      <c r="CM76" s="43"/>
      <c r="CN76" s="43"/>
      <c r="CO76" s="43"/>
      <c r="CP76" s="43"/>
      <c r="CQ76" s="43"/>
      <c r="CR76" s="43"/>
      <c r="CS76" s="43"/>
      <c r="CT76" s="43"/>
      <c r="CU76" s="43"/>
      <c r="CV76" s="43"/>
      <c r="CW76" s="43"/>
      <c r="CX76" s="43"/>
      <c r="CY76" s="43"/>
      <c r="CZ76" s="43"/>
      <c r="DA76" s="43"/>
      <c r="DB76" s="43"/>
      <c r="DC76" s="43"/>
      <c r="DD76" s="43"/>
      <c r="DE76" s="43"/>
      <c r="DF76" s="43"/>
      <c r="DG76" s="43"/>
      <c r="DH76" s="43"/>
      <c r="DI76" s="43"/>
      <c r="DJ76" s="43"/>
      <c r="DK76" s="43"/>
      <c r="DL76" s="43"/>
      <c r="DM76" s="43"/>
      <c r="DN76" s="43"/>
      <c r="DO76" s="43"/>
      <c r="DP76" s="43"/>
      <c r="DQ76" s="43"/>
      <c r="DR76" s="43"/>
      <c r="DS76" s="43"/>
      <c r="DT76" s="43"/>
      <c r="DU76" s="43"/>
      <c r="DV76" s="43"/>
      <c r="DW76" s="43"/>
      <c r="DX76" s="43"/>
      <c r="DY76" s="43"/>
      <c r="DZ76" s="43"/>
      <c r="EA76" s="43"/>
      <c r="EB76" s="43"/>
      <c r="EC76" s="43"/>
      <c r="ED76" s="43"/>
      <c r="EE76" s="43"/>
      <c r="EF76" s="43"/>
      <c r="EG76" s="43"/>
      <c r="EH76" s="43"/>
      <c r="EI76" s="43"/>
      <c r="EJ76" s="43"/>
      <c r="EK76" s="43"/>
      <c r="EL76" s="43"/>
      <c r="EM76" s="43"/>
      <c r="EN76" s="43"/>
      <c r="EO76" s="43"/>
      <c r="EP76" s="43"/>
      <c r="EQ76" s="43"/>
      <c r="ER76" s="43"/>
      <c r="ES76" s="43"/>
      <c r="ET76" s="43"/>
      <c r="EU76" s="43"/>
      <c r="EV76" s="43"/>
      <c r="EW76" s="43"/>
      <c r="EX76" s="43"/>
      <c r="EY76" s="43"/>
      <c r="EZ76" s="43"/>
      <c r="FA76" s="43"/>
      <c r="FB76" s="43"/>
      <c r="FC76" s="43"/>
      <c r="FD76" s="43"/>
      <c r="FE76" s="43"/>
      <c r="FF76" s="43"/>
      <c r="FG76" s="43"/>
      <c r="FH76" s="43"/>
      <c r="FI76" s="43"/>
      <c r="FJ76" s="43"/>
      <c r="FK76" s="43"/>
      <c r="FL76" s="43"/>
      <c r="FM76" s="43"/>
      <c r="FN76" s="43"/>
      <c r="FO76" s="43"/>
      <c r="FP76" s="43"/>
      <c r="FQ76" s="43"/>
      <c r="FR76" s="43"/>
      <c r="FS76" s="43"/>
      <c r="FT76" s="43"/>
      <c r="FU76" s="43"/>
      <c r="FV76" s="43"/>
      <c r="FW76" s="43"/>
      <c r="FX76" s="43"/>
      <c r="FY76" s="43"/>
      <c r="FZ76" s="43"/>
      <c r="GA76" s="43"/>
      <c r="GB76" s="43"/>
      <c r="GC76" s="43"/>
      <c r="GD76" s="43"/>
      <c r="GE76" s="43"/>
      <c r="GF76" s="43"/>
      <c r="GG76" s="43"/>
      <c r="GH76" s="43"/>
      <c r="GI76" s="43"/>
      <c r="GJ76" s="43"/>
      <c r="GK76" s="43"/>
      <c r="GL76" s="43"/>
      <c r="GM76" s="43"/>
      <c r="GN76" s="43"/>
      <c r="GO76" s="43"/>
      <c r="GP76" s="43"/>
      <c r="GQ76" s="43"/>
      <c r="GR76" s="43"/>
      <c r="GS76" s="43"/>
      <c r="GT76" s="43"/>
      <c r="GU76" s="43"/>
      <c r="GV76" s="43"/>
      <c r="GW76" s="43"/>
      <c r="GX76" s="43"/>
      <c r="GY76" s="43"/>
      <c r="GZ76" s="43"/>
      <c r="HA76" s="43"/>
      <c r="HB76" s="43"/>
      <c r="HC76" s="43"/>
      <c r="HD76" s="43"/>
      <c r="HE76" s="43"/>
      <c r="HF76" s="43"/>
      <c r="HG76" s="43"/>
      <c r="HH76" s="43"/>
      <c r="HI76" s="43"/>
      <c r="HJ76" s="43"/>
      <c r="HK76" s="43"/>
      <c r="HL76" s="43"/>
      <c r="HM76" s="43"/>
      <c r="HN76" s="43"/>
      <c r="HO76" s="43"/>
      <c r="HP76" s="43"/>
      <c r="HQ76" s="43"/>
      <c r="HR76"/>
      <c r="HS76"/>
      <c r="HT76"/>
      <c r="HU76"/>
      <c r="HV76"/>
      <c r="HW76"/>
      <c r="HX76"/>
      <c r="HY76"/>
      <c r="HZ76"/>
      <c r="IA76"/>
      <c r="IB76"/>
      <c r="IC76"/>
      <c r="ID76"/>
      <c r="IE76"/>
      <c r="IF76"/>
      <c r="IG76"/>
      <c r="IH76"/>
      <c r="II76"/>
      <c r="IJ76"/>
      <c r="IK76" s="32"/>
      <c r="IL76" s="32"/>
      <c r="IM76" s="32"/>
      <c r="IN76" s="32"/>
      <c r="IO76" s="32"/>
      <c r="IP76" s="32"/>
      <c r="IQ76" s="32"/>
    </row>
    <row r="77" spans="1:251" s="33" customFormat="1" ht="12.75" customHeight="1">
      <c r="A77" s="262" t="s">
        <v>560</v>
      </c>
      <c r="B77" s="32"/>
      <c r="C77" s="32"/>
      <c r="D77" s="50">
        <f t="shared" ref="D77:AB77" si="52">D75/D67</f>
        <v>0.86145582515280605</v>
      </c>
      <c r="E77" s="50">
        <f t="shared" si="52"/>
        <v>0.88350212348905588</v>
      </c>
      <c r="F77" s="50">
        <f t="shared" si="52"/>
        <v>1.8723758747084305</v>
      </c>
      <c r="G77" s="50">
        <f t="shared" si="52"/>
        <v>1.100407747196738</v>
      </c>
      <c r="H77" s="50">
        <f t="shared" si="52"/>
        <v>1.1972481774309478</v>
      </c>
      <c r="I77" s="50">
        <f t="shared" si="52"/>
        <v>0.9785577847164898</v>
      </c>
      <c r="J77" s="50">
        <f t="shared" si="52"/>
        <v>0.74819300644657161</v>
      </c>
      <c r="K77" s="50">
        <f t="shared" si="52"/>
        <v>0.67026073318957069</v>
      </c>
      <c r="L77" s="50">
        <f t="shared" si="52"/>
        <v>0.47197051919533556</v>
      </c>
      <c r="M77" s="50">
        <f t="shared" si="52"/>
        <v>0.67011530563891963</v>
      </c>
      <c r="N77" s="50">
        <f t="shared" si="52"/>
        <v>0.59534332219467501</v>
      </c>
      <c r="O77" s="50">
        <f t="shared" si="52"/>
        <v>1.5015842839036755</v>
      </c>
      <c r="P77" s="50">
        <f t="shared" si="52"/>
        <v>2.6428571428571428</v>
      </c>
      <c r="Q77" s="50">
        <f t="shared" si="52"/>
        <v>2.9371316306483299</v>
      </c>
      <c r="R77" s="50">
        <f t="shared" si="52"/>
        <v>2.3472569778633301</v>
      </c>
      <c r="S77" s="50">
        <f t="shared" si="52"/>
        <v>3.7168069508552812</v>
      </c>
      <c r="T77" s="50">
        <f t="shared" si="52"/>
        <v>4.3779179810725548</v>
      </c>
      <c r="U77" s="50">
        <f t="shared" si="52"/>
        <v>3.5252549781447304</v>
      </c>
      <c r="V77" s="50">
        <f>V75/V67</f>
        <v>4.8813953488372093</v>
      </c>
      <c r="W77" s="50">
        <f t="shared" si="52"/>
        <v>4.4966933518969716</v>
      </c>
      <c r="X77" s="50">
        <f t="shared" ref="X77" si="53">X75/X67</f>
        <v>1.0867454787442261</v>
      </c>
      <c r="Y77" s="50">
        <f t="shared" si="52"/>
        <v>1.130090856518601</v>
      </c>
      <c r="Z77" s="50">
        <f ca="1">Z75/Z67</f>
        <v>0.96104314680328506</v>
      </c>
      <c r="AA77" s="50">
        <f t="shared" ca="1" si="52"/>
        <v>0.8819362235267254</v>
      </c>
      <c r="AB77" s="50">
        <f t="shared" ca="1" si="52"/>
        <v>0.87363997921209191</v>
      </c>
      <c r="AC77" s="50">
        <f ca="1">AC75/AC67</f>
        <v>0.86028989841910275</v>
      </c>
      <c r="AD77" s="50">
        <f ca="1">AD75/AD67</f>
        <v>0.83994813967210513</v>
      </c>
      <c r="AE77" s="50">
        <f ca="1">AE75/AE67</f>
        <v>0.81352527023624488</v>
      </c>
      <c r="AF77" s="50">
        <f ca="1">AF75/AF67</f>
        <v>0.78212784367710209</v>
      </c>
      <c r="AG77" s="50">
        <f ca="1">AG75/AG67</f>
        <v>0.74694755329767615</v>
      </c>
      <c r="AH77" s="43"/>
      <c r="AI77" s="43"/>
      <c r="AJ77" s="43"/>
      <c r="AK77" s="43"/>
      <c r="AL77" s="43"/>
      <c r="AM77" s="43"/>
      <c r="AN77" s="43"/>
      <c r="AO77" s="43"/>
      <c r="AP77" s="43"/>
      <c r="AQ77" s="43"/>
      <c r="AR77" s="43"/>
      <c r="AS77" s="43"/>
      <c r="AT77" s="43"/>
      <c r="AU77" s="43"/>
      <c r="AV77" s="43"/>
      <c r="AW77" s="43"/>
      <c r="AX77" s="43"/>
      <c r="AY77" s="43"/>
      <c r="AZ77" s="43"/>
      <c r="BA77" s="43"/>
      <c r="BB77" s="43"/>
      <c r="BC77" s="43"/>
      <c r="BD77" s="43"/>
      <c r="BE77" s="43"/>
      <c r="BF77" s="43"/>
      <c r="BG77" s="43"/>
      <c r="BH77" s="43"/>
      <c r="BI77" s="43"/>
      <c r="BJ77" s="43"/>
      <c r="BK77" s="43"/>
      <c r="BL77" s="43"/>
      <c r="BM77" s="43"/>
      <c r="BN77" s="43"/>
      <c r="BO77" s="43"/>
      <c r="BP77" s="43"/>
      <c r="BQ77" s="43"/>
      <c r="BR77" s="43"/>
      <c r="BS77" s="43"/>
      <c r="BT77" s="43"/>
      <c r="BU77" s="43"/>
      <c r="BV77" s="43"/>
      <c r="BW77" s="43"/>
      <c r="BX77" s="43"/>
      <c r="BY77" s="43"/>
      <c r="BZ77" s="43"/>
      <c r="CA77" s="43"/>
      <c r="CB77" s="43"/>
      <c r="CC77" s="43"/>
      <c r="CD77" s="43"/>
      <c r="CE77" s="43"/>
      <c r="CF77" s="43"/>
      <c r="CG77" s="43"/>
      <c r="CH77" s="43"/>
      <c r="CI77" s="43"/>
      <c r="CJ77" s="43"/>
      <c r="CK77" s="43"/>
      <c r="CL77" s="43"/>
      <c r="CM77" s="43"/>
      <c r="CN77" s="43"/>
      <c r="CO77" s="43"/>
      <c r="CP77" s="43"/>
      <c r="CQ77" s="43"/>
      <c r="CR77" s="43"/>
      <c r="CS77" s="43"/>
      <c r="CT77" s="43"/>
      <c r="CU77" s="43"/>
      <c r="CV77" s="43"/>
      <c r="CW77" s="43"/>
      <c r="CX77" s="43"/>
      <c r="CY77" s="43"/>
      <c r="CZ77" s="43"/>
      <c r="DA77" s="43"/>
      <c r="DB77" s="43"/>
      <c r="DC77" s="43"/>
      <c r="DD77" s="43"/>
      <c r="DE77" s="43"/>
      <c r="DF77" s="43"/>
      <c r="DG77" s="43"/>
      <c r="DH77" s="43"/>
      <c r="DI77" s="43"/>
      <c r="DJ77" s="43"/>
      <c r="DK77" s="43"/>
      <c r="DL77" s="43"/>
      <c r="DM77" s="43"/>
      <c r="DN77" s="43"/>
      <c r="DO77" s="43"/>
      <c r="DP77" s="43"/>
      <c r="DQ77" s="43"/>
      <c r="DR77" s="43"/>
      <c r="DS77" s="43"/>
      <c r="DT77" s="43"/>
      <c r="DU77" s="43"/>
      <c r="DV77" s="43"/>
      <c r="DW77" s="43"/>
      <c r="DX77" s="43"/>
      <c r="DY77" s="43"/>
      <c r="DZ77" s="43"/>
      <c r="EA77" s="43"/>
      <c r="EB77" s="43"/>
      <c r="EC77" s="43"/>
      <c r="ED77" s="43"/>
      <c r="EE77" s="43"/>
      <c r="EF77" s="43"/>
      <c r="EG77" s="43"/>
      <c r="EH77" s="43"/>
      <c r="EI77" s="43"/>
      <c r="EJ77" s="43"/>
      <c r="EK77" s="43"/>
      <c r="EL77" s="43"/>
      <c r="EM77" s="43"/>
      <c r="EN77" s="43"/>
      <c r="EO77" s="43"/>
      <c r="EP77" s="43"/>
      <c r="EQ77" s="43"/>
      <c r="ER77" s="43"/>
      <c r="ES77" s="43"/>
      <c r="ET77" s="43"/>
      <c r="EU77" s="43"/>
      <c r="EV77" s="43"/>
      <c r="EW77" s="43"/>
      <c r="EX77" s="43"/>
      <c r="EY77" s="43"/>
      <c r="EZ77" s="43"/>
      <c r="FA77" s="43"/>
      <c r="FB77" s="43"/>
      <c r="FC77" s="43"/>
      <c r="FD77" s="43"/>
      <c r="FE77" s="43"/>
      <c r="FF77" s="43"/>
      <c r="FG77" s="43"/>
      <c r="FH77" s="43"/>
      <c r="FI77" s="43"/>
      <c r="FJ77" s="43"/>
      <c r="FK77" s="43"/>
      <c r="FL77" s="43"/>
      <c r="FM77" s="43"/>
      <c r="FN77" s="43"/>
      <c r="FO77" s="43"/>
      <c r="FP77" s="43"/>
      <c r="FQ77" s="43"/>
      <c r="FR77" s="43"/>
      <c r="FS77" s="43"/>
      <c r="FT77" s="43"/>
      <c r="FU77" s="43"/>
      <c r="FV77" s="43"/>
      <c r="FW77" s="43"/>
      <c r="FX77" s="43"/>
      <c r="FY77" s="43"/>
      <c r="FZ77" s="43"/>
      <c r="GA77" s="43"/>
      <c r="GB77" s="43"/>
      <c r="GC77" s="43"/>
      <c r="GD77" s="43"/>
      <c r="GE77" s="43"/>
      <c r="GF77" s="43"/>
      <c r="GG77" s="43"/>
      <c r="GH77" s="43"/>
      <c r="GI77" s="43"/>
      <c r="GJ77" s="43"/>
      <c r="GK77" s="43"/>
      <c r="GL77" s="43"/>
      <c r="GM77" s="43"/>
      <c r="GN77" s="43"/>
      <c r="GO77" s="43"/>
      <c r="GP77" s="43"/>
      <c r="GQ77" s="43"/>
      <c r="GR77" s="43"/>
      <c r="GS77" s="43"/>
      <c r="GT77" s="43"/>
      <c r="GU77" s="43"/>
      <c r="GV77" s="43"/>
      <c r="GW77" s="43"/>
      <c r="GX77" s="43"/>
      <c r="GY77" s="43"/>
      <c r="GZ77" s="43"/>
      <c r="HA77" s="43"/>
      <c r="HB77" s="43"/>
      <c r="HC77" s="43"/>
      <c r="HD77" s="43"/>
      <c r="HE77" s="43"/>
      <c r="HF77" s="43"/>
      <c r="HG77" s="43"/>
      <c r="HH77" s="43"/>
      <c r="HI77" s="43"/>
      <c r="HJ77" s="43"/>
      <c r="HK77" s="43"/>
      <c r="HL77" s="43"/>
      <c r="HM77" s="43"/>
      <c r="HN77" s="43"/>
      <c r="HO77" s="43"/>
      <c r="HP77" s="43"/>
      <c r="HQ77" s="43"/>
      <c r="HR77"/>
      <c r="HS77"/>
      <c r="HT77"/>
      <c r="HU77"/>
      <c r="HV77"/>
      <c r="HW77"/>
      <c r="HX77"/>
      <c r="HY77"/>
      <c r="HZ77"/>
      <c r="IA77"/>
      <c r="IB77"/>
      <c r="IC77"/>
      <c r="ID77"/>
      <c r="IE77"/>
      <c r="IF77"/>
      <c r="IG77"/>
      <c r="IH77"/>
      <c r="II77"/>
      <c r="IJ77"/>
      <c r="IK77" s="32"/>
      <c r="IL77" s="32"/>
      <c r="IM77" s="32"/>
      <c r="IN77" s="32"/>
      <c r="IO77" s="32"/>
      <c r="IP77" s="32"/>
      <c r="IQ77" s="32"/>
    </row>
    <row r="78" spans="1:251" s="33" customFormat="1" ht="12.75" customHeight="1">
      <c r="A78" s="146" t="s">
        <v>561</v>
      </c>
      <c r="B78" s="32"/>
      <c r="C78" s="32"/>
      <c r="D78" s="156">
        <f t="shared" ref="D78:AB78" si="54">D75+D67</f>
        <v>30150</v>
      </c>
      <c r="E78" s="156">
        <f t="shared" si="54"/>
        <v>28827</v>
      </c>
      <c r="F78" s="156">
        <f t="shared" si="54"/>
        <v>43100</v>
      </c>
      <c r="G78" s="156">
        <f t="shared" si="54"/>
        <v>41210</v>
      </c>
      <c r="H78" s="156">
        <f t="shared" si="54"/>
        <v>42798</v>
      </c>
      <c r="I78" s="156">
        <f t="shared" si="54"/>
        <v>49615.7</v>
      </c>
      <c r="J78" s="156">
        <f t="shared" si="54"/>
        <v>53694</v>
      </c>
      <c r="K78" s="156">
        <f t="shared" si="54"/>
        <v>59640</v>
      </c>
      <c r="L78" s="156">
        <f t="shared" si="54"/>
        <v>58318</v>
      </c>
      <c r="M78" s="156">
        <f t="shared" si="54"/>
        <v>21147</v>
      </c>
      <c r="N78" s="156">
        <f t="shared" si="54"/>
        <v>29600</v>
      </c>
      <c r="O78" s="156">
        <f t="shared" si="54"/>
        <v>7895</v>
      </c>
      <c r="P78" s="156">
        <f t="shared" si="54"/>
        <v>10302</v>
      </c>
      <c r="Q78" s="156">
        <f t="shared" si="54"/>
        <v>16032</v>
      </c>
      <c r="R78" s="156">
        <f t="shared" si="54"/>
        <v>17389</v>
      </c>
      <c r="S78" s="156">
        <f t="shared" si="54"/>
        <v>17372</v>
      </c>
      <c r="T78" s="156">
        <f t="shared" si="54"/>
        <v>17048</v>
      </c>
      <c r="U78" s="156">
        <f t="shared" si="54"/>
        <v>18635</v>
      </c>
      <c r="V78" s="156">
        <f>V75+V67</f>
        <v>17703</v>
      </c>
      <c r="W78" s="156">
        <f t="shared" si="54"/>
        <v>15792</v>
      </c>
      <c r="X78" s="156">
        <f t="shared" ref="X78" si="55">X75+X67</f>
        <v>26654</v>
      </c>
      <c r="Y78" s="156">
        <f t="shared" si="54"/>
        <v>24279.198583502992</v>
      </c>
      <c r="Z78" s="156">
        <f ca="1">Z75+Z67</f>
        <v>24243.608317347389</v>
      </c>
      <c r="AA78" s="156">
        <f t="shared" ca="1" si="54"/>
        <v>23218.626814429481</v>
      </c>
      <c r="AB78" s="156">
        <f t="shared" ca="1" si="54"/>
        <v>23335.787165089707</v>
      </c>
      <c r="AC78" s="156">
        <f ca="1">AC75+AC67</f>
        <v>23529.062031177265</v>
      </c>
      <c r="AD78" s="156">
        <f ca="1">AD75+AD67</f>
        <v>23835.371211831807</v>
      </c>
      <c r="AE78" s="156">
        <f ca="1">AE75+AE67</f>
        <v>24256.122320220238</v>
      </c>
      <c r="AF78" s="156">
        <f ca="1">AF75+AF67</f>
        <v>24793.047867831912</v>
      </c>
      <c r="AG78" s="156">
        <f ca="1">AG75+AG67</f>
        <v>25448.287826249383</v>
      </c>
      <c r="AH78" s="43"/>
      <c r="AI78" s="43"/>
      <c r="AJ78" s="43"/>
      <c r="AK78" s="43"/>
      <c r="AL78" s="43"/>
      <c r="AM78" s="43"/>
      <c r="AN78" s="43"/>
      <c r="AO78" s="43"/>
      <c r="AP78" s="43"/>
      <c r="AQ78" s="43"/>
      <c r="AR78" s="43"/>
      <c r="AS78" s="43"/>
      <c r="AT78" s="43"/>
      <c r="AU78" s="43"/>
      <c r="AV78" s="43"/>
      <c r="AW78" s="43"/>
      <c r="AX78" s="43"/>
      <c r="AY78" s="43"/>
      <c r="AZ78" s="43"/>
      <c r="BA78" s="43"/>
      <c r="BB78" s="43"/>
      <c r="BC78" s="43"/>
      <c r="BD78" s="43"/>
      <c r="BE78" s="43"/>
      <c r="BF78" s="43"/>
      <c r="BG78" s="43"/>
      <c r="BH78" s="43"/>
      <c r="BI78" s="43"/>
      <c r="BJ78" s="43"/>
      <c r="BK78" s="43"/>
      <c r="BL78" s="43"/>
      <c r="BM78" s="43"/>
      <c r="BN78" s="43"/>
      <c r="BO78" s="43"/>
      <c r="BP78" s="43"/>
      <c r="BQ78" s="43"/>
      <c r="BR78" s="43"/>
      <c r="BS78" s="43"/>
      <c r="BT78" s="43"/>
      <c r="BU78" s="43"/>
      <c r="BV78" s="43"/>
      <c r="BW78" s="43"/>
      <c r="BX78" s="43"/>
      <c r="BY78" s="43"/>
      <c r="BZ78" s="43"/>
      <c r="CA78" s="43"/>
      <c r="CB78" s="43"/>
      <c r="CC78" s="43"/>
      <c r="CD78" s="43"/>
      <c r="CE78" s="43"/>
      <c r="CF78" s="43"/>
      <c r="CG78" s="43"/>
      <c r="CH78" s="43"/>
      <c r="CI78" s="43"/>
      <c r="CJ78" s="43"/>
      <c r="CK78" s="43"/>
      <c r="CL78" s="43"/>
      <c r="CM78" s="43"/>
      <c r="CN78" s="43"/>
      <c r="CO78" s="43"/>
      <c r="CP78" s="43"/>
      <c r="CQ78" s="43"/>
      <c r="CR78" s="43"/>
      <c r="CS78" s="43"/>
      <c r="CT78" s="43"/>
      <c r="CU78" s="43"/>
      <c r="CV78" s="43"/>
      <c r="CW78" s="43"/>
      <c r="CX78" s="43"/>
      <c r="CY78" s="43"/>
      <c r="CZ78" s="43"/>
      <c r="DA78" s="43"/>
      <c r="DB78" s="43"/>
      <c r="DC78" s="43"/>
      <c r="DD78" s="43"/>
      <c r="DE78" s="43"/>
      <c r="DF78" s="43"/>
      <c r="DG78" s="43"/>
      <c r="DH78" s="43"/>
      <c r="DI78" s="43"/>
      <c r="DJ78" s="43"/>
      <c r="DK78" s="43"/>
      <c r="DL78" s="43"/>
      <c r="DM78" s="43"/>
      <c r="DN78" s="43"/>
      <c r="DO78" s="43"/>
      <c r="DP78" s="43"/>
      <c r="DQ78" s="43"/>
      <c r="DR78" s="43"/>
      <c r="DS78" s="43"/>
      <c r="DT78" s="43"/>
      <c r="DU78" s="43"/>
      <c r="DV78" s="43"/>
      <c r="DW78" s="43"/>
      <c r="DX78" s="43"/>
      <c r="DY78" s="43"/>
      <c r="DZ78" s="43"/>
      <c r="EA78" s="43"/>
      <c r="EB78" s="43"/>
      <c r="EC78" s="43"/>
      <c r="ED78" s="43"/>
      <c r="EE78" s="43"/>
      <c r="EF78" s="43"/>
      <c r="EG78" s="43"/>
      <c r="EH78" s="43"/>
      <c r="EI78" s="43"/>
      <c r="EJ78" s="43"/>
      <c r="EK78" s="43"/>
      <c r="EL78" s="43"/>
      <c r="EM78" s="43"/>
      <c r="EN78" s="43"/>
      <c r="EO78" s="43"/>
      <c r="EP78" s="43"/>
      <c r="EQ78" s="43"/>
      <c r="ER78" s="43"/>
      <c r="ES78" s="43"/>
      <c r="ET78" s="43"/>
      <c r="EU78" s="43"/>
      <c r="EV78" s="43"/>
      <c r="EW78" s="43"/>
      <c r="EX78" s="43"/>
      <c r="EY78" s="43"/>
      <c r="EZ78" s="43"/>
      <c r="FA78" s="43"/>
      <c r="FB78" s="43"/>
      <c r="FC78" s="43"/>
      <c r="FD78" s="43"/>
      <c r="FE78" s="43"/>
      <c r="FF78" s="43"/>
      <c r="FG78" s="43"/>
      <c r="FH78" s="43"/>
      <c r="FI78" s="43"/>
      <c r="FJ78" s="43"/>
      <c r="FK78" s="43"/>
      <c r="FL78" s="43"/>
      <c r="FM78" s="43"/>
      <c r="FN78" s="43"/>
      <c r="FO78" s="43"/>
      <c r="FP78" s="43"/>
      <c r="FQ78" s="43"/>
      <c r="FR78" s="43"/>
      <c r="FS78" s="43"/>
      <c r="FT78" s="43"/>
      <c r="FU78" s="43"/>
      <c r="FV78" s="43"/>
      <c r="FW78" s="43"/>
      <c r="FX78" s="43"/>
      <c r="FY78" s="43"/>
      <c r="FZ78" s="43"/>
      <c r="GA78" s="43"/>
      <c r="GB78" s="43"/>
      <c r="GC78" s="43"/>
      <c r="GD78" s="43"/>
      <c r="GE78" s="43"/>
      <c r="GF78" s="43"/>
      <c r="GG78" s="43"/>
      <c r="GH78" s="43"/>
      <c r="GI78" s="43"/>
      <c r="GJ78" s="43"/>
      <c r="GK78" s="43"/>
      <c r="GL78" s="43"/>
      <c r="GM78" s="43"/>
      <c r="GN78" s="43"/>
      <c r="GO78" s="43"/>
      <c r="GP78" s="43"/>
      <c r="GQ78" s="43"/>
      <c r="GR78" s="43"/>
      <c r="GS78" s="43"/>
      <c r="GT78" s="43"/>
      <c r="GU78" s="43"/>
      <c r="GV78" s="43"/>
      <c r="GW78" s="43"/>
      <c r="GX78" s="43"/>
      <c r="GY78" s="43"/>
      <c r="GZ78" s="43"/>
      <c r="HA78" s="43"/>
      <c r="HB78" s="43"/>
      <c r="HC78" s="43"/>
      <c r="HD78" s="43"/>
      <c r="HE78" s="43"/>
      <c r="HF78" s="43"/>
      <c r="HG78" s="43"/>
      <c r="HH78" s="43"/>
      <c r="HI78" s="43"/>
      <c r="HJ78" s="43"/>
      <c r="HK78" s="43"/>
      <c r="HL78" s="43"/>
      <c r="HM78" s="43"/>
      <c r="HN78" s="43"/>
      <c r="HO78" s="43"/>
      <c r="HP78" s="43"/>
      <c r="HQ78" s="43"/>
      <c r="HR78"/>
      <c r="HS78"/>
      <c r="HT78"/>
      <c r="HU78"/>
      <c r="HV78"/>
      <c r="HW78"/>
      <c r="HX78"/>
      <c r="HY78"/>
      <c r="HZ78"/>
      <c r="IA78"/>
      <c r="IB78"/>
      <c r="IC78"/>
      <c r="ID78"/>
      <c r="IE78"/>
      <c r="IF78"/>
      <c r="IG78"/>
      <c r="IH78"/>
      <c r="II78"/>
      <c r="IJ78"/>
      <c r="IK78" s="32"/>
      <c r="IL78" s="32"/>
      <c r="IM78" s="32"/>
      <c r="IN78" s="32"/>
      <c r="IO78" s="32"/>
      <c r="IP78" s="32"/>
      <c r="IQ78" s="32"/>
    </row>
    <row r="79" spans="1:251" s="33" customFormat="1" ht="12.75" customHeight="1">
      <c r="A79" s="262" t="s">
        <v>562</v>
      </c>
      <c r="B79" s="32"/>
      <c r="C79" s="32"/>
      <c r="D79" s="50">
        <f>D75/D78</f>
        <v>0.46278606965174129</v>
      </c>
      <c r="E79" s="50">
        <f t="shared" ref="E79:R79" si="56">E75/E78</f>
        <v>0.46907413189024177</v>
      </c>
      <c r="F79" s="50">
        <f t="shared" si="56"/>
        <v>0.65185614849187934</v>
      </c>
      <c r="G79" s="50">
        <f t="shared" si="56"/>
        <v>0.52390196554234414</v>
      </c>
      <c r="H79" s="50">
        <f t="shared" si="56"/>
        <v>0.54488527501285111</v>
      </c>
      <c r="I79" s="50">
        <f t="shared" si="56"/>
        <v>0.49458135227357475</v>
      </c>
      <c r="J79" s="50">
        <f t="shared" si="56"/>
        <v>0.42798077997541623</v>
      </c>
      <c r="K79" s="50">
        <f t="shared" si="56"/>
        <v>0.40129107981220657</v>
      </c>
      <c r="L79" s="50">
        <f t="shared" si="56"/>
        <v>0.32063856785212114</v>
      </c>
      <c r="M79" s="50">
        <f t="shared" si="56"/>
        <v>0.40123894642266045</v>
      </c>
      <c r="N79" s="50">
        <f t="shared" si="56"/>
        <v>0.37317567567567567</v>
      </c>
      <c r="O79" s="50">
        <f t="shared" si="56"/>
        <v>0.60025332488917038</v>
      </c>
      <c r="P79" s="50">
        <f t="shared" si="56"/>
        <v>0.72549019607843135</v>
      </c>
      <c r="Q79" s="50">
        <f t="shared" si="56"/>
        <v>0.74600798403193613</v>
      </c>
      <c r="R79" s="50">
        <f t="shared" si="56"/>
        <v>0.70124791534878372</v>
      </c>
      <c r="S79" s="50">
        <f t="shared" ref="S79:Y79" si="57">S75/S78</f>
        <v>0.78799217131015431</v>
      </c>
      <c r="T79" s="50">
        <f t="shared" si="57"/>
        <v>0.81405443453777571</v>
      </c>
      <c r="U79" s="50">
        <f t="shared" si="57"/>
        <v>0.77901797692514085</v>
      </c>
      <c r="V79" s="50">
        <f>V75/V78</f>
        <v>0.82997232107552388</v>
      </c>
      <c r="W79" s="50">
        <f t="shared" si="57"/>
        <v>0.81807244174265448</v>
      </c>
      <c r="X79" s="50">
        <f t="shared" ref="X79" si="58">X75/X78</f>
        <v>0.52078487281458696</v>
      </c>
      <c r="Y79" s="50">
        <f t="shared" si="57"/>
        <v>0.53053645719394804</v>
      </c>
      <c r="Z79" s="50">
        <f t="shared" ref="Z79:AG79" ca="1" si="59">Z75/Z78</f>
        <v>0.49006731359781175</v>
      </c>
      <c r="AA79" s="50">
        <f t="shared" ca="1" si="59"/>
        <v>0.46863236516803303</v>
      </c>
      <c r="AB79" s="50">
        <f t="shared" ca="1" si="59"/>
        <v>0.46627953550578982</v>
      </c>
      <c r="AC79" s="50">
        <f t="shared" ca="1" si="59"/>
        <v>0.46244937369717898</v>
      </c>
      <c r="AD79" s="50">
        <f t="shared" ca="1" si="59"/>
        <v>0.45650642078520282</v>
      </c>
      <c r="AE79" s="50">
        <f t="shared" ca="1" si="59"/>
        <v>0.44858777740123151</v>
      </c>
      <c r="AF79" s="50">
        <f t="shared" ca="1" si="59"/>
        <v>0.43887302835879677</v>
      </c>
      <c r="AG79" s="50">
        <f t="shared" ca="1" si="59"/>
        <v>0.42757296971376096</v>
      </c>
      <c r="AH79" s="43"/>
      <c r="AI79" s="43"/>
      <c r="AJ79" s="43"/>
      <c r="AK79" s="43"/>
      <c r="AL79" s="43"/>
      <c r="AM79" s="43"/>
      <c r="AN79" s="43"/>
      <c r="AO79" s="43"/>
      <c r="AP79" s="43"/>
      <c r="AQ79" s="43"/>
      <c r="AR79" s="43"/>
      <c r="AS79" s="43"/>
      <c r="AT79" s="43"/>
      <c r="AU79" s="43"/>
      <c r="AV79" s="43"/>
      <c r="AW79" s="43"/>
      <c r="AX79" s="43"/>
      <c r="AY79" s="43"/>
      <c r="AZ79" s="43"/>
      <c r="BA79" s="43"/>
      <c r="BB79" s="43"/>
      <c r="BC79" s="43"/>
      <c r="BD79" s="43"/>
      <c r="BE79" s="43"/>
      <c r="BF79" s="43"/>
      <c r="BG79" s="43"/>
      <c r="BH79" s="43"/>
      <c r="BI79" s="43"/>
      <c r="BJ79" s="43"/>
      <c r="BK79" s="43"/>
      <c r="BL79" s="43"/>
      <c r="BM79" s="43"/>
      <c r="BN79" s="43"/>
      <c r="BO79" s="43"/>
      <c r="BP79" s="43"/>
      <c r="BQ79" s="43"/>
      <c r="BR79" s="43"/>
      <c r="BS79" s="43"/>
      <c r="BT79" s="43"/>
      <c r="BU79" s="43"/>
      <c r="BV79" s="43"/>
      <c r="BW79" s="43"/>
      <c r="BX79" s="43"/>
      <c r="BY79" s="43"/>
      <c r="BZ79" s="43"/>
      <c r="CA79" s="43"/>
      <c r="CB79" s="43"/>
      <c r="CC79" s="43"/>
      <c r="CD79" s="43"/>
      <c r="CE79" s="43"/>
      <c r="CF79" s="43"/>
      <c r="CG79" s="43"/>
      <c r="CH79" s="43"/>
      <c r="CI79" s="43"/>
      <c r="CJ79" s="43"/>
      <c r="CK79" s="43"/>
      <c r="CL79" s="43"/>
      <c r="CM79" s="43"/>
      <c r="CN79" s="43"/>
      <c r="CO79" s="43"/>
      <c r="CP79" s="43"/>
      <c r="CQ79" s="43"/>
      <c r="CR79" s="43"/>
      <c r="CS79" s="43"/>
      <c r="CT79" s="43"/>
      <c r="CU79" s="43"/>
      <c r="CV79" s="43"/>
      <c r="CW79" s="43"/>
      <c r="CX79" s="43"/>
      <c r="CY79" s="43"/>
      <c r="CZ79" s="43"/>
      <c r="DA79" s="43"/>
      <c r="DB79" s="43"/>
      <c r="DC79" s="43"/>
      <c r="DD79" s="43"/>
      <c r="DE79" s="43"/>
      <c r="DF79" s="43"/>
      <c r="DG79" s="43"/>
      <c r="DH79" s="43"/>
      <c r="DI79" s="43"/>
      <c r="DJ79" s="43"/>
      <c r="DK79" s="43"/>
      <c r="DL79" s="43"/>
      <c r="DM79" s="43"/>
      <c r="DN79" s="43"/>
      <c r="DO79" s="43"/>
      <c r="DP79" s="43"/>
      <c r="DQ79" s="43"/>
      <c r="DR79" s="43"/>
      <c r="DS79" s="43"/>
      <c r="DT79" s="43"/>
      <c r="DU79" s="43"/>
      <c r="DV79" s="43"/>
      <c r="DW79" s="43"/>
      <c r="DX79" s="43"/>
      <c r="DY79" s="43"/>
      <c r="DZ79" s="43"/>
      <c r="EA79" s="43"/>
      <c r="EB79" s="43"/>
      <c r="EC79" s="43"/>
      <c r="ED79" s="43"/>
      <c r="EE79" s="43"/>
      <c r="EF79" s="43"/>
      <c r="EG79" s="43"/>
      <c r="EH79" s="43"/>
      <c r="EI79" s="43"/>
      <c r="EJ79" s="43"/>
      <c r="EK79" s="43"/>
      <c r="EL79" s="43"/>
      <c r="EM79" s="43"/>
      <c r="EN79" s="43"/>
      <c r="EO79" s="43"/>
      <c r="EP79" s="43"/>
      <c r="EQ79" s="43"/>
      <c r="ER79" s="43"/>
      <c r="ES79" s="43"/>
      <c r="ET79" s="43"/>
      <c r="EU79" s="43"/>
      <c r="EV79" s="43"/>
      <c r="EW79" s="43"/>
      <c r="EX79" s="43"/>
      <c r="EY79" s="43"/>
      <c r="EZ79" s="43"/>
      <c r="FA79" s="43"/>
      <c r="FB79" s="43"/>
      <c r="FC79" s="43"/>
      <c r="FD79" s="43"/>
      <c r="FE79" s="43"/>
      <c r="FF79" s="43"/>
      <c r="FG79" s="43"/>
      <c r="FH79" s="43"/>
      <c r="FI79" s="43"/>
      <c r="FJ79" s="43"/>
      <c r="FK79" s="43"/>
      <c r="FL79" s="43"/>
      <c r="FM79" s="43"/>
      <c r="FN79" s="43"/>
      <c r="FO79" s="43"/>
      <c r="FP79" s="43"/>
      <c r="FQ79" s="43"/>
      <c r="FR79" s="43"/>
      <c r="FS79" s="43"/>
      <c r="FT79" s="43"/>
      <c r="FU79" s="43"/>
      <c r="FV79" s="43"/>
      <c r="FW79" s="43"/>
      <c r="FX79" s="43"/>
      <c r="FY79" s="43"/>
      <c r="FZ79" s="43"/>
      <c r="GA79" s="43"/>
      <c r="GB79" s="43"/>
      <c r="GC79" s="43"/>
      <c r="GD79" s="43"/>
      <c r="GE79" s="43"/>
      <c r="GF79" s="43"/>
      <c r="GG79" s="43"/>
      <c r="GH79" s="43"/>
      <c r="GI79" s="43"/>
      <c r="GJ79" s="43"/>
      <c r="GK79" s="43"/>
      <c r="GL79" s="43"/>
      <c r="GM79" s="43"/>
      <c r="GN79" s="43"/>
      <c r="GO79" s="43"/>
      <c r="GP79" s="43"/>
      <c r="GQ79" s="43"/>
      <c r="GR79" s="43"/>
      <c r="GS79" s="43"/>
      <c r="GT79" s="43"/>
      <c r="GU79" s="43"/>
      <c r="GV79" s="43"/>
      <c r="GW79" s="43"/>
      <c r="GX79" s="43"/>
      <c r="GY79" s="43"/>
      <c r="GZ79" s="43"/>
      <c r="HA79" s="43"/>
      <c r="HB79" s="43"/>
      <c r="HC79" s="43"/>
      <c r="HD79" s="43"/>
      <c r="HE79" s="43"/>
      <c r="HF79" s="43"/>
      <c r="HG79" s="43"/>
      <c r="HH79" s="43"/>
      <c r="HI79" s="43"/>
      <c r="HJ79" s="43"/>
      <c r="HK79" s="43"/>
      <c r="HL79" s="43"/>
      <c r="HM79" s="43"/>
      <c r="HN79" s="43"/>
      <c r="HO79" s="43"/>
      <c r="HP79" s="43"/>
      <c r="HQ79" s="43"/>
      <c r="HR79"/>
      <c r="HS79"/>
      <c r="HT79"/>
      <c r="HU79"/>
      <c r="HV79"/>
      <c r="HW79"/>
      <c r="HX79"/>
      <c r="HY79"/>
      <c r="HZ79"/>
      <c r="IA79"/>
      <c r="IB79"/>
      <c r="IC79"/>
      <c r="ID79"/>
      <c r="IE79"/>
      <c r="IF79"/>
      <c r="IG79"/>
      <c r="IH79"/>
      <c r="II79"/>
      <c r="IJ79"/>
      <c r="IK79" s="32"/>
      <c r="IL79" s="32"/>
      <c r="IM79" s="32"/>
      <c r="IN79" s="32"/>
      <c r="IO79" s="32"/>
      <c r="IP79" s="32"/>
      <c r="IQ79" s="32"/>
    </row>
    <row r="80" spans="1:251" s="33" customFormat="1" ht="12.75" customHeight="1">
      <c r="A80" s="32"/>
      <c r="B80" s="32"/>
      <c r="C80" s="32"/>
      <c r="D80" s="51"/>
      <c r="E80" s="51"/>
      <c r="F80" s="51"/>
      <c r="G80" s="51"/>
      <c r="H80" s="51"/>
      <c r="I80" s="51"/>
      <c r="J80" s="263"/>
      <c r="K80" s="263"/>
      <c r="L80" s="263"/>
      <c r="M80" s="263"/>
      <c r="N80" s="263"/>
      <c r="O80" s="263"/>
      <c r="P80" s="263"/>
      <c r="Q80" s="263"/>
      <c r="R80" s="263"/>
      <c r="S80" s="263"/>
      <c r="T80" s="118"/>
      <c r="U80" s="118"/>
      <c r="V80" s="118"/>
      <c r="W80" s="118"/>
      <c r="X80" s="118"/>
      <c r="Y80" s="118"/>
      <c r="Z80" s="118"/>
      <c r="AA80" s="118"/>
      <c r="AB80" s="118"/>
      <c r="AC80" s="118"/>
      <c r="AD80" s="118"/>
      <c r="AE80" s="118"/>
      <c r="AF80" s="118"/>
      <c r="AG80" s="118"/>
      <c r="AH80" s="43"/>
      <c r="AI80" s="43"/>
      <c r="AJ80" s="43"/>
      <c r="AK80" s="43"/>
      <c r="AL80" s="43"/>
      <c r="AM80" s="43"/>
      <c r="AN80" s="43"/>
      <c r="AO80" s="43"/>
      <c r="AP80" s="43"/>
      <c r="AQ80" s="43"/>
      <c r="AR80" s="43"/>
      <c r="AS80" s="43"/>
      <c r="AT80" s="43"/>
      <c r="AU80" s="43"/>
      <c r="AV80" s="43"/>
      <c r="AW80" s="43"/>
      <c r="AX80" s="43"/>
      <c r="AY80" s="43"/>
      <c r="AZ80" s="43"/>
      <c r="BA80" s="43"/>
      <c r="BB80" s="43"/>
      <c r="BC80" s="43"/>
      <c r="BD80" s="43"/>
      <c r="BE80" s="43"/>
      <c r="BF80" s="43"/>
      <c r="BG80" s="43"/>
      <c r="BH80" s="43"/>
      <c r="BI80" s="43"/>
      <c r="BJ80" s="43"/>
      <c r="BK80" s="43"/>
      <c r="BL80" s="43"/>
      <c r="BM80" s="43"/>
      <c r="BN80" s="43"/>
      <c r="BO80" s="43"/>
      <c r="BP80" s="43"/>
      <c r="BQ80" s="43"/>
      <c r="BR80" s="43"/>
      <c r="BS80" s="43"/>
      <c r="BT80" s="43"/>
      <c r="BU80" s="43"/>
      <c r="BV80" s="43"/>
      <c r="BW80" s="43"/>
      <c r="BX80" s="43"/>
      <c r="BY80" s="43"/>
      <c r="BZ80" s="43"/>
      <c r="CA80" s="43"/>
      <c r="CB80" s="43"/>
      <c r="CC80" s="43"/>
      <c r="CD80" s="43"/>
      <c r="CE80" s="43"/>
      <c r="CF80" s="43"/>
      <c r="CG80" s="43"/>
      <c r="CH80" s="43"/>
      <c r="CI80" s="43"/>
      <c r="CJ80" s="43"/>
      <c r="CK80" s="43"/>
      <c r="CL80" s="43"/>
      <c r="CM80" s="43"/>
      <c r="CN80" s="43"/>
      <c r="CO80" s="43"/>
      <c r="CP80" s="43"/>
      <c r="CQ80" s="43"/>
      <c r="CR80" s="43"/>
      <c r="CS80" s="43"/>
      <c r="CT80" s="43"/>
      <c r="CU80" s="43"/>
      <c r="CV80" s="43"/>
      <c r="CW80" s="43"/>
      <c r="CX80" s="43"/>
      <c r="CY80" s="43"/>
      <c r="CZ80" s="43"/>
      <c r="DA80" s="43"/>
      <c r="DB80" s="43"/>
      <c r="DC80" s="43"/>
      <c r="DD80" s="43"/>
      <c r="DE80" s="43"/>
      <c r="DF80" s="43"/>
      <c r="DG80" s="43"/>
      <c r="DH80" s="43"/>
      <c r="DI80" s="43"/>
      <c r="DJ80" s="43"/>
      <c r="DK80" s="43"/>
      <c r="DL80" s="43"/>
      <c r="DM80" s="43"/>
      <c r="DN80" s="43"/>
      <c r="DO80" s="43"/>
      <c r="DP80" s="43"/>
      <c r="DQ80" s="43"/>
      <c r="DR80" s="43"/>
      <c r="DS80" s="43"/>
      <c r="DT80" s="43"/>
      <c r="DU80" s="43"/>
      <c r="DV80" s="43"/>
      <c r="DW80" s="43"/>
      <c r="DX80" s="43"/>
      <c r="DY80" s="43"/>
      <c r="DZ80" s="43"/>
      <c r="EA80" s="43"/>
      <c r="EB80" s="43"/>
      <c r="EC80" s="43"/>
      <c r="ED80" s="43"/>
      <c r="EE80" s="43"/>
      <c r="EF80" s="43"/>
      <c r="EG80" s="43"/>
      <c r="EH80" s="43"/>
      <c r="EI80" s="43"/>
      <c r="EJ80" s="43"/>
      <c r="EK80" s="43"/>
      <c r="EL80" s="43"/>
      <c r="EM80" s="43"/>
      <c r="EN80" s="43"/>
      <c r="EO80" s="43"/>
      <c r="EP80" s="43"/>
      <c r="EQ80" s="43"/>
      <c r="ER80" s="43"/>
      <c r="ES80" s="43"/>
      <c r="ET80" s="43"/>
      <c r="EU80" s="43"/>
      <c r="EV80" s="43"/>
      <c r="EW80" s="43"/>
      <c r="EX80" s="43"/>
      <c r="EY80" s="43"/>
      <c r="EZ80" s="43"/>
      <c r="FA80" s="43"/>
      <c r="FB80" s="43"/>
      <c r="FC80" s="43"/>
      <c r="FD80" s="43"/>
      <c r="FE80" s="43"/>
      <c r="FF80" s="43"/>
      <c r="FG80" s="43"/>
      <c r="FH80" s="43"/>
      <c r="FI80" s="43"/>
      <c r="FJ80" s="43"/>
      <c r="FK80" s="43"/>
      <c r="FL80" s="43"/>
      <c r="FM80" s="43"/>
      <c r="FN80" s="43"/>
      <c r="FO80" s="43"/>
      <c r="FP80" s="43"/>
      <c r="FQ80" s="43"/>
      <c r="FR80" s="43"/>
      <c r="FS80" s="43"/>
      <c r="FT80" s="43"/>
      <c r="FU80" s="43"/>
      <c r="FV80" s="43"/>
      <c r="FW80" s="43"/>
      <c r="FX80" s="43"/>
      <c r="FY80" s="43"/>
      <c r="FZ80" s="43"/>
      <c r="GA80" s="43"/>
      <c r="GB80" s="43"/>
      <c r="GC80" s="43"/>
      <c r="GD80" s="43"/>
      <c r="GE80" s="43"/>
      <c r="GF80" s="43"/>
      <c r="GG80" s="43"/>
      <c r="GH80" s="43"/>
      <c r="GI80" s="43"/>
      <c r="GJ80" s="43"/>
      <c r="GK80" s="43"/>
      <c r="GL80" s="43"/>
      <c r="GM80" s="43"/>
      <c r="GN80" s="43"/>
      <c r="GO80" s="43"/>
      <c r="GP80" s="43"/>
      <c r="GQ80" s="43"/>
      <c r="GR80" s="43"/>
      <c r="GS80" s="43"/>
      <c r="GT80" s="43"/>
      <c r="GU80" s="43"/>
      <c r="GV80" s="43"/>
      <c r="GW80" s="43"/>
      <c r="GX80" s="43"/>
      <c r="GY80" s="43"/>
      <c r="GZ80" s="43"/>
      <c r="HA80" s="43"/>
      <c r="HB80" s="43"/>
      <c r="HC80" s="43"/>
      <c r="HD80" s="43"/>
      <c r="HE80" s="43"/>
      <c r="HF80" s="43"/>
      <c r="HG80" s="43"/>
      <c r="HH80" s="43"/>
      <c r="HI80" s="43"/>
      <c r="HJ80" s="43"/>
      <c r="HK80" s="43"/>
      <c r="HL80" s="43"/>
      <c r="HM80" s="43"/>
      <c r="HN80" s="43"/>
      <c r="HO80" s="43"/>
      <c r="HP80" s="43"/>
      <c r="HQ80" s="43"/>
      <c r="HR80"/>
      <c r="HS80"/>
      <c r="HT80"/>
      <c r="HU80"/>
      <c r="HV80"/>
      <c r="HW80"/>
      <c r="HX80"/>
      <c r="HY80"/>
      <c r="HZ80"/>
      <c r="IA80"/>
      <c r="IB80"/>
      <c r="IC80"/>
      <c r="ID80"/>
      <c r="IE80"/>
      <c r="IF80"/>
      <c r="IG80"/>
      <c r="IH80"/>
      <c r="II80"/>
      <c r="IJ80"/>
      <c r="IK80" s="32"/>
      <c r="IL80" s="32"/>
      <c r="IM80" s="32"/>
      <c r="IN80" s="32"/>
      <c r="IO80" s="32"/>
      <c r="IP80" s="32"/>
      <c r="IQ80" s="32"/>
    </row>
    <row r="81" spans="1:251" s="33" customFormat="1" ht="12.75" customHeight="1">
      <c r="A81" s="43" t="s">
        <v>563</v>
      </c>
      <c r="B81" s="32"/>
      <c r="C81" s="32"/>
      <c r="D81" s="83">
        <f t="shared" ref="D81:AB81" si="60">D75-D9+D40</f>
        <v>11007</v>
      </c>
      <c r="E81" s="83">
        <f t="shared" si="60"/>
        <v>10742</v>
      </c>
      <c r="F81" s="83">
        <f t="shared" si="60"/>
        <v>29882</v>
      </c>
      <c r="G81" s="83">
        <f t="shared" si="60"/>
        <v>24347</v>
      </c>
      <c r="H81" s="83">
        <f t="shared" si="60"/>
        <v>25782</v>
      </c>
      <c r="I81" s="83">
        <f t="shared" si="60"/>
        <v>24292</v>
      </c>
      <c r="J81" s="83">
        <f>J75-J9+J40</f>
        <v>21455.914045780362</v>
      </c>
      <c r="K81" s="83">
        <f>K75-K9+K40</f>
        <v>21896.914045780362</v>
      </c>
      <c r="L81" s="83">
        <f t="shared" si="60"/>
        <v>17949.914045780362</v>
      </c>
      <c r="M81" s="83">
        <f t="shared" si="60"/>
        <v>7256</v>
      </c>
      <c r="N81" s="83">
        <f t="shared" si="60"/>
        <v>8534</v>
      </c>
      <c r="O81" s="83">
        <f t="shared" si="60"/>
        <v>3883</v>
      </c>
      <c r="P81" s="83">
        <f t="shared" si="60"/>
        <v>3542</v>
      </c>
      <c r="Q81" s="83">
        <f t="shared" si="60"/>
        <v>13724</v>
      </c>
      <c r="R81" s="83">
        <f t="shared" si="60"/>
        <v>13415</v>
      </c>
      <c r="S81" s="83">
        <f t="shared" si="60"/>
        <v>13932</v>
      </c>
      <c r="T81" s="83">
        <f t="shared" si="60"/>
        <v>14594</v>
      </c>
      <c r="U81" s="83">
        <f t="shared" si="60"/>
        <v>14733</v>
      </c>
      <c r="V81" s="83">
        <f>V75-V9+V40</f>
        <v>14872</v>
      </c>
      <c r="W81" s="83">
        <f t="shared" si="60"/>
        <v>14140</v>
      </c>
      <c r="X81" s="83">
        <f t="shared" ref="X81" si="61">X75-X9+X40</f>
        <v>13013</v>
      </c>
      <c r="Y81" s="83">
        <f t="shared" si="60"/>
        <v>13862.853236690691</v>
      </c>
      <c r="Z81" s="83">
        <f t="shared" ca="1" si="60"/>
        <v>12748.857798433262</v>
      </c>
      <c r="AA81" s="83">
        <f t="shared" ca="1" si="60"/>
        <v>12580.042510898285</v>
      </c>
      <c r="AB81" s="83">
        <f t="shared" ca="1" si="60"/>
        <v>12267.271619848387</v>
      </c>
      <c r="AC81" s="83">
        <f ca="1">AC75-AC9+AC40</f>
        <v>11914.691665344868</v>
      </c>
      <c r="AD81" s="83">
        <f ca="1">AD75-AD9+AD40</f>
        <v>11463.982601342363</v>
      </c>
      <c r="AE81" s="83">
        <f ca="1">AE75-AE9+AE40</f>
        <v>10910.793672525237</v>
      </c>
      <c r="AF81" s="83">
        <f ca="1">AF75-AF9+AF40</f>
        <v>10250.851350930836</v>
      </c>
      <c r="AG81" s="83">
        <f ca="1">AG75-AG9+AG40</f>
        <v>9479.8037834254865</v>
      </c>
      <c r="AH81" s="43"/>
      <c r="AI81" s="43"/>
      <c r="AJ81" s="43"/>
      <c r="AK81" s="43"/>
      <c r="AL81" s="43"/>
      <c r="AM81" s="43"/>
      <c r="AN81" s="43"/>
      <c r="AO81" s="43"/>
      <c r="AP81" s="43"/>
      <c r="AQ81" s="43"/>
      <c r="AR81" s="43"/>
      <c r="AS81" s="43"/>
      <c r="AT81" s="43"/>
      <c r="AU81" s="43"/>
      <c r="AV81" s="43"/>
      <c r="AW81" s="43"/>
      <c r="AX81" s="43"/>
      <c r="AY81" s="43"/>
      <c r="AZ81" s="43"/>
      <c r="BA81" s="43"/>
      <c r="BB81" s="43"/>
      <c r="BC81" s="43"/>
      <c r="BD81" s="43"/>
      <c r="BE81" s="43"/>
      <c r="BF81" s="43"/>
      <c r="BG81" s="43"/>
      <c r="BH81" s="43"/>
      <c r="BI81" s="43"/>
      <c r="BJ81" s="43"/>
      <c r="BK81" s="43"/>
      <c r="BL81" s="43"/>
      <c r="BM81" s="43"/>
      <c r="BN81" s="43"/>
      <c r="BO81" s="43"/>
      <c r="BP81" s="43"/>
      <c r="BQ81" s="43"/>
      <c r="BR81" s="43"/>
      <c r="BS81" s="43"/>
      <c r="BT81" s="43"/>
      <c r="BU81" s="43"/>
      <c r="BV81" s="43"/>
      <c r="BW81" s="43"/>
      <c r="BX81" s="43"/>
      <c r="BY81" s="43"/>
      <c r="BZ81" s="43"/>
      <c r="CA81" s="43"/>
      <c r="CB81" s="43"/>
      <c r="CC81" s="43"/>
      <c r="CD81" s="43"/>
      <c r="CE81" s="43"/>
      <c r="CF81" s="43"/>
      <c r="CG81" s="43"/>
      <c r="CH81" s="43"/>
      <c r="CI81" s="43"/>
      <c r="CJ81" s="43"/>
      <c r="CK81" s="43"/>
      <c r="CL81" s="43"/>
      <c r="CM81" s="43"/>
      <c r="CN81" s="43"/>
      <c r="CO81" s="43"/>
      <c r="CP81" s="43"/>
      <c r="CQ81" s="43"/>
      <c r="CR81" s="43"/>
      <c r="CS81" s="43"/>
      <c r="CT81" s="43"/>
      <c r="CU81" s="43"/>
      <c r="CV81" s="43"/>
      <c r="CW81" s="43"/>
      <c r="CX81" s="43"/>
      <c r="CY81" s="43"/>
      <c r="CZ81" s="43"/>
      <c r="DA81" s="43"/>
      <c r="DB81" s="43"/>
      <c r="DC81" s="43"/>
      <c r="DD81" s="43"/>
      <c r="DE81" s="43"/>
      <c r="DF81" s="43"/>
      <c r="DG81" s="43"/>
      <c r="DH81" s="43"/>
      <c r="DI81" s="43"/>
      <c r="DJ81" s="43"/>
      <c r="DK81" s="43"/>
      <c r="DL81" s="43"/>
      <c r="DM81" s="43"/>
      <c r="DN81" s="43"/>
      <c r="DO81" s="43"/>
      <c r="DP81" s="43"/>
      <c r="DQ81" s="43"/>
      <c r="DR81" s="43"/>
      <c r="DS81" s="43"/>
      <c r="DT81" s="43"/>
      <c r="DU81" s="43"/>
      <c r="DV81" s="43"/>
      <c r="DW81" s="43"/>
      <c r="DX81" s="43"/>
      <c r="DY81" s="43"/>
      <c r="DZ81" s="43"/>
      <c r="EA81" s="43"/>
      <c r="EB81" s="43"/>
      <c r="EC81" s="43"/>
      <c r="ED81" s="43"/>
      <c r="EE81" s="43"/>
      <c r="EF81" s="43"/>
      <c r="EG81" s="43"/>
      <c r="EH81" s="43"/>
      <c r="EI81" s="43"/>
      <c r="EJ81" s="43"/>
      <c r="EK81" s="43"/>
      <c r="EL81" s="43"/>
      <c r="EM81" s="43"/>
      <c r="EN81" s="43"/>
      <c r="EO81" s="43"/>
      <c r="EP81" s="43"/>
      <c r="EQ81" s="43"/>
      <c r="ER81" s="43"/>
      <c r="ES81" s="43"/>
      <c r="ET81" s="43"/>
      <c r="EU81" s="43"/>
      <c r="EV81" s="43"/>
      <c r="EW81" s="43"/>
      <c r="EX81" s="43"/>
      <c r="EY81" s="43"/>
      <c r="EZ81" s="43"/>
      <c r="FA81" s="43"/>
      <c r="FB81" s="43"/>
      <c r="FC81" s="43"/>
      <c r="FD81" s="43"/>
      <c r="FE81" s="43"/>
      <c r="FF81" s="43"/>
      <c r="FG81" s="43"/>
      <c r="FH81" s="43"/>
      <c r="FI81" s="43"/>
      <c r="FJ81" s="43"/>
      <c r="FK81" s="43"/>
      <c r="FL81" s="43"/>
      <c r="FM81" s="43"/>
      <c r="FN81" s="43"/>
      <c r="FO81" s="43"/>
      <c r="FP81" s="43"/>
      <c r="FQ81" s="43"/>
      <c r="FR81" s="43"/>
      <c r="FS81" s="43"/>
      <c r="FT81" s="43"/>
      <c r="FU81" s="43"/>
      <c r="FV81" s="43"/>
      <c r="FW81" s="43"/>
      <c r="FX81" s="43"/>
      <c r="FY81" s="43"/>
      <c r="FZ81" s="43"/>
      <c r="GA81" s="43"/>
      <c r="GB81" s="43"/>
      <c r="GC81" s="43"/>
      <c r="GD81" s="43"/>
      <c r="GE81" s="43"/>
      <c r="GF81" s="43"/>
      <c r="GG81" s="43"/>
      <c r="GH81" s="43"/>
      <c r="GI81" s="43"/>
      <c r="GJ81" s="43"/>
      <c r="GK81" s="43"/>
      <c r="GL81" s="43"/>
      <c r="GM81" s="43"/>
      <c r="GN81" s="43"/>
      <c r="GO81" s="43"/>
      <c r="GP81" s="43"/>
      <c r="GQ81" s="43"/>
      <c r="GR81" s="43"/>
      <c r="GS81" s="43"/>
      <c r="GT81" s="43"/>
      <c r="GU81" s="43"/>
      <c r="GV81" s="43"/>
      <c r="GW81" s="43"/>
      <c r="GX81" s="43"/>
      <c r="GY81" s="43"/>
      <c r="GZ81" s="43"/>
      <c r="HA81" s="43"/>
      <c r="HB81" s="43"/>
      <c r="HC81" s="43"/>
      <c r="HD81" s="43"/>
      <c r="HE81" s="43"/>
      <c r="HF81" s="43"/>
      <c r="HG81" s="43"/>
      <c r="HH81" s="43"/>
      <c r="HI81" s="43"/>
      <c r="HJ81" s="43"/>
      <c r="HK81" s="43"/>
      <c r="HL81" s="43"/>
      <c r="HM81" s="43"/>
      <c r="HN81" s="43"/>
      <c r="HO81" s="43"/>
      <c r="HP81" s="43"/>
      <c r="HQ81" s="43"/>
      <c r="HR81"/>
      <c r="HS81"/>
      <c r="HT81"/>
      <c r="HU81"/>
      <c r="HV81"/>
      <c r="HW81"/>
      <c r="HX81"/>
      <c r="HY81"/>
      <c r="HZ81"/>
      <c r="IA81"/>
      <c r="IB81"/>
      <c r="IC81"/>
      <c r="ID81"/>
      <c r="IE81"/>
      <c r="IF81"/>
      <c r="IG81"/>
      <c r="IH81"/>
      <c r="II81"/>
      <c r="IJ81"/>
      <c r="IK81" s="32"/>
      <c r="IL81" s="32"/>
      <c r="IM81" s="32"/>
      <c r="IN81" s="32"/>
      <c r="IO81" s="32"/>
      <c r="IP81" s="32"/>
      <c r="IQ81" s="32"/>
    </row>
    <row r="82" spans="1:251" s="33" customFormat="1" ht="12.75" customHeight="1">
      <c r="A82" s="261" t="s">
        <v>564</v>
      </c>
      <c r="B82" s="32"/>
      <c r="C82" s="32"/>
      <c r="D82" s="83"/>
      <c r="E82" s="83"/>
      <c r="F82" s="83"/>
      <c r="G82" s="83"/>
      <c r="H82" s="83"/>
      <c r="I82" s="83"/>
      <c r="J82" s="83"/>
      <c r="K82" s="83"/>
      <c r="L82" s="83"/>
      <c r="M82" s="83"/>
      <c r="N82" s="83"/>
      <c r="O82" s="240">
        <f>O81/IS!J115</f>
        <v>0.73112408209376767</v>
      </c>
      <c r="P82" s="240">
        <f ca="1">P81/IS!K115</f>
        <v>0.61375844740946106</v>
      </c>
      <c r="Q82" s="240">
        <f>Q81/IS!L115</f>
        <v>1.9217975785255719</v>
      </c>
      <c r="R82" s="240">
        <f>R81/IS!M115</f>
        <v>1.778955661643109</v>
      </c>
      <c r="S82" s="240">
        <f>S81/IS!N115</f>
        <v>1.7589733306597151</v>
      </c>
      <c r="T82" s="240">
        <f>T81/IS!O115</f>
        <v>1.7285204693030123</v>
      </c>
      <c r="U82" s="240">
        <f>U81/IS!P115</f>
        <v>1.6937345731191884</v>
      </c>
      <c r="V82" s="240">
        <f>V81/IS!Q115</f>
        <v>1.6783658729263062</v>
      </c>
      <c r="W82" s="240">
        <f>W81/IS!R115</f>
        <v>1.4784972691039708</v>
      </c>
      <c r="X82" s="240">
        <f>X81/IS!S115</f>
        <v>1.3005120427035384</v>
      </c>
      <c r="Y82" s="240">
        <f>Y81/IS!T115</f>
        <v>1.2967542911558172</v>
      </c>
      <c r="Z82" s="240">
        <f ca="1">Z81/IS!U115</f>
        <v>1.1846780428333632</v>
      </c>
      <c r="AA82" s="240">
        <f ca="1">AA81/IS!V115</f>
        <v>1.0907291053892005</v>
      </c>
      <c r="AB82" s="240">
        <f ca="1">AB81/IS!W115</f>
        <v>0.99496877955602203</v>
      </c>
      <c r="AC82" s="240">
        <f ca="1">AC81/IS!X115</f>
        <v>0.91455621616186189</v>
      </c>
      <c r="AD82" s="240">
        <f ca="1">AD81/IS!Y115</f>
        <v>0.83513712226319592</v>
      </c>
      <c r="AE82" s="240">
        <f ca="1">AE81/IS!Z115</f>
        <v>0.75614213689255938</v>
      </c>
      <c r="AF82" s="240">
        <f ca="1">AF81/IS!AA115</f>
        <v>0.6771671508530841</v>
      </c>
      <c r="AG82" s="240">
        <f ca="1">AG81/IS!AB115</f>
        <v>0.59792631066810664</v>
      </c>
      <c r="AH82" s="43"/>
      <c r="AI82" s="43"/>
      <c r="AJ82" s="43"/>
      <c r="AK82" s="43"/>
      <c r="AL82" s="43"/>
      <c r="AM82" s="43"/>
      <c r="AN82" s="43"/>
      <c r="AO82" s="43"/>
      <c r="AP82" s="43"/>
      <c r="AQ82" s="43"/>
      <c r="AR82" s="43"/>
      <c r="AS82" s="43"/>
      <c r="AT82" s="43"/>
      <c r="AU82" s="43"/>
      <c r="AV82" s="43"/>
      <c r="AW82" s="43"/>
      <c r="AX82" s="43"/>
      <c r="AY82" s="43"/>
      <c r="AZ82" s="43"/>
      <c r="BA82" s="43"/>
      <c r="BB82" s="43"/>
      <c r="BC82" s="43"/>
      <c r="BD82" s="43"/>
      <c r="BE82" s="43"/>
      <c r="BF82" s="43"/>
      <c r="BG82" s="43"/>
      <c r="BH82" s="43"/>
      <c r="BI82" s="43"/>
      <c r="BJ82" s="43"/>
      <c r="BK82" s="43"/>
      <c r="BL82" s="43"/>
      <c r="BM82" s="43"/>
      <c r="BN82" s="43"/>
      <c r="BO82" s="43"/>
      <c r="BP82" s="43"/>
      <c r="BQ82" s="43"/>
      <c r="BR82" s="43"/>
      <c r="BS82" s="43"/>
      <c r="BT82" s="43"/>
      <c r="BU82" s="43"/>
      <c r="BV82" s="43"/>
      <c r="BW82" s="43"/>
      <c r="BX82" s="43"/>
      <c r="BY82" s="43"/>
      <c r="BZ82" s="43"/>
      <c r="CA82" s="43"/>
      <c r="CB82" s="43"/>
      <c r="CC82" s="43"/>
      <c r="CD82" s="43"/>
      <c r="CE82" s="43"/>
      <c r="CF82" s="43"/>
      <c r="CG82" s="43"/>
      <c r="CH82" s="43"/>
      <c r="CI82" s="43"/>
      <c r="CJ82" s="43"/>
      <c r="CK82" s="43"/>
      <c r="CL82" s="43"/>
      <c r="CM82" s="43"/>
      <c r="CN82" s="43"/>
      <c r="CO82" s="43"/>
      <c r="CP82" s="43"/>
      <c r="CQ82" s="43"/>
      <c r="CR82" s="43"/>
      <c r="CS82" s="43"/>
      <c r="CT82" s="43"/>
      <c r="CU82" s="43"/>
      <c r="CV82" s="43"/>
      <c r="CW82" s="43"/>
      <c r="CX82" s="43"/>
      <c r="CY82" s="43"/>
      <c r="CZ82" s="43"/>
      <c r="DA82" s="43"/>
      <c r="DB82" s="43"/>
      <c r="DC82" s="43"/>
      <c r="DD82" s="43"/>
      <c r="DE82" s="43"/>
      <c r="DF82" s="43"/>
      <c r="DG82" s="43"/>
      <c r="DH82" s="43"/>
      <c r="DI82" s="43"/>
      <c r="DJ82" s="43"/>
      <c r="DK82" s="43"/>
      <c r="DL82" s="43"/>
      <c r="DM82" s="43"/>
      <c r="DN82" s="43"/>
      <c r="DO82" s="43"/>
      <c r="DP82" s="43"/>
      <c r="DQ82" s="43"/>
      <c r="DR82" s="43"/>
      <c r="DS82" s="43"/>
      <c r="DT82" s="43"/>
      <c r="DU82" s="43"/>
      <c r="DV82" s="43"/>
      <c r="DW82" s="43"/>
      <c r="DX82" s="43"/>
      <c r="DY82" s="43"/>
      <c r="DZ82" s="43"/>
      <c r="EA82" s="43"/>
      <c r="EB82" s="43"/>
      <c r="EC82" s="43"/>
      <c r="ED82" s="43"/>
      <c r="EE82" s="43"/>
      <c r="EF82" s="43"/>
      <c r="EG82" s="43"/>
      <c r="EH82" s="43"/>
      <c r="EI82" s="43"/>
      <c r="EJ82" s="43"/>
      <c r="EK82" s="43"/>
      <c r="EL82" s="43"/>
      <c r="EM82" s="43"/>
      <c r="EN82" s="43"/>
      <c r="EO82" s="43"/>
      <c r="EP82" s="43"/>
      <c r="EQ82" s="43"/>
      <c r="ER82" s="43"/>
      <c r="ES82" s="43"/>
      <c r="ET82" s="43"/>
      <c r="EU82" s="43"/>
      <c r="EV82" s="43"/>
      <c r="EW82" s="43"/>
      <c r="EX82" s="43"/>
      <c r="EY82" s="43"/>
      <c r="EZ82" s="43"/>
      <c r="FA82" s="43"/>
      <c r="FB82" s="43"/>
      <c r="FC82" s="43"/>
      <c r="FD82" s="43"/>
      <c r="FE82" s="43"/>
      <c r="FF82" s="43"/>
      <c r="FG82" s="43"/>
      <c r="FH82" s="43"/>
      <c r="FI82" s="43"/>
      <c r="FJ82" s="43"/>
      <c r="FK82" s="43"/>
      <c r="FL82" s="43"/>
      <c r="FM82" s="43"/>
      <c r="FN82" s="43"/>
      <c r="FO82" s="43"/>
      <c r="FP82" s="43"/>
      <c r="FQ82" s="43"/>
      <c r="FR82" s="43"/>
      <c r="FS82" s="43"/>
      <c r="FT82" s="43"/>
      <c r="FU82" s="43"/>
      <c r="FV82" s="43"/>
      <c r="FW82" s="43"/>
      <c r="FX82" s="43"/>
      <c r="FY82" s="43"/>
      <c r="FZ82" s="43"/>
      <c r="GA82" s="43"/>
      <c r="GB82" s="43"/>
      <c r="GC82" s="43"/>
      <c r="GD82" s="43"/>
      <c r="GE82" s="43"/>
      <c r="GF82" s="43"/>
      <c r="GG82" s="43"/>
      <c r="GH82" s="43"/>
      <c r="GI82" s="43"/>
      <c r="GJ82" s="43"/>
      <c r="GK82" s="43"/>
      <c r="GL82" s="43"/>
      <c r="GM82" s="43"/>
      <c r="GN82" s="43"/>
      <c r="GO82" s="43"/>
      <c r="GP82" s="43"/>
      <c r="GQ82" s="43"/>
      <c r="GR82" s="43"/>
      <c r="GS82" s="43"/>
      <c r="GT82" s="43"/>
      <c r="GU82" s="43"/>
      <c r="GV82" s="43"/>
      <c r="GW82" s="43"/>
      <c r="GX82" s="43"/>
      <c r="GY82" s="43"/>
      <c r="GZ82" s="43"/>
      <c r="HA82" s="43"/>
      <c r="HB82" s="43"/>
      <c r="HC82" s="43"/>
      <c r="HD82" s="43"/>
      <c r="HE82" s="43"/>
      <c r="HF82" s="43"/>
      <c r="HG82" s="43"/>
      <c r="HH82" s="43"/>
      <c r="HI82" s="43"/>
      <c r="HJ82" s="43"/>
      <c r="HK82" s="43"/>
      <c r="HL82" s="43"/>
      <c r="HM82" s="43"/>
      <c r="HN82" s="43"/>
      <c r="HO82" s="43"/>
      <c r="HP82" s="43"/>
      <c r="HQ82" s="43"/>
      <c r="HR82"/>
      <c r="HS82"/>
      <c r="HT82"/>
      <c r="HU82"/>
      <c r="HV82"/>
      <c r="HW82"/>
      <c r="HX82"/>
      <c r="HY82"/>
      <c r="HZ82"/>
      <c r="IA82"/>
      <c r="IB82"/>
      <c r="IC82"/>
      <c r="ID82"/>
      <c r="IE82"/>
      <c r="IF82"/>
      <c r="IG82"/>
      <c r="IH82"/>
      <c r="II82"/>
      <c r="IJ82"/>
      <c r="IK82" s="32"/>
      <c r="IL82" s="32"/>
      <c r="IM82" s="32"/>
      <c r="IN82" s="32"/>
      <c r="IO82" s="32"/>
      <c r="IP82" s="32"/>
      <c r="IQ82" s="32"/>
    </row>
    <row r="83" spans="1:251" s="33" customFormat="1" ht="12.75" customHeight="1">
      <c r="A83" s="262" t="s">
        <v>565</v>
      </c>
      <c r="B83" s="32"/>
      <c r="C83" s="32"/>
      <c r="D83" s="50">
        <f t="shared" ref="D83:AB83" si="62">D81/D67</f>
        <v>0.67957029079459164</v>
      </c>
      <c r="E83" s="50">
        <f t="shared" si="62"/>
        <v>0.70186213655668084</v>
      </c>
      <c r="F83" s="50">
        <f t="shared" si="62"/>
        <v>1.9914695101632789</v>
      </c>
      <c r="G83" s="50">
        <f t="shared" si="62"/>
        <v>1.2409276248725789</v>
      </c>
      <c r="H83" s="50">
        <f t="shared" si="62"/>
        <v>1.3236471917034602</v>
      </c>
      <c r="I83" s="50">
        <f t="shared" si="62"/>
        <v>0.96870800384420597</v>
      </c>
      <c r="J83" s="50">
        <f>J81/J67</f>
        <v>0.69857114168719026</v>
      </c>
      <c r="K83" s="50">
        <f t="shared" si="62"/>
        <v>0.61323869397542108</v>
      </c>
      <c r="L83" s="50">
        <f t="shared" si="62"/>
        <v>0.45306327887580106</v>
      </c>
      <c r="M83" s="50">
        <f t="shared" si="62"/>
        <v>0.57305323013741905</v>
      </c>
      <c r="N83" s="50">
        <f t="shared" si="62"/>
        <v>0.45995472674355936</v>
      </c>
      <c r="O83" s="50">
        <f t="shared" si="62"/>
        <v>1.2303548795944232</v>
      </c>
      <c r="P83" s="50">
        <f t="shared" si="62"/>
        <v>1.2524752475247525</v>
      </c>
      <c r="Q83" s="50">
        <f t="shared" si="62"/>
        <v>3.3703339882121806</v>
      </c>
      <c r="R83" s="50">
        <f t="shared" si="62"/>
        <v>2.5822906641000962</v>
      </c>
      <c r="S83" s="50">
        <f t="shared" si="62"/>
        <v>3.7827857724680967</v>
      </c>
      <c r="T83" s="50">
        <f t="shared" si="62"/>
        <v>4.6037854889589909</v>
      </c>
      <c r="U83" s="50">
        <f t="shared" si="62"/>
        <v>3.5777076250607092</v>
      </c>
      <c r="V83" s="50">
        <f>V81/V67</f>
        <v>4.9408637873754149</v>
      </c>
      <c r="W83" s="50">
        <f t="shared" si="62"/>
        <v>4.9216846501914375</v>
      </c>
      <c r="X83" s="50">
        <f t="shared" ref="X83" si="63">X81/X67</f>
        <v>1.0187896343850309</v>
      </c>
      <c r="Y83" s="50">
        <f t="shared" si="62"/>
        <v>1.2162319453492307</v>
      </c>
      <c r="Z83" s="50">
        <f t="shared" ca="1" si="62"/>
        <v>1.0312433647633956</v>
      </c>
      <c r="AA83" s="50">
        <f t="shared" ca="1" si="62"/>
        <v>1.0196484867077749</v>
      </c>
      <c r="AB83" s="50">
        <f t="shared" ca="1" si="62"/>
        <v>0.98494429950863238</v>
      </c>
      <c r="AC83" s="50">
        <f ca="1">AC81/AC67</f>
        <v>0.94201717511942529</v>
      </c>
      <c r="AD83" s="50">
        <f ca="1">AD81/AD67</f>
        <v>0.88495091069119547</v>
      </c>
      <c r="AE83" s="50">
        <f ca="1">AE81/AE67</f>
        <v>0.81575281416533441</v>
      </c>
      <c r="AF83" s="50">
        <f ca="1">AF81/AF67</f>
        <v>0.73683266822516713</v>
      </c>
      <c r="AG83" s="50">
        <f ca="1">AG81/AG67</f>
        <v>0.65075969504381215</v>
      </c>
      <c r="AH83" s="43"/>
      <c r="AI83" s="43"/>
      <c r="AJ83" s="43"/>
      <c r="AK83" s="43"/>
      <c r="AL83" s="43"/>
      <c r="AM83" s="43"/>
      <c r="AN83" s="43"/>
      <c r="AO83" s="43"/>
      <c r="AP83" s="43"/>
      <c r="AQ83" s="43"/>
      <c r="AR83" s="43"/>
      <c r="AS83" s="43"/>
      <c r="AT83" s="43"/>
      <c r="AU83" s="43"/>
      <c r="AV83" s="43"/>
      <c r="AW83" s="43"/>
      <c r="AX83" s="43"/>
      <c r="AY83" s="43"/>
      <c r="AZ83" s="43"/>
      <c r="BA83" s="43"/>
      <c r="BB83" s="43"/>
      <c r="BC83" s="43"/>
      <c r="BD83" s="43"/>
      <c r="BE83" s="43"/>
      <c r="BF83" s="43"/>
      <c r="BG83" s="43"/>
      <c r="BH83" s="43"/>
      <c r="BI83" s="43"/>
      <c r="BJ83" s="43"/>
      <c r="BK83" s="43"/>
      <c r="BL83" s="43"/>
      <c r="BM83" s="43"/>
      <c r="BN83" s="43"/>
      <c r="BO83" s="43"/>
      <c r="BP83" s="43"/>
      <c r="BQ83" s="43"/>
      <c r="BR83" s="43"/>
      <c r="BS83" s="43"/>
      <c r="BT83" s="43"/>
      <c r="BU83" s="43"/>
      <c r="BV83" s="43"/>
      <c r="BW83" s="43"/>
      <c r="BX83" s="43"/>
      <c r="BY83" s="43"/>
      <c r="BZ83" s="43"/>
      <c r="CA83" s="43"/>
      <c r="CB83" s="43"/>
      <c r="CC83" s="43"/>
      <c r="CD83" s="43"/>
      <c r="CE83" s="43"/>
      <c r="CF83" s="43"/>
      <c r="CG83" s="43"/>
      <c r="CH83" s="43"/>
      <c r="CI83" s="43"/>
      <c r="CJ83" s="43"/>
      <c r="CK83" s="43"/>
      <c r="CL83" s="43"/>
      <c r="CM83" s="43"/>
      <c r="CN83" s="43"/>
      <c r="CO83" s="43"/>
      <c r="CP83" s="43"/>
      <c r="CQ83" s="43"/>
      <c r="CR83" s="43"/>
      <c r="CS83" s="43"/>
      <c r="CT83" s="43"/>
      <c r="CU83" s="43"/>
      <c r="CV83" s="43"/>
      <c r="CW83" s="43"/>
      <c r="CX83" s="43"/>
      <c r="CY83" s="43"/>
      <c r="CZ83" s="43"/>
      <c r="DA83" s="43"/>
      <c r="DB83" s="43"/>
      <c r="DC83" s="43"/>
      <c r="DD83" s="43"/>
      <c r="DE83" s="43"/>
      <c r="DF83" s="43"/>
      <c r="DG83" s="43"/>
      <c r="DH83" s="43"/>
      <c r="DI83" s="43"/>
      <c r="DJ83" s="43"/>
      <c r="DK83" s="43"/>
      <c r="DL83" s="43"/>
      <c r="DM83" s="43"/>
      <c r="DN83" s="43"/>
      <c r="DO83" s="43"/>
      <c r="DP83" s="43"/>
      <c r="DQ83" s="43"/>
      <c r="DR83" s="43"/>
      <c r="DS83" s="43"/>
      <c r="DT83" s="43"/>
      <c r="DU83" s="43"/>
      <c r="DV83" s="43"/>
      <c r="DW83" s="43"/>
      <c r="DX83" s="43"/>
      <c r="DY83" s="43"/>
      <c r="DZ83" s="43"/>
      <c r="EA83" s="43"/>
      <c r="EB83" s="43"/>
      <c r="EC83" s="43"/>
      <c r="ED83" s="43"/>
      <c r="EE83" s="43"/>
      <c r="EF83" s="43"/>
      <c r="EG83" s="43"/>
      <c r="EH83" s="43"/>
      <c r="EI83" s="43"/>
      <c r="EJ83" s="43"/>
      <c r="EK83" s="43"/>
      <c r="EL83" s="43"/>
      <c r="EM83" s="43"/>
      <c r="EN83" s="43"/>
      <c r="EO83" s="43"/>
      <c r="EP83" s="43"/>
      <c r="EQ83" s="43"/>
      <c r="ER83" s="43"/>
      <c r="ES83" s="43"/>
      <c r="ET83" s="43"/>
      <c r="EU83" s="43"/>
      <c r="EV83" s="43"/>
      <c r="EW83" s="43"/>
      <c r="EX83" s="43"/>
      <c r="EY83" s="43"/>
      <c r="EZ83" s="43"/>
      <c r="FA83" s="43"/>
      <c r="FB83" s="43"/>
      <c r="FC83" s="43"/>
      <c r="FD83" s="43"/>
      <c r="FE83" s="43"/>
      <c r="FF83" s="43"/>
      <c r="FG83" s="43"/>
      <c r="FH83" s="43"/>
      <c r="FI83" s="43"/>
      <c r="FJ83" s="43"/>
      <c r="FK83" s="43"/>
      <c r="FL83" s="43"/>
      <c r="FM83" s="43"/>
      <c r="FN83" s="43"/>
      <c r="FO83" s="43"/>
      <c r="FP83" s="43"/>
      <c r="FQ83" s="43"/>
      <c r="FR83" s="43"/>
      <c r="FS83" s="43"/>
      <c r="FT83" s="43"/>
      <c r="FU83" s="43"/>
      <c r="FV83" s="43"/>
      <c r="FW83" s="43"/>
      <c r="FX83" s="43"/>
      <c r="FY83" s="43"/>
      <c r="FZ83" s="43"/>
      <c r="GA83" s="43"/>
      <c r="GB83" s="43"/>
      <c r="GC83" s="43"/>
      <c r="GD83" s="43"/>
      <c r="GE83" s="43"/>
      <c r="GF83" s="43"/>
      <c r="GG83" s="43"/>
      <c r="GH83" s="43"/>
      <c r="GI83" s="43"/>
      <c r="GJ83" s="43"/>
      <c r="GK83" s="43"/>
      <c r="GL83" s="43"/>
      <c r="GM83" s="43"/>
      <c r="GN83" s="43"/>
      <c r="GO83" s="43"/>
      <c r="GP83" s="43"/>
      <c r="GQ83" s="43"/>
      <c r="GR83" s="43"/>
      <c r="GS83" s="43"/>
      <c r="GT83" s="43"/>
      <c r="GU83" s="43"/>
      <c r="GV83" s="43"/>
      <c r="GW83" s="43"/>
      <c r="GX83" s="43"/>
      <c r="GY83" s="43"/>
      <c r="GZ83" s="43"/>
      <c r="HA83" s="43"/>
      <c r="HB83" s="43"/>
      <c r="HC83" s="43"/>
      <c r="HD83" s="43"/>
      <c r="HE83" s="43"/>
      <c r="HF83" s="43"/>
      <c r="HG83" s="43"/>
      <c r="HH83" s="43"/>
      <c r="HI83" s="43"/>
      <c r="HJ83" s="43"/>
      <c r="HK83" s="43"/>
      <c r="HL83" s="43"/>
      <c r="HM83" s="43"/>
      <c r="HN83" s="43"/>
      <c r="HO83" s="43"/>
      <c r="HP83" s="43"/>
      <c r="HQ83" s="43"/>
      <c r="HR83"/>
      <c r="HS83"/>
      <c r="HT83"/>
      <c r="HU83"/>
      <c r="HV83"/>
      <c r="HW83"/>
      <c r="HX83"/>
      <c r="HY83"/>
      <c r="HZ83"/>
      <c r="IA83"/>
      <c r="IB83"/>
      <c r="IC83"/>
      <c r="ID83"/>
      <c r="IE83"/>
      <c r="IF83"/>
      <c r="IG83"/>
      <c r="IH83"/>
      <c r="II83"/>
      <c r="IJ83"/>
      <c r="IK83" s="32"/>
      <c r="IL83" s="32"/>
      <c r="IM83" s="32"/>
      <c r="IN83" s="32"/>
      <c r="IO83" s="32"/>
      <c r="IP83" s="32"/>
      <c r="IQ83" s="32"/>
    </row>
    <row r="84" spans="1:251" s="33" customFormat="1" ht="12.75" customHeight="1">
      <c r="A84" s="146" t="s">
        <v>566</v>
      </c>
      <c r="B84" s="32"/>
      <c r="C84" s="32"/>
      <c r="D84" s="156">
        <f t="shared" ref="D84:AB84" si="64">D81+D67</f>
        <v>27204</v>
      </c>
      <c r="E84" s="156">
        <f t="shared" si="64"/>
        <v>26047</v>
      </c>
      <c r="F84" s="156">
        <f t="shared" si="64"/>
        <v>44887</v>
      </c>
      <c r="G84" s="156">
        <f t="shared" si="64"/>
        <v>43967</v>
      </c>
      <c r="H84" s="156">
        <f t="shared" si="64"/>
        <v>45260</v>
      </c>
      <c r="I84" s="156">
        <f t="shared" si="64"/>
        <v>49368.7</v>
      </c>
      <c r="J84" s="156">
        <f>J81+J67</f>
        <v>52169.914045780359</v>
      </c>
      <c r="K84" s="156">
        <f t="shared" si="64"/>
        <v>57603.914045780359</v>
      </c>
      <c r="L84" s="156">
        <f t="shared" si="64"/>
        <v>57568.914045780359</v>
      </c>
      <c r="M84" s="156">
        <f t="shared" si="64"/>
        <v>19918</v>
      </c>
      <c r="N84" s="156">
        <f t="shared" si="64"/>
        <v>27088</v>
      </c>
      <c r="O84" s="156">
        <f t="shared" si="64"/>
        <v>7039</v>
      </c>
      <c r="P84" s="156">
        <f t="shared" si="64"/>
        <v>6370</v>
      </c>
      <c r="Q84" s="156">
        <f t="shared" si="64"/>
        <v>17796</v>
      </c>
      <c r="R84" s="156">
        <f t="shared" si="64"/>
        <v>18610</v>
      </c>
      <c r="S84" s="156">
        <f t="shared" si="64"/>
        <v>17615</v>
      </c>
      <c r="T84" s="156">
        <f t="shared" si="64"/>
        <v>17764</v>
      </c>
      <c r="U84" s="156">
        <f t="shared" si="64"/>
        <v>18851</v>
      </c>
      <c r="V84" s="156">
        <f>V81+V67</f>
        <v>17882</v>
      </c>
      <c r="W84" s="156">
        <f t="shared" si="64"/>
        <v>17013</v>
      </c>
      <c r="X84" s="156">
        <f t="shared" ref="X84" si="65">X81+X67</f>
        <v>25786</v>
      </c>
      <c r="Y84" s="156">
        <f t="shared" si="64"/>
        <v>25261.051820193683</v>
      </c>
      <c r="Z84" s="156">
        <f t="shared" ca="1" si="64"/>
        <v>25111.466115780651</v>
      </c>
      <c r="AA84" s="156">
        <f t="shared" ca="1" si="64"/>
        <v>24917.669325327766</v>
      </c>
      <c r="AB84" s="156">
        <f t="shared" ca="1" si="64"/>
        <v>24722.058784938094</v>
      </c>
      <c r="AC84" s="156">
        <f ca="1">AC81+AC67</f>
        <v>24562.753696522133</v>
      </c>
      <c r="AD84" s="156">
        <f ca="1">AD81+AD67</f>
        <v>24418.35381317417</v>
      </c>
      <c r="AE84" s="156">
        <f ca="1">AE81+AE67</f>
        <v>24285.915992745475</v>
      </c>
      <c r="AF84" s="156">
        <f ca="1">AF81+AF67</f>
        <v>24162.899218762748</v>
      </c>
      <c r="AG84" s="156">
        <f ca="1">AG81+AG67</f>
        <v>24047.09160967487</v>
      </c>
      <c r="AH84" s="43"/>
      <c r="AI84" s="43"/>
      <c r="AJ84" s="43"/>
      <c r="AK84" s="43"/>
      <c r="AL84" s="43"/>
      <c r="AM84" s="43"/>
      <c r="AN84" s="43"/>
      <c r="AO84" s="43"/>
      <c r="AP84" s="43"/>
      <c r="AQ84" s="43"/>
      <c r="AR84" s="43"/>
      <c r="AS84" s="43"/>
      <c r="AT84" s="43"/>
      <c r="AU84" s="43"/>
      <c r="AV84" s="43"/>
      <c r="AW84" s="43"/>
      <c r="AX84" s="43"/>
      <c r="AY84" s="43"/>
      <c r="AZ84" s="43"/>
      <c r="BA84" s="43"/>
      <c r="BB84" s="43"/>
      <c r="BC84" s="43"/>
      <c r="BD84" s="43"/>
      <c r="BE84" s="43"/>
      <c r="BF84" s="43"/>
      <c r="BG84" s="43"/>
      <c r="BH84" s="43"/>
      <c r="BI84" s="43"/>
      <c r="BJ84" s="43"/>
      <c r="BK84" s="43"/>
      <c r="BL84" s="43"/>
      <c r="BM84" s="43"/>
      <c r="BN84" s="43"/>
      <c r="BO84" s="43"/>
      <c r="BP84" s="43"/>
      <c r="BQ84" s="43"/>
      <c r="BR84" s="43"/>
      <c r="BS84" s="43"/>
      <c r="BT84" s="43"/>
      <c r="BU84" s="43"/>
      <c r="BV84" s="43"/>
      <c r="BW84" s="43"/>
      <c r="BX84" s="43"/>
      <c r="BY84" s="43"/>
      <c r="BZ84" s="43"/>
      <c r="CA84" s="43"/>
      <c r="CB84" s="43"/>
      <c r="CC84" s="43"/>
      <c r="CD84" s="43"/>
      <c r="CE84" s="43"/>
      <c r="CF84" s="43"/>
      <c r="CG84" s="43"/>
      <c r="CH84" s="43"/>
      <c r="CI84" s="43"/>
      <c r="CJ84" s="43"/>
      <c r="CK84" s="43"/>
      <c r="CL84" s="43"/>
      <c r="CM84" s="43"/>
      <c r="CN84" s="43"/>
      <c r="CO84" s="43"/>
      <c r="CP84" s="43"/>
      <c r="CQ84" s="43"/>
      <c r="CR84" s="43"/>
      <c r="CS84" s="43"/>
      <c r="CT84" s="43"/>
      <c r="CU84" s="43"/>
      <c r="CV84" s="43"/>
      <c r="CW84" s="43"/>
      <c r="CX84" s="43"/>
      <c r="CY84" s="43"/>
      <c r="CZ84" s="43"/>
      <c r="DA84" s="43"/>
      <c r="DB84" s="43"/>
      <c r="DC84" s="43"/>
      <c r="DD84" s="43"/>
      <c r="DE84" s="43"/>
      <c r="DF84" s="43"/>
      <c r="DG84" s="43"/>
      <c r="DH84" s="43"/>
      <c r="DI84" s="43"/>
      <c r="DJ84" s="43"/>
      <c r="DK84" s="43"/>
      <c r="DL84" s="43"/>
      <c r="DM84" s="43"/>
      <c r="DN84" s="43"/>
      <c r="DO84" s="43"/>
      <c r="DP84" s="43"/>
      <c r="DQ84" s="43"/>
      <c r="DR84" s="43"/>
      <c r="DS84" s="43"/>
      <c r="DT84" s="43"/>
      <c r="DU84" s="43"/>
      <c r="DV84" s="43"/>
      <c r="DW84" s="43"/>
      <c r="DX84" s="43"/>
      <c r="DY84" s="43"/>
      <c r="DZ84" s="43"/>
      <c r="EA84" s="43"/>
      <c r="EB84" s="43"/>
      <c r="EC84" s="43"/>
      <c r="ED84" s="43"/>
      <c r="EE84" s="43"/>
      <c r="EF84" s="43"/>
      <c r="EG84" s="43"/>
      <c r="EH84" s="43"/>
      <c r="EI84" s="43"/>
      <c r="EJ84" s="43"/>
      <c r="EK84" s="43"/>
      <c r="EL84" s="43"/>
      <c r="EM84" s="43"/>
      <c r="EN84" s="43"/>
      <c r="EO84" s="43"/>
      <c r="EP84" s="43"/>
      <c r="EQ84" s="43"/>
      <c r="ER84" s="43"/>
      <c r="ES84" s="43"/>
      <c r="ET84" s="43"/>
      <c r="EU84" s="43"/>
      <c r="EV84" s="43"/>
      <c r="EW84" s="43"/>
      <c r="EX84" s="43"/>
      <c r="EY84" s="43"/>
      <c r="EZ84" s="43"/>
      <c r="FA84" s="43"/>
      <c r="FB84" s="43"/>
      <c r="FC84" s="43"/>
      <c r="FD84" s="43"/>
      <c r="FE84" s="43"/>
      <c r="FF84" s="43"/>
      <c r="FG84" s="43"/>
      <c r="FH84" s="43"/>
      <c r="FI84" s="43"/>
      <c r="FJ84" s="43"/>
      <c r="FK84" s="43"/>
      <c r="FL84" s="43"/>
      <c r="FM84" s="43"/>
      <c r="FN84" s="43"/>
      <c r="FO84" s="43"/>
      <c r="FP84" s="43"/>
      <c r="FQ84" s="43"/>
      <c r="FR84" s="43"/>
      <c r="FS84" s="43"/>
      <c r="FT84" s="43"/>
      <c r="FU84" s="43"/>
      <c r="FV84" s="43"/>
      <c r="FW84" s="43"/>
      <c r="FX84" s="43"/>
      <c r="FY84" s="43"/>
      <c r="FZ84" s="43"/>
      <c r="GA84" s="43"/>
      <c r="GB84" s="43"/>
      <c r="GC84" s="43"/>
      <c r="GD84" s="43"/>
      <c r="GE84" s="43"/>
      <c r="GF84" s="43"/>
      <c r="GG84" s="43"/>
      <c r="GH84" s="43"/>
      <c r="GI84" s="43"/>
      <c r="GJ84" s="43"/>
      <c r="GK84" s="43"/>
      <c r="GL84" s="43"/>
      <c r="GM84" s="43"/>
      <c r="GN84" s="43"/>
      <c r="GO84" s="43"/>
      <c r="GP84" s="43"/>
      <c r="GQ84" s="43"/>
      <c r="GR84" s="43"/>
      <c r="GS84" s="43"/>
      <c r="GT84" s="43"/>
      <c r="GU84" s="43"/>
      <c r="GV84" s="43"/>
      <c r="GW84" s="43"/>
      <c r="GX84" s="43"/>
      <c r="GY84" s="43"/>
      <c r="GZ84" s="43"/>
      <c r="HA84" s="43"/>
      <c r="HB84" s="43"/>
      <c r="HC84" s="43"/>
      <c r="HD84" s="43"/>
      <c r="HE84" s="43"/>
      <c r="HF84" s="43"/>
      <c r="HG84" s="43"/>
      <c r="HH84" s="43"/>
      <c r="HI84" s="43"/>
      <c r="HJ84" s="43"/>
      <c r="HK84" s="43"/>
      <c r="HL84" s="43"/>
      <c r="HM84" s="43"/>
      <c r="HN84" s="43"/>
      <c r="HO84" s="43"/>
      <c r="HP84" s="43"/>
      <c r="HQ84" s="43"/>
      <c r="HR84"/>
      <c r="HS84"/>
      <c r="HT84"/>
      <c r="HU84"/>
      <c r="HV84"/>
      <c r="HW84"/>
      <c r="HX84"/>
      <c r="HY84"/>
      <c r="HZ84"/>
      <c r="IA84"/>
      <c r="IB84"/>
      <c r="IC84"/>
      <c r="ID84"/>
      <c r="IE84"/>
      <c r="IF84"/>
      <c r="IG84"/>
      <c r="IH84"/>
      <c r="II84"/>
      <c r="IJ84"/>
      <c r="IK84" s="32"/>
      <c r="IL84" s="32"/>
      <c r="IM84" s="32"/>
      <c r="IN84" s="32"/>
      <c r="IO84" s="32"/>
      <c r="IP84" s="32"/>
      <c r="IQ84" s="32"/>
    </row>
    <row r="85" spans="1:251" s="33" customFormat="1" ht="12.75" customHeight="1">
      <c r="A85" s="262" t="s">
        <v>567</v>
      </c>
      <c r="B85" s="32"/>
      <c r="C85" s="32"/>
      <c r="D85" s="50">
        <f>D81/D84</f>
        <v>0.40460961623290692</v>
      </c>
      <c r="E85" s="50">
        <f t="shared" ref="E85:O85" si="66">E81/E84</f>
        <v>0.41240833877221944</v>
      </c>
      <c r="F85" s="50">
        <f t="shared" si="66"/>
        <v>0.6657161316193998</v>
      </c>
      <c r="G85" s="50">
        <f t="shared" si="66"/>
        <v>0.5537562262606045</v>
      </c>
      <c r="H85" s="50">
        <f t="shared" si="66"/>
        <v>0.56964206805125939</v>
      </c>
      <c r="I85" s="50">
        <f t="shared" si="66"/>
        <v>0.49205265684532917</v>
      </c>
      <c r="J85" s="50">
        <f t="shared" si="66"/>
        <v>0.41126987533374659</v>
      </c>
      <c r="K85" s="50">
        <f t="shared" si="66"/>
        <v>0.38012892714856017</v>
      </c>
      <c r="L85" s="50">
        <f t="shared" si="66"/>
        <v>0.31179872581070583</v>
      </c>
      <c r="M85" s="50">
        <f t="shared" si="66"/>
        <v>0.36429360377547948</v>
      </c>
      <c r="N85" s="50">
        <f t="shared" si="66"/>
        <v>0.31504725339633788</v>
      </c>
      <c r="O85" s="50">
        <f t="shared" si="66"/>
        <v>0.55164085807643126</v>
      </c>
      <c r="P85" s="50">
        <f t="shared" ref="P85:W85" si="67">P81/P84</f>
        <v>0.55604395604395607</v>
      </c>
      <c r="Q85" s="50">
        <f t="shared" si="67"/>
        <v>0.77118453585075297</v>
      </c>
      <c r="R85" s="50">
        <f t="shared" si="67"/>
        <v>0.7208490059108007</v>
      </c>
      <c r="S85" s="50">
        <f t="shared" si="67"/>
        <v>0.79091683224524556</v>
      </c>
      <c r="T85" s="50">
        <f t="shared" si="67"/>
        <v>0.82154920063048864</v>
      </c>
      <c r="U85" s="50">
        <f t="shared" si="67"/>
        <v>0.78155005039520453</v>
      </c>
      <c r="V85" s="50">
        <f>V81/V84</f>
        <v>0.83167430936136899</v>
      </c>
      <c r="W85" s="50">
        <f t="shared" si="67"/>
        <v>0.83112913654264386</v>
      </c>
      <c r="X85" s="50">
        <f t="shared" ref="X85" si="68">X81/X84</f>
        <v>0.50465368804777788</v>
      </c>
      <c r="Y85" s="50">
        <f t="shared" ref="Y85:AG85" si="69">Y81/Y84</f>
        <v>0.54878369021866014</v>
      </c>
      <c r="Z85" s="50">
        <f t="shared" ca="1" si="69"/>
        <v>0.50769069952556745</v>
      </c>
      <c r="AA85" s="50">
        <f t="shared" ca="1" si="69"/>
        <v>0.50486433328301694</v>
      </c>
      <c r="AB85" s="50">
        <f t="shared" ca="1" si="69"/>
        <v>0.49620752569855625</v>
      </c>
      <c r="AC85" s="50">
        <f t="shared" ca="1" si="69"/>
        <v>0.48507149534426514</v>
      </c>
      <c r="AD85" s="50">
        <f t="shared" ca="1" si="69"/>
        <v>0.46948220543668773</v>
      </c>
      <c r="AE85" s="50">
        <f t="shared" ca="1" si="69"/>
        <v>0.44926424334929083</v>
      </c>
      <c r="AF85" s="50">
        <f t="shared" ca="1" si="69"/>
        <v>0.42423929587766274</v>
      </c>
      <c r="AG85" s="50">
        <f t="shared" ca="1" si="69"/>
        <v>0.39421830869607016</v>
      </c>
      <c r="AH85" s="43"/>
      <c r="AI85" s="43"/>
      <c r="AJ85" s="43"/>
      <c r="AK85" s="43"/>
      <c r="AL85" s="43"/>
      <c r="AM85" s="43"/>
      <c r="AN85" s="43"/>
      <c r="AO85" s="43"/>
      <c r="AP85" s="43"/>
      <c r="AQ85" s="43"/>
      <c r="AR85" s="43"/>
      <c r="AS85" s="43"/>
      <c r="AT85" s="43"/>
      <c r="AU85" s="43"/>
      <c r="AV85" s="43"/>
      <c r="AW85" s="43"/>
      <c r="AX85" s="43"/>
      <c r="AY85" s="43"/>
      <c r="AZ85" s="43"/>
      <c r="BA85" s="43"/>
      <c r="BB85" s="43"/>
      <c r="BC85" s="43"/>
      <c r="BD85" s="43"/>
      <c r="BE85" s="43"/>
      <c r="BF85" s="43"/>
      <c r="BG85" s="43"/>
      <c r="BH85" s="43"/>
      <c r="BI85" s="43"/>
      <c r="BJ85" s="43"/>
      <c r="BK85" s="43"/>
      <c r="BL85" s="43"/>
      <c r="BM85" s="43"/>
      <c r="BN85" s="43"/>
      <c r="BO85" s="43"/>
      <c r="BP85" s="43"/>
      <c r="BQ85" s="43"/>
      <c r="BR85" s="43"/>
      <c r="BS85" s="43"/>
      <c r="BT85" s="43"/>
      <c r="BU85" s="43"/>
      <c r="BV85" s="43"/>
      <c r="BW85" s="43"/>
      <c r="BX85" s="43"/>
      <c r="BY85" s="43"/>
      <c r="BZ85" s="43"/>
      <c r="CA85" s="43"/>
      <c r="CB85" s="43"/>
      <c r="CC85" s="43"/>
      <c r="CD85" s="43"/>
      <c r="CE85" s="43"/>
      <c r="CF85" s="43"/>
      <c r="CG85" s="43"/>
      <c r="CH85" s="43"/>
      <c r="CI85" s="43"/>
      <c r="CJ85" s="43"/>
      <c r="CK85" s="43"/>
      <c r="CL85" s="43"/>
      <c r="CM85" s="43"/>
      <c r="CN85" s="43"/>
      <c r="CO85" s="43"/>
      <c r="CP85" s="43"/>
      <c r="CQ85" s="43"/>
      <c r="CR85" s="43"/>
      <c r="CS85" s="43"/>
      <c r="CT85" s="43"/>
      <c r="CU85" s="43"/>
      <c r="CV85" s="43"/>
      <c r="CW85" s="43"/>
      <c r="CX85" s="43"/>
      <c r="CY85" s="43"/>
      <c r="CZ85" s="43"/>
      <c r="DA85" s="43"/>
      <c r="DB85" s="43"/>
      <c r="DC85" s="43"/>
      <c r="DD85" s="43"/>
      <c r="DE85" s="43"/>
      <c r="DF85" s="43"/>
      <c r="DG85" s="43"/>
      <c r="DH85" s="43"/>
      <c r="DI85" s="43"/>
      <c r="DJ85" s="43"/>
      <c r="DK85" s="43"/>
      <c r="DL85" s="43"/>
      <c r="DM85" s="43"/>
      <c r="DN85" s="43"/>
      <c r="DO85" s="43"/>
      <c r="DP85" s="43"/>
      <c r="DQ85" s="43"/>
      <c r="DR85" s="43"/>
      <c r="DS85" s="43"/>
      <c r="DT85" s="43"/>
      <c r="DU85" s="43"/>
      <c r="DV85" s="43"/>
      <c r="DW85" s="43"/>
      <c r="DX85" s="43"/>
      <c r="DY85" s="43"/>
      <c r="DZ85" s="43"/>
      <c r="EA85" s="43"/>
      <c r="EB85" s="43"/>
      <c r="EC85" s="43"/>
      <c r="ED85" s="43"/>
      <c r="EE85" s="43"/>
      <c r="EF85" s="43"/>
      <c r="EG85" s="43"/>
      <c r="EH85" s="43"/>
      <c r="EI85" s="43"/>
      <c r="EJ85" s="43"/>
      <c r="EK85" s="43"/>
      <c r="EL85" s="43"/>
      <c r="EM85" s="43"/>
      <c r="EN85" s="43"/>
      <c r="EO85" s="43"/>
      <c r="EP85" s="43"/>
      <c r="EQ85" s="43"/>
      <c r="ER85" s="43"/>
      <c r="ES85" s="43"/>
      <c r="ET85" s="43"/>
      <c r="EU85" s="43"/>
      <c r="EV85" s="43"/>
      <c r="EW85" s="43"/>
      <c r="EX85" s="43"/>
      <c r="EY85" s="43"/>
      <c r="EZ85" s="43"/>
      <c r="FA85" s="43"/>
      <c r="FB85" s="43"/>
      <c r="FC85" s="43"/>
      <c r="FD85" s="43"/>
      <c r="FE85" s="43"/>
      <c r="FF85" s="43"/>
      <c r="FG85" s="43"/>
      <c r="FH85" s="43"/>
      <c r="FI85" s="43"/>
      <c r="FJ85" s="43"/>
      <c r="FK85" s="43"/>
      <c r="FL85" s="43"/>
      <c r="FM85" s="43"/>
      <c r="FN85" s="43"/>
      <c r="FO85" s="43"/>
      <c r="FP85" s="43"/>
      <c r="FQ85" s="43"/>
      <c r="FR85" s="43"/>
      <c r="FS85" s="43"/>
      <c r="FT85" s="43"/>
      <c r="FU85" s="43"/>
      <c r="FV85" s="43"/>
      <c r="FW85" s="43"/>
      <c r="FX85" s="43"/>
      <c r="FY85" s="43"/>
      <c r="FZ85" s="43"/>
      <c r="GA85" s="43"/>
      <c r="GB85" s="43"/>
      <c r="GC85" s="43"/>
      <c r="GD85" s="43"/>
      <c r="GE85" s="43"/>
      <c r="GF85" s="43"/>
      <c r="GG85" s="43"/>
      <c r="GH85" s="43"/>
      <c r="GI85" s="43"/>
      <c r="GJ85" s="43"/>
      <c r="GK85" s="43"/>
      <c r="GL85" s="43"/>
      <c r="GM85" s="43"/>
      <c r="GN85" s="43"/>
      <c r="GO85" s="43"/>
      <c r="GP85" s="43"/>
      <c r="GQ85" s="43"/>
      <c r="GR85" s="43"/>
      <c r="GS85" s="43"/>
      <c r="GT85" s="43"/>
      <c r="GU85" s="43"/>
      <c r="GV85" s="43"/>
      <c r="GW85" s="43"/>
      <c r="GX85" s="43"/>
      <c r="GY85" s="43"/>
      <c r="GZ85" s="43"/>
      <c r="HA85" s="43"/>
      <c r="HB85" s="43"/>
      <c r="HC85" s="43"/>
      <c r="HD85" s="43"/>
      <c r="HE85" s="43"/>
      <c r="HF85" s="43"/>
      <c r="HG85" s="43"/>
      <c r="HH85" s="43"/>
      <c r="HI85" s="43"/>
      <c r="HJ85" s="43"/>
      <c r="HK85" s="43"/>
      <c r="HL85" s="43"/>
      <c r="HM85" s="43"/>
      <c r="HN85" s="43"/>
      <c r="HO85" s="43"/>
      <c r="HP85" s="43"/>
      <c r="HQ85" s="43"/>
      <c r="HR85"/>
      <c r="HS85"/>
      <c r="HT85"/>
      <c r="HU85"/>
      <c r="HV85"/>
      <c r="HW85"/>
      <c r="HX85"/>
      <c r="HY85"/>
      <c r="HZ85"/>
      <c r="IA85"/>
      <c r="IB85"/>
      <c r="IC85"/>
      <c r="ID85"/>
      <c r="IE85"/>
      <c r="IF85"/>
      <c r="IG85"/>
      <c r="IH85"/>
      <c r="II85"/>
      <c r="IJ85"/>
      <c r="IK85" s="32"/>
      <c r="IL85" s="32"/>
      <c r="IM85" s="32"/>
      <c r="IN85" s="32"/>
      <c r="IO85" s="32"/>
      <c r="IP85" s="32"/>
      <c r="IQ85" s="32"/>
    </row>
    <row r="86" spans="1:251" s="33" customFormat="1" ht="12.75" customHeight="1">
      <c r="A86" s="32"/>
      <c r="B86" s="32"/>
      <c r="C86" s="32"/>
      <c r="D86" s="51"/>
      <c r="E86" s="51"/>
      <c r="F86" s="51"/>
      <c r="G86" s="51"/>
      <c r="H86" s="51"/>
      <c r="I86" s="51"/>
      <c r="J86" s="263"/>
      <c r="K86" s="263"/>
      <c r="L86" s="263"/>
      <c r="M86" s="263"/>
      <c r="N86" s="263"/>
      <c r="O86" s="263"/>
      <c r="P86" s="263"/>
      <c r="Q86" s="263"/>
      <c r="R86" s="263"/>
      <c r="S86" s="263"/>
      <c r="T86" s="118"/>
      <c r="U86" s="118"/>
      <c r="V86" s="118"/>
      <c r="W86" s="118"/>
      <c r="X86" s="118"/>
      <c r="Y86" s="118"/>
      <c r="Z86" s="118"/>
      <c r="AA86" s="118"/>
      <c r="AB86" s="118"/>
      <c r="AC86" s="118"/>
      <c r="AD86" s="118"/>
      <c r="AE86" s="118"/>
      <c r="AF86" s="118"/>
      <c r="AG86" s="118"/>
      <c r="AH86" s="43"/>
      <c r="AI86" s="43"/>
      <c r="AJ86" s="43"/>
      <c r="AK86" s="43"/>
      <c r="AL86" s="43"/>
      <c r="AM86" s="43"/>
      <c r="AN86" s="43"/>
      <c r="AO86" s="43"/>
      <c r="AP86" s="43"/>
      <c r="AQ86" s="43"/>
      <c r="AR86" s="43"/>
      <c r="AS86" s="43"/>
      <c r="AT86" s="43"/>
      <c r="AU86" s="43"/>
      <c r="AV86" s="43"/>
      <c r="AW86" s="43"/>
      <c r="AX86" s="43"/>
      <c r="AY86" s="43"/>
      <c r="AZ86" s="43"/>
      <c r="BA86" s="43"/>
      <c r="BB86" s="43"/>
      <c r="BC86" s="43"/>
      <c r="BD86" s="43"/>
      <c r="BE86" s="43"/>
      <c r="BF86" s="43"/>
      <c r="BG86" s="43"/>
      <c r="BH86" s="43"/>
      <c r="BI86" s="43"/>
      <c r="BJ86" s="43"/>
      <c r="BK86" s="43"/>
      <c r="BL86" s="43"/>
      <c r="BM86" s="43"/>
      <c r="BN86" s="43"/>
      <c r="BO86" s="43"/>
      <c r="BP86" s="43"/>
      <c r="BQ86" s="43"/>
      <c r="BR86" s="43"/>
      <c r="BS86" s="43"/>
      <c r="BT86" s="43"/>
      <c r="BU86" s="43"/>
      <c r="BV86" s="43"/>
      <c r="BW86" s="43"/>
      <c r="BX86" s="43"/>
      <c r="BY86" s="43"/>
      <c r="BZ86" s="43"/>
      <c r="CA86" s="43"/>
      <c r="CB86" s="43"/>
      <c r="CC86" s="43"/>
      <c r="CD86" s="43"/>
      <c r="CE86" s="43"/>
      <c r="CF86" s="43"/>
      <c r="CG86" s="43"/>
      <c r="CH86" s="43"/>
      <c r="CI86" s="43"/>
      <c r="CJ86" s="43"/>
      <c r="CK86" s="43"/>
      <c r="CL86" s="43"/>
      <c r="CM86" s="43"/>
      <c r="CN86" s="43"/>
      <c r="CO86" s="43"/>
      <c r="CP86" s="43"/>
      <c r="CQ86" s="43"/>
      <c r="CR86" s="43"/>
      <c r="CS86" s="43"/>
      <c r="CT86" s="43"/>
      <c r="CU86" s="43"/>
      <c r="CV86" s="43"/>
      <c r="CW86" s="43"/>
      <c r="CX86" s="43"/>
      <c r="CY86" s="43"/>
      <c r="CZ86" s="43"/>
      <c r="DA86" s="43"/>
      <c r="DB86" s="43"/>
      <c r="DC86" s="43"/>
      <c r="DD86" s="43"/>
      <c r="DE86" s="43"/>
      <c r="DF86" s="43"/>
      <c r="DG86" s="43"/>
      <c r="DH86" s="43"/>
      <c r="DI86" s="43"/>
      <c r="DJ86" s="43"/>
      <c r="DK86" s="43"/>
      <c r="DL86" s="43"/>
      <c r="DM86" s="43"/>
      <c r="DN86" s="43"/>
      <c r="DO86" s="43"/>
      <c r="DP86" s="43"/>
      <c r="DQ86" s="43"/>
      <c r="DR86" s="43"/>
      <c r="DS86" s="43"/>
      <c r="DT86" s="43"/>
      <c r="DU86" s="43"/>
      <c r="DV86" s="43"/>
      <c r="DW86" s="43"/>
      <c r="DX86" s="43"/>
      <c r="DY86" s="43"/>
      <c r="DZ86" s="43"/>
      <c r="EA86" s="43"/>
      <c r="EB86" s="43"/>
      <c r="EC86" s="43"/>
      <c r="ED86" s="43"/>
      <c r="EE86" s="43"/>
      <c r="EF86" s="43"/>
      <c r="EG86" s="43"/>
      <c r="EH86" s="43"/>
      <c r="EI86" s="43"/>
      <c r="EJ86" s="43"/>
      <c r="EK86" s="43"/>
      <c r="EL86" s="43"/>
      <c r="EM86" s="43"/>
      <c r="EN86" s="43"/>
      <c r="EO86" s="43"/>
      <c r="EP86" s="43"/>
      <c r="EQ86" s="43"/>
      <c r="ER86" s="43"/>
      <c r="ES86" s="43"/>
      <c r="ET86" s="43"/>
      <c r="EU86" s="43"/>
      <c r="EV86" s="43"/>
      <c r="EW86" s="43"/>
      <c r="EX86" s="43"/>
      <c r="EY86" s="43"/>
      <c r="EZ86" s="43"/>
      <c r="FA86" s="43"/>
      <c r="FB86" s="43"/>
      <c r="FC86" s="43"/>
      <c r="FD86" s="43"/>
      <c r="FE86" s="43"/>
      <c r="FF86" s="43"/>
      <c r="FG86" s="43"/>
      <c r="FH86" s="43"/>
      <c r="FI86" s="43"/>
      <c r="FJ86" s="43"/>
      <c r="FK86" s="43"/>
      <c r="FL86" s="43"/>
      <c r="FM86" s="43"/>
      <c r="FN86" s="43"/>
      <c r="FO86" s="43"/>
      <c r="FP86" s="43"/>
      <c r="FQ86" s="43"/>
      <c r="FR86" s="43"/>
      <c r="FS86" s="43"/>
      <c r="FT86" s="43"/>
      <c r="FU86" s="43"/>
      <c r="FV86" s="43"/>
      <c r="FW86" s="43"/>
      <c r="FX86" s="43"/>
      <c r="FY86" s="43"/>
      <c r="FZ86" s="43"/>
      <c r="GA86" s="43"/>
      <c r="GB86" s="43"/>
      <c r="GC86" s="43"/>
      <c r="GD86" s="43"/>
      <c r="GE86" s="43"/>
      <c r="GF86" s="43"/>
      <c r="GG86" s="43"/>
      <c r="GH86" s="43"/>
      <c r="GI86" s="43"/>
      <c r="GJ86" s="43"/>
      <c r="GK86" s="43"/>
      <c r="GL86" s="43"/>
      <c r="GM86" s="43"/>
      <c r="GN86" s="43"/>
      <c r="GO86" s="43"/>
      <c r="GP86" s="43"/>
      <c r="GQ86" s="43"/>
      <c r="GR86" s="43"/>
      <c r="GS86" s="43"/>
      <c r="GT86" s="43"/>
      <c r="GU86" s="43"/>
      <c r="GV86" s="43"/>
      <c r="GW86" s="43"/>
      <c r="GX86" s="43"/>
      <c r="GY86" s="43"/>
      <c r="GZ86" s="43"/>
      <c r="HA86" s="43"/>
      <c r="HB86" s="43"/>
      <c r="HC86" s="43"/>
      <c r="HD86" s="43"/>
      <c r="HE86" s="43"/>
      <c r="HF86" s="43"/>
      <c r="HG86" s="43"/>
      <c r="HH86" s="43"/>
      <c r="HI86" s="43"/>
      <c r="HJ86" s="43"/>
      <c r="HK86" s="43"/>
      <c r="HL86" s="43"/>
      <c r="HM86" s="43"/>
      <c r="HN86" s="43"/>
      <c r="HO86" s="43"/>
      <c r="HP86" s="43"/>
      <c r="HQ86" s="43"/>
      <c r="HR86"/>
      <c r="HS86"/>
      <c r="HT86"/>
      <c r="HU86"/>
      <c r="HV86"/>
      <c r="HW86"/>
      <c r="HX86"/>
      <c r="HY86"/>
      <c r="HZ86"/>
      <c r="IA86"/>
      <c r="IB86"/>
      <c r="IC86"/>
      <c r="ID86"/>
      <c r="IE86"/>
      <c r="IF86"/>
      <c r="IG86"/>
      <c r="IH86"/>
      <c r="II86"/>
      <c r="IJ86"/>
      <c r="IK86" s="32"/>
      <c r="IL86" s="32"/>
      <c r="IM86" s="32"/>
      <c r="IN86" s="32"/>
      <c r="IO86" s="32"/>
      <c r="IP86" s="32"/>
      <c r="IQ86" s="32"/>
    </row>
    <row r="87" spans="1:251" s="33" customFormat="1" ht="12.75" customHeight="1">
      <c r="A87" s="32" t="s">
        <v>568</v>
      </c>
      <c r="B87" s="32"/>
      <c r="C87" s="32"/>
      <c r="D87" s="64">
        <f t="shared" ref="D87:K87" si="70">(D16-D11)/D46</f>
        <v>1.2351181390805299</v>
      </c>
      <c r="E87" s="64">
        <f t="shared" si="70"/>
        <v>0.65865571404784373</v>
      </c>
      <c r="F87" s="64">
        <f t="shared" si="70"/>
        <v>0.32652510694053721</v>
      </c>
      <c r="G87" s="64">
        <f t="shared" si="70"/>
        <v>0.41467653046025521</v>
      </c>
      <c r="H87" s="64">
        <f t="shared" si="70"/>
        <v>0.43569856409181429</v>
      </c>
      <c r="I87" s="64">
        <f t="shared" si="70"/>
        <v>0.55354555228345725</v>
      </c>
      <c r="J87" s="64">
        <f t="shared" si="70"/>
        <v>0.64227903428436572</v>
      </c>
      <c r="K87" s="64">
        <f t="shared" si="70"/>
        <v>0.5534859681252251</v>
      </c>
      <c r="L87" s="64"/>
      <c r="M87" s="64">
        <f>(L16-L11)/L46</f>
        <v>0.52098501412748799</v>
      </c>
      <c r="N87" s="64"/>
      <c r="O87" s="64">
        <f t="shared" ref="O87:AB87" si="71">(M16-M11)/M46</f>
        <v>0.63138615770194717</v>
      </c>
      <c r="P87" s="64">
        <f t="shared" si="71"/>
        <v>0.65589394100734744</v>
      </c>
      <c r="Q87" s="64">
        <f t="shared" si="71"/>
        <v>0.65363022171472074</v>
      </c>
      <c r="R87" s="64">
        <f t="shared" si="71"/>
        <v>1.4011481377765331</v>
      </c>
      <c r="S87" s="64">
        <f t="shared" si="71"/>
        <v>0.49587087087087089</v>
      </c>
      <c r="T87" s="64">
        <f t="shared" si="71"/>
        <v>0.61081871345029237</v>
      </c>
      <c r="U87" s="64">
        <f t="shared" si="71"/>
        <v>0.70024859348423396</v>
      </c>
      <c r="V87" s="64">
        <f t="shared" si="71"/>
        <v>0.55375106047751788</v>
      </c>
      <c r="W87" s="64">
        <f t="shared" si="71"/>
        <v>0.66746953811277987</v>
      </c>
      <c r="X87" s="64">
        <f t="shared" si="71"/>
        <v>0.63052261175550628</v>
      </c>
      <c r="Y87" s="64">
        <f t="shared" si="71"/>
        <v>0.57290194970330599</v>
      </c>
      <c r="Z87" s="64">
        <f t="shared" si="71"/>
        <v>0.7063050847457627</v>
      </c>
      <c r="AA87" s="64">
        <f t="shared" si="71"/>
        <v>0.45125731575774813</v>
      </c>
      <c r="AB87" s="64">
        <f t="shared" ca="1" si="71"/>
        <v>0.46267141396799816</v>
      </c>
      <c r="AC87" s="64">
        <f ca="1">(AA16-AA11)/AA46</f>
        <v>0.34423734387129229</v>
      </c>
      <c r="AD87" s="64">
        <f ca="1">(AB16-AB11)/AB46</f>
        <v>0.38751544775190255</v>
      </c>
      <c r="AE87" s="64">
        <f ca="1">(AC16-AC11)/AC46</f>
        <v>0.43244147594459975</v>
      </c>
      <c r="AF87" s="64">
        <f ca="1">(AD16-AD11)/AD46</f>
        <v>0.4929292007679521</v>
      </c>
      <c r="AG87" s="64">
        <f ca="1">(AE16-AE11)/AE46</f>
        <v>0.57019515057619452</v>
      </c>
      <c r="AH87" s="43"/>
      <c r="AI87" s="43"/>
      <c r="AJ87" s="43"/>
      <c r="AK87" s="43"/>
      <c r="AL87" s="43"/>
      <c r="AM87" s="43"/>
      <c r="AN87" s="43"/>
      <c r="AO87" s="43"/>
      <c r="AP87" s="43"/>
      <c r="AQ87" s="43"/>
      <c r="AR87" s="43"/>
      <c r="AS87" s="43"/>
      <c r="AT87" s="43"/>
      <c r="AU87" s="43"/>
      <c r="AV87" s="43"/>
      <c r="AW87" s="43"/>
      <c r="AX87" s="43"/>
      <c r="AY87" s="43"/>
      <c r="AZ87" s="43"/>
      <c r="BA87" s="43"/>
      <c r="BB87" s="43"/>
      <c r="BC87" s="43"/>
      <c r="BD87" s="43"/>
      <c r="BE87" s="43"/>
      <c r="BF87" s="43"/>
      <c r="BG87" s="43"/>
      <c r="BH87" s="43"/>
      <c r="BI87" s="43"/>
      <c r="BJ87" s="43"/>
      <c r="BK87" s="43"/>
      <c r="BL87" s="43"/>
      <c r="BM87" s="43"/>
      <c r="BN87" s="43"/>
      <c r="BO87" s="43"/>
      <c r="BP87" s="43"/>
      <c r="BQ87" s="43"/>
      <c r="BR87" s="43"/>
      <c r="BS87" s="43"/>
      <c r="BT87" s="43"/>
      <c r="BU87" s="43"/>
      <c r="BV87" s="43"/>
      <c r="BW87" s="43"/>
      <c r="BX87" s="43"/>
      <c r="BY87" s="43"/>
      <c r="BZ87" s="43"/>
      <c r="CA87" s="43"/>
      <c r="CB87" s="43"/>
      <c r="CC87" s="43"/>
      <c r="CD87" s="43"/>
      <c r="CE87" s="43"/>
      <c r="CF87" s="43"/>
      <c r="CG87" s="43"/>
      <c r="CH87" s="43"/>
      <c r="CI87" s="43"/>
      <c r="CJ87" s="43"/>
      <c r="CK87" s="43"/>
      <c r="CL87" s="43"/>
      <c r="CM87" s="43"/>
      <c r="CN87" s="43"/>
      <c r="CO87" s="43"/>
      <c r="CP87" s="43"/>
      <c r="CQ87" s="43"/>
      <c r="CR87" s="43"/>
      <c r="CS87" s="43"/>
      <c r="CT87" s="43"/>
      <c r="CU87" s="43"/>
      <c r="CV87" s="43"/>
      <c r="CW87" s="43"/>
      <c r="CX87" s="43"/>
      <c r="CY87" s="43"/>
      <c r="CZ87" s="43"/>
      <c r="DA87" s="43"/>
      <c r="DB87" s="43"/>
      <c r="DC87" s="43"/>
      <c r="DD87" s="43"/>
      <c r="DE87" s="43"/>
      <c r="DF87" s="43"/>
      <c r="DG87" s="43"/>
      <c r="DH87" s="43"/>
      <c r="DI87" s="43"/>
      <c r="DJ87" s="43"/>
      <c r="DK87" s="43"/>
      <c r="DL87" s="43"/>
      <c r="DM87" s="43"/>
      <c r="DN87" s="43"/>
      <c r="DO87" s="43"/>
      <c r="DP87" s="43"/>
      <c r="DQ87" s="43"/>
      <c r="DR87" s="43"/>
      <c r="DS87" s="43"/>
      <c r="DT87" s="43"/>
      <c r="DU87" s="43"/>
      <c r="DV87" s="43"/>
      <c r="DW87" s="43"/>
      <c r="DX87" s="43"/>
      <c r="DY87" s="43"/>
      <c r="DZ87" s="43"/>
      <c r="EA87" s="43"/>
      <c r="EB87" s="43"/>
      <c r="EC87" s="43"/>
      <c r="ED87" s="43"/>
      <c r="EE87" s="43"/>
      <c r="EF87" s="43"/>
      <c r="EG87" s="43"/>
      <c r="EH87" s="43"/>
      <c r="EI87" s="43"/>
      <c r="EJ87" s="43"/>
      <c r="EK87" s="43"/>
      <c r="EL87" s="43"/>
      <c r="EM87" s="43"/>
      <c r="EN87" s="43"/>
      <c r="EO87" s="43"/>
      <c r="EP87" s="43"/>
      <c r="EQ87" s="43"/>
      <c r="ER87" s="43"/>
      <c r="ES87" s="43"/>
      <c r="ET87" s="43"/>
      <c r="EU87" s="43"/>
      <c r="EV87" s="43"/>
      <c r="EW87" s="43"/>
      <c r="EX87" s="43"/>
      <c r="EY87" s="43"/>
      <c r="EZ87" s="43"/>
      <c r="FA87" s="43"/>
      <c r="FB87" s="43"/>
      <c r="FC87" s="43"/>
      <c r="FD87" s="43"/>
      <c r="FE87" s="43"/>
      <c r="FF87" s="43"/>
      <c r="FG87" s="43"/>
      <c r="FH87" s="43"/>
      <c r="FI87" s="43"/>
      <c r="FJ87" s="43"/>
      <c r="FK87" s="43"/>
      <c r="FL87" s="43"/>
      <c r="FM87" s="43"/>
      <c r="FN87" s="43"/>
      <c r="FO87" s="43"/>
      <c r="FP87" s="43"/>
      <c r="FQ87" s="43"/>
      <c r="FR87" s="43"/>
      <c r="FS87" s="43"/>
      <c r="FT87" s="43"/>
      <c r="FU87" s="43"/>
      <c r="FV87" s="43"/>
      <c r="FW87" s="43"/>
      <c r="FX87" s="43"/>
      <c r="FY87" s="43"/>
      <c r="FZ87" s="43"/>
      <c r="GA87" s="43"/>
      <c r="GB87" s="43"/>
      <c r="GC87" s="43"/>
      <c r="GD87" s="43"/>
      <c r="GE87" s="43"/>
      <c r="GF87" s="43"/>
      <c r="GG87" s="43"/>
      <c r="GH87" s="43"/>
      <c r="GI87" s="43"/>
      <c r="GJ87" s="43"/>
      <c r="GK87" s="43"/>
      <c r="GL87" s="43"/>
      <c r="GM87" s="43"/>
      <c r="GN87" s="43"/>
      <c r="GO87" s="43"/>
      <c r="GP87" s="43"/>
      <c r="GQ87" s="43"/>
      <c r="GR87" s="43"/>
      <c r="GS87" s="43"/>
      <c r="GT87" s="43"/>
      <c r="GU87" s="43"/>
      <c r="GV87" s="43"/>
      <c r="GW87" s="43"/>
      <c r="GX87" s="43"/>
      <c r="GY87" s="43"/>
      <c r="GZ87" s="43"/>
      <c r="HA87" s="43"/>
      <c r="HB87" s="43"/>
      <c r="HC87" s="43"/>
      <c r="HD87" s="43"/>
      <c r="HE87" s="43"/>
      <c r="HF87" s="43"/>
      <c r="HG87" s="43"/>
      <c r="HH87" s="43"/>
      <c r="HI87" s="43"/>
      <c r="HJ87" s="43"/>
      <c r="HK87" s="43"/>
      <c r="HL87" s="43"/>
      <c r="HM87" s="43"/>
      <c r="HN87" s="43"/>
      <c r="HO87" s="43"/>
      <c r="HP87" s="43"/>
      <c r="HQ87" s="43"/>
      <c r="HR87"/>
      <c r="HS87"/>
      <c r="HT87"/>
      <c r="HU87"/>
      <c r="HV87"/>
      <c r="HW87"/>
      <c r="HX87"/>
      <c r="HY87"/>
      <c r="HZ87"/>
      <c r="IA87"/>
      <c r="IB87"/>
      <c r="IC87"/>
      <c r="ID87"/>
      <c r="IE87"/>
      <c r="IF87"/>
      <c r="IG87"/>
      <c r="IH87"/>
      <c r="II87"/>
      <c r="IJ87"/>
      <c r="IK87" s="32"/>
      <c r="IL87" s="32"/>
      <c r="IM87" s="32"/>
      <c r="IN87" s="32"/>
      <c r="IO87" s="32"/>
      <c r="IP87" s="32"/>
      <c r="IQ87" s="32"/>
    </row>
    <row r="88" spans="1:251" s="33" customFormat="1">
      <c r="A88" s="32" t="s">
        <v>569</v>
      </c>
      <c r="B88" s="32"/>
      <c r="C88" s="32"/>
      <c r="D88" s="64">
        <f t="shared" ref="D88:K88" si="72">D16/D46</f>
        <v>1.2351181390805299</v>
      </c>
      <c r="E88" s="64">
        <f t="shared" si="72"/>
        <v>1.1597380251984237</v>
      </c>
      <c r="F88" s="64">
        <f t="shared" si="72"/>
        <v>0.66430305599445061</v>
      </c>
      <c r="G88" s="64">
        <f t="shared" si="72"/>
        <v>0.85770319249292493</v>
      </c>
      <c r="H88" s="64">
        <f t="shared" si="72"/>
        <v>0.91400272508122837</v>
      </c>
      <c r="I88" s="64">
        <f t="shared" si="72"/>
        <v>0.99948581311643991</v>
      </c>
      <c r="J88" s="64">
        <f t="shared" si="72"/>
        <v>1.0682143867913649</v>
      </c>
      <c r="K88" s="64">
        <f t="shared" si="72"/>
        <v>0.95810405819327304</v>
      </c>
      <c r="L88" s="64"/>
      <c r="M88" s="64">
        <f>L16/L46</f>
        <v>1.0002393500695967</v>
      </c>
      <c r="N88" s="64"/>
      <c r="O88" s="64">
        <f t="shared" ref="O88:AB88" si="73">M16/M46</f>
        <v>1.1891909260330313</v>
      </c>
      <c r="P88" s="64">
        <f t="shared" si="73"/>
        <v>1.2187200511127676</v>
      </c>
      <c r="Q88" s="64">
        <f t="shared" si="73"/>
        <v>0.77295651346464933</v>
      </c>
      <c r="R88" s="64">
        <f t="shared" si="73"/>
        <v>1.5508260991318958</v>
      </c>
      <c r="S88" s="64">
        <f t="shared" si="73"/>
        <v>0.7223473473473474</v>
      </c>
      <c r="T88" s="64">
        <f t="shared" si="73"/>
        <v>0.87441520467836253</v>
      </c>
      <c r="U88" s="64">
        <f t="shared" si="73"/>
        <v>0.93301059793274888</v>
      </c>
      <c r="V88" s="64">
        <f t="shared" si="73"/>
        <v>0.76536177433038421</v>
      </c>
      <c r="W88" s="64">
        <f t="shared" si="73"/>
        <v>0.93369226409747808</v>
      </c>
      <c r="X88" s="64">
        <f t="shared" si="73"/>
        <v>0.89638993874625306</v>
      </c>
      <c r="Y88" s="64">
        <f t="shared" si="73"/>
        <v>0.85984741452387681</v>
      </c>
      <c r="Z88" s="64">
        <f t="shared" si="73"/>
        <v>0.98440677966101697</v>
      </c>
      <c r="AA88" s="64">
        <f t="shared" si="73"/>
        <v>0.6834116499168843</v>
      </c>
      <c r="AB88" s="64">
        <f t="shared" ca="1" si="73"/>
        <v>0.70122018834030764</v>
      </c>
      <c r="AC88" s="64">
        <f ca="1">AA16/AA46</f>
        <v>0.57655157470521412</v>
      </c>
      <c r="AD88" s="64">
        <f ca="1">AB16/AB46</f>
        <v>0.60933267620824694</v>
      </c>
      <c r="AE88" s="64">
        <f ca="1">AC16/AC46</f>
        <v>0.64908501954409648</v>
      </c>
      <c r="AF88" s="64">
        <f ca="1">AD16/AD46</f>
        <v>0.70481613386080444</v>
      </c>
      <c r="AG88" s="64">
        <f ca="1">AE16/AE46</f>
        <v>0.77772480833236701</v>
      </c>
      <c r="AH88" s="43"/>
      <c r="AI88" s="43"/>
      <c r="AJ88" s="43"/>
      <c r="AK88" s="43"/>
      <c r="AL88" s="43"/>
      <c r="AM88" s="43"/>
      <c r="AN88" s="43"/>
      <c r="AO88" s="43"/>
      <c r="AP88" s="43"/>
      <c r="AQ88" s="43"/>
      <c r="AR88" s="43"/>
      <c r="AS88" s="43"/>
      <c r="AT88" s="43"/>
      <c r="AU88" s="43"/>
      <c r="AV88" s="43"/>
      <c r="AW88" s="43"/>
      <c r="AX88" s="43"/>
      <c r="AY88" s="43"/>
      <c r="AZ88" s="43"/>
      <c r="BA88" s="43"/>
      <c r="BB88" s="43"/>
      <c r="BC88" s="43"/>
      <c r="BD88" s="43"/>
      <c r="BE88" s="43"/>
      <c r="BF88" s="43"/>
      <c r="BG88" s="43"/>
      <c r="BH88" s="43"/>
      <c r="BI88" s="43"/>
      <c r="BJ88" s="43"/>
      <c r="BK88" s="43"/>
      <c r="BL88" s="43"/>
      <c r="BM88" s="43"/>
      <c r="BN88" s="43"/>
      <c r="BO88" s="43"/>
      <c r="BP88" s="43"/>
      <c r="BQ88" s="43"/>
      <c r="BR88" s="43"/>
      <c r="BS88" s="43"/>
      <c r="BT88" s="43"/>
      <c r="BU88" s="43"/>
      <c r="BV88" s="43"/>
      <c r="BW88" s="43"/>
      <c r="BX88" s="43"/>
      <c r="BY88" s="43"/>
      <c r="BZ88" s="43"/>
      <c r="CA88" s="43"/>
      <c r="CB88" s="43"/>
      <c r="CC88" s="43"/>
      <c r="CD88" s="43"/>
      <c r="CE88" s="43"/>
      <c r="CF88" s="43"/>
      <c r="CG88" s="43"/>
      <c r="CH88" s="43"/>
      <c r="CI88" s="43"/>
      <c r="CJ88" s="43"/>
      <c r="CK88" s="43"/>
      <c r="CL88" s="43"/>
      <c r="CM88" s="43"/>
      <c r="CN88" s="43"/>
      <c r="CO88" s="43"/>
      <c r="CP88" s="43"/>
      <c r="CQ88" s="43"/>
      <c r="CR88" s="43"/>
      <c r="CS88" s="43"/>
      <c r="CT88" s="43"/>
      <c r="CU88" s="43"/>
      <c r="CV88" s="43"/>
      <c r="CW88" s="43"/>
      <c r="CX88" s="43"/>
      <c r="CY88" s="43"/>
      <c r="CZ88" s="43"/>
      <c r="DA88" s="43"/>
      <c r="DB88" s="43"/>
      <c r="DC88" s="43"/>
      <c r="DD88" s="43"/>
      <c r="DE88" s="43"/>
      <c r="DF88" s="43"/>
      <c r="DG88" s="43"/>
      <c r="DH88" s="43"/>
      <c r="DI88" s="43"/>
      <c r="DJ88" s="43"/>
      <c r="DK88" s="43"/>
      <c r="DL88" s="43"/>
      <c r="DM88" s="43"/>
      <c r="DN88" s="43"/>
      <c r="DO88" s="43"/>
      <c r="DP88" s="43"/>
      <c r="DQ88" s="43"/>
      <c r="DR88" s="43"/>
      <c r="DS88" s="43"/>
      <c r="DT88" s="43"/>
      <c r="DU88" s="43"/>
      <c r="DV88" s="43"/>
      <c r="DW88" s="43"/>
      <c r="DX88" s="43"/>
      <c r="DY88" s="43"/>
      <c r="DZ88" s="43"/>
      <c r="EA88" s="43"/>
      <c r="EB88" s="43"/>
      <c r="EC88" s="43"/>
      <c r="ED88" s="43"/>
      <c r="EE88" s="43"/>
      <c r="EF88" s="43"/>
      <c r="EG88" s="43"/>
      <c r="EH88" s="43"/>
      <c r="EI88" s="43"/>
      <c r="EJ88" s="43"/>
      <c r="EK88" s="43"/>
      <c r="EL88" s="43"/>
      <c r="EM88" s="43"/>
      <c r="EN88" s="43"/>
      <c r="EO88" s="43"/>
      <c r="EP88" s="43"/>
      <c r="EQ88" s="43"/>
      <c r="ER88" s="43"/>
      <c r="ES88" s="43"/>
      <c r="ET88" s="43"/>
      <c r="EU88" s="43"/>
      <c r="EV88" s="43"/>
      <c r="EW88" s="43"/>
      <c r="EX88" s="43"/>
      <c r="EY88" s="43"/>
      <c r="EZ88" s="43"/>
      <c r="FA88" s="43"/>
      <c r="FB88" s="43"/>
      <c r="FC88" s="43"/>
      <c r="FD88" s="43"/>
      <c r="FE88" s="43"/>
      <c r="FF88" s="43"/>
      <c r="FG88" s="43"/>
      <c r="FH88" s="43"/>
      <c r="FI88" s="43"/>
      <c r="FJ88" s="43"/>
      <c r="FK88" s="43"/>
      <c r="FL88" s="43"/>
      <c r="FM88" s="43"/>
      <c r="FN88" s="43"/>
      <c r="FO88" s="43"/>
      <c r="FP88" s="43"/>
      <c r="FQ88" s="43"/>
      <c r="FR88" s="43"/>
      <c r="FS88" s="43"/>
      <c r="FT88" s="43"/>
      <c r="FU88" s="43"/>
      <c r="FV88" s="43"/>
      <c r="FW88" s="43"/>
      <c r="FX88" s="43"/>
      <c r="FY88" s="43"/>
      <c r="FZ88" s="43"/>
      <c r="GA88" s="43"/>
      <c r="GB88" s="43"/>
      <c r="GC88" s="43"/>
      <c r="GD88" s="43"/>
      <c r="GE88" s="43"/>
      <c r="GF88" s="43"/>
      <c r="GG88" s="43"/>
      <c r="GH88" s="43"/>
      <c r="GI88" s="43"/>
      <c r="GJ88" s="43"/>
      <c r="GK88" s="43"/>
      <c r="GL88" s="43"/>
      <c r="GM88" s="43"/>
      <c r="GN88" s="43"/>
      <c r="GO88" s="43"/>
      <c r="GP88" s="43"/>
      <c r="GQ88" s="43"/>
      <c r="GR88" s="43"/>
      <c r="GS88" s="43"/>
      <c r="GT88" s="43"/>
      <c r="GU88" s="43"/>
      <c r="GV88" s="43"/>
      <c r="GW88" s="43"/>
      <c r="GX88" s="43"/>
      <c r="GY88" s="43"/>
      <c r="GZ88" s="43"/>
      <c r="HA88" s="43"/>
      <c r="HB88" s="43"/>
      <c r="HC88" s="43"/>
      <c r="HD88" s="43"/>
      <c r="HE88" s="43"/>
      <c r="HF88" s="43"/>
      <c r="HG88" s="43"/>
      <c r="HH88" s="43"/>
      <c r="HI88" s="43"/>
      <c r="HJ88" s="43"/>
      <c r="HK88" s="43"/>
      <c r="HL88" s="43"/>
      <c r="HM88" s="43"/>
      <c r="HN88" s="43"/>
      <c r="HO88" s="43"/>
      <c r="HP88" s="43"/>
      <c r="HQ88" s="43"/>
      <c r="HR88"/>
      <c r="HS88"/>
      <c r="HT88"/>
      <c r="HU88"/>
      <c r="HV88"/>
      <c r="HW88"/>
      <c r="HX88"/>
      <c r="HY88"/>
      <c r="HZ88"/>
      <c r="IA88"/>
      <c r="IB88"/>
      <c r="IC88"/>
      <c r="ID88"/>
      <c r="IE88"/>
      <c r="IF88"/>
      <c r="IG88"/>
      <c r="IH88"/>
      <c r="II88"/>
      <c r="IJ88"/>
      <c r="IK88" s="32"/>
      <c r="IL88" s="32"/>
      <c r="IM88" s="32"/>
      <c r="IN88" s="32"/>
      <c r="IO88" s="32"/>
      <c r="IP88" s="32"/>
      <c r="IQ88" s="32"/>
    </row>
    <row r="89" spans="1:251" s="33" customFormat="1">
      <c r="A89" s="146" t="s">
        <v>570</v>
      </c>
      <c r="B89" s="32"/>
      <c r="C89" s="32"/>
      <c r="D89" s="64"/>
      <c r="E89" s="64">
        <f>IS!B114/IS!B32</f>
        <v>18.069182389937108</v>
      </c>
      <c r="F89" s="64">
        <f>IS!C114/IS!C32</f>
        <v>19.983310152990263</v>
      </c>
      <c r="G89" s="64">
        <f>IS!D114/IS!D32</f>
        <v>11.30324400564175</v>
      </c>
      <c r="H89" s="64">
        <f>IS!E114/IS!E32</f>
        <v>14.84215167548501</v>
      </c>
      <c r="I89" s="64">
        <f>IS!F114/IS!F32</f>
        <v>13.836956521739131</v>
      </c>
      <c r="J89" s="64">
        <f>IS!E114/IS!E32</f>
        <v>14.84215167548501</v>
      </c>
      <c r="K89" s="64">
        <f>IS!F114/IS!F32</f>
        <v>13.836956521739131</v>
      </c>
      <c r="L89" s="64">
        <f>IS!G114/IS!G32</f>
        <v>13.813775510204081</v>
      </c>
      <c r="M89" s="64">
        <f>IS!H114/IS!H32</f>
        <v>14.461279461279462</v>
      </c>
      <c r="N89" s="64">
        <f>IS!I114/IS!I32</f>
        <v>21.526795895096921</v>
      </c>
      <c r="O89" s="64">
        <f>IS!J114/IS!J32</f>
        <v>24.882926829268293</v>
      </c>
      <c r="P89" s="64">
        <f ca="1">IS!K114/IS!K32</f>
        <v>49.725227951881081</v>
      </c>
      <c r="Q89" s="64">
        <f>IS!L114/IS!L32</f>
        <v>6.2274825174825175</v>
      </c>
      <c r="R89" s="64">
        <f>IS!M114/IS!M32</f>
        <v>6.4064737005913477</v>
      </c>
      <c r="S89" s="64">
        <f>IS!N114/IS!N32</f>
        <v>6.6270781432711381</v>
      </c>
      <c r="T89" s="64">
        <f>IS!O114/IS!O32</f>
        <v>7.2984536621042739</v>
      </c>
      <c r="U89" s="64">
        <f>IS!P114/IS!P32</f>
        <v>8.0901138339034375</v>
      </c>
      <c r="V89" s="64">
        <f>IS!Q114/IS!Q32</f>
        <v>10.709158415841584</v>
      </c>
      <c r="W89" s="64">
        <f>IS!R114/IS!R32</f>
        <v>11.430556555547556</v>
      </c>
      <c r="X89" s="64">
        <f>IS!S114/IS!S32</f>
        <v>13.121899362154501</v>
      </c>
      <c r="Y89" s="64">
        <f>IS!T114/IS!T32</f>
        <v>15.111431316042271</v>
      </c>
      <c r="Z89" s="64">
        <f ca="1">IS!U114/IS!U32</f>
        <v>15.506417980821503</v>
      </c>
      <c r="AA89" s="64">
        <f ca="1">IS!V114/IS!V32</f>
        <v>18.062541976268538</v>
      </c>
      <c r="AB89" s="64">
        <f ca="1">IS!W114/IS!W32</f>
        <v>20.174076571887358</v>
      </c>
      <c r="AC89" s="64">
        <f ca="1">IS!X114/IS!X32</f>
        <v>21.373700328723373</v>
      </c>
      <c r="AD89" s="64">
        <f ca="1">IS!Y114/IS!Y32</f>
        <v>22.587570132973074</v>
      </c>
      <c r="AE89" s="64">
        <f ca="1">IS!Z114/IS!Z32</f>
        <v>23.83307863143057</v>
      </c>
      <c r="AF89" s="64">
        <f ca="1">IS!AA114/IS!AA32</f>
        <v>25.118938777985925</v>
      </c>
      <c r="AG89" s="64">
        <f ca="1">IS!AB114/IS!AB32</f>
        <v>26.45438199981772</v>
      </c>
      <c r="AH89" s="43"/>
      <c r="AI89" s="43"/>
      <c r="AJ89" s="43"/>
      <c r="AK89" s="43"/>
      <c r="AL89" s="43"/>
      <c r="AM89" s="43"/>
      <c r="AN89" s="43"/>
      <c r="AO89" s="43"/>
      <c r="AP89" s="43"/>
      <c r="AQ89" s="43"/>
      <c r="AR89" s="43"/>
      <c r="AS89" s="43"/>
      <c r="AT89" s="43"/>
      <c r="AU89" s="43"/>
      <c r="AV89" s="43"/>
      <c r="AW89" s="43"/>
      <c r="AX89" s="43"/>
      <c r="AY89" s="43"/>
      <c r="AZ89" s="43"/>
      <c r="BA89" s="43"/>
      <c r="BB89" s="43"/>
      <c r="BC89" s="43"/>
      <c r="BD89" s="43"/>
      <c r="BE89" s="43"/>
      <c r="BF89" s="43"/>
      <c r="BG89" s="43"/>
      <c r="BH89" s="43"/>
      <c r="BI89" s="43"/>
      <c r="BJ89" s="43"/>
      <c r="BK89" s="43"/>
      <c r="BL89" s="43"/>
      <c r="BM89" s="43"/>
      <c r="BN89" s="43"/>
      <c r="BO89" s="43"/>
      <c r="BP89" s="43"/>
      <c r="BQ89" s="43"/>
      <c r="BR89" s="43"/>
      <c r="BS89" s="43"/>
      <c r="BT89" s="43"/>
      <c r="BU89" s="43"/>
      <c r="BV89" s="43"/>
      <c r="BW89" s="43"/>
      <c r="BX89" s="43"/>
      <c r="BY89" s="43"/>
      <c r="BZ89" s="43"/>
      <c r="CA89" s="43"/>
      <c r="CB89" s="43"/>
      <c r="CC89" s="43"/>
      <c r="CD89" s="43"/>
      <c r="CE89" s="43"/>
      <c r="CF89" s="43"/>
      <c r="CG89" s="43"/>
      <c r="CH89" s="43"/>
      <c r="CI89" s="43"/>
      <c r="CJ89" s="43"/>
      <c r="CK89" s="43"/>
      <c r="CL89" s="43"/>
      <c r="CM89" s="43"/>
      <c r="CN89" s="43"/>
      <c r="CO89" s="43"/>
      <c r="CP89" s="43"/>
      <c r="CQ89" s="43"/>
      <c r="CR89" s="43"/>
      <c r="CS89" s="43"/>
      <c r="CT89" s="43"/>
      <c r="CU89" s="43"/>
      <c r="CV89" s="43"/>
      <c r="CW89" s="43"/>
      <c r="CX89" s="43"/>
      <c r="CY89" s="43"/>
      <c r="CZ89" s="43"/>
      <c r="DA89" s="43"/>
      <c r="DB89" s="43"/>
      <c r="DC89" s="43"/>
      <c r="DD89" s="43"/>
      <c r="DE89" s="43"/>
      <c r="DF89" s="43"/>
      <c r="DG89" s="43"/>
      <c r="DH89" s="43"/>
      <c r="DI89" s="43"/>
      <c r="DJ89" s="43"/>
      <c r="DK89" s="43"/>
      <c r="DL89" s="43"/>
      <c r="DM89" s="43"/>
      <c r="DN89" s="43"/>
      <c r="DO89" s="43"/>
      <c r="DP89" s="43"/>
      <c r="DQ89" s="43"/>
      <c r="DR89" s="43"/>
      <c r="DS89" s="43"/>
      <c r="DT89" s="43"/>
      <c r="DU89" s="43"/>
      <c r="DV89" s="43"/>
      <c r="DW89" s="43"/>
      <c r="DX89" s="43"/>
      <c r="DY89" s="43"/>
      <c r="DZ89" s="43"/>
      <c r="EA89" s="43"/>
      <c r="EB89" s="43"/>
      <c r="EC89" s="43"/>
      <c r="ED89" s="43"/>
      <c r="EE89" s="43"/>
      <c r="EF89" s="43"/>
      <c r="EG89" s="43"/>
      <c r="EH89" s="43"/>
      <c r="EI89" s="43"/>
      <c r="EJ89" s="43"/>
      <c r="EK89" s="43"/>
      <c r="EL89" s="43"/>
      <c r="EM89" s="43"/>
      <c r="EN89" s="43"/>
      <c r="EO89" s="43"/>
      <c r="EP89" s="43"/>
      <c r="EQ89" s="43"/>
      <c r="ER89" s="43"/>
      <c r="ES89" s="43"/>
      <c r="ET89" s="43"/>
      <c r="EU89" s="43"/>
      <c r="EV89" s="43"/>
      <c r="EW89" s="43"/>
      <c r="EX89" s="43"/>
      <c r="EY89" s="43"/>
      <c r="EZ89" s="43"/>
      <c r="FA89" s="43"/>
      <c r="FB89" s="43"/>
      <c r="FC89" s="43"/>
      <c r="FD89" s="43"/>
      <c r="FE89" s="43"/>
      <c r="FF89" s="43"/>
      <c r="FG89" s="43"/>
      <c r="FH89" s="43"/>
      <c r="FI89" s="43"/>
      <c r="FJ89" s="43"/>
      <c r="FK89" s="43"/>
      <c r="FL89" s="43"/>
      <c r="FM89" s="43"/>
      <c r="FN89" s="43"/>
      <c r="FO89" s="43"/>
      <c r="FP89" s="43"/>
      <c r="FQ89" s="43"/>
      <c r="FR89" s="43"/>
      <c r="FS89" s="43"/>
      <c r="FT89" s="43"/>
      <c r="FU89" s="43"/>
      <c r="FV89" s="43"/>
      <c r="FW89" s="43"/>
      <c r="FX89" s="43"/>
      <c r="FY89" s="43"/>
      <c r="FZ89" s="43"/>
      <c r="GA89" s="43"/>
      <c r="GB89" s="43"/>
      <c r="GC89" s="43"/>
      <c r="GD89" s="43"/>
      <c r="GE89" s="43"/>
      <c r="GF89" s="43"/>
      <c r="GG89" s="43"/>
      <c r="GH89" s="43"/>
      <c r="GI89" s="43"/>
      <c r="GJ89" s="43"/>
      <c r="GK89" s="43"/>
      <c r="GL89" s="43"/>
      <c r="GM89" s="43"/>
      <c r="GN89" s="43"/>
      <c r="GO89" s="43"/>
      <c r="GP89" s="43"/>
      <c r="GQ89" s="43"/>
      <c r="GR89" s="43"/>
      <c r="GS89" s="43"/>
      <c r="GT89" s="43"/>
      <c r="GU89" s="43"/>
      <c r="GV89" s="43"/>
      <c r="GW89" s="43"/>
      <c r="GX89" s="43"/>
      <c r="GY89" s="43"/>
      <c r="GZ89" s="43"/>
      <c r="HA89" s="43"/>
      <c r="HB89" s="43"/>
      <c r="HC89" s="43"/>
      <c r="HD89" s="43"/>
      <c r="HE89" s="43"/>
      <c r="HF89" s="43"/>
      <c r="HG89" s="43"/>
      <c r="HH89" s="43"/>
      <c r="HI89" s="43"/>
      <c r="HJ89" s="43"/>
      <c r="HK89" s="43"/>
      <c r="HL89" s="43"/>
      <c r="HM89" s="43"/>
      <c r="HN89" s="43"/>
      <c r="HO89" s="43"/>
      <c r="HP89" s="43"/>
      <c r="HQ89" s="43"/>
      <c r="HR89"/>
      <c r="HS89"/>
      <c r="HT89"/>
      <c r="HU89"/>
      <c r="HV89"/>
      <c r="HW89"/>
      <c r="HX89"/>
      <c r="HY89"/>
      <c r="HZ89"/>
      <c r="IA89"/>
      <c r="IB89"/>
      <c r="IC89"/>
      <c r="ID89"/>
      <c r="IE89"/>
      <c r="IF89"/>
      <c r="IG89"/>
      <c r="IH89"/>
      <c r="II89"/>
      <c r="IJ89"/>
      <c r="IK89" s="32"/>
      <c r="IL89" s="32"/>
      <c r="IM89" s="32"/>
      <c r="IN89" s="32"/>
      <c r="IO89" s="32"/>
      <c r="IP89" s="32"/>
      <c r="IQ89" s="32"/>
    </row>
    <row r="90" spans="1:251" s="33" customFormat="1">
      <c r="A90" s="32"/>
      <c r="B90" s="32"/>
      <c r="C90" s="32"/>
      <c r="D90" s="51"/>
      <c r="E90" s="51"/>
      <c r="F90" s="51"/>
      <c r="G90" s="51"/>
      <c r="H90" s="51"/>
      <c r="I90" s="51"/>
      <c r="J90" s="263"/>
      <c r="K90" s="263"/>
      <c r="L90" s="263"/>
      <c r="M90" s="263"/>
      <c r="N90" s="263"/>
      <c r="O90" s="263"/>
      <c r="P90" s="263"/>
      <c r="Q90" s="263"/>
      <c r="R90" s="263"/>
      <c r="S90" s="263"/>
      <c r="T90" s="118"/>
      <c r="U90" s="118"/>
      <c r="V90" s="118"/>
      <c r="W90" s="118"/>
      <c r="X90" s="118"/>
      <c r="Y90" s="118"/>
      <c r="Z90" s="118"/>
      <c r="AA90" s="118"/>
      <c r="AB90" s="118"/>
      <c r="AC90" s="118"/>
      <c r="AD90" s="118"/>
      <c r="AE90" s="118"/>
      <c r="AF90" s="118"/>
      <c r="AG90" s="118"/>
      <c r="AH90" s="43"/>
      <c r="AI90" s="43"/>
      <c r="AJ90" s="43"/>
      <c r="AK90" s="43"/>
      <c r="AL90" s="43"/>
      <c r="AM90" s="43"/>
      <c r="AN90" s="43"/>
      <c r="AO90" s="43"/>
      <c r="AP90" s="43"/>
      <c r="AQ90" s="43"/>
      <c r="AR90" s="43"/>
      <c r="AS90" s="43"/>
      <c r="AT90" s="43"/>
      <c r="AU90" s="43"/>
      <c r="AV90" s="43"/>
      <c r="AW90" s="43"/>
      <c r="AX90" s="43"/>
      <c r="AY90" s="43"/>
      <c r="AZ90" s="43"/>
      <c r="BA90" s="43"/>
      <c r="BB90" s="43"/>
      <c r="BC90" s="43"/>
      <c r="BD90" s="43"/>
      <c r="BE90" s="43"/>
      <c r="BF90" s="43"/>
      <c r="BG90" s="43"/>
      <c r="BH90" s="43"/>
      <c r="BI90" s="43"/>
      <c r="BJ90" s="43"/>
      <c r="BK90" s="43"/>
      <c r="BL90" s="43"/>
      <c r="BM90" s="43"/>
      <c r="BN90" s="43"/>
      <c r="BO90" s="43"/>
      <c r="BP90" s="43"/>
      <c r="BQ90" s="43"/>
      <c r="BR90" s="43"/>
      <c r="BS90" s="43"/>
      <c r="BT90" s="43"/>
      <c r="BU90" s="43"/>
      <c r="BV90" s="43"/>
      <c r="BW90" s="43"/>
      <c r="BX90" s="43"/>
      <c r="BY90" s="43"/>
      <c r="BZ90" s="43"/>
      <c r="CA90" s="43"/>
      <c r="CB90" s="43"/>
      <c r="CC90" s="43"/>
      <c r="CD90" s="43"/>
      <c r="CE90" s="43"/>
      <c r="CF90" s="43"/>
      <c r="CG90" s="43"/>
      <c r="CH90" s="43"/>
      <c r="CI90" s="43"/>
      <c r="CJ90" s="43"/>
      <c r="CK90" s="43"/>
      <c r="CL90" s="43"/>
      <c r="CM90" s="43"/>
      <c r="CN90" s="43"/>
      <c r="CO90" s="43"/>
      <c r="CP90" s="43"/>
      <c r="CQ90" s="43"/>
      <c r="CR90" s="43"/>
      <c r="CS90" s="43"/>
      <c r="CT90" s="43"/>
      <c r="CU90" s="43"/>
      <c r="CV90" s="43"/>
      <c r="CW90" s="43"/>
      <c r="CX90" s="43"/>
      <c r="CY90" s="43"/>
      <c r="CZ90" s="43"/>
      <c r="DA90" s="43"/>
      <c r="DB90" s="43"/>
      <c r="DC90" s="43"/>
      <c r="DD90" s="43"/>
      <c r="DE90" s="43"/>
      <c r="DF90" s="43"/>
      <c r="DG90" s="43"/>
      <c r="DH90" s="43"/>
      <c r="DI90" s="43"/>
      <c r="DJ90" s="43"/>
      <c r="DK90" s="43"/>
      <c r="DL90" s="43"/>
      <c r="DM90" s="43"/>
      <c r="DN90" s="43"/>
      <c r="DO90" s="43"/>
      <c r="DP90" s="43"/>
      <c r="DQ90" s="43"/>
      <c r="DR90" s="43"/>
      <c r="DS90" s="43"/>
      <c r="DT90" s="43"/>
      <c r="DU90" s="43"/>
      <c r="DV90" s="43"/>
      <c r="DW90" s="43"/>
      <c r="DX90" s="43"/>
      <c r="DY90" s="43"/>
      <c r="DZ90" s="43"/>
      <c r="EA90" s="43"/>
      <c r="EB90" s="43"/>
      <c r="EC90" s="43"/>
      <c r="ED90" s="43"/>
      <c r="EE90" s="43"/>
      <c r="EF90" s="43"/>
      <c r="EG90" s="43"/>
      <c r="EH90" s="43"/>
      <c r="EI90" s="43"/>
      <c r="EJ90" s="43"/>
      <c r="EK90" s="43"/>
      <c r="EL90" s="43"/>
      <c r="EM90" s="43"/>
      <c r="EN90" s="43"/>
      <c r="EO90" s="43"/>
      <c r="EP90" s="43"/>
      <c r="EQ90" s="43"/>
      <c r="ER90" s="43"/>
      <c r="ES90" s="43"/>
      <c r="ET90" s="43"/>
      <c r="EU90" s="43"/>
      <c r="EV90" s="43"/>
      <c r="EW90" s="43"/>
      <c r="EX90" s="43"/>
      <c r="EY90" s="43"/>
      <c r="EZ90" s="43"/>
      <c r="FA90" s="43"/>
      <c r="FB90" s="43"/>
      <c r="FC90" s="43"/>
      <c r="FD90" s="43"/>
      <c r="FE90" s="43"/>
      <c r="FF90" s="43"/>
      <c r="FG90" s="43"/>
      <c r="FH90" s="43"/>
      <c r="FI90" s="43"/>
      <c r="FJ90" s="43"/>
      <c r="FK90" s="43"/>
      <c r="FL90" s="43"/>
      <c r="FM90" s="43"/>
      <c r="FN90" s="43"/>
      <c r="FO90" s="43"/>
      <c r="FP90" s="43"/>
      <c r="FQ90" s="43"/>
      <c r="FR90" s="43"/>
      <c r="FS90" s="43"/>
      <c r="FT90" s="43"/>
      <c r="FU90" s="43"/>
      <c r="FV90" s="43"/>
      <c r="FW90" s="43"/>
      <c r="FX90" s="43"/>
      <c r="FY90" s="43"/>
      <c r="FZ90" s="43"/>
      <c r="GA90" s="43"/>
      <c r="GB90" s="43"/>
      <c r="GC90" s="43"/>
      <c r="GD90" s="43"/>
      <c r="GE90" s="43"/>
      <c r="GF90" s="43"/>
      <c r="GG90" s="43"/>
      <c r="GH90" s="43"/>
      <c r="GI90" s="43"/>
      <c r="GJ90" s="43"/>
      <c r="GK90" s="43"/>
      <c r="GL90" s="43"/>
      <c r="GM90" s="43"/>
      <c r="GN90" s="43"/>
      <c r="GO90" s="43"/>
      <c r="GP90" s="43"/>
      <c r="GQ90" s="43"/>
      <c r="GR90" s="43"/>
      <c r="GS90" s="43"/>
      <c r="GT90" s="43"/>
      <c r="GU90" s="43"/>
      <c r="GV90" s="43"/>
      <c r="GW90" s="43"/>
      <c r="GX90" s="43"/>
      <c r="GY90" s="43"/>
      <c r="GZ90" s="43"/>
      <c r="HA90" s="43"/>
      <c r="HB90" s="43"/>
      <c r="HC90" s="43"/>
      <c r="HD90" s="43"/>
      <c r="HE90" s="43"/>
      <c r="HF90" s="43"/>
      <c r="HG90" s="43"/>
      <c r="HH90" s="43"/>
      <c r="HI90" s="43"/>
      <c r="HJ90" s="43"/>
      <c r="HK90" s="43"/>
      <c r="HL90" s="43"/>
      <c r="HM90" s="43"/>
      <c r="HN90" s="43"/>
      <c r="HO90" s="43"/>
      <c r="HP90" s="43"/>
      <c r="HQ90" s="43"/>
      <c r="HR90"/>
      <c r="HS90"/>
      <c r="HT90"/>
      <c r="HU90"/>
      <c r="HV90"/>
      <c r="HW90"/>
      <c r="HX90"/>
      <c r="HY90"/>
      <c r="HZ90"/>
      <c r="IA90"/>
      <c r="IB90"/>
      <c r="IC90"/>
      <c r="ID90"/>
      <c r="IE90"/>
      <c r="IF90"/>
      <c r="IG90"/>
      <c r="IH90"/>
      <c r="II90"/>
      <c r="IJ90"/>
      <c r="IK90" s="32"/>
      <c r="IL90" s="32"/>
      <c r="IM90" s="32"/>
      <c r="IN90" s="32"/>
      <c r="IO90" s="32"/>
      <c r="IP90" s="32"/>
      <c r="IQ90" s="32"/>
    </row>
    <row r="91" spans="1:251" s="33" customFormat="1">
      <c r="A91" s="43" t="s">
        <v>571</v>
      </c>
      <c r="B91" s="32"/>
      <c r="C91" s="32"/>
      <c r="D91" s="148"/>
      <c r="E91" s="149"/>
      <c r="F91" s="149"/>
      <c r="G91" s="149"/>
      <c r="H91" s="149"/>
      <c r="I91" s="149"/>
      <c r="J91" s="149"/>
      <c r="K91" s="150"/>
      <c r="L91" s="150"/>
      <c r="M91" s="150"/>
      <c r="N91" s="150"/>
      <c r="O91" s="151">
        <v>805</v>
      </c>
      <c r="P91" s="151">
        <v>3428</v>
      </c>
      <c r="Q91" s="151">
        <v>3669</v>
      </c>
      <c r="R91" s="151">
        <v>2982</v>
      </c>
      <c r="S91" s="151">
        <v>3544</v>
      </c>
      <c r="T91" s="151">
        <v>3904</v>
      </c>
      <c r="U91" s="151">
        <v>4785.3891839285725</v>
      </c>
      <c r="V91" s="151">
        <v>5706.9342658020432</v>
      </c>
      <c r="W91" s="151">
        <v>6670.8136207172447</v>
      </c>
      <c r="X91" s="151">
        <v>7679.3927875175505</v>
      </c>
      <c r="Y91" s="151">
        <v>8735.2363424238829</v>
      </c>
      <c r="Z91" s="151">
        <v>9840.9853666015206</v>
      </c>
      <c r="AA91" s="151">
        <v>10998.773935940069</v>
      </c>
      <c r="AB91" s="151">
        <v>12210.804483121785</v>
      </c>
      <c r="AC91" s="151">
        <v>13479.347486647104</v>
      </c>
      <c r="AD91" s="151">
        <v>14806.740801184327</v>
      </c>
      <c r="AE91" s="151">
        <v>16195.388580895233</v>
      </c>
      <c r="AF91" s="151">
        <v>17647.759742345701</v>
      </c>
      <c r="AG91" s="151">
        <v>19166.385908093063</v>
      </c>
      <c r="AH91" s="43"/>
      <c r="AI91" s="43"/>
      <c r="AJ91" s="43"/>
      <c r="AK91" s="43"/>
      <c r="AL91" s="43"/>
      <c r="AM91" s="43"/>
      <c r="AN91" s="43"/>
      <c r="AO91" s="43"/>
      <c r="AP91" s="43"/>
      <c r="AQ91" s="43"/>
      <c r="AR91" s="43"/>
      <c r="AS91" s="43"/>
      <c r="AT91" s="43"/>
      <c r="AU91" s="43"/>
      <c r="AV91" s="43"/>
      <c r="AW91" s="43"/>
      <c r="AX91" s="43"/>
      <c r="AY91" s="43"/>
      <c r="AZ91" s="43"/>
      <c r="BA91" s="43"/>
      <c r="BB91" s="43"/>
      <c r="BC91" s="43"/>
      <c r="BD91" s="43"/>
      <c r="BE91" s="43"/>
      <c r="BF91" s="43"/>
      <c r="BG91" s="43"/>
      <c r="BH91" s="43"/>
      <c r="BI91" s="43"/>
      <c r="BJ91" s="43"/>
      <c r="BK91" s="43"/>
      <c r="BL91" s="43"/>
      <c r="BM91" s="43"/>
      <c r="BN91" s="43"/>
      <c r="BO91" s="43"/>
      <c r="BP91" s="43"/>
      <c r="BQ91" s="43"/>
      <c r="BR91" s="43"/>
      <c r="BS91" s="43"/>
      <c r="BT91" s="43"/>
      <c r="BU91" s="43"/>
      <c r="BV91" s="43"/>
      <c r="BW91" s="43"/>
      <c r="BX91" s="43"/>
      <c r="BY91" s="43"/>
      <c r="BZ91" s="43"/>
      <c r="CA91" s="43"/>
      <c r="CB91" s="43"/>
      <c r="CC91" s="43"/>
      <c r="CD91" s="43"/>
      <c r="CE91" s="43"/>
      <c r="CF91" s="43"/>
      <c r="CG91" s="43"/>
      <c r="CH91" s="43"/>
      <c r="CI91" s="43"/>
      <c r="CJ91" s="43"/>
      <c r="CK91" s="43"/>
      <c r="CL91" s="43"/>
      <c r="CM91" s="43"/>
      <c r="CN91" s="43"/>
      <c r="CO91" s="43"/>
      <c r="CP91" s="43"/>
      <c r="CQ91" s="43"/>
      <c r="CR91" s="43"/>
      <c r="CS91" s="43"/>
      <c r="CT91" s="43"/>
      <c r="CU91" s="43"/>
      <c r="CV91" s="43"/>
      <c r="CW91" s="43"/>
      <c r="CX91" s="43"/>
      <c r="CY91" s="43"/>
      <c r="CZ91" s="43"/>
      <c r="DA91" s="43"/>
      <c r="DB91" s="43"/>
      <c r="DC91" s="43"/>
      <c r="DD91" s="43"/>
      <c r="DE91" s="43"/>
      <c r="DF91" s="43"/>
      <c r="DG91" s="43"/>
      <c r="DH91" s="43"/>
      <c r="DI91" s="43"/>
      <c r="DJ91" s="43"/>
      <c r="DK91" s="43"/>
      <c r="DL91" s="43"/>
      <c r="DM91" s="43"/>
      <c r="DN91" s="43"/>
      <c r="DO91" s="43"/>
      <c r="DP91" s="43"/>
      <c r="DQ91" s="43"/>
      <c r="DR91" s="43"/>
      <c r="DS91" s="43"/>
      <c r="DT91" s="43"/>
      <c r="DU91" s="43"/>
      <c r="DV91" s="43"/>
      <c r="DW91" s="43"/>
      <c r="DX91" s="43"/>
      <c r="DY91" s="43"/>
      <c r="DZ91" s="43"/>
      <c r="EA91" s="43"/>
      <c r="EB91" s="43"/>
      <c r="EC91" s="43"/>
      <c r="ED91" s="43"/>
      <c r="EE91" s="43"/>
      <c r="EF91" s="43"/>
      <c r="EG91" s="43"/>
      <c r="EH91" s="43"/>
      <c r="EI91" s="43"/>
      <c r="EJ91" s="43"/>
      <c r="EK91" s="43"/>
      <c r="EL91" s="43"/>
      <c r="EM91" s="43"/>
      <c r="EN91" s="43"/>
      <c r="EO91" s="43"/>
      <c r="EP91" s="43"/>
      <c r="EQ91" s="43"/>
      <c r="ER91" s="43"/>
      <c r="ES91" s="43"/>
      <c r="ET91" s="43"/>
      <c r="EU91" s="43"/>
      <c r="EV91" s="43"/>
      <c r="EW91" s="43"/>
      <c r="EX91" s="43"/>
      <c r="EY91" s="43"/>
      <c r="EZ91" s="43"/>
      <c r="FA91" s="43"/>
      <c r="FB91" s="43"/>
      <c r="FC91" s="43"/>
      <c r="FD91" s="43"/>
      <c r="FE91" s="43"/>
      <c r="FF91" s="43"/>
      <c r="FG91" s="43"/>
      <c r="FH91" s="43"/>
      <c r="FI91" s="43"/>
      <c r="FJ91" s="43"/>
      <c r="FK91" s="43"/>
      <c r="FL91" s="43"/>
      <c r="FM91" s="43"/>
      <c r="FN91" s="43"/>
      <c r="FO91" s="43"/>
      <c r="FP91" s="43"/>
      <c r="FQ91" s="43"/>
      <c r="FR91" s="43"/>
      <c r="FS91" s="43"/>
      <c r="FT91" s="43"/>
      <c r="FU91" s="43"/>
      <c r="FV91" s="43"/>
      <c r="FW91" s="43"/>
      <c r="FX91" s="43"/>
      <c r="FY91" s="43"/>
      <c r="FZ91" s="43"/>
      <c r="GA91" s="43"/>
      <c r="GB91" s="43"/>
      <c r="GC91" s="43"/>
      <c r="GD91" s="43"/>
      <c r="GE91" s="43"/>
      <c r="GF91" s="43"/>
      <c r="GG91" s="43"/>
      <c r="GH91" s="43"/>
      <c r="GI91" s="43"/>
      <c r="GJ91" s="43"/>
      <c r="GK91" s="43"/>
      <c r="GL91" s="43"/>
      <c r="GM91" s="43"/>
      <c r="GN91" s="43"/>
      <c r="GO91" s="43"/>
      <c r="GP91" s="43"/>
      <c r="GQ91" s="43"/>
      <c r="GR91" s="43"/>
      <c r="GS91" s="43"/>
      <c r="GT91" s="43"/>
      <c r="GU91" s="43"/>
      <c r="GV91" s="43"/>
      <c r="GW91" s="43"/>
      <c r="GX91" s="43"/>
      <c r="GY91" s="43"/>
      <c r="GZ91" s="43"/>
      <c r="HA91" s="43"/>
      <c r="HB91" s="43"/>
      <c r="HC91" s="43"/>
      <c r="HD91" s="43"/>
      <c r="HE91" s="43"/>
      <c r="HF91" s="43"/>
      <c r="HG91" s="43"/>
      <c r="HH91" s="43"/>
      <c r="HI91" s="43"/>
      <c r="HJ91" s="43"/>
      <c r="HK91" s="43"/>
      <c r="HL91" s="43"/>
      <c r="HM91" s="43"/>
      <c r="HN91" s="43"/>
      <c r="HO91" s="43"/>
      <c r="HP91" s="43"/>
      <c r="HQ91" s="43"/>
      <c r="HR91"/>
      <c r="HS91"/>
      <c r="HT91"/>
      <c r="HU91"/>
      <c r="HV91"/>
      <c r="HW91"/>
      <c r="HX91"/>
      <c r="HY91"/>
      <c r="HZ91"/>
      <c r="IA91"/>
      <c r="IB91"/>
      <c r="IC91"/>
      <c r="ID91"/>
      <c r="IE91"/>
      <c r="IF91"/>
      <c r="IG91"/>
      <c r="IH91"/>
      <c r="II91"/>
      <c r="IJ91"/>
      <c r="IK91" s="32"/>
      <c r="IL91" s="32"/>
      <c r="IM91" s="32"/>
      <c r="IN91" s="32"/>
      <c r="IO91" s="32"/>
      <c r="IP91" s="32"/>
      <c r="IQ91" s="32"/>
    </row>
    <row r="92" spans="1:251" s="33" customFormat="1">
      <c r="A92" s="43" t="s">
        <v>503</v>
      </c>
      <c r="B92" s="32"/>
      <c r="C92" s="32"/>
      <c r="D92" s="84"/>
      <c r="E92" s="85"/>
      <c r="F92" s="85"/>
      <c r="G92" s="85"/>
      <c r="H92" s="85"/>
      <c r="I92" s="85"/>
      <c r="J92" s="85"/>
      <c r="K92" s="143"/>
      <c r="L92" s="143"/>
      <c r="M92" s="143"/>
      <c r="N92" s="143"/>
      <c r="O92" s="143">
        <f>O81+O91+O40</f>
        <v>8674</v>
      </c>
      <c r="P92" s="143">
        <f>P81+P91+P40</f>
        <v>10954</v>
      </c>
      <c r="Q92" s="143">
        <f>Q81+Q91</f>
        <v>17393</v>
      </c>
      <c r="R92" s="143">
        <f>R81+R91</f>
        <v>16397</v>
      </c>
      <c r="S92" s="143">
        <f>S81+S91</f>
        <v>17476</v>
      </c>
      <c r="T92" s="143">
        <f>T81+T91</f>
        <v>18498</v>
      </c>
      <c r="U92" s="143">
        <f t="shared" ref="U92:AB92" si="74">U81+U91+U40</f>
        <v>22909.389183928572</v>
      </c>
      <c r="V92" s="143">
        <f t="shared" si="74"/>
        <v>24078.934265802043</v>
      </c>
      <c r="W92" s="143">
        <f t="shared" si="74"/>
        <v>24400.813620717243</v>
      </c>
      <c r="X92" s="143">
        <f t="shared" ref="X92" si="75">X81+X91+X40</f>
        <v>24393.39278751755</v>
      </c>
      <c r="Y92" s="143">
        <f t="shared" si="74"/>
        <v>26132.089579114574</v>
      </c>
      <c r="Z92" s="143">
        <f t="shared" ca="1" si="74"/>
        <v>26070.934365034784</v>
      </c>
      <c r="AA92" s="143">
        <f t="shared" ca="1" si="74"/>
        <v>27019.619485238356</v>
      </c>
      <c r="AB92" s="143">
        <f t="shared" ca="1" si="74"/>
        <v>27890.862782987853</v>
      </c>
      <c r="AC92" s="143">
        <f ca="1">AC81+AC91+AC40</f>
        <v>28726.369120842945</v>
      </c>
      <c r="AD92" s="143">
        <f ca="1">AD81+AD91+AD40</f>
        <v>29524.003043522142</v>
      </c>
      <c r="AE92" s="143">
        <f ca="1">AE81+AE91+AE40</f>
        <v>30281.793366291324</v>
      </c>
      <c r="AF92" s="143">
        <f ca="1">AF81+AF91+AF40</f>
        <v>30997.911323894408</v>
      </c>
      <c r="AG92" s="143">
        <f ca="1">AG81+AG91+AG40</f>
        <v>31670.512954105219</v>
      </c>
      <c r="AH92" s="43"/>
      <c r="AI92" s="43"/>
      <c r="AJ92" s="43"/>
      <c r="AK92" s="43"/>
      <c r="AL92" s="43"/>
      <c r="AM92" s="43"/>
      <c r="AN92" s="43"/>
      <c r="AO92" s="43"/>
      <c r="AP92" s="43"/>
      <c r="AQ92" s="43"/>
      <c r="AR92" s="43"/>
      <c r="AS92" s="43"/>
      <c r="AT92" s="43"/>
      <c r="AU92" s="43"/>
      <c r="AV92" s="43"/>
      <c r="AW92" s="43"/>
      <c r="AX92" s="43"/>
      <c r="AY92" s="43"/>
      <c r="AZ92" s="43"/>
      <c r="BA92" s="43"/>
      <c r="BB92" s="43"/>
      <c r="BC92" s="43"/>
      <c r="BD92" s="43"/>
      <c r="BE92" s="43"/>
      <c r="BF92" s="43"/>
      <c r="BG92" s="43"/>
      <c r="BH92" s="43"/>
      <c r="BI92" s="43"/>
      <c r="BJ92" s="43"/>
      <c r="BK92" s="43"/>
      <c r="BL92" s="43"/>
      <c r="BM92" s="43"/>
      <c r="BN92" s="43"/>
      <c r="BO92" s="43"/>
      <c r="BP92" s="43"/>
      <c r="BQ92" s="43"/>
      <c r="BR92" s="43"/>
      <c r="BS92" s="43"/>
      <c r="BT92" s="43"/>
      <c r="BU92" s="43"/>
      <c r="BV92" s="43"/>
      <c r="BW92" s="43"/>
      <c r="BX92" s="43"/>
      <c r="BY92" s="43"/>
      <c r="BZ92" s="43"/>
      <c r="CA92" s="43"/>
      <c r="CB92" s="43"/>
      <c r="CC92" s="43"/>
      <c r="CD92" s="43"/>
      <c r="CE92" s="43"/>
      <c r="CF92" s="43"/>
      <c r="CG92" s="43"/>
      <c r="CH92" s="43"/>
      <c r="CI92" s="43"/>
      <c r="CJ92" s="43"/>
      <c r="CK92" s="43"/>
      <c r="CL92" s="43"/>
      <c r="CM92" s="43"/>
      <c r="CN92" s="43"/>
      <c r="CO92" s="43"/>
      <c r="CP92" s="43"/>
      <c r="CQ92" s="43"/>
      <c r="CR92" s="43"/>
      <c r="CS92" s="43"/>
      <c r="CT92" s="43"/>
      <c r="CU92" s="43"/>
      <c r="CV92" s="43"/>
      <c r="CW92" s="43"/>
      <c r="CX92" s="43"/>
      <c r="CY92" s="43"/>
      <c r="CZ92" s="43"/>
      <c r="DA92" s="43"/>
      <c r="DB92" s="43"/>
      <c r="DC92" s="43"/>
      <c r="DD92" s="43"/>
      <c r="DE92" s="43"/>
      <c r="DF92" s="43"/>
      <c r="DG92" s="43"/>
      <c r="DH92" s="43"/>
      <c r="DI92" s="43"/>
      <c r="DJ92" s="43"/>
      <c r="DK92" s="43"/>
      <c r="DL92" s="43"/>
      <c r="DM92" s="43"/>
      <c r="DN92" s="43"/>
      <c r="DO92" s="43"/>
      <c r="DP92" s="43"/>
      <c r="DQ92" s="43"/>
      <c r="DR92" s="43"/>
      <c r="DS92" s="43"/>
      <c r="DT92" s="43"/>
      <c r="DU92" s="43"/>
      <c r="DV92" s="43"/>
      <c r="DW92" s="43"/>
      <c r="DX92" s="43"/>
      <c r="DY92" s="43"/>
      <c r="DZ92" s="43"/>
      <c r="EA92" s="43"/>
      <c r="EB92" s="43"/>
      <c r="EC92" s="43"/>
      <c r="ED92" s="43"/>
      <c r="EE92" s="43"/>
      <c r="EF92" s="43"/>
      <c r="EG92" s="43"/>
      <c r="EH92" s="43"/>
      <c r="EI92" s="43"/>
      <c r="EJ92" s="43"/>
      <c r="EK92" s="43"/>
      <c r="EL92" s="43"/>
      <c r="EM92" s="43"/>
      <c r="EN92" s="43"/>
      <c r="EO92" s="43"/>
      <c r="EP92" s="43"/>
      <c r="EQ92" s="43"/>
      <c r="ER92" s="43"/>
      <c r="ES92" s="43"/>
      <c r="ET92" s="43"/>
      <c r="EU92" s="43"/>
      <c r="EV92" s="43"/>
      <c r="EW92" s="43"/>
      <c r="EX92" s="43"/>
      <c r="EY92" s="43"/>
      <c r="EZ92" s="43"/>
      <c r="FA92" s="43"/>
      <c r="FB92" s="43"/>
      <c r="FC92" s="43"/>
      <c r="FD92" s="43"/>
      <c r="FE92" s="43"/>
      <c r="FF92" s="43"/>
      <c r="FG92" s="43"/>
      <c r="FH92" s="43"/>
      <c r="FI92" s="43"/>
      <c r="FJ92" s="43"/>
      <c r="FK92" s="43"/>
      <c r="FL92" s="43"/>
      <c r="FM92" s="43"/>
      <c r="FN92" s="43"/>
      <c r="FO92" s="43"/>
      <c r="FP92" s="43"/>
      <c r="FQ92" s="43"/>
      <c r="FR92" s="43"/>
      <c r="FS92" s="43"/>
      <c r="FT92" s="43"/>
      <c r="FU92" s="43"/>
      <c r="FV92" s="43"/>
      <c r="FW92" s="43"/>
      <c r="FX92" s="43"/>
      <c r="FY92" s="43"/>
      <c r="FZ92" s="43"/>
      <c r="GA92" s="43"/>
      <c r="GB92" s="43"/>
      <c r="GC92" s="43"/>
      <c r="GD92" s="43"/>
      <c r="GE92" s="43"/>
      <c r="GF92" s="43"/>
      <c r="GG92" s="43"/>
      <c r="GH92" s="43"/>
      <c r="GI92" s="43"/>
      <c r="GJ92" s="43"/>
      <c r="GK92" s="43"/>
      <c r="GL92" s="43"/>
      <c r="GM92" s="43"/>
      <c r="GN92" s="43"/>
      <c r="GO92" s="43"/>
      <c r="GP92" s="43"/>
      <c r="GQ92" s="43"/>
      <c r="GR92" s="43"/>
      <c r="GS92" s="43"/>
      <c r="GT92" s="43"/>
      <c r="GU92" s="43"/>
      <c r="GV92" s="43"/>
      <c r="GW92" s="43"/>
      <c r="GX92" s="43"/>
      <c r="GY92" s="43"/>
      <c r="GZ92" s="43"/>
      <c r="HA92" s="43"/>
      <c r="HB92" s="43"/>
      <c r="HC92" s="43"/>
      <c r="HD92" s="43"/>
      <c r="HE92" s="43"/>
      <c r="HF92" s="43"/>
      <c r="HG92" s="43"/>
      <c r="HH92" s="43"/>
      <c r="HI92" s="43"/>
      <c r="HJ92" s="43"/>
      <c r="HK92" s="43"/>
      <c r="HL92" s="43"/>
      <c r="HM92" s="43"/>
      <c r="HN92" s="43"/>
      <c r="HO92" s="43"/>
      <c r="HP92" s="43"/>
      <c r="HQ92" s="43"/>
      <c r="HR92"/>
      <c r="HS92"/>
      <c r="HT92"/>
      <c r="HU92"/>
      <c r="HV92"/>
      <c r="HW92"/>
      <c r="HX92"/>
      <c r="HY92"/>
      <c r="HZ92"/>
      <c r="IA92"/>
      <c r="IB92"/>
      <c r="IC92"/>
      <c r="ID92"/>
      <c r="IE92"/>
      <c r="IF92"/>
      <c r="IG92"/>
      <c r="IH92"/>
      <c r="II92"/>
      <c r="IJ92"/>
      <c r="IK92" s="32"/>
      <c r="IL92" s="32"/>
      <c r="IM92" s="32"/>
      <c r="IN92" s="32"/>
      <c r="IO92" s="32"/>
      <c r="IP92" s="32"/>
      <c r="IQ92" s="32"/>
    </row>
    <row r="93" spans="1:251" s="33" customFormat="1">
      <c r="A93" s="80"/>
      <c r="B93" s="32"/>
      <c r="C93" s="32"/>
      <c r="D93" s="51"/>
      <c r="E93" s="51"/>
      <c r="F93" s="51"/>
      <c r="G93" s="51"/>
      <c r="H93" s="51"/>
      <c r="I93" s="51"/>
      <c r="J93" s="263"/>
      <c r="K93" s="263"/>
      <c r="L93" s="263"/>
      <c r="M93" s="263"/>
      <c r="N93" s="263"/>
      <c r="O93" s="263"/>
      <c r="P93" s="263"/>
      <c r="Q93" s="263"/>
      <c r="R93" s="263"/>
      <c r="S93" s="263"/>
      <c r="T93" s="118"/>
      <c r="U93" s="118"/>
      <c r="V93" s="118"/>
      <c r="W93" s="118"/>
      <c r="X93" s="118"/>
      <c r="Y93" s="118"/>
      <c r="Z93" s="118"/>
      <c r="AA93" s="118"/>
      <c r="AB93" s="118"/>
      <c r="AC93" s="118"/>
      <c r="AD93" s="118"/>
      <c r="AE93" s="118"/>
      <c r="AF93" s="118"/>
      <c r="AG93" s="118"/>
      <c r="AH93" s="43"/>
      <c r="AI93" s="43"/>
      <c r="AJ93" s="43"/>
      <c r="AK93" s="43"/>
      <c r="AL93" s="43"/>
      <c r="AM93" s="43"/>
      <c r="AN93" s="43"/>
      <c r="AO93" s="43"/>
      <c r="AP93" s="43"/>
      <c r="AQ93" s="43"/>
      <c r="AR93" s="43"/>
      <c r="AS93" s="43"/>
      <c r="AT93" s="43"/>
      <c r="AU93" s="43"/>
      <c r="AV93" s="43"/>
      <c r="AW93" s="43"/>
      <c r="AX93" s="43"/>
      <c r="AY93" s="43"/>
      <c r="AZ93" s="43"/>
      <c r="BA93" s="43"/>
      <c r="BB93" s="43"/>
      <c r="BC93" s="43"/>
      <c r="BD93" s="43"/>
      <c r="BE93" s="43"/>
      <c r="BF93" s="43"/>
      <c r="BG93" s="43"/>
      <c r="BH93" s="43"/>
      <c r="BI93" s="43"/>
      <c r="BJ93" s="43"/>
      <c r="BK93" s="43"/>
      <c r="BL93" s="43"/>
      <c r="BM93" s="43"/>
      <c r="BN93" s="43"/>
      <c r="BO93" s="43"/>
      <c r="BP93" s="43"/>
      <c r="BQ93" s="43"/>
      <c r="BR93" s="43"/>
      <c r="BS93" s="43"/>
      <c r="BT93" s="43"/>
      <c r="BU93" s="43"/>
      <c r="BV93" s="43"/>
      <c r="BW93" s="43"/>
      <c r="BX93" s="43"/>
      <c r="BY93" s="43"/>
      <c r="BZ93" s="43"/>
      <c r="CA93" s="43"/>
      <c r="CB93" s="43"/>
      <c r="CC93" s="43"/>
      <c r="CD93" s="43"/>
      <c r="CE93" s="43"/>
      <c r="CF93" s="43"/>
      <c r="CG93" s="43"/>
      <c r="CH93" s="43"/>
      <c r="CI93" s="43"/>
      <c r="CJ93" s="43"/>
      <c r="CK93" s="43"/>
      <c r="CL93" s="43"/>
      <c r="CM93" s="43"/>
      <c r="CN93" s="43"/>
      <c r="CO93" s="43"/>
      <c r="CP93" s="43"/>
      <c r="CQ93" s="43"/>
      <c r="CR93" s="43"/>
      <c r="CS93" s="43"/>
      <c r="CT93" s="43"/>
      <c r="CU93" s="43"/>
      <c r="CV93" s="43"/>
      <c r="CW93" s="43"/>
      <c r="CX93" s="43"/>
      <c r="CY93" s="43"/>
      <c r="CZ93" s="43"/>
      <c r="DA93" s="43"/>
      <c r="DB93" s="43"/>
      <c r="DC93" s="43"/>
      <c r="DD93" s="43"/>
      <c r="DE93" s="43"/>
      <c r="DF93" s="43"/>
      <c r="DG93" s="43"/>
      <c r="DH93" s="43"/>
      <c r="DI93" s="43"/>
      <c r="DJ93" s="43"/>
      <c r="DK93" s="43"/>
      <c r="DL93" s="43"/>
      <c r="DM93" s="43"/>
      <c r="DN93" s="43"/>
      <c r="DO93" s="43"/>
      <c r="DP93" s="43"/>
      <c r="DQ93" s="43"/>
      <c r="DR93" s="43"/>
      <c r="DS93" s="43"/>
      <c r="DT93" s="43"/>
      <c r="DU93" s="43"/>
      <c r="DV93" s="43"/>
      <c r="DW93" s="43"/>
      <c r="DX93" s="43"/>
      <c r="DY93" s="43"/>
      <c r="DZ93" s="43"/>
      <c r="EA93" s="43"/>
      <c r="EB93" s="43"/>
      <c r="EC93" s="43"/>
      <c r="ED93" s="43"/>
      <c r="EE93" s="43"/>
      <c r="EF93" s="43"/>
      <c r="EG93" s="43"/>
      <c r="EH93" s="43"/>
      <c r="EI93" s="43"/>
      <c r="EJ93" s="43"/>
      <c r="EK93" s="43"/>
      <c r="EL93" s="43"/>
      <c r="EM93" s="43"/>
      <c r="EN93" s="43"/>
      <c r="EO93" s="43"/>
      <c r="EP93" s="43"/>
      <c r="EQ93" s="43"/>
      <c r="ER93" s="43"/>
      <c r="ES93" s="43"/>
      <c r="ET93" s="43"/>
      <c r="EU93" s="43"/>
      <c r="EV93" s="43"/>
      <c r="EW93" s="43"/>
      <c r="EX93" s="43"/>
      <c r="EY93" s="43"/>
      <c r="EZ93" s="43"/>
      <c r="FA93" s="43"/>
      <c r="FB93" s="43"/>
      <c r="FC93" s="43"/>
      <c r="FD93" s="43"/>
      <c r="FE93" s="43"/>
      <c r="FF93" s="43"/>
      <c r="FG93" s="43"/>
      <c r="FH93" s="43"/>
      <c r="FI93" s="43"/>
      <c r="FJ93" s="43"/>
      <c r="FK93" s="43"/>
      <c r="FL93" s="43"/>
      <c r="FM93" s="43"/>
      <c r="FN93" s="43"/>
      <c r="FO93" s="43"/>
      <c r="FP93" s="43"/>
      <c r="FQ93" s="43"/>
      <c r="FR93" s="43"/>
      <c r="FS93" s="43"/>
      <c r="FT93" s="43"/>
      <c r="FU93" s="43"/>
      <c r="FV93" s="43"/>
      <c r="FW93" s="43"/>
      <c r="FX93" s="43"/>
      <c r="FY93" s="43"/>
      <c r="FZ93" s="43"/>
      <c r="GA93" s="43"/>
      <c r="GB93" s="43"/>
      <c r="GC93" s="43"/>
      <c r="GD93" s="43"/>
      <c r="GE93" s="43"/>
      <c r="GF93" s="43"/>
      <c r="GG93" s="43"/>
      <c r="GH93" s="43"/>
      <c r="GI93" s="43"/>
      <c r="GJ93" s="43"/>
      <c r="GK93" s="43"/>
      <c r="GL93" s="43"/>
      <c r="GM93" s="43"/>
      <c r="GN93" s="43"/>
      <c r="GO93" s="43"/>
      <c r="GP93" s="43"/>
      <c r="GQ93" s="43"/>
      <c r="GR93" s="43"/>
      <c r="GS93" s="43"/>
      <c r="GT93" s="43"/>
      <c r="GU93" s="43"/>
      <c r="GV93" s="43"/>
      <c r="GW93" s="43"/>
      <c r="GX93" s="43"/>
      <c r="GY93" s="43"/>
      <c r="GZ93" s="43"/>
      <c r="HA93" s="43"/>
      <c r="HB93" s="43"/>
      <c r="HC93" s="43"/>
      <c r="HD93" s="43"/>
      <c r="HE93" s="43"/>
      <c r="HF93" s="43"/>
      <c r="HG93" s="43"/>
      <c r="HH93" s="43"/>
      <c r="HI93" s="43"/>
      <c r="HJ93" s="43"/>
      <c r="HK93" s="43"/>
      <c r="HL93" s="43"/>
      <c r="HM93" s="43"/>
      <c r="HN93" s="43"/>
      <c r="HO93" s="43"/>
      <c r="HP93" s="43"/>
      <c r="HQ93" s="43"/>
      <c r="HR93"/>
      <c r="HS93"/>
      <c r="HT93"/>
      <c r="HU93"/>
      <c r="HV93"/>
      <c r="HW93"/>
      <c r="HX93"/>
      <c r="HY93"/>
      <c r="HZ93"/>
      <c r="IA93"/>
      <c r="IB93"/>
      <c r="IC93"/>
      <c r="ID93"/>
      <c r="IE93"/>
      <c r="IF93"/>
      <c r="IG93"/>
      <c r="IH93"/>
      <c r="II93"/>
      <c r="IJ93"/>
      <c r="IK93" s="32"/>
      <c r="IL93" s="32"/>
      <c r="IM93" s="32"/>
      <c r="IN93" s="32"/>
      <c r="IO93" s="32"/>
      <c r="IP93" s="32"/>
      <c r="IQ93" s="32"/>
    </row>
    <row r="94" spans="1:251" s="33" customFormat="1">
      <c r="A94" s="219" t="s">
        <v>504</v>
      </c>
      <c r="B94" s="215"/>
      <c r="C94" s="215"/>
      <c r="D94" s="265"/>
      <c r="E94" s="265"/>
      <c r="F94" s="265"/>
      <c r="G94" s="265"/>
      <c r="H94" s="265"/>
      <c r="I94" s="265"/>
      <c r="J94" s="266"/>
      <c r="K94" s="266"/>
      <c r="L94" s="266"/>
      <c r="M94" s="266"/>
      <c r="N94" s="266"/>
      <c r="O94" s="266"/>
      <c r="P94" s="266"/>
      <c r="Q94" s="266"/>
      <c r="R94" s="266"/>
      <c r="S94" s="266"/>
      <c r="T94" s="267"/>
      <c r="U94" s="267"/>
      <c r="V94" s="267"/>
      <c r="W94" s="267"/>
      <c r="X94" s="267"/>
      <c r="Y94" s="267"/>
      <c r="Z94" s="267"/>
      <c r="AA94" s="267"/>
      <c r="AB94" s="267"/>
      <c r="AC94" s="267"/>
      <c r="AD94" s="267"/>
      <c r="AE94" s="267"/>
      <c r="AF94" s="267"/>
      <c r="AG94" s="267"/>
      <c r="AH94" s="43"/>
      <c r="AI94" s="43"/>
      <c r="AJ94" s="43"/>
      <c r="AK94" s="43"/>
      <c r="AL94" s="43"/>
      <c r="AM94" s="43"/>
      <c r="AN94" s="43"/>
      <c r="AO94" s="43"/>
      <c r="AP94" s="43"/>
      <c r="AQ94" s="43"/>
      <c r="AR94" s="43"/>
      <c r="AS94" s="43"/>
      <c r="AT94" s="43"/>
      <c r="AU94" s="43"/>
      <c r="AV94" s="43"/>
      <c r="AW94" s="43"/>
      <c r="AX94" s="43"/>
      <c r="AY94" s="43"/>
      <c r="AZ94" s="43"/>
      <c r="BA94" s="43"/>
      <c r="BB94" s="43"/>
      <c r="BC94" s="43"/>
      <c r="BD94" s="43"/>
      <c r="BE94" s="43"/>
      <c r="BF94" s="43"/>
      <c r="BG94" s="43"/>
      <c r="BH94" s="43"/>
      <c r="BI94" s="43"/>
      <c r="BJ94" s="43"/>
      <c r="BK94" s="43"/>
      <c r="BL94" s="43"/>
      <c r="BM94" s="43"/>
      <c r="BN94" s="43"/>
      <c r="BO94" s="43"/>
      <c r="BP94" s="43"/>
      <c r="BQ94" s="43"/>
      <c r="BR94" s="43"/>
      <c r="BS94" s="43"/>
      <c r="BT94" s="43"/>
      <c r="BU94" s="43"/>
      <c r="BV94" s="43"/>
      <c r="BW94" s="43"/>
      <c r="BX94" s="43"/>
      <c r="BY94" s="43"/>
      <c r="BZ94" s="43"/>
      <c r="CA94" s="43"/>
      <c r="CB94" s="43"/>
      <c r="CC94" s="43"/>
      <c r="CD94" s="43"/>
      <c r="CE94" s="43"/>
      <c r="CF94" s="43"/>
      <c r="CG94" s="43"/>
      <c r="CH94" s="43"/>
      <c r="CI94" s="43"/>
      <c r="CJ94" s="43"/>
      <c r="CK94" s="43"/>
      <c r="CL94" s="43"/>
      <c r="CM94" s="43"/>
      <c r="CN94" s="43"/>
      <c r="CO94" s="43"/>
      <c r="CP94" s="43"/>
      <c r="CQ94" s="43"/>
      <c r="CR94" s="43"/>
      <c r="CS94" s="43"/>
      <c r="CT94" s="43"/>
      <c r="CU94" s="43"/>
      <c r="CV94" s="43"/>
      <c r="CW94" s="43"/>
      <c r="CX94" s="43"/>
      <c r="CY94" s="43"/>
      <c r="CZ94" s="43"/>
      <c r="DA94" s="43"/>
      <c r="DB94" s="43"/>
      <c r="DC94" s="43"/>
      <c r="DD94" s="43"/>
      <c r="DE94" s="43"/>
      <c r="DF94" s="43"/>
      <c r="DG94" s="43"/>
      <c r="DH94" s="43"/>
      <c r="DI94" s="43"/>
      <c r="DJ94" s="43"/>
      <c r="DK94" s="43"/>
      <c r="DL94" s="43"/>
      <c r="DM94" s="43"/>
      <c r="DN94" s="43"/>
      <c r="DO94" s="43"/>
      <c r="DP94" s="43"/>
      <c r="DQ94" s="43"/>
      <c r="DR94" s="43"/>
      <c r="DS94" s="43"/>
      <c r="DT94" s="43"/>
      <c r="DU94" s="43"/>
      <c r="DV94" s="43"/>
      <c r="DW94" s="43"/>
      <c r="DX94" s="43"/>
      <c r="DY94" s="43"/>
      <c r="DZ94" s="43"/>
      <c r="EA94" s="43"/>
      <c r="EB94" s="43"/>
      <c r="EC94" s="43"/>
      <c r="ED94" s="43"/>
      <c r="EE94" s="43"/>
      <c r="EF94" s="43"/>
      <c r="EG94" s="43"/>
      <c r="EH94" s="43"/>
      <c r="EI94" s="43"/>
      <c r="EJ94" s="43"/>
      <c r="EK94" s="43"/>
      <c r="EL94" s="43"/>
      <c r="EM94" s="43"/>
      <c r="EN94" s="43"/>
      <c r="EO94" s="43"/>
      <c r="EP94" s="43"/>
      <c r="EQ94" s="43"/>
      <c r="ER94" s="43"/>
      <c r="ES94" s="43"/>
      <c r="ET94" s="43"/>
      <c r="EU94" s="43"/>
      <c r="EV94" s="43"/>
      <c r="EW94" s="43"/>
      <c r="EX94" s="43"/>
      <c r="EY94" s="43"/>
      <c r="EZ94" s="43"/>
      <c r="FA94" s="43"/>
      <c r="FB94" s="43"/>
      <c r="FC94" s="43"/>
      <c r="FD94" s="43"/>
      <c r="FE94" s="43"/>
      <c r="FF94" s="43"/>
      <c r="FG94" s="43"/>
      <c r="FH94" s="43"/>
      <c r="FI94" s="43"/>
      <c r="FJ94" s="43"/>
      <c r="FK94" s="43"/>
      <c r="FL94" s="43"/>
      <c r="FM94" s="43"/>
      <c r="FN94" s="43"/>
      <c r="FO94" s="43"/>
      <c r="FP94" s="43"/>
      <c r="FQ94" s="43"/>
      <c r="FR94" s="43"/>
      <c r="FS94" s="43"/>
      <c r="FT94" s="43"/>
      <c r="FU94" s="43"/>
      <c r="FV94" s="43"/>
      <c r="FW94" s="43"/>
      <c r="FX94" s="43"/>
      <c r="FY94" s="43"/>
      <c r="FZ94" s="43"/>
      <c r="GA94" s="43"/>
      <c r="GB94" s="43"/>
      <c r="GC94" s="43"/>
      <c r="GD94" s="43"/>
      <c r="GE94" s="43"/>
      <c r="GF94" s="43"/>
      <c r="GG94" s="43"/>
      <c r="GH94" s="43"/>
      <c r="GI94" s="43"/>
      <c r="GJ94" s="43"/>
      <c r="GK94" s="43"/>
      <c r="GL94" s="43"/>
      <c r="GM94" s="43"/>
      <c r="GN94" s="43"/>
      <c r="GO94" s="43"/>
      <c r="GP94" s="43"/>
      <c r="GQ94" s="43"/>
      <c r="GR94" s="43"/>
      <c r="GS94" s="43"/>
      <c r="GT94" s="43"/>
      <c r="GU94" s="43"/>
      <c r="GV94" s="43"/>
      <c r="GW94" s="43"/>
      <c r="GX94" s="43"/>
      <c r="GY94" s="43"/>
      <c r="GZ94" s="43"/>
      <c r="HA94" s="43"/>
      <c r="HB94" s="43"/>
      <c r="HC94" s="43"/>
      <c r="HD94" s="43"/>
      <c r="HE94" s="43"/>
      <c r="HF94" s="43"/>
      <c r="HG94" s="43"/>
      <c r="HH94" s="43"/>
      <c r="HI94" s="43"/>
      <c r="HJ94" s="43"/>
      <c r="HK94" s="43"/>
      <c r="HL94" s="43"/>
      <c r="HM94" s="43"/>
      <c r="HN94" s="43"/>
      <c r="HO94" s="43"/>
      <c r="HP94" s="43"/>
      <c r="HQ94" s="43"/>
      <c r="HR94"/>
      <c r="HS94"/>
      <c r="HT94"/>
      <c r="HU94"/>
      <c r="HV94"/>
      <c r="HW94"/>
      <c r="HX94"/>
      <c r="HY94"/>
      <c r="HZ94"/>
      <c r="IA94"/>
      <c r="IB94"/>
      <c r="IC94"/>
      <c r="ID94"/>
      <c r="IE94"/>
      <c r="IF94"/>
      <c r="IG94"/>
      <c r="IH94"/>
      <c r="II94"/>
      <c r="IJ94"/>
      <c r="IK94" s="32"/>
      <c r="IL94" s="32"/>
      <c r="IM94" s="32"/>
      <c r="IN94" s="32"/>
      <c r="IO94" s="32"/>
      <c r="IP94" s="32"/>
      <c r="IQ94" s="32"/>
    </row>
    <row r="95" spans="1:251" s="33" customFormat="1">
      <c r="A95" s="167"/>
      <c r="B95" s="4"/>
      <c r="C95" s="4"/>
      <c r="D95" s="51"/>
      <c r="E95" s="51"/>
      <c r="F95" s="51"/>
      <c r="G95" s="51"/>
      <c r="H95" s="51"/>
      <c r="I95" s="51"/>
      <c r="J95" s="263"/>
      <c r="K95" s="263"/>
      <c r="L95" s="263"/>
      <c r="M95" s="263"/>
      <c r="N95" s="263"/>
      <c r="O95" s="263"/>
      <c r="P95" s="263"/>
      <c r="Q95" s="263"/>
      <c r="R95" s="263"/>
      <c r="S95" s="263"/>
      <c r="T95" s="118"/>
      <c r="U95" s="118"/>
      <c r="V95" s="118"/>
      <c r="W95" s="118"/>
      <c r="X95" s="118"/>
      <c r="Y95" s="118"/>
      <c r="Z95" s="118"/>
      <c r="AA95" s="118"/>
      <c r="AB95" s="118"/>
      <c r="AC95" s="118"/>
      <c r="AD95" s="118"/>
      <c r="AE95" s="118"/>
      <c r="AF95" s="118"/>
      <c r="AG95" s="118"/>
      <c r="AH95" s="43"/>
      <c r="AI95" s="43"/>
      <c r="AJ95" s="43"/>
      <c r="AK95" s="43"/>
      <c r="AL95" s="43"/>
      <c r="AM95" s="43"/>
      <c r="AN95" s="43"/>
      <c r="AO95" s="43"/>
      <c r="AP95" s="43"/>
      <c r="AQ95" s="43"/>
      <c r="AR95" s="43"/>
      <c r="AS95" s="43"/>
      <c r="AT95" s="43"/>
      <c r="AU95" s="43"/>
      <c r="AV95" s="43"/>
      <c r="AW95" s="43"/>
      <c r="AX95" s="43"/>
      <c r="AY95" s="43"/>
      <c r="AZ95" s="43"/>
      <c r="BA95" s="43"/>
      <c r="BB95" s="43"/>
      <c r="BC95" s="43"/>
      <c r="BD95" s="43"/>
      <c r="BE95" s="43"/>
      <c r="BF95" s="43"/>
      <c r="BG95" s="43"/>
      <c r="BH95" s="43"/>
      <c r="BI95" s="43"/>
      <c r="BJ95" s="43"/>
      <c r="BK95" s="43"/>
      <c r="BL95" s="43"/>
      <c r="BM95" s="43"/>
      <c r="BN95" s="43"/>
      <c r="BO95" s="43"/>
      <c r="BP95" s="43"/>
      <c r="BQ95" s="43"/>
      <c r="BR95" s="43"/>
      <c r="BS95" s="43"/>
      <c r="BT95" s="43"/>
      <c r="BU95" s="43"/>
      <c r="BV95" s="43"/>
      <c r="BW95" s="43"/>
      <c r="BX95" s="43"/>
      <c r="BY95" s="43"/>
      <c r="BZ95" s="43"/>
      <c r="CA95" s="43"/>
      <c r="CB95" s="43"/>
      <c r="CC95" s="43"/>
      <c r="CD95" s="43"/>
      <c r="CE95" s="43"/>
      <c r="CF95" s="43"/>
      <c r="CG95" s="43"/>
      <c r="CH95" s="43"/>
      <c r="CI95" s="43"/>
      <c r="CJ95" s="43"/>
      <c r="CK95" s="43"/>
      <c r="CL95" s="43"/>
      <c r="CM95" s="43"/>
      <c r="CN95" s="43"/>
      <c r="CO95" s="43"/>
      <c r="CP95" s="43"/>
      <c r="CQ95" s="43"/>
      <c r="CR95" s="43"/>
      <c r="CS95" s="43"/>
      <c r="CT95" s="43"/>
      <c r="CU95" s="43"/>
      <c r="CV95" s="43"/>
      <c r="CW95" s="43"/>
      <c r="CX95" s="43"/>
      <c r="CY95" s="43"/>
      <c r="CZ95" s="43"/>
      <c r="DA95" s="43"/>
      <c r="DB95" s="43"/>
      <c r="DC95" s="43"/>
      <c r="DD95" s="43"/>
      <c r="DE95" s="43"/>
      <c r="DF95" s="43"/>
      <c r="DG95" s="43"/>
      <c r="DH95" s="43"/>
      <c r="DI95" s="43"/>
      <c r="DJ95" s="43"/>
      <c r="DK95" s="43"/>
      <c r="DL95" s="43"/>
      <c r="DM95" s="43"/>
      <c r="DN95" s="43"/>
      <c r="DO95" s="43"/>
      <c r="DP95" s="43"/>
      <c r="DQ95" s="43"/>
      <c r="DR95" s="43"/>
      <c r="DS95" s="43"/>
      <c r="DT95" s="43"/>
      <c r="DU95" s="43"/>
      <c r="DV95" s="43"/>
      <c r="DW95" s="43"/>
      <c r="DX95" s="43"/>
      <c r="DY95" s="43"/>
      <c r="DZ95" s="43"/>
      <c r="EA95" s="43"/>
      <c r="EB95" s="43"/>
      <c r="EC95" s="43"/>
      <c r="ED95" s="43"/>
      <c r="EE95" s="43"/>
      <c r="EF95" s="43"/>
      <c r="EG95" s="43"/>
      <c r="EH95" s="43"/>
      <c r="EI95" s="43"/>
      <c r="EJ95" s="43"/>
      <c r="EK95" s="43"/>
      <c r="EL95" s="43"/>
      <c r="EM95" s="43"/>
      <c r="EN95" s="43"/>
      <c r="EO95" s="43"/>
      <c r="EP95" s="43"/>
      <c r="EQ95" s="43"/>
      <c r="ER95" s="43"/>
      <c r="ES95" s="43"/>
      <c r="ET95" s="43"/>
      <c r="EU95" s="43"/>
      <c r="EV95" s="43"/>
      <c r="EW95" s="43"/>
      <c r="EX95" s="43"/>
      <c r="EY95" s="43"/>
      <c r="EZ95" s="43"/>
      <c r="FA95" s="43"/>
      <c r="FB95" s="43"/>
      <c r="FC95" s="43"/>
      <c r="FD95" s="43"/>
      <c r="FE95" s="43"/>
      <c r="FF95" s="43"/>
      <c r="FG95" s="43"/>
      <c r="FH95" s="43"/>
      <c r="FI95" s="43"/>
      <c r="FJ95" s="43"/>
      <c r="FK95" s="43"/>
      <c r="FL95" s="43"/>
      <c r="FM95" s="43"/>
      <c r="FN95" s="43"/>
      <c r="FO95" s="43"/>
      <c r="FP95" s="43"/>
      <c r="FQ95" s="43"/>
      <c r="FR95" s="43"/>
      <c r="FS95" s="43"/>
      <c r="FT95" s="43"/>
      <c r="FU95" s="43"/>
      <c r="FV95" s="43"/>
      <c r="FW95" s="43"/>
      <c r="FX95" s="43"/>
      <c r="FY95" s="43"/>
      <c r="FZ95" s="43"/>
      <c r="GA95" s="43"/>
      <c r="GB95" s="43"/>
      <c r="GC95" s="43"/>
      <c r="GD95" s="43"/>
      <c r="GE95" s="43"/>
      <c r="GF95" s="43"/>
      <c r="GG95" s="43"/>
      <c r="GH95" s="43"/>
      <c r="GI95" s="43"/>
      <c r="GJ95" s="43"/>
      <c r="GK95" s="43"/>
      <c r="GL95" s="43"/>
      <c r="GM95" s="43"/>
      <c r="GN95" s="43"/>
      <c r="GO95" s="43"/>
      <c r="GP95" s="43"/>
      <c r="GQ95" s="43"/>
      <c r="GR95" s="43"/>
      <c r="GS95" s="43"/>
      <c r="GT95" s="43"/>
      <c r="GU95" s="43"/>
      <c r="GV95" s="43"/>
      <c r="GW95" s="43"/>
      <c r="GX95" s="43"/>
      <c r="GY95" s="43"/>
      <c r="GZ95" s="43"/>
      <c r="HA95" s="43"/>
      <c r="HB95" s="43"/>
      <c r="HC95" s="43"/>
      <c r="HD95" s="43"/>
      <c r="HE95" s="43"/>
      <c r="HF95" s="43"/>
      <c r="HG95" s="43"/>
      <c r="HH95" s="43"/>
      <c r="HI95" s="43"/>
      <c r="HJ95" s="43"/>
      <c r="HK95" s="43"/>
      <c r="HL95" s="43"/>
      <c r="HM95" s="43"/>
      <c r="HN95" s="43"/>
      <c r="HO95" s="43"/>
      <c r="HP95" s="43"/>
      <c r="HQ95" s="43"/>
      <c r="HR95"/>
      <c r="HS95"/>
      <c r="HT95"/>
      <c r="HU95"/>
      <c r="HV95"/>
      <c r="HW95"/>
      <c r="HX95"/>
      <c r="HY95"/>
      <c r="HZ95"/>
      <c r="IA95"/>
      <c r="IB95"/>
      <c r="IC95"/>
      <c r="ID95"/>
      <c r="IE95"/>
      <c r="IF95"/>
      <c r="IG95"/>
      <c r="IH95"/>
      <c r="II95"/>
      <c r="IJ95"/>
      <c r="IK95" s="32"/>
      <c r="IL95" s="32"/>
      <c r="IM95" s="32"/>
      <c r="IN95" s="32"/>
      <c r="IO95" s="32"/>
      <c r="IP95" s="32"/>
      <c r="IQ95" s="32"/>
    </row>
    <row r="96" spans="1:251" s="33" customFormat="1">
      <c r="A96" s="170" t="s">
        <v>505</v>
      </c>
      <c r="B96" s="4"/>
      <c r="C96" s="4"/>
      <c r="D96" s="51"/>
      <c r="E96" s="51"/>
      <c r="F96" s="51"/>
      <c r="G96" s="51"/>
      <c r="H96" s="51"/>
      <c r="I96" s="51"/>
      <c r="J96" s="263"/>
      <c r="K96" s="263"/>
      <c r="L96" s="263"/>
      <c r="M96" s="263"/>
      <c r="N96" s="263"/>
      <c r="O96" s="263"/>
      <c r="P96" s="263"/>
      <c r="Q96" s="263"/>
      <c r="R96" s="263"/>
      <c r="S96" s="263"/>
      <c r="T96" s="118"/>
      <c r="U96" s="118"/>
      <c r="V96" s="118"/>
      <c r="W96" s="118"/>
      <c r="X96" s="118"/>
      <c r="Y96" s="118"/>
      <c r="Z96" s="118"/>
      <c r="AA96" s="118"/>
      <c r="AB96" s="118"/>
      <c r="AC96" s="118"/>
      <c r="AD96" s="118"/>
      <c r="AE96" s="118"/>
      <c r="AF96" s="118"/>
      <c r="AG96" s="118"/>
      <c r="AH96" s="43"/>
      <c r="AI96" s="43"/>
      <c r="AJ96" s="43"/>
      <c r="AK96" s="43"/>
      <c r="AL96" s="43"/>
      <c r="AM96" s="43"/>
      <c r="AN96" s="43"/>
      <c r="AO96" s="43"/>
      <c r="AP96" s="43"/>
      <c r="AQ96" s="43"/>
      <c r="AR96" s="43"/>
      <c r="AS96" s="43"/>
      <c r="AT96" s="43"/>
      <c r="AU96" s="43"/>
      <c r="AV96" s="43"/>
      <c r="AW96" s="43"/>
      <c r="AX96" s="43"/>
      <c r="AY96" s="43"/>
      <c r="AZ96" s="43"/>
      <c r="BA96" s="43"/>
      <c r="BB96" s="43"/>
      <c r="BC96" s="43"/>
      <c r="BD96" s="43"/>
      <c r="BE96" s="43"/>
      <c r="BF96" s="43"/>
      <c r="BG96" s="43"/>
      <c r="BH96" s="43"/>
      <c r="BI96" s="43"/>
      <c r="BJ96" s="43"/>
      <c r="BK96" s="43"/>
      <c r="BL96" s="43"/>
      <c r="BM96" s="43"/>
      <c r="BN96" s="43"/>
      <c r="BO96" s="43"/>
      <c r="BP96" s="43"/>
      <c r="BQ96" s="43"/>
      <c r="BR96" s="43"/>
      <c r="BS96" s="43"/>
      <c r="BT96" s="43"/>
      <c r="BU96" s="43"/>
      <c r="BV96" s="43"/>
      <c r="BW96" s="43"/>
      <c r="BX96" s="43"/>
      <c r="BY96" s="43"/>
      <c r="BZ96" s="43"/>
      <c r="CA96" s="43"/>
      <c r="CB96" s="43"/>
      <c r="CC96" s="43"/>
      <c r="CD96" s="43"/>
      <c r="CE96" s="43"/>
      <c r="CF96" s="43"/>
      <c r="CG96" s="43"/>
      <c r="CH96" s="43"/>
      <c r="CI96" s="43"/>
      <c r="CJ96" s="43"/>
      <c r="CK96" s="43"/>
      <c r="CL96" s="43"/>
      <c r="CM96" s="43"/>
      <c r="CN96" s="43"/>
      <c r="CO96" s="43"/>
      <c r="CP96" s="43"/>
      <c r="CQ96" s="43"/>
      <c r="CR96" s="43"/>
      <c r="CS96" s="43"/>
      <c r="CT96" s="43"/>
      <c r="CU96" s="43"/>
      <c r="CV96" s="43"/>
      <c r="CW96" s="43"/>
      <c r="CX96" s="43"/>
      <c r="CY96" s="43"/>
      <c r="CZ96" s="43"/>
      <c r="DA96" s="43"/>
      <c r="DB96" s="43"/>
      <c r="DC96" s="43"/>
      <c r="DD96" s="43"/>
      <c r="DE96" s="43"/>
      <c r="DF96" s="43"/>
      <c r="DG96" s="43"/>
      <c r="DH96" s="43"/>
      <c r="DI96" s="43"/>
      <c r="DJ96" s="43"/>
      <c r="DK96" s="43"/>
      <c r="DL96" s="43"/>
      <c r="DM96" s="43"/>
      <c r="DN96" s="43"/>
      <c r="DO96" s="43"/>
      <c r="DP96" s="43"/>
      <c r="DQ96" s="43"/>
      <c r="DR96" s="43"/>
      <c r="DS96" s="43"/>
      <c r="DT96" s="43"/>
      <c r="DU96" s="43"/>
      <c r="DV96" s="43"/>
      <c r="DW96" s="43"/>
      <c r="DX96" s="43"/>
      <c r="DY96" s="43"/>
      <c r="DZ96" s="43"/>
      <c r="EA96" s="43"/>
      <c r="EB96" s="43"/>
      <c r="EC96" s="43"/>
      <c r="ED96" s="43"/>
      <c r="EE96" s="43"/>
      <c r="EF96" s="43"/>
      <c r="EG96" s="43"/>
      <c r="EH96" s="43"/>
      <c r="EI96" s="43"/>
      <c r="EJ96" s="43"/>
      <c r="EK96" s="43"/>
      <c r="EL96" s="43"/>
      <c r="EM96" s="43"/>
      <c r="EN96" s="43"/>
      <c r="EO96" s="43"/>
      <c r="EP96" s="43"/>
      <c r="EQ96" s="43"/>
      <c r="ER96" s="43"/>
      <c r="ES96" s="43"/>
      <c r="ET96" s="43"/>
      <c r="EU96" s="43"/>
      <c r="EV96" s="43"/>
      <c r="EW96" s="43"/>
      <c r="EX96" s="43"/>
      <c r="EY96" s="43"/>
      <c r="EZ96" s="43"/>
      <c r="FA96" s="43"/>
      <c r="FB96" s="43"/>
      <c r="FC96" s="43"/>
      <c r="FD96" s="43"/>
      <c r="FE96" s="43"/>
      <c r="FF96" s="43"/>
      <c r="FG96" s="43"/>
      <c r="FH96" s="43"/>
      <c r="FI96" s="43"/>
      <c r="FJ96" s="43"/>
      <c r="FK96" s="43"/>
      <c r="FL96" s="43"/>
      <c r="FM96" s="43"/>
      <c r="FN96" s="43"/>
      <c r="FO96" s="43"/>
      <c r="FP96" s="43"/>
      <c r="FQ96" s="43"/>
      <c r="FR96" s="43"/>
      <c r="FS96" s="43"/>
      <c r="FT96" s="43"/>
      <c r="FU96" s="43"/>
      <c r="FV96" s="43"/>
      <c r="FW96" s="43"/>
      <c r="FX96" s="43"/>
      <c r="FY96" s="43"/>
      <c r="FZ96" s="43"/>
      <c r="GA96" s="43"/>
      <c r="GB96" s="43"/>
      <c r="GC96" s="43"/>
      <c r="GD96" s="43"/>
      <c r="GE96" s="43"/>
      <c r="GF96" s="43"/>
      <c r="GG96" s="43"/>
      <c r="GH96" s="43"/>
      <c r="GI96" s="43"/>
      <c r="GJ96" s="43"/>
      <c r="GK96" s="43"/>
      <c r="GL96" s="43"/>
      <c r="GM96" s="43"/>
      <c r="GN96" s="43"/>
      <c r="GO96" s="43"/>
      <c r="GP96" s="43"/>
      <c r="GQ96" s="43"/>
      <c r="GR96" s="43"/>
      <c r="GS96" s="43"/>
      <c r="GT96" s="43"/>
      <c r="GU96" s="43"/>
      <c r="GV96" s="43"/>
      <c r="GW96" s="43"/>
      <c r="GX96" s="43"/>
      <c r="GY96" s="43"/>
      <c r="GZ96" s="43"/>
      <c r="HA96" s="43"/>
      <c r="HB96" s="43"/>
      <c r="HC96" s="43"/>
      <c r="HD96" s="43"/>
      <c r="HE96" s="43"/>
      <c r="HF96" s="43"/>
      <c r="HG96" s="43"/>
      <c r="HH96" s="43"/>
      <c r="HI96" s="43"/>
      <c r="HJ96" s="43"/>
      <c r="HK96" s="43"/>
      <c r="HL96" s="43"/>
      <c r="HM96" s="43"/>
      <c r="HN96" s="43"/>
      <c r="HO96" s="43"/>
      <c r="HP96" s="43"/>
      <c r="HQ96" s="43"/>
      <c r="HR96"/>
      <c r="HS96"/>
      <c r="HT96"/>
      <c r="HU96"/>
      <c r="HV96"/>
      <c r="HW96"/>
      <c r="HX96"/>
      <c r="HY96"/>
      <c r="HZ96"/>
      <c r="IA96"/>
      <c r="IB96"/>
      <c r="IC96"/>
      <c r="ID96"/>
      <c r="IE96"/>
      <c r="IF96"/>
      <c r="IG96"/>
      <c r="IH96"/>
      <c r="II96"/>
      <c r="IJ96"/>
      <c r="IK96" s="32"/>
      <c r="IL96" s="32"/>
      <c r="IM96" s="32"/>
      <c r="IN96" s="32"/>
      <c r="IO96" s="32"/>
      <c r="IP96" s="32"/>
      <c r="IQ96" s="32"/>
    </row>
    <row r="97" spans="1:251" s="33" customFormat="1">
      <c r="A97" s="264" t="s">
        <v>506</v>
      </c>
      <c r="B97" s="4"/>
      <c r="C97" s="4"/>
      <c r="D97" s="5"/>
      <c r="E97" s="5">
        <f>IS!B45/IS!B11</f>
        <v>0.12917943803800552</v>
      </c>
      <c r="F97" s="5">
        <f>IS!C45/IS!C11</f>
        <v>0.144691886974018</v>
      </c>
      <c r="G97" s="5">
        <f>IS!D45/IS!D11</f>
        <v>0.13580245094237184</v>
      </c>
      <c r="H97" s="5">
        <f>IS!E45/IS!E11</f>
        <v>0.15172899389468328</v>
      </c>
      <c r="I97" s="5">
        <f>IS!F45/IS!F11</f>
        <v>0.14978589473872625</v>
      </c>
      <c r="J97" s="5">
        <f>IS!G45/IS!G11</f>
        <v>0.15312526848004135</v>
      </c>
      <c r="K97" s="5">
        <f>IS!H45/IS!H11</f>
        <v>0.1386052520833034</v>
      </c>
      <c r="L97" s="5"/>
      <c r="M97" s="5">
        <f>IS!I45/IS!I11</f>
        <v>0.16861989469929611</v>
      </c>
      <c r="N97" s="5"/>
      <c r="O97" s="5">
        <f>IS!J45/IS!J11</f>
        <v>0.21158857395593192</v>
      </c>
      <c r="P97" s="5">
        <f ca="1">IS!K45/IS!K11</f>
        <v>0.22025276613774192</v>
      </c>
      <c r="Q97" s="5">
        <f>IS!L45/IS!L11</f>
        <v>0.21638747029534663</v>
      </c>
      <c r="R97" s="5">
        <f>IS!M45/IS!M11</f>
        <v>0.23443049964480228</v>
      </c>
      <c r="S97" s="5">
        <f>IS!N45/IS!N11</f>
        <v>0.24784068412112692</v>
      </c>
      <c r="T97" s="5">
        <f>IS!O45/IS!O11</f>
        <v>0.25617142857142855</v>
      </c>
      <c r="U97" s="5">
        <f>IS!P45/IS!P11</f>
        <v>0.26965974070090021</v>
      </c>
      <c r="V97" s="5">
        <f>IS!Q45/IS!Q11</f>
        <v>0.28609102774112372</v>
      </c>
      <c r="W97" s="5">
        <f>IS!R45/IS!R11</f>
        <v>0.2924088092708203</v>
      </c>
      <c r="X97" s="5">
        <f>IS!S45/IS!S11</f>
        <v>0.30625226250193932</v>
      </c>
      <c r="Y97" s="5">
        <f>IS!T45/IS!T11</f>
        <v>0.33446188570842311</v>
      </c>
      <c r="Z97" s="5">
        <f ca="1">IS!U45/IS!U11</f>
        <v>0.38543941462952647</v>
      </c>
      <c r="AA97" s="5">
        <f ca="1">IS!V45/IS!V11</f>
        <v>0.41153177562555782</v>
      </c>
      <c r="AB97" s="5">
        <f ca="1">IS!W45/IS!W11</f>
        <v>0.43532110683255609</v>
      </c>
      <c r="AC97" s="5">
        <f ca="1">IS!X45/IS!X11</f>
        <v>0.45300288612611406</v>
      </c>
      <c r="AD97" s="5">
        <f ca="1">IS!Y45/IS!Y11</f>
        <v>0.46972666187931589</v>
      </c>
      <c r="AE97" s="5">
        <f ca="1">IS!Z45/IS!Z11</f>
        <v>0.48559303420271949</v>
      </c>
      <c r="AF97" s="5">
        <f ca="1">IS!AA45/IS!AA11</f>
        <v>0.50068493383814006</v>
      </c>
      <c r="AG97" s="5">
        <f ca="1">IS!AB45/IS!AB11</f>
        <v>0.51507848267242917</v>
      </c>
      <c r="AH97" s="43"/>
      <c r="AI97" s="43"/>
      <c r="AJ97" s="43"/>
      <c r="AK97" s="43"/>
      <c r="AL97" s="43"/>
      <c r="AM97" s="43"/>
      <c r="AN97" s="43"/>
      <c r="AO97" s="43"/>
      <c r="AP97" s="43"/>
      <c r="AQ97" s="43"/>
      <c r="AR97" s="43"/>
      <c r="AS97" s="43"/>
      <c r="AT97" s="43"/>
      <c r="AU97" s="43"/>
      <c r="AV97" s="43"/>
      <c r="AW97" s="43"/>
      <c r="AX97" s="43"/>
      <c r="AY97" s="43"/>
      <c r="AZ97" s="43"/>
      <c r="BA97" s="43"/>
      <c r="BB97" s="43"/>
      <c r="BC97" s="43"/>
      <c r="BD97" s="43"/>
      <c r="BE97" s="43"/>
      <c r="BF97" s="43"/>
      <c r="BG97" s="43"/>
      <c r="BH97" s="43"/>
      <c r="BI97" s="43"/>
      <c r="BJ97" s="43"/>
      <c r="BK97" s="43"/>
      <c r="BL97" s="43"/>
      <c r="BM97" s="43"/>
      <c r="BN97" s="43"/>
      <c r="BO97" s="43"/>
      <c r="BP97" s="43"/>
      <c r="BQ97" s="43"/>
      <c r="BR97" s="43"/>
      <c r="BS97" s="43"/>
      <c r="BT97" s="43"/>
      <c r="BU97" s="43"/>
      <c r="BV97" s="43"/>
      <c r="BW97" s="43"/>
      <c r="BX97" s="43"/>
      <c r="BY97" s="43"/>
      <c r="BZ97" s="43"/>
      <c r="CA97" s="43"/>
      <c r="CB97" s="43"/>
      <c r="CC97" s="43"/>
      <c r="CD97" s="43"/>
      <c r="CE97" s="43"/>
      <c r="CF97" s="43"/>
      <c r="CG97" s="43"/>
      <c r="CH97" s="43"/>
      <c r="CI97" s="43"/>
      <c r="CJ97" s="43"/>
      <c r="CK97" s="43"/>
      <c r="CL97" s="43"/>
      <c r="CM97" s="43"/>
      <c r="CN97" s="43"/>
      <c r="CO97" s="43"/>
      <c r="CP97" s="43"/>
      <c r="CQ97" s="43"/>
      <c r="CR97" s="43"/>
      <c r="CS97" s="43"/>
      <c r="CT97" s="43"/>
      <c r="CU97" s="43"/>
      <c r="CV97" s="43"/>
      <c r="CW97" s="43"/>
      <c r="CX97" s="43"/>
      <c r="CY97" s="43"/>
      <c r="CZ97" s="43"/>
      <c r="DA97" s="43"/>
      <c r="DB97" s="43"/>
      <c r="DC97" s="43"/>
      <c r="DD97" s="43"/>
      <c r="DE97" s="43"/>
      <c r="DF97" s="43"/>
      <c r="DG97" s="43"/>
      <c r="DH97" s="43"/>
      <c r="DI97" s="43"/>
      <c r="DJ97" s="43"/>
      <c r="DK97" s="43"/>
      <c r="DL97" s="43"/>
      <c r="DM97" s="43"/>
      <c r="DN97" s="43"/>
      <c r="DO97" s="43"/>
      <c r="DP97" s="43"/>
      <c r="DQ97" s="43"/>
      <c r="DR97" s="43"/>
      <c r="DS97" s="43"/>
      <c r="DT97" s="43"/>
      <c r="DU97" s="43"/>
      <c r="DV97" s="43"/>
      <c r="DW97" s="43"/>
      <c r="DX97" s="43"/>
      <c r="DY97" s="43"/>
      <c r="DZ97" s="43"/>
      <c r="EA97" s="43"/>
      <c r="EB97" s="43"/>
      <c r="EC97" s="43"/>
      <c r="ED97" s="43"/>
      <c r="EE97" s="43"/>
      <c r="EF97" s="43"/>
      <c r="EG97" s="43"/>
      <c r="EH97" s="43"/>
      <c r="EI97" s="43"/>
      <c r="EJ97" s="43"/>
      <c r="EK97" s="43"/>
      <c r="EL97" s="43"/>
      <c r="EM97" s="43"/>
      <c r="EN97" s="43"/>
      <c r="EO97" s="43"/>
      <c r="EP97" s="43"/>
      <c r="EQ97" s="43"/>
      <c r="ER97" s="43"/>
      <c r="ES97" s="43"/>
      <c r="ET97" s="43"/>
      <c r="EU97" s="43"/>
      <c r="EV97" s="43"/>
      <c r="EW97" s="43"/>
      <c r="EX97" s="43"/>
      <c r="EY97" s="43"/>
      <c r="EZ97" s="43"/>
      <c r="FA97" s="43"/>
      <c r="FB97" s="43"/>
      <c r="FC97" s="43"/>
      <c r="FD97" s="43"/>
      <c r="FE97" s="43"/>
      <c r="FF97" s="43"/>
      <c r="FG97" s="43"/>
      <c r="FH97" s="43"/>
      <c r="FI97" s="43"/>
      <c r="FJ97" s="43"/>
      <c r="FK97" s="43"/>
      <c r="FL97" s="43"/>
      <c r="FM97" s="43"/>
      <c r="FN97" s="43"/>
      <c r="FO97" s="43"/>
      <c r="FP97" s="43"/>
      <c r="FQ97" s="43"/>
      <c r="FR97" s="43"/>
      <c r="FS97" s="43"/>
      <c r="FT97" s="43"/>
      <c r="FU97" s="43"/>
      <c r="FV97" s="43"/>
      <c r="FW97" s="43"/>
      <c r="FX97" s="43"/>
      <c r="FY97" s="43"/>
      <c r="FZ97" s="43"/>
      <c r="GA97" s="43"/>
      <c r="GB97" s="43"/>
      <c r="GC97" s="43"/>
      <c r="GD97" s="43"/>
      <c r="GE97" s="43"/>
      <c r="GF97" s="43"/>
      <c r="GG97" s="43"/>
      <c r="GH97" s="43"/>
      <c r="GI97" s="43"/>
      <c r="GJ97" s="43"/>
      <c r="GK97" s="43"/>
      <c r="GL97" s="43"/>
      <c r="GM97" s="43"/>
      <c r="GN97" s="43"/>
      <c r="GO97" s="43"/>
      <c r="GP97" s="43"/>
      <c r="GQ97" s="43"/>
      <c r="GR97" s="43"/>
      <c r="GS97" s="43"/>
      <c r="GT97" s="43"/>
      <c r="GU97" s="43"/>
      <c r="GV97" s="43"/>
      <c r="GW97" s="43"/>
      <c r="GX97" s="43"/>
      <c r="GY97" s="43"/>
      <c r="GZ97" s="43"/>
      <c r="HA97" s="43"/>
      <c r="HB97" s="43"/>
      <c r="HC97" s="43"/>
      <c r="HD97" s="43"/>
      <c r="HE97" s="43"/>
      <c r="HF97" s="43"/>
      <c r="HG97" s="43"/>
      <c r="HH97" s="43"/>
      <c r="HI97" s="43"/>
      <c r="HJ97" s="43"/>
      <c r="HK97" s="43"/>
      <c r="HL97" s="43"/>
      <c r="HM97" s="43"/>
      <c r="HN97" s="43"/>
      <c r="HO97" s="43"/>
      <c r="HP97" s="43"/>
      <c r="HQ97" s="43"/>
      <c r="HR97"/>
      <c r="HS97"/>
      <c r="HT97"/>
      <c r="HU97"/>
      <c r="HV97"/>
      <c r="HW97"/>
      <c r="HX97"/>
      <c r="HY97"/>
      <c r="HZ97"/>
      <c r="IA97"/>
      <c r="IB97"/>
      <c r="IC97"/>
      <c r="ID97"/>
      <c r="IE97"/>
      <c r="IF97"/>
      <c r="IG97"/>
      <c r="IH97"/>
      <c r="II97"/>
      <c r="IJ97"/>
      <c r="IK97" s="32"/>
      <c r="IL97" s="32"/>
      <c r="IM97" s="32"/>
      <c r="IN97" s="32"/>
      <c r="IO97" s="32"/>
      <c r="IP97" s="32"/>
      <c r="IQ97" s="32"/>
    </row>
    <row r="98" spans="1:251" s="33" customFormat="1">
      <c r="A98" s="264" t="s">
        <v>507</v>
      </c>
      <c r="B98" s="4"/>
      <c r="C98" s="4"/>
      <c r="D98" s="268"/>
      <c r="E98" s="268">
        <f>IS!B11/BS!D32</f>
        <v>1.0275367156208277</v>
      </c>
      <c r="F98" s="268">
        <f>IS!C11/BS!E32</f>
        <v>0.93115133347452794</v>
      </c>
      <c r="G98" s="268">
        <f>IS!D11/BS!F32</f>
        <v>0.81532118330023906</v>
      </c>
      <c r="H98" s="268">
        <f>IS!E11/BS!G32</f>
        <v>0.74023161660860559</v>
      </c>
      <c r="I98" s="268">
        <f>IS!F11/BS!H32</f>
        <v>0.69344299748686311</v>
      </c>
      <c r="J98" s="268">
        <f>IS!G11/BS!I32</f>
        <v>0.66865609565895501</v>
      </c>
      <c r="K98" s="268">
        <f>IS!H11/BS!J32</f>
        <v>0.68291513143460048</v>
      </c>
      <c r="L98" s="268"/>
      <c r="M98" s="268">
        <f>IS!I11/BS!K32</f>
        <v>0.65582340417057794</v>
      </c>
      <c r="N98" s="268"/>
      <c r="O98" s="268">
        <f>IS!J11/BS!M32</f>
        <v>0.31812288259651178</v>
      </c>
      <c r="P98" s="268">
        <f>IS!K11/BS!O32</f>
        <v>0.61468105986261046</v>
      </c>
      <c r="Q98" s="268">
        <f>IS!L11/BS!P32</f>
        <v>0.61818849898952788</v>
      </c>
      <c r="R98" s="268">
        <f>IS!M11/BS!Q32</f>
        <v>0.46056111459497778</v>
      </c>
      <c r="S98" s="268">
        <f>IS!N11/BS!R32</f>
        <v>0.45647291588685096</v>
      </c>
      <c r="T98" s="268">
        <f>IS!O11/BS!S32</f>
        <v>0.47345922839673177</v>
      </c>
      <c r="U98" s="268">
        <f>IS!P11/BS!T32</f>
        <v>0.49995754196269354</v>
      </c>
      <c r="V98" s="268">
        <f>IS!Q11/BS!U32</f>
        <v>0.51479782352754111</v>
      </c>
      <c r="W98" s="268">
        <f>IS!R11/BS!V32</f>
        <v>0.54598875485489806</v>
      </c>
      <c r="X98" s="268">
        <f>IS!S11/BS!W32</f>
        <v>0.59434455202090053</v>
      </c>
      <c r="Y98" s="268">
        <f>IS!T11/BS!X32</f>
        <v>0.42440999738744228</v>
      </c>
      <c r="Z98" s="268">
        <f>IS!U11/BS!Y32</f>
        <v>0.45141448348043711</v>
      </c>
      <c r="AA98" s="268">
        <f ca="1">IS!V11/BS!Z32</f>
        <v>0.45868284357601086</v>
      </c>
      <c r="AB98" s="268">
        <f ca="1">IS!W11/BS!AA32</f>
        <v>0.47857239851315198</v>
      </c>
      <c r="AC98" s="268">
        <f ca="1">IS!X11/BS!AB32</f>
        <v>0.4867598957208224</v>
      </c>
      <c r="AD98" s="268">
        <f ca="1">IS!Y11/BS!AC32</f>
        <v>0.49491389519076284</v>
      </c>
      <c r="AE98" s="268">
        <f ca="1">IS!Z11/BS!AD32</f>
        <v>0.50203851644554986</v>
      </c>
      <c r="AF98" s="268">
        <f ca="1">IS!AA11/BS!AE32</f>
        <v>0.50809622738604265</v>
      </c>
      <c r="AG98" s="268">
        <f ca="1">IS!AB11/BS!AF32</f>
        <v>0.5130641176266596</v>
      </c>
      <c r="AH98" s="43"/>
      <c r="AI98" s="43"/>
      <c r="AJ98" s="43"/>
      <c r="AK98" s="43"/>
      <c r="AL98" s="43"/>
      <c r="AM98" s="43"/>
      <c r="AN98" s="43"/>
      <c r="AO98" s="43"/>
      <c r="AP98" s="43"/>
      <c r="AQ98" s="43"/>
      <c r="AR98" s="43"/>
      <c r="AS98" s="43"/>
      <c r="AT98" s="43"/>
      <c r="AU98" s="43"/>
      <c r="AV98" s="43"/>
      <c r="AW98" s="43"/>
      <c r="AX98" s="43"/>
      <c r="AY98" s="43"/>
      <c r="AZ98" s="43"/>
      <c r="BA98" s="43"/>
      <c r="BB98" s="43"/>
      <c r="BC98" s="43"/>
      <c r="BD98" s="43"/>
      <c r="BE98" s="43"/>
      <c r="BF98" s="43"/>
      <c r="BG98" s="43"/>
      <c r="BH98" s="43"/>
      <c r="BI98" s="43"/>
      <c r="BJ98" s="43"/>
      <c r="BK98" s="43"/>
      <c r="BL98" s="43"/>
      <c r="BM98" s="43"/>
      <c r="BN98" s="43"/>
      <c r="BO98" s="43"/>
      <c r="BP98" s="43"/>
      <c r="BQ98" s="43"/>
      <c r="BR98" s="43"/>
      <c r="BS98" s="43"/>
      <c r="BT98" s="43"/>
      <c r="BU98" s="43"/>
      <c r="BV98" s="43"/>
      <c r="BW98" s="43"/>
      <c r="BX98" s="43"/>
      <c r="BY98" s="43"/>
      <c r="BZ98" s="43"/>
      <c r="CA98" s="43"/>
      <c r="CB98" s="43"/>
      <c r="CC98" s="43"/>
      <c r="CD98" s="43"/>
      <c r="CE98" s="43"/>
      <c r="CF98" s="43"/>
      <c r="CG98" s="43"/>
      <c r="CH98" s="43"/>
      <c r="CI98" s="43"/>
      <c r="CJ98" s="43"/>
      <c r="CK98" s="43"/>
      <c r="CL98" s="43"/>
      <c r="CM98" s="43"/>
      <c r="CN98" s="43"/>
      <c r="CO98" s="43"/>
      <c r="CP98" s="43"/>
      <c r="CQ98" s="43"/>
      <c r="CR98" s="43"/>
      <c r="CS98" s="43"/>
      <c r="CT98" s="43"/>
      <c r="CU98" s="43"/>
      <c r="CV98" s="43"/>
      <c r="CW98" s="43"/>
      <c r="CX98" s="43"/>
      <c r="CY98" s="43"/>
      <c r="CZ98" s="43"/>
      <c r="DA98" s="43"/>
      <c r="DB98" s="43"/>
      <c r="DC98" s="43"/>
      <c r="DD98" s="43"/>
      <c r="DE98" s="43"/>
      <c r="DF98" s="43"/>
      <c r="DG98" s="43"/>
      <c r="DH98" s="43"/>
      <c r="DI98" s="43"/>
      <c r="DJ98" s="43"/>
      <c r="DK98" s="43"/>
      <c r="DL98" s="43"/>
      <c r="DM98" s="43"/>
      <c r="DN98" s="43"/>
      <c r="DO98" s="43"/>
      <c r="DP98" s="43"/>
      <c r="DQ98" s="43"/>
      <c r="DR98" s="43"/>
      <c r="DS98" s="43"/>
      <c r="DT98" s="43"/>
      <c r="DU98" s="43"/>
      <c r="DV98" s="43"/>
      <c r="DW98" s="43"/>
      <c r="DX98" s="43"/>
      <c r="DY98" s="43"/>
      <c r="DZ98" s="43"/>
      <c r="EA98" s="43"/>
      <c r="EB98" s="43"/>
      <c r="EC98" s="43"/>
      <c r="ED98" s="43"/>
      <c r="EE98" s="43"/>
      <c r="EF98" s="43"/>
      <c r="EG98" s="43"/>
      <c r="EH98" s="43"/>
      <c r="EI98" s="43"/>
      <c r="EJ98" s="43"/>
      <c r="EK98" s="43"/>
      <c r="EL98" s="43"/>
      <c r="EM98" s="43"/>
      <c r="EN98" s="43"/>
      <c r="EO98" s="43"/>
      <c r="EP98" s="43"/>
      <c r="EQ98" s="43"/>
      <c r="ER98" s="43"/>
      <c r="ES98" s="43"/>
      <c r="ET98" s="43"/>
      <c r="EU98" s="43"/>
      <c r="EV98" s="43"/>
      <c r="EW98" s="43"/>
      <c r="EX98" s="43"/>
      <c r="EY98" s="43"/>
      <c r="EZ98" s="43"/>
      <c r="FA98" s="43"/>
      <c r="FB98" s="43"/>
      <c r="FC98" s="43"/>
      <c r="FD98" s="43"/>
      <c r="FE98" s="43"/>
      <c r="FF98" s="43"/>
      <c r="FG98" s="43"/>
      <c r="FH98" s="43"/>
      <c r="FI98" s="43"/>
      <c r="FJ98" s="43"/>
      <c r="FK98" s="43"/>
      <c r="FL98" s="43"/>
      <c r="FM98" s="43"/>
      <c r="FN98" s="43"/>
      <c r="FO98" s="43"/>
      <c r="FP98" s="43"/>
      <c r="FQ98" s="43"/>
      <c r="FR98" s="43"/>
      <c r="FS98" s="43"/>
      <c r="FT98" s="43"/>
      <c r="FU98" s="43"/>
      <c r="FV98" s="43"/>
      <c r="FW98" s="43"/>
      <c r="FX98" s="43"/>
      <c r="FY98" s="43"/>
      <c r="FZ98" s="43"/>
      <c r="GA98" s="43"/>
      <c r="GB98" s="43"/>
      <c r="GC98" s="43"/>
      <c r="GD98" s="43"/>
      <c r="GE98" s="43"/>
      <c r="GF98" s="43"/>
      <c r="GG98" s="43"/>
      <c r="GH98" s="43"/>
      <c r="GI98" s="43"/>
      <c r="GJ98" s="43"/>
      <c r="GK98" s="43"/>
      <c r="GL98" s="43"/>
      <c r="GM98" s="43"/>
      <c r="GN98" s="43"/>
      <c r="GO98" s="43"/>
      <c r="GP98" s="43"/>
      <c r="GQ98" s="43"/>
      <c r="GR98" s="43"/>
      <c r="GS98" s="43"/>
      <c r="GT98" s="43"/>
      <c r="GU98" s="43"/>
      <c r="GV98" s="43"/>
      <c r="GW98" s="43"/>
      <c r="GX98" s="43"/>
      <c r="GY98" s="43"/>
      <c r="GZ98" s="43"/>
      <c r="HA98" s="43"/>
      <c r="HB98" s="43"/>
      <c r="HC98" s="43"/>
      <c r="HD98" s="43"/>
      <c r="HE98" s="43"/>
      <c r="HF98" s="43"/>
      <c r="HG98" s="43"/>
      <c r="HH98" s="43"/>
      <c r="HI98" s="43"/>
      <c r="HJ98" s="43"/>
      <c r="HK98" s="43"/>
      <c r="HL98" s="43"/>
      <c r="HM98" s="43"/>
      <c r="HN98" s="43"/>
      <c r="HO98" s="43"/>
      <c r="HP98" s="43"/>
      <c r="HQ98" s="43"/>
      <c r="HR98"/>
      <c r="HS98"/>
      <c r="HT98"/>
      <c r="HU98"/>
      <c r="HV98"/>
      <c r="HW98"/>
      <c r="HX98"/>
      <c r="HY98"/>
      <c r="HZ98"/>
      <c r="IA98"/>
      <c r="IB98"/>
      <c r="IC98"/>
      <c r="ID98"/>
      <c r="IE98"/>
      <c r="IF98"/>
      <c r="IG98"/>
      <c r="IH98"/>
      <c r="II98"/>
      <c r="IJ98"/>
      <c r="IK98" s="32"/>
      <c r="IL98" s="32"/>
      <c r="IM98" s="32"/>
      <c r="IN98" s="32"/>
      <c r="IO98" s="32"/>
      <c r="IP98" s="32"/>
      <c r="IQ98" s="32"/>
    </row>
    <row r="99" spans="1:251" s="33" customFormat="1">
      <c r="A99" s="264" t="s">
        <v>508</v>
      </c>
      <c r="B99" s="4"/>
      <c r="C99" s="4"/>
      <c r="D99" s="268"/>
      <c r="E99" s="268">
        <f t="shared" ref="E99:K99" si="76">D32/D67</f>
        <v>3.699450515527567</v>
      </c>
      <c r="F99" s="268">
        <f t="shared" si="76"/>
        <v>4.0105194380921265</v>
      </c>
      <c r="G99" s="268">
        <f t="shared" si="76"/>
        <v>5.2693768743752081</v>
      </c>
      <c r="H99" s="268">
        <f t="shared" si="76"/>
        <v>4.3306829765545363</v>
      </c>
      <c r="I99" s="268">
        <f t="shared" si="76"/>
        <v>4.4943012629633436</v>
      </c>
      <c r="J99" s="268">
        <f t="shared" si="76"/>
        <v>3.8352335036109215</v>
      </c>
      <c r="K99" s="268">
        <f t="shared" si="76"/>
        <v>3.2860938319404713</v>
      </c>
      <c r="L99" s="268"/>
      <c r="M99" s="268">
        <f>L32/L67</f>
        <v>2.6136723782584022</v>
      </c>
      <c r="N99" s="268"/>
      <c r="O99" s="268">
        <f t="shared" ref="O99:V99" si="77">N32/N67</f>
        <v>3.0834860407459308</v>
      </c>
      <c r="P99" s="268">
        <f t="shared" si="77"/>
        <v>8.0719264892268701</v>
      </c>
      <c r="Q99" s="268">
        <f t="shared" si="77"/>
        <v>9.623408769448373</v>
      </c>
      <c r="R99" s="268">
        <f t="shared" si="77"/>
        <v>9.0071218074656194</v>
      </c>
      <c r="S99" s="268">
        <f t="shared" si="77"/>
        <v>7.1996150144369588</v>
      </c>
      <c r="T99" s="268">
        <f t="shared" si="77"/>
        <v>10.035840347542765</v>
      </c>
      <c r="U99" s="268">
        <f t="shared" si="77"/>
        <v>11.144794952681387</v>
      </c>
      <c r="V99" s="268">
        <f t="shared" si="77"/>
        <v>8.4650315687226811</v>
      </c>
      <c r="W99" s="268">
        <f t="shared" ref="W99:AB99" si="78">V32/V67</f>
        <v>11.453488372093023</v>
      </c>
      <c r="X99" s="268">
        <f t="shared" si="78"/>
        <v>11.324399582318135</v>
      </c>
      <c r="Y99" s="268">
        <f t="shared" si="78"/>
        <v>3.5960228607218352</v>
      </c>
      <c r="Z99" s="268">
        <f t="shared" si="78"/>
        <v>3.8074349185845238</v>
      </c>
      <c r="AA99" s="268">
        <f t="shared" ca="1" si="78"/>
        <v>3.5040038293665199</v>
      </c>
      <c r="AB99" s="268">
        <f t="shared" ca="1" si="78"/>
        <v>3.4235512775857186</v>
      </c>
      <c r="AC99" s="268">
        <f ca="1">AB32/AB67</f>
        <v>3.3967236026557113</v>
      </c>
      <c r="AD99" s="268">
        <f ca="1">AC32/AC67</f>
        <v>3.3525701174675322</v>
      </c>
      <c r="AE99" s="268">
        <f ca="1">AD32/AD67</f>
        <v>3.2897880158080608</v>
      </c>
      <c r="AF99" s="268">
        <f ca="1">AE32/AE67</f>
        <v>3.2110089752855533</v>
      </c>
      <c r="AG99" s="268">
        <f ca="1">AF32/AF67</f>
        <v>3.1193582674784905</v>
      </c>
      <c r="AH99" s="43"/>
      <c r="AI99" s="43"/>
      <c r="AJ99" s="43"/>
      <c r="AK99" s="43"/>
      <c r="AL99" s="43"/>
      <c r="AM99" s="43"/>
      <c r="AN99" s="43"/>
      <c r="AO99" s="43"/>
      <c r="AP99" s="43"/>
      <c r="AQ99" s="43"/>
      <c r="AR99" s="43"/>
      <c r="AS99" s="43"/>
      <c r="AT99" s="43"/>
      <c r="AU99" s="43"/>
      <c r="AV99" s="43"/>
      <c r="AW99" s="43"/>
      <c r="AX99" s="43"/>
      <c r="AY99" s="43"/>
      <c r="AZ99" s="43"/>
      <c r="BA99" s="43"/>
      <c r="BB99" s="43"/>
      <c r="BC99" s="43"/>
      <c r="BD99" s="43"/>
      <c r="BE99" s="43"/>
      <c r="BF99" s="43"/>
      <c r="BG99" s="43"/>
      <c r="BH99" s="43"/>
      <c r="BI99" s="43"/>
      <c r="BJ99" s="43"/>
      <c r="BK99" s="43"/>
      <c r="BL99" s="43"/>
      <c r="BM99" s="43"/>
      <c r="BN99" s="43"/>
      <c r="BO99" s="43"/>
      <c r="BP99" s="43"/>
      <c r="BQ99" s="43"/>
      <c r="BR99" s="43"/>
      <c r="BS99" s="43"/>
      <c r="BT99" s="43"/>
      <c r="BU99" s="43"/>
      <c r="BV99" s="43"/>
      <c r="BW99" s="43"/>
      <c r="BX99" s="43"/>
      <c r="BY99" s="43"/>
      <c r="BZ99" s="43"/>
      <c r="CA99" s="43"/>
      <c r="CB99" s="43"/>
      <c r="CC99" s="43"/>
      <c r="CD99" s="43"/>
      <c r="CE99" s="43"/>
      <c r="CF99" s="43"/>
      <c r="CG99" s="43"/>
      <c r="CH99" s="43"/>
      <c r="CI99" s="43"/>
      <c r="CJ99" s="43"/>
      <c r="CK99" s="43"/>
      <c r="CL99" s="43"/>
      <c r="CM99" s="43"/>
      <c r="CN99" s="43"/>
      <c r="CO99" s="43"/>
      <c r="CP99" s="43"/>
      <c r="CQ99" s="43"/>
      <c r="CR99" s="43"/>
      <c r="CS99" s="43"/>
      <c r="CT99" s="43"/>
      <c r="CU99" s="43"/>
      <c r="CV99" s="43"/>
      <c r="CW99" s="43"/>
      <c r="CX99" s="43"/>
      <c r="CY99" s="43"/>
      <c r="CZ99" s="43"/>
      <c r="DA99" s="43"/>
      <c r="DB99" s="43"/>
      <c r="DC99" s="43"/>
      <c r="DD99" s="43"/>
      <c r="DE99" s="43"/>
      <c r="DF99" s="43"/>
      <c r="DG99" s="43"/>
      <c r="DH99" s="43"/>
      <c r="DI99" s="43"/>
      <c r="DJ99" s="43"/>
      <c r="DK99" s="43"/>
      <c r="DL99" s="43"/>
      <c r="DM99" s="43"/>
      <c r="DN99" s="43"/>
      <c r="DO99" s="43"/>
      <c r="DP99" s="43"/>
      <c r="DQ99" s="43"/>
      <c r="DR99" s="43"/>
      <c r="DS99" s="43"/>
      <c r="DT99" s="43"/>
      <c r="DU99" s="43"/>
      <c r="DV99" s="43"/>
      <c r="DW99" s="43"/>
      <c r="DX99" s="43"/>
      <c r="DY99" s="43"/>
      <c r="DZ99" s="43"/>
      <c r="EA99" s="43"/>
      <c r="EB99" s="43"/>
      <c r="EC99" s="43"/>
      <c r="ED99" s="43"/>
      <c r="EE99" s="43"/>
      <c r="EF99" s="43"/>
      <c r="EG99" s="43"/>
      <c r="EH99" s="43"/>
      <c r="EI99" s="43"/>
      <c r="EJ99" s="43"/>
      <c r="EK99" s="43"/>
      <c r="EL99" s="43"/>
      <c r="EM99" s="43"/>
      <c r="EN99" s="43"/>
      <c r="EO99" s="43"/>
      <c r="EP99" s="43"/>
      <c r="EQ99" s="43"/>
      <c r="ER99" s="43"/>
      <c r="ES99" s="43"/>
      <c r="ET99" s="43"/>
      <c r="EU99" s="43"/>
      <c r="EV99" s="43"/>
      <c r="EW99" s="43"/>
      <c r="EX99" s="43"/>
      <c r="EY99" s="43"/>
      <c r="EZ99" s="43"/>
      <c r="FA99" s="43"/>
      <c r="FB99" s="43"/>
      <c r="FC99" s="43"/>
      <c r="FD99" s="43"/>
      <c r="FE99" s="43"/>
      <c r="FF99" s="43"/>
      <c r="FG99" s="43"/>
      <c r="FH99" s="43"/>
      <c r="FI99" s="43"/>
      <c r="FJ99" s="43"/>
      <c r="FK99" s="43"/>
      <c r="FL99" s="43"/>
      <c r="FM99" s="43"/>
      <c r="FN99" s="43"/>
      <c r="FO99" s="43"/>
      <c r="FP99" s="43"/>
      <c r="FQ99" s="43"/>
      <c r="FR99" s="43"/>
      <c r="FS99" s="43"/>
      <c r="FT99" s="43"/>
      <c r="FU99" s="43"/>
      <c r="FV99" s="43"/>
      <c r="FW99" s="43"/>
      <c r="FX99" s="43"/>
      <c r="FY99" s="43"/>
      <c r="FZ99" s="43"/>
      <c r="GA99" s="43"/>
      <c r="GB99" s="43"/>
      <c r="GC99" s="43"/>
      <c r="GD99" s="43"/>
      <c r="GE99" s="43"/>
      <c r="GF99" s="43"/>
      <c r="GG99" s="43"/>
      <c r="GH99" s="43"/>
      <c r="GI99" s="43"/>
      <c r="GJ99" s="43"/>
      <c r="GK99" s="43"/>
      <c r="GL99" s="43"/>
      <c r="GM99" s="43"/>
      <c r="GN99" s="43"/>
      <c r="GO99" s="43"/>
      <c r="GP99" s="43"/>
      <c r="GQ99" s="43"/>
      <c r="GR99" s="43"/>
      <c r="GS99" s="43"/>
      <c r="GT99" s="43"/>
      <c r="GU99" s="43"/>
      <c r="GV99" s="43"/>
      <c r="GW99" s="43"/>
      <c r="GX99" s="43"/>
      <c r="GY99" s="43"/>
      <c r="GZ99" s="43"/>
      <c r="HA99" s="43"/>
      <c r="HB99" s="43"/>
      <c r="HC99" s="43"/>
      <c r="HD99" s="43"/>
      <c r="HE99" s="43"/>
      <c r="HF99" s="43"/>
      <c r="HG99" s="43"/>
      <c r="HH99" s="43"/>
      <c r="HI99" s="43"/>
      <c r="HJ99" s="43"/>
      <c r="HK99" s="43"/>
      <c r="HL99" s="43"/>
      <c r="HM99" s="43"/>
      <c r="HN99" s="43"/>
      <c r="HO99" s="43"/>
      <c r="HP99" s="43"/>
      <c r="HQ99" s="43"/>
      <c r="HR99"/>
      <c r="HS99"/>
      <c r="HT99"/>
      <c r="HU99"/>
      <c r="HV99"/>
      <c r="HW99"/>
      <c r="HX99"/>
      <c r="HY99"/>
      <c r="HZ99"/>
      <c r="IA99"/>
      <c r="IB99"/>
      <c r="IC99"/>
      <c r="ID99"/>
      <c r="IE99"/>
      <c r="IF99"/>
      <c r="IG99"/>
      <c r="IH99"/>
      <c r="II99"/>
      <c r="IJ99"/>
      <c r="IK99" s="32"/>
      <c r="IL99" s="32"/>
      <c r="IM99" s="32"/>
      <c r="IN99" s="32"/>
      <c r="IO99" s="32"/>
      <c r="IP99" s="32"/>
      <c r="IQ99" s="32"/>
    </row>
    <row r="100" spans="1:251" s="33" customFormat="1">
      <c r="A100" s="264" t="s">
        <v>509</v>
      </c>
      <c r="B100" s="4"/>
      <c r="C100" s="4"/>
      <c r="D100" s="5"/>
      <c r="E100" s="5">
        <f t="shared" ref="E100:K100" si="79">E97*E98*E99</f>
        <v>0.4910525405939371</v>
      </c>
      <c r="F100" s="5">
        <f t="shared" si="79"/>
        <v>0.54033745834694535</v>
      </c>
      <c r="G100" s="5">
        <f t="shared" si="79"/>
        <v>0.58343918693768748</v>
      </c>
      <c r="H100" s="5">
        <f t="shared" si="79"/>
        <v>0.48639891946992864</v>
      </c>
      <c r="I100" s="5">
        <f t="shared" si="79"/>
        <v>0.46681399292635994</v>
      </c>
      <c r="J100" s="5">
        <f t="shared" si="79"/>
        <v>0.39268244088793575</v>
      </c>
      <c r="K100" s="5">
        <f t="shared" si="79"/>
        <v>0.31104726200083899</v>
      </c>
      <c r="L100" s="5"/>
      <c r="M100" s="5">
        <f>M97*M98*M99</f>
        <v>0.28903262893483356</v>
      </c>
      <c r="N100" s="5"/>
      <c r="O100" s="5">
        <f t="shared" ref="O100:V100" si="80">O97*O98*O99</f>
        <v>0.2075530440508134</v>
      </c>
      <c r="P100" s="5">
        <f t="shared" ca="1" si="80"/>
        <v>1.0928194122151145</v>
      </c>
      <c r="Q100" s="5">
        <f>Q97*Q98*Q99</f>
        <v>1.287306506452939</v>
      </c>
      <c r="R100" s="5">
        <f>R97*R98*R99</f>
        <v>0.9724950884086444</v>
      </c>
      <c r="S100" s="5">
        <f t="shared" si="80"/>
        <v>0.81451087584215587</v>
      </c>
      <c r="T100" s="5">
        <f t="shared" si="80"/>
        <v>1.2172142275319033</v>
      </c>
      <c r="U100" s="5">
        <f t="shared" si="80"/>
        <v>1.5025236593059936</v>
      </c>
      <c r="V100" s="5">
        <f t="shared" si="80"/>
        <v>1.2467217095677514</v>
      </c>
      <c r="W100" s="5">
        <f t="shared" ref="W100:AB100" si="81">W97*W98*W99</f>
        <v>1.8285714285714287</v>
      </c>
      <c r="X100" s="5">
        <f t="shared" ref="X100" si="82">X97*X98*X99</f>
        <v>2.0612600069613647</v>
      </c>
      <c r="Y100" s="5">
        <f t="shared" si="81"/>
        <v>0.51045173412667344</v>
      </c>
      <c r="Z100" s="5">
        <f t="shared" ca="1" si="81"/>
        <v>0.66246677351892591</v>
      </c>
      <c r="AA100" s="5">
        <f t="shared" ca="1" si="81"/>
        <v>0.66142475083166519</v>
      </c>
      <c r="AB100" s="5">
        <f t="shared" ca="1" si="81"/>
        <v>0.71323756560119811</v>
      </c>
      <c r="AC100" s="5">
        <f ca="1">AC97*AC98*AC99</f>
        <v>0.74898991034805018</v>
      </c>
      <c r="AD100" s="5">
        <f ca="1">AD97*AD98*AD99</f>
        <v>0.77938623001949037</v>
      </c>
      <c r="AE100" s="5">
        <f ca="1">AE97*AE98*AE99</f>
        <v>0.80200559847924802</v>
      </c>
      <c r="AF100" s="5">
        <f ca="1">AF97*AF98*AF99</f>
        <v>0.81686824383879442</v>
      </c>
      <c r="AG100" s="5">
        <f ca="1">AG97*AG98*AG99</f>
        <v>0.82434746657460944</v>
      </c>
      <c r="AH100" s="43"/>
      <c r="AI100" s="43"/>
      <c r="AJ100" s="43"/>
      <c r="AK100" s="43"/>
      <c r="AL100" s="43"/>
      <c r="AM100" s="43"/>
      <c r="AN100" s="43"/>
      <c r="AO100" s="43"/>
      <c r="AP100" s="43"/>
      <c r="AQ100" s="43"/>
      <c r="AR100" s="43"/>
      <c r="AS100" s="43"/>
      <c r="AT100" s="43"/>
      <c r="AU100" s="43"/>
      <c r="AV100" s="43"/>
      <c r="AW100" s="43"/>
      <c r="AX100" s="43"/>
      <c r="AY100" s="43"/>
      <c r="AZ100" s="43"/>
      <c r="BA100" s="43"/>
      <c r="BB100" s="43"/>
      <c r="BC100" s="43"/>
      <c r="BD100" s="43"/>
      <c r="BE100" s="43"/>
      <c r="BF100" s="43"/>
      <c r="BG100" s="43"/>
      <c r="BH100" s="43"/>
      <c r="BI100" s="43"/>
      <c r="BJ100" s="43"/>
      <c r="BK100" s="43"/>
      <c r="BL100" s="43"/>
      <c r="BM100" s="43"/>
      <c r="BN100" s="43"/>
      <c r="BO100" s="43"/>
      <c r="BP100" s="43"/>
      <c r="BQ100" s="43"/>
      <c r="BR100" s="43"/>
      <c r="BS100" s="43"/>
      <c r="BT100" s="43"/>
      <c r="BU100" s="43"/>
      <c r="BV100" s="43"/>
      <c r="BW100" s="43"/>
      <c r="BX100" s="43"/>
      <c r="BY100" s="43"/>
      <c r="BZ100" s="43"/>
      <c r="CA100" s="43"/>
      <c r="CB100" s="43"/>
      <c r="CC100" s="43"/>
      <c r="CD100" s="43"/>
      <c r="CE100" s="43"/>
      <c r="CF100" s="43"/>
      <c r="CG100" s="43"/>
      <c r="CH100" s="43"/>
      <c r="CI100" s="43"/>
      <c r="CJ100" s="43"/>
      <c r="CK100" s="43"/>
      <c r="CL100" s="43"/>
      <c r="CM100" s="43"/>
      <c r="CN100" s="43"/>
      <c r="CO100" s="43"/>
      <c r="CP100" s="43"/>
      <c r="CQ100" s="43"/>
      <c r="CR100" s="43"/>
      <c r="CS100" s="43"/>
      <c r="CT100" s="43"/>
      <c r="CU100" s="43"/>
      <c r="CV100" s="43"/>
      <c r="CW100" s="43"/>
      <c r="CX100" s="43"/>
      <c r="CY100" s="43"/>
      <c r="CZ100" s="43"/>
      <c r="DA100" s="43"/>
      <c r="DB100" s="43"/>
      <c r="DC100" s="43"/>
      <c r="DD100" s="43"/>
      <c r="DE100" s="43"/>
      <c r="DF100" s="43"/>
      <c r="DG100" s="43"/>
      <c r="DH100" s="43"/>
      <c r="DI100" s="43"/>
      <c r="DJ100" s="43"/>
      <c r="DK100" s="43"/>
      <c r="DL100" s="43"/>
      <c r="DM100" s="43"/>
      <c r="DN100" s="43"/>
      <c r="DO100" s="43"/>
      <c r="DP100" s="43"/>
      <c r="DQ100" s="43"/>
      <c r="DR100" s="43"/>
      <c r="DS100" s="43"/>
      <c r="DT100" s="43"/>
      <c r="DU100" s="43"/>
      <c r="DV100" s="43"/>
      <c r="DW100" s="43"/>
      <c r="DX100" s="43"/>
      <c r="DY100" s="43"/>
      <c r="DZ100" s="43"/>
      <c r="EA100" s="43"/>
      <c r="EB100" s="43"/>
      <c r="EC100" s="43"/>
      <c r="ED100" s="43"/>
      <c r="EE100" s="43"/>
      <c r="EF100" s="43"/>
      <c r="EG100" s="43"/>
      <c r="EH100" s="43"/>
      <c r="EI100" s="43"/>
      <c r="EJ100" s="43"/>
      <c r="EK100" s="43"/>
      <c r="EL100" s="43"/>
      <c r="EM100" s="43"/>
      <c r="EN100" s="43"/>
      <c r="EO100" s="43"/>
      <c r="EP100" s="43"/>
      <c r="EQ100" s="43"/>
      <c r="ER100" s="43"/>
      <c r="ES100" s="43"/>
      <c r="ET100" s="43"/>
      <c r="EU100" s="43"/>
      <c r="EV100" s="43"/>
      <c r="EW100" s="43"/>
      <c r="EX100" s="43"/>
      <c r="EY100" s="43"/>
      <c r="EZ100" s="43"/>
      <c r="FA100" s="43"/>
      <c r="FB100" s="43"/>
      <c r="FC100" s="43"/>
      <c r="FD100" s="43"/>
      <c r="FE100" s="43"/>
      <c r="FF100" s="43"/>
      <c r="FG100" s="43"/>
      <c r="FH100" s="43"/>
      <c r="FI100" s="43"/>
      <c r="FJ100" s="43"/>
      <c r="FK100" s="43"/>
      <c r="FL100" s="43"/>
      <c r="FM100" s="43"/>
      <c r="FN100" s="43"/>
      <c r="FO100" s="43"/>
      <c r="FP100" s="43"/>
      <c r="FQ100" s="43"/>
      <c r="FR100" s="43"/>
      <c r="FS100" s="43"/>
      <c r="FT100" s="43"/>
      <c r="FU100" s="43"/>
      <c r="FV100" s="43"/>
      <c r="FW100" s="43"/>
      <c r="FX100" s="43"/>
      <c r="FY100" s="43"/>
      <c r="FZ100" s="43"/>
      <c r="GA100" s="43"/>
      <c r="GB100" s="43"/>
      <c r="GC100" s="43"/>
      <c r="GD100" s="43"/>
      <c r="GE100" s="43"/>
      <c r="GF100" s="43"/>
      <c r="GG100" s="43"/>
      <c r="GH100" s="43"/>
      <c r="GI100" s="43"/>
      <c r="GJ100" s="43"/>
      <c r="GK100" s="43"/>
      <c r="GL100" s="43"/>
      <c r="GM100" s="43"/>
      <c r="GN100" s="43"/>
      <c r="GO100" s="43"/>
      <c r="GP100" s="43"/>
      <c r="GQ100" s="43"/>
      <c r="GR100" s="43"/>
      <c r="GS100" s="43"/>
      <c r="GT100" s="43"/>
      <c r="GU100" s="43"/>
      <c r="GV100" s="43"/>
      <c r="GW100" s="43"/>
      <c r="GX100" s="43"/>
      <c r="GY100" s="43"/>
      <c r="GZ100" s="43"/>
      <c r="HA100" s="43"/>
      <c r="HB100" s="43"/>
      <c r="HC100" s="43"/>
      <c r="HD100" s="43"/>
      <c r="HE100" s="43"/>
      <c r="HF100" s="43"/>
      <c r="HG100" s="43"/>
      <c r="HH100" s="43"/>
      <c r="HI100" s="43"/>
      <c r="HJ100" s="43"/>
      <c r="HK100" s="43"/>
      <c r="HL100" s="43"/>
      <c r="HM100" s="43"/>
      <c r="HN100" s="43"/>
      <c r="HO100" s="43"/>
      <c r="HP100" s="43"/>
      <c r="HQ100" s="43"/>
      <c r="HR100"/>
      <c r="HS100"/>
      <c r="HT100"/>
      <c r="HU100"/>
      <c r="HV100"/>
      <c r="HW100"/>
      <c r="HX100"/>
      <c r="HY100"/>
      <c r="HZ100"/>
      <c r="IA100"/>
      <c r="IB100"/>
      <c r="IC100"/>
      <c r="ID100"/>
      <c r="IE100"/>
      <c r="IF100"/>
      <c r="IG100"/>
      <c r="IH100"/>
      <c r="II100"/>
      <c r="IJ100"/>
      <c r="IK100" s="32"/>
      <c r="IL100" s="32"/>
      <c r="IM100" s="32"/>
      <c r="IN100" s="32"/>
      <c r="IO100" s="32"/>
      <c r="IP100" s="32"/>
      <c r="IQ100" s="32"/>
    </row>
    <row r="101" spans="1:251" s="33" customFormat="1">
      <c r="A101" s="167"/>
      <c r="B101" s="4"/>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3"/>
      <c r="AI101" s="43"/>
      <c r="AJ101" s="43"/>
      <c r="AK101" s="43"/>
      <c r="AL101" s="43"/>
      <c r="AM101" s="43"/>
      <c r="AN101" s="43"/>
      <c r="AO101" s="43"/>
      <c r="AP101" s="43"/>
      <c r="AQ101" s="43"/>
      <c r="AR101" s="43"/>
      <c r="AS101" s="43"/>
      <c r="AT101" s="43"/>
      <c r="AU101" s="43"/>
      <c r="AV101" s="43"/>
      <c r="AW101" s="43"/>
      <c r="AX101" s="43"/>
      <c r="AY101" s="43"/>
      <c r="AZ101" s="43"/>
      <c r="BA101" s="43"/>
      <c r="BB101" s="43"/>
      <c r="BC101" s="43"/>
      <c r="BD101" s="43"/>
      <c r="BE101" s="43"/>
      <c r="BF101" s="43"/>
      <c r="BG101" s="43"/>
      <c r="BH101" s="43"/>
      <c r="BI101" s="43"/>
      <c r="BJ101" s="43"/>
      <c r="BK101" s="43"/>
      <c r="BL101" s="43"/>
      <c r="BM101" s="43"/>
      <c r="BN101" s="43"/>
      <c r="BO101" s="43"/>
      <c r="BP101" s="43"/>
      <c r="BQ101" s="43"/>
      <c r="BR101" s="43"/>
      <c r="BS101" s="43"/>
      <c r="BT101" s="43"/>
      <c r="BU101" s="43"/>
      <c r="BV101" s="43"/>
      <c r="BW101" s="43"/>
      <c r="BX101" s="43"/>
      <c r="BY101" s="43"/>
      <c r="BZ101" s="43"/>
      <c r="CA101" s="43"/>
      <c r="CB101" s="43"/>
      <c r="CC101" s="43"/>
      <c r="CD101" s="43"/>
      <c r="CE101" s="43"/>
      <c r="CF101" s="43"/>
      <c r="CG101" s="43"/>
      <c r="CH101" s="43"/>
      <c r="CI101" s="43"/>
      <c r="CJ101" s="43"/>
      <c r="CK101" s="43"/>
      <c r="CL101" s="43"/>
      <c r="CM101" s="43"/>
      <c r="CN101" s="43"/>
      <c r="CO101" s="43"/>
      <c r="CP101" s="43"/>
      <c r="CQ101" s="43"/>
      <c r="CR101" s="43"/>
      <c r="CS101" s="43"/>
      <c r="CT101" s="43"/>
      <c r="CU101" s="43"/>
      <c r="CV101" s="43"/>
      <c r="CW101" s="43"/>
      <c r="CX101" s="43"/>
      <c r="CY101" s="43"/>
      <c r="CZ101" s="43"/>
      <c r="DA101" s="43"/>
      <c r="DB101" s="43"/>
      <c r="DC101" s="43"/>
      <c r="DD101" s="43"/>
      <c r="DE101" s="43"/>
      <c r="DF101" s="43"/>
      <c r="DG101" s="43"/>
      <c r="DH101" s="43"/>
      <c r="DI101" s="43"/>
      <c r="DJ101" s="43"/>
      <c r="DK101" s="43"/>
      <c r="DL101" s="43"/>
      <c r="DM101" s="43"/>
      <c r="DN101" s="43"/>
      <c r="DO101" s="43"/>
      <c r="DP101" s="43"/>
      <c r="DQ101" s="43"/>
      <c r="DR101" s="43"/>
      <c r="DS101" s="43"/>
      <c r="DT101" s="43"/>
      <c r="DU101" s="43"/>
      <c r="DV101" s="43"/>
      <c r="DW101" s="43"/>
      <c r="DX101" s="43"/>
      <c r="DY101" s="43"/>
      <c r="DZ101" s="43"/>
      <c r="EA101" s="43"/>
      <c r="EB101" s="43"/>
      <c r="EC101" s="43"/>
      <c r="ED101" s="43"/>
      <c r="EE101" s="43"/>
      <c r="EF101" s="43"/>
      <c r="EG101" s="43"/>
      <c r="EH101" s="43"/>
      <c r="EI101" s="43"/>
      <c r="EJ101" s="43"/>
      <c r="EK101" s="43"/>
      <c r="EL101" s="43"/>
      <c r="EM101" s="43"/>
      <c r="EN101" s="43"/>
      <c r="EO101" s="43"/>
      <c r="EP101" s="43"/>
      <c r="EQ101" s="43"/>
      <c r="ER101" s="43"/>
      <c r="ES101" s="43"/>
      <c r="ET101" s="43"/>
      <c r="EU101" s="43"/>
      <c r="EV101" s="43"/>
      <c r="EW101" s="43"/>
      <c r="EX101" s="43"/>
      <c r="EY101" s="43"/>
      <c r="EZ101" s="43"/>
      <c r="FA101" s="43"/>
      <c r="FB101" s="43"/>
      <c r="FC101" s="43"/>
      <c r="FD101" s="43"/>
      <c r="FE101" s="43"/>
      <c r="FF101" s="43"/>
      <c r="FG101" s="43"/>
      <c r="FH101" s="43"/>
      <c r="FI101" s="43"/>
      <c r="FJ101" s="43"/>
      <c r="FK101" s="43"/>
      <c r="FL101" s="43"/>
      <c r="FM101" s="43"/>
      <c r="FN101" s="43"/>
      <c r="FO101" s="43"/>
      <c r="FP101" s="43"/>
      <c r="FQ101" s="43"/>
      <c r="FR101" s="43"/>
      <c r="FS101" s="43"/>
      <c r="FT101" s="43"/>
      <c r="FU101" s="43"/>
      <c r="FV101" s="43"/>
      <c r="FW101" s="43"/>
      <c r="FX101" s="43"/>
      <c r="FY101" s="43"/>
      <c r="FZ101" s="43"/>
      <c r="GA101" s="43"/>
      <c r="GB101" s="43"/>
      <c r="GC101" s="43"/>
      <c r="GD101" s="43"/>
      <c r="GE101" s="43"/>
      <c r="GF101" s="43"/>
      <c r="GG101" s="43"/>
      <c r="GH101" s="43"/>
      <c r="GI101" s="43"/>
      <c r="GJ101" s="43"/>
      <c r="GK101" s="43"/>
      <c r="GL101" s="43"/>
      <c r="GM101" s="43"/>
      <c r="GN101" s="43"/>
      <c r="GO101" s="43"/>
      <c r="GP101" s="43"/>
      <c r="GQ101" s="43"/>
      <c r="GR101" s="43"/>
      <c r="GS101" s="43"/>
      <c r="GT101" s="43"/>
      <c r="GU101" s="43"/>
      <c r="GV101" s="43"/>
      <c r="GW101" s="43"/>
      <c r="GX101" s="43"/>
      <c r="GY101" s="43"/>
      <c r="GZ101" s="43"/>
      <c r="HA101" s="43"/>
      <c r="HB101" s="43"/>
      <c r="HC101" s="43"/>
      <c r="HD101" s="43"/>
      <c r="HE101" s="43"/>
      <c r="HF101" s="43"/>
      <c r="HG101" s="43"/>
      <c r="HH101" s="43"/>
      <c r="HI101" s="43"/>
      <c r="HJ101" s="43"/>
      <c r="HK101" s="43"/>
      <c r="HL101" s="43"/>
      <c r="HM101" s="43"/>
      <c r="HN101" s="43"/>
      <c r="HO101" s="43"/>
      <c r="HP101" s="43"/>
      <c r="HQ101" s="43"/>
      <c r="HR101"/>
      <c r="HS101"/>
      <c r="HT101"/>
      <c r="HU101"/>
      <c r="HV101"/>
      <c r="HW101"/>
      <c r="HX101"/>
      <c r="HY101"/>
      <c r="HZ101"/>
      <c r="IA101"/>
      <c r="IB101"/>
      <c r="IC101"/>
      <c r="ID101"/>
      <c r="IE101"/>
      <c r="IF101"/>
      <c r="IG101"/>
      <c r="IH101"/>
      <c r="II101"/>
      <c r="IJ101"/>
      <c r="IK101" s="32"/>
      <c r="IL101" s="32"/>
      <c r="IM101" s="32"/>
      <c r="IN101" s="32"/>
      <c r="IO101" s="32"/>
      <c r="IP101" s="32"/>
      <c r="IQ101" s="32"/>
    </row>
    <row r="102" spans="1:251" s="33" customFormat="1">
      <c r="A102" s="170" t="s">
        <v>510</v>
      </c>
      <c r="B102" s="4"/>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3"/>
      <c r="AI102" s="43"/>
      <c r="AJ102" s="43"/>
      <c r="AK102" s="43"/>
      <c r="AL102" s="43"/>
      <c r="AM102" s="43"/>
      <c r="AN102" s="43"/>
      <c r="AO102" s="43"/>
      <c r="AP102" s="43"/>
      <c r="AQ102" s="43"/>
      <c r="AR102" s="43"/>
      <c r="AS102" s="43"/>
      <c r="AT102" s="43"/>
      <c r="AU102" s="43"/>
      <c r="AV102" s="43"/>
      <c r="AW102" s="43"/>
      <c r="AX102" s="43"/>
      <c r="AY102" s="43"/>
      <c r="AZ102" s="43"/>
      <c r="BA102" s="43"/>
      <c r="BB102" s="43"/>
      <c r="BC102" s="43"/>
      <c r="BD102" s="43"/>
      <c r="BE102" s="43"/>
      <c r="BF102" s="43"/>
      <c r="BG102" s="43"/>
      <c r="BH102" s="43"/>
      <c r="BI102" s="43"/>
      <c r="BJ102" s="43"/>
      <c r="BK102" s="43"/>
      <c r="BL102" s="43"/>
      <c r="BM102" s="43"/>
      <c r="BN102" s="43"/>
      <c r="BO102" s="43"/>
      <c r="BP102" s="43"/>
      <c r="BQ102" s="43"/>
      <c r="BR102" s="43"/>
      <c r="BS102" s="43"/>
      <c r="BT102" s="43"/>
      <c r="BU102" s="43"/>
      <c r="BV102" s="43"/>
      <c r="BW102" s="43"/>
      <c r="BX102" s="43"/>
      <c r="BY102" s="43"/>
      <c r="BZ102" s="43"/>
      <c r="CA102" s="43"/>
      <c r="CB102" s="43"/>
      <c r="CC102" s="43"/>
      <c r="CD102" s="43"/>
      <c r="CE102" s="43"/>
      <c r="CF102" s="43"/>
      <c r="CG102" s="43"/>
      <c r="CH102" s="43"/>
      <c r="CI102" s="43"/>
      <c r="CJ102" s="43"/>
      <c r="CK102" s="43"/>
      <c r="CL102" s="43"/>
      <c r="CM102" s="43"/>
      <c r="CN102" s="43"/>
      <c r="CO102" s="43"/>
      <c r="CP102" s="43"/>
      <c r="CQ102" s="43"/>
      <c r="CR102" s="43"/>
      <c r="CS102" s="43"/>
      <c r="CT102" s="43"/>
      <c r="CU102" s="43"/>
      <c r="CV102" s="43"/>
      <c r="CW102" s="43"/>
      <c r="CX102" s="43"/>
      <c r="CY102" s="43"/>
      <c r="CZ102" s="43"/>
      <c r="DA102" s="43"/>
      <c r="DB102" s="43"/>
      <c r="DC102" s="43"/>
      <c r="DD102" s="43"/>
      <c r="DE102" s="43"/>
      <c r="DF102" s="43"/>
      <c r="DG102" s="43"/>
      <c r="DH102" s="43"/>
      <c r="DI102" s="43"/>
      <c r="DJ102" s="43"/>
      <c r="DK102" s="43"/>
      <c r="DL102" s="43"/>
      <c r="DM102" s="43"/>
      <c r="DN102" s="43"/>
      <c r="DO102" s="43"/>
      <c r="DP102" s="43"/>
      <c r="DQ102" s="43"/>
      <c r="DR102" s="43"/>
      <c r="DS102" s="43"/>
      <c r="DT102" s="43"/>
      <c r="DU102" s="43"/>
      <c r="DV102" s="43"/>
      <c r="DW102" s="43"/>
      <c r="DX102" s="43"/>
      <c r="DY102" s="43"/>
      <c r="DZ102" s="43"/>
      <c r="EA102" s="43"/>
      <c r="EB102" s="43"/>
      <c r="EC102" s="43"/>
      <c r="ED102" s="43"/>
      <c r="EE102" s="43"/>
      <c r="EF102" s="43"/>
      <c r="EG102" s="43"/>
      <c r="EH102" s="43"/>
      <c r="EI102" s="43"/>
      <c r="EJ102" s="43"/>
      <c r="EK102" s="43"/>
      <c r="EL102" s="43"/>
      <c r="EM102" s="43"/>
      <c r="EN102" s="43"/>
      <c r="EO102" s="43"/>
      <c r="EP102" s="43"/>
      <c r="EQ102" s="43"/>
      <c r="ER102" s="43"/>
      <c r="ES102" s="43"/>
      <c r="ET102" s="43"/>
      <c r="EU102" s="43"/>
      <c r="EV102" s="43"/>
      <c r="EW102" s="43"/>
      <c r="EX102" s="43"/>
      <c r="EY102" s="43"/>
      <c r="EZ102" s="43"/>
      <c r="FA102" s="43"/>
      <c r="FB102" s="43"/>
      <c r="FC102" s="43"/>
      <c r="FD102" s="43"/>
      <c r="FE102" s="43"/>
      <c r="FF102" s="43"/>
      <c r="FG102" s="43"/>
      <c r="FH102" s="43"/>
      <c r="FI102" s="43"/>
      <c r="FJ102" s="43"/>
      <c r="FK102" s="43"/>
      <c r="FL102" s="43"/>
      <c r="FM102" s="43"/>
      <c r="FN102" s="43"/>
      <c r="FO102" s="43"/>
      <c r="FP102" s="43"/>
      <c r="FQ102" s="43"/>
      <c r="FR102" s="43"/>
      <c r="FS102" s="43"/>
      <c r="FT102" s="43"/>
      <c r="FU102" s="43"/>
      <c r="FV102" s="43"/>
      <c r="FW102" s="43"/>
      <c r="FX102" s="43"/>
      <c r="FY102" s="43"/>
      <c r="FZ102" s="43"/>
      <c r="GA102" s="43"/>
      <c r="GB102" s="43"/>
      <c r="GC102" s="43"/>
      <c r="GD102" s="43"/>
      <c r="GE102" s="43"/>
      <c r="GF102" s="43"/>
      <c r="GG102" s="43"/>
      <c r="GH102" s="43"/>
      <c r="GI102" s="43"/>
      <c r="GJ102" s="43"/>
      <c r="GK102" s="43"/>
      <c r="GL102" s="43"/>
      <c r="GM102" s="43"/>
      <c r="GN102" s="43"/>
      <c r="GO102" s="43"/>
      <c r="GP102" s="43"/>
      <c r="GQ102" s="43"/>
      <c r="GR102" s="43"/>
      <c r="GS102" s="43"/>
      <c r="GT102" s="43"/>
      <c r="GU102" s="43"/>
      <c r="GV102" s="43"/>
      <c r="GW102" s="43"/>
      <c r="GX102" s="43"/>
      <c r="GY102" s="43"/>
      <c r="GZ102" s="43"/>
      <c r="HA102" s="43"/>
      <c r="HB102" s="43"/>
      <c r="HC102" s="43"/>
      <c r="HD102" s="43"/>
      <c r="HE102" s="43"/>
      <c r="HF102" s="43"/>
      <c r="HG102" s="43"/>
      <c r="HH102" s="43"/>
      <c r="HI102" s="43"/>
      <c r="HJ102" s="43"/>
      <c r="HK102" s="43"/>
      <c r="HL102" s="43"/>
      <c r="HM102" s="43"/>
      <c r="HN102" s="43"/>
      <c r="HO102" s="43"/>
      <c r="HP102" s="43"/>
      <c r="HQ102" s="43"/>
      <c r="HR102"/>
      <c r="HS102"/>
      <c r="HT102"/>
      <c r="HU102"/>
      <c r="HV102"/>
      <c r="HW102"/>
      <c r="HX102"/>
      <c r="HY102"/>
      <c r="HZ102"/>
      <c r="IA102"/>
      <c r="IB102"/>
      <c r="IC102"/>
      <c r="ID102"/>
      <c r="IE102"/>
      <c r="IF102"/>
      <c r="IG102"/>
      <c r="IH102"/>
      <c r="II102"/>
      <c r="IJ102"/>
      <c r="IK102" s="32"/>
      <c r="IL102" s="32"/>
      <c r="IM102" s="32"/>
      <c r="IN102" s="32"/>
      <c r="IO102" s="32"/>
      <c r="IP102" s="32"/>
      <c r="IQ102" s="32"/>
    </row>
    <row r="103" spans="1:251" s="33" customFormat="1">
      <c r="A103" s="264" t="s">
        <v>11</v>
      </c>
      <c r="B103" s="4"/>
      <c r="C103" s="4"/>
      <c r="D103" s="5"/>
      <c r="E103" s="5">
        <f>(IS!B120*(1-IS!B39))/IS!B11</f>
        <v>0.15048603215851877</v>
      </c>
      <c r="F103" s="5">
        <f>(IS!C120*(1-IS!C39))/IS!C11</f>
        <v>0.16214434432683056</v>
      </c>
      <c r="G103" s="5">
        <f>(IS!D120*(1-IS!D39))/IS!D11</f>
        <v>0.16036702086403473</v>
      </c>
      <c r="H103" s="5">
        <f>(IS!E120*(1-IS!E39))/IS!E11</f>
        <v>0.17260231175273469</v>
      </c>
      <c r="I103" s="5">
        <f>(IS!F120*(1-IS!F39))/IS!F11</f>
        <v>0.16907555515287295</v>
      </c>
      <c r="J103" s="5">
        <f>(IS!G120*(1-IS!G39))/IS!G11</f>
        <v>0.16293501586116813</v>
      </c>
      <c r="K103" s="5">
        <f>(IS!H120*(1-IS!H39))/IS!H11</f>
        <v>0.16076807010416969</v>
      </c>
      <c r="L103" s="5"/>
      <c r="M103" s="5">
        <f>(IS!I120*(1-IS!I39))/IS!I11</f>
        <v>0.1731550395313122</v>
      </c>
      <c r="N103" s="5"/>
      <c r="O103" s="5">
        <f>(IS!J120*(1-IS!J39))/IS!J11</f>
        <v>0.19466178017354721</v>
      </c>
      <c r="P103" s="5">
        <f ca="1">(IS!K120*(1-IS!K39))/IS!K11</f>
        <v>0.20611661025608277</v>
      </c>
      <c r="Q103" s="5">
        <f>(IS!L120*(1-IS!L39))/IS!L11</f>
        <v>0.24014978601997147</v>
      </c>
      <c r="R103" s="5">
        <f>(IS!M120*(1-IS!M39))/IS!M11</f>
        <v>0.25010359933696424</v>
      </c>
      <c r="S103" s="5">
        <f>(IS!N120*(1-IS!N39))/IS!N11</f>
        <v>0.25969249692496926</v>
      </c>
      <c r="T103" s="5">
        <f>(IS!O120*(1-IS!O39))/IS!O11</f>
        <v>0.2679145714285715</v>
      </c>
      <c r="U103" s="5">
        <f>(IS!P120*(1-IS!P39))/IS!P11</f>
        <v>0.27285512087414371</v>
      </c>
      <c r="V103" s="5">
        <f>(IS!Q120*(1-IS!Q39))/IS!Q11</f>
        <v>0.27413332552300357</v>
      </c>
      <c r="W103" s="5">
        <f>(IS!R120*(1-IS!R39))/IS!R11</f>
        <v>0.28955325449278491</v>
      </c>
      <c r="X103" s="5">
        <f>(IS!S120*(1-IS!S39))/IS!S11</f>
        <v>0.3047380669183431</v>
      </c>
      <c r="Y103" s="5">
        <f>(IS!T120*(1-IS!T39))/IS!T11</f>
        <v>0.32409921001333752</v>
      </c>
      <c r="Z103" s="5">
        <f ca="1">(IS!U120*(1-IS!U39))/IS!U11</f>
        <v>0.31691112357199375</v>
      </c>
      <c r="AA103" s="5">
        <f ca="1">(IS!V120*(1-IS!V39))/IS!V11</f>
        <v>0.33235065341379189</v>
      </c>
      <c r="AB103" s="5">
        <f ca="1">(IS!W120*(1-IS!W39))/IS!W11</f>
        <v>0.34906177045734765</v>
      </c>
      <c r="AC103" s="5">
        <f ca="1">(IS!X120*(1-IS!X39))/IS!X11</f>
        <v>0.36152408948679049</v>
      </c>
      <c r="AD103" s="5">
        <f ca="1">(IS!Y120*(1-IS!Y39))/IS!Y11</f>
        <v>0.37307551736382361</v>
      </c>
      <c r="AE103" s="5">
        <f ca="1">(IS!Z120*(1-IS!Z39))/IS!Z11</f>
        <v>0.38378935024611149</v>
      </c>
      <c r="AF103" s="5">
        <f ca="1">(IS!AA120*(1-IS!AA39))/IS!AA11</f>
        <v>0.3937326737293107</v>
      </c>
      <c r="AG103" s="5">
        <f ca="1">(IS!AB120*(1-IS!AB39))/IS!AB11</f>
        <v>0.40296692167219433</v>
      </c>
      <c r="AH103" s="43"/>
      <c r="AI103" s="43"/>
      <c r="AJ103" s="43"/>
      <c r="AK103" s="43"/>
      <c r="AL103" s="43"/>
      <c r="AM103" s="43"/>
      <c r="AN103" s="43"/>
      <c r="AO103" s="43"/>
      <c r="AP103" s="43"/>
      <c r="AQ103" s="43"/>
      <c r="AR103" s="43"/>
      <c r="AS103" s="43"/>
      <c r="AT103" s="43"/>
      <c r="AU103" s="43"/>
      <c r="AV103" s="43"/>
      <c r="AW103" s="43"/>
      <c r="AX103" s="43"/>
      <c r="AY103" s="43"/>
      <c r="AZ103" s="43"/>
      <c r="BA103" s="43"/>
      <c r="BB103" s="43"/>
      <c r="BC103" s="43"/>
      <c r="BD103" s="43"/>
      <c r="BE103" s="43"/>
      <c r="BF103" s="43"/>
      <c r="BG103" s="43"/>
      <c r="BH103" s="43"/>
      <c r="BI103" s="43"/>
      <c r="BJ103" s="43"/>
      <c r="BK103" s="43"/>
      <c r="BL103" s="43"/>
      <c r="BM103" s="43"/>
      <c r="BN103" s="43"/>
      <c r="BO103" s="43"/>
      <c r="BP103" s="43"/>
      <c r="BQ103" s="43"/>
      <c r="BR103" s="43"/>
      <c r="BS103" s="43"/>
      <c r="BT103" s="43"/>
      <c r="BU103" s="43"/>
      <c r="BV103" s="43"/>
      <c r="BW103" s="43"/>
      <c r="BX103" s="43"/>
      <c r="BY103" s="43"/>
      <c r="BZ103" s="43"/>
      <c r="CA103" s="43"/>
      <c r="CB103" s="43"/>
      <c r="CC103" s="43"/>
      <c r="CD103" s="43"/>
      <c r="CE103" s="43"/>
      <c r="CF103" s="43"/>
      <c r="CG103" s="43"/>
      <c r="CH103" s="43"/>
      <c r="CI103" s="43"/>
      <c r="CJ103" s="43"/>
      <c r="CK103" s="43"/>
      <c r="CL103" s="43"/>
      <c r="CM103" s="43"/>
      <c r="CN103" s="43"/>
      <c r="CO103" s="43"/>
      <c r="CP103" s="43"/>
      <c r="CQ103" s="43"/>
      <c r="CR103" s="43"/>
      <c r="CS103" s="43"/>
      <c r="CT103" s="43"/>
      <c r="CU103" s="43"/>
      <c r="CV103" s="43"/>
      <c r="CW103" s="43"/>
      <c r="CX103" s="43"/>
      <c r="CY103" s="43"/>
      <c r="CZ103" s="43"/>
      <c r="DA103" s="43"/>
      <c r="DB103" s="43"/>
      <c r="DC103" s="43"/>
      <c r="DD103" s="43"/>
      <c r="DE103" s="43"/>
      <c r="DF103" s="43"/>
      <c r="DG103" s="43"/>
      <c r="DH103" s="43"/>
      <c r="DI103" s="43"/>
      <c r="DJ103" s="43"/>
      <c r="DK103" s="43"/>
      <c r="DL103" s="43"/>
      <c r="DM103" s="43"/>
      <c r="DN103" s="43"/>
      <c r="DO103" s="43"/>
      <c r="DP103" s="43"/>
      <c r="DQ103" s="43"/>
      <c r="DR103" s="43"/>
      <c r="DS103" s="43"/>
      <c r="DT103" s="43"/>
      <c r="DU103" s="43"/>
      <c r="DV103" s="43"/>
      <c r="DW103" s="43"/>
      <c r="DX103" s="43"/>
      <c r="DY103" s="43"/>
      <c r="DZ103" s="43"/>
      <c r="EA103" s="43"/>
      <c r="EB103" s="43"/>
      <c r="EC103" s="43"/>
      <c r="ED103" s="43"/>
      <c r="EE103" s="43"/>
      <c r="EF103" s="43"/>
      <c r="EG103" s="43"/>
      <c r="EH103" s="43"/>
      <c r="EI103" s="43"/>
      <c r="EJ103" s="43"/>
      <c r="EK103" s="43"/>
      <c r="EL103" s="43"/>
      <c r="EM103" s="43"/>
      <c r="EN103" s="43"/>
      <c r="EO103" s="43"/>
      <c r="EP103" s="43"/>
      <c r="EQ103" s="43"/>
      <c r="ER103" s="43"/>
      <c r="ES103" s="43"/>
      <c r="ET103" s="43"/>
      <c r="EU103" s="43"/>
      <c r="EV103" s="43"/>
      <c r="EW103" s="43"/>
      <c r="EX103" s="43"/>
      <c r="EY103" s="43"/>
      <c r="EZ103" s="43"/>
      <c r="FA103" s="43"/>
      <c r="FB103" s="43"/>
      <c r="FC103" s="43"/>
      <c r="FD103" s="43"/>
      <c r="FE103" s="43"/>
      <c r="FF103" s="43"/>
      <c r="FG103" s="43"/>
      <c r="FH103" s="43"/>
      <c r="FI103" s="43"/>
      <c r="FJ103" s="43"/>
      <c r="FK103" s="43"/>
      <c r="FL103" s="43"/>
      <c r="FM103" s="43"/>
      <c r="FN103" s="43"/>
      <c r="FO103" s="43"/>
      <c r="FP103" s="43"/>
      <c r="FQ103" s="43"/>
      <c r="FR103" s="43"/>
      <c r="FS103" s="43"/>
      <c r="FT103" s="43"/>
      <c r="FU103" s="43"/>
      <c r="FV103" s="43"/>
      <c r="FW103" s="43"/>
      <c r="FX103" s="43"/>
      <c r="FY103" s="43"/>
      <c r="FZ103" s="43"/>
      <c r="GA103" s="43"/>
      <c r="GB103" s="43"/>
      <c r="GC103" s="43"/>
      <c r="GD103" s="43"/>
      <c r="GE103" s="43"/>
      <c r="GF103" s="43"/>
      <c r="GG103" s="43"/>
      <c r="GH103" s="43"/>
      <c r="GI103" s="43"/>
      <c r="GJ103" s="43"/>
      <c r="GK103" s="43"/>
      <c r="GL103" s="43"/>
      <c r="GM103" s="43"/>
      <c r="GN103" s="43"/>
      <c r="GO103" s="43"/>
      <c r="GP103" s="43"/>
      <c r="GQ103" s="43"/>
      <c r="GR103" s="43"/>
      <c r="GS103" s="43"/>
      <c r="GT103" s="43"/>
      <c r="GU103" s="43"/>
      <c r="GV103" s="43"/>
      <c r="GW103" s="43"/>
      <c r="GX103" s="43"/>
      <c r="GY103" s="43"/>
      <c r="GZ103" s="43"/>
      <c r="HA103" s="43"/>
      <c r="HB103" s="43"/>
      <c r="HC103" s="43"/>
      <c r="HD103" s="43"/>
      <c r="HE103" s="43"/>
      <c r="HF103" s="43"/>
      <c r="HG103" s="43"/>
      <c r="HH103" s="43"/>
      <c r="HI103" s="43"/>
      <c r="HJ103" s="43"/>
      <c r="HK103" s="43"/>
      <c r="HL103" s="43"/>
      <c r="HM103" s="43"/>
      <c r="HN103" s="43"/>
      <c r="HO103" s="43"/>
      <c r="HP103" s="43"/>
      <c r="HQ103" s="43"/>
      <c r="HR103"/>
      <c r="HS103"/>
      <c r="HT103"/>
      <c r="HU103"/>
      <c r="HV103"/>
      <c r="HW103"/>
      <c r="HX103"/>
      <c r="HY103"/>
      <c r="HZ103"/>
      <c r="IA103"/>
      <c r="IB103"/>
      <c r="IC103"/>
      <c r="ID103"/>
      <c r="IE103"/>
      <c r="IF103"/>
      <c r="IG103"/>
      <c r="IH103"/>
      <c r="II103"/>
      <c r="IJ103"/>
      <c r="IK103" s="32"/>
      <c r="IL103" s="32"/>
      <c r="IM103" s="32"/>
      <c r="IN103" s="32"/>
      <c r="IO103" s="32"/>
      <c r="IP103" s="32"/>
      <c r="IQ103" s="32"/>
    </row>
    <row r="104" spans="1:251" s="33" customFormat="1">
      <c r="A104" s="264" t="s">
        <v>511</v>
      </c>
      <c r="B104" s="4"/>
      <c r="C104" s="4"/>
      <c r="D104" s="269"/>
      <c r="E104" s="269">
        <f>IS!B11/BS!D113</f>
        <v>1.3271112643876364</v>
      </c>
      <c r="F104" s="269">
        <f>IS!C11/BS!E113</f>
        <v>1.0155292194523906</v>
      </c>
      <c r="G104" s="269">
        <f>IS!D11/BS!F113</f>
        <v>0.82509919365160633</v>
      </c>
      <c r="H104" s="269">
        <f>IS!E11/BS!G113</f>
        <v>0.75947594034897059</v>
      </c>
      <c r="I104" s="269">
        <f>IS!F11/BS!H113</f>
        <v>0.72808395802098946</v>
      </c>
      <c r="J104" s="269">
        <f>IS!G11/BS!I113</f>
        <v>0.72420550012387663</v>
      </c>
      <c r="K104" s="269">
        <f>IS!H11/BS!J113</f>
        <v>0.75640202582209859</v>
      </c>
      <c r="L104" s="269"/>
      <c r="M104" s="269">
        <f>IS!I11/BS!K113</f>
        <v>0.73040371412843652</v>
      </c>
      <c r="N104" s="269"/>
      <c r="O104" s="269">
        <f>IS!J11/BS!M113</f>
        <v>0.38286519681868519</v>
      </c>
      <c r="P104" s="269">
        <f>IS!K11/BS!O113</f>
        <v>0.93918311041804114</v>
      </c>
      <c r="Q104" s="269">
        <f>IS!L11/BS!P113</f>
        <v>1.1187657933235802</v>
      </c>
      <c r="R104" s="269">
        <f>IS!M11/BS!Q113</f>
        <v>0.56635150539797496</v>
      </c>
      <c r="S104" s="269">
        <f>IS!N11/BS!R113</f>
        <v>0.57444231351569597</v>
      </c>
      <c r="T104" s="269">
        <f>IS!O11/BS!S113</f>
        <v>0.62094170244473623</v>
      </c>
      <c r="U104" s="269">
        <f>IS!P11/BS!T113</f>
        <v>0.68482475186104219</v>
      </c>
      <c r="V104" s="269">
        <f>IS!Q11/BS!U113</f>
        <v>0.71129800350178585</v>
      </c>
      <c r="W104" s="269">
        <f>IS!R11/BS!V113</f>
        <v>0.75379289270043692</v>
      </c>
      <c r="X104" s="269">
        <f>IS!S11/BS!W113</f>
        <v>0.78341368553255275</v>
      </c>
      <c r="Y104" s="269">
        <f>IS!T11/BS!X113</f>
        <v>0.82914380502743401</v>
      </c>
      <c r="Z104" s="269">
        <f>IS!U11/BS!Y113</f>
        <v>0.85198969881370512</v>
      </c>
      <c r="AA104" s="269">
        <f>IS!V11/BS!Z113</f>
        <v>0.86943372212301251</v>
      </c>
      <c r="AB104" s="269">
        <f>IS!W11/BS!AA113</f>
        <v>0.89266564932499826</v>
      </c>
      <c r="AC104" s="269">
        <f>IS!X11/BS!AB113</f>
        <v>0.91820786298328927</v>
      </c>
      <c r="AD104" s="269">
        <f>IS!Y11/BS!AC113</f>
        <v>0.94307307544941799</v>
      </c>
      <c r="AE104" s="269">
        <f>IS!Z11/BS!AD113</f>
        <v>0.96834578248597059</v>
      </c>
      <c r="AF104" s="269">
        <f>IS!AA11/BS!AE113</f>
        <v>0.99415541339769675</v>
      </c>
      <c r="AG104" s="269">
        <f>IS!AB11/BS!AF113</f>
        <v>1.0206304293551316</v>
      </c>
      <c r="AH104" s="43"/>
      <c r="AI104" s="43"/>
      <c r="AJ104" s="43"/>
      <c r="AK104" s="43"/>
      <c r="AL104" s="43"/>
      <c r="AM104" s="43"/>
      <c r="AN104" s="43"/>
      <c r="AO104" s="43"/>
      <c r="AP104" s="43"/>
      <c r="AQ104" s="43"/>
      <c r="AR104" s="43"/>
      <c r="AS104" s="43"/>
      <c r="AT104" s="43"/>
      <c r="AU104" s="43"/>
      <c r="AV104" s="43"/>
      <c r="AW104" s="43"/>
      <c r="AX104" s="43"/>
      <c r="AY104" s="43"/>
      <c r="AZ104" s="43"/>
      <c r="BA104" s="43"/>
      <c r="BB104" s="43"/>
      <c r="BC104" s="43"/>
      <c r="BD104" s="43"/>
      <c r="BE104" s="43"/>
      <c r="BF104" s="43"/>
      <c r="BG104" s="43"/>
      <c r="BH104" s="43"/>
      <c r="BI104" s="43"/>
      <c r="BJ104" s="43"/>
      <c r="BK104" s="43"/>
      <c r="BL104" s="43"/>
      <c r="BM104" s="43"/>
      <c r="BN104" s="43"/>
      <c r="BO104" s="43"/>
      <c r="BP104" s="43"/>
      <c r="BQ104" s="43"/>
      <c r="BR104" s="43"/>
      <c r="BS104" s="43"/>
      <c r="BT104" s="43"/>
      <c r="BU104" s="43"/>
      <c r="BV104" s="43"/>
      <c r="BW104" s="43"/>
      <c r="BX104" s="43"/>
      <c r="BY104" s="43"/>
      <c r="BZ104" s="43"/>
      <c r="CA104" s="43"/>
      <c r="CB104" s="43"/>
      <c r="CC104" s="43"/>
      <c r="CD104" s="43"/>
      <c r="CE104" s="43"/>
      <c r="CF104" s="43"/>
      <c r="CG104" s="43"/>
      <c r="CH104" s="43"/>
      <c r="CI104" s="43"/>
      <c r="CJ104" s="43"/>
      <c r="CK104" s="43"/>
      <c r="CL104" s="43"/>
      <c r="CM104" s="43"/>
      <c r="CN104" s="43"/>
      <c r="CO104" s="43"/>
      <c r="CP104" s="43"/>
      <c r="CQ104" s="43"/>
      <c r="CR104" s="43"/>
      <c r="CS104" s="43"/>
      <c r="CT104" s="43"/>
      <c r="CU104" s="43"/>
      <c r="CV104" s="43"/>
      <c r="CW104" s="43"/>
      <c r="CX104" s="43"/>
      <c r="CY104" s="43"/>
      <c r="CZ104" s="43"/>
      <c r="DA104" s="43"/>
      <c r="DB104" s="43"/>
      <c r="DC104" s="43"/>
      <c r="DD104" s="43"/>
      <c r="DE104" s="43"/>
      <c r="DF104" s="43"/>
      <c r="DG104" s="43"/>
      <c r="DH104" s="43"/>
      <c r="DI104" s="43"/>
      <c r="DJ104" s="43"/>
      <c r="DK104" s="43"/>
      <c r="DL104" s="43"/>
      <c r="DM104" s="43"/>
      <c r="DN104" s="43"/>
      <c r="DO104" s="43"/>
      <c r="DP104" s="43"/>
      <c r="DQ104" s="43"/>
      <c r="DR104" s="43"/>
      <c r="DS104" s="43"/>
      <c r="DT104" s="43"/>
      <c r="DU104" s="43"/>
      <c r="DV104" s="43"/>
      <c r="DW104" s="43"/>
      <c r="DX104" s="43"/>
      <c r="DY104" s="43"/>
      <c r="DZ104" s="43"/>
      <c r="EA104" s="43"/>
      <c r="EB104" s="43"/>
      <c r="EC104" s="43"/>
      <c r="ED104" s="43"/>
      <c r="EE104" s="43"/>
      <c r="EF104" s="43"/>
      <c r="EG104" s="43"/>
      <c r="EH104" s="43"/>
      <c r="EI104" s="43"/>
      <c r="EJ104" s="43"/>
      <c r="EK104" s="43"/>
      <c r="EL104" s="43"/>
      <c r="EM104" s="43"/>
      <c r="EN104" s="43"/>
      <c r="EO104" s="43"/>
      <c r="EP104" s="43"/>
      <c r="EQ104" s="43"/>
      <c r="ER104" s="43"/>
      <c r="ES104" s="43"/>
      <c r="ET104" s="43"/>
      <c r="EU104" s="43"/>
      <c r="EV104" s="43"/>
      <c r="EW104" s="43"/>
      <c r="EX104" s="43"/>
      <c r="EY104" s="43"/>
      <c r="EZ104" s="43"/>
      <c r="FA104" s="43"/>
      <c r="FB104" s="43"/>
      <c r="FC104" s="43"/>
      <c r="FD104" s="43"/>
      <c r="FE104" s="43"/>
      <c r="FF104" s="43"/>
      <c r="FG104" s="43"/>
      <c r="FH104" s="43"/>
      <c r="FI104" s="43"/>
      <c r="FJ104" s="43"/>
      <c r="FK104" s="43"/>
      <c r="FL104" s="43"/>
      <c r="FM104" s="43"/>
      <c r="FN104" s="43"/>
      <c r="FO104" s="43"/>
      <c r="FP104" s="43"/>
      <c r="FQ104" s="43"/>
      <c r="FR104" s="43"/>
      <c r="FS104" s="43"/>
      <c r="FT104" s="43"/>
      <c r="FU104" s="43"/>
      <c r="FV104" s="43"/>
      <c r="FW104" s="43"/>
      <c r="FX104" s="43"/>
      <c r="FY104" s="43"/>
      <c r="FZ104" s="43"/>
      <c r="GA104" s="43"/>
      <c r="GB104" s="43"/>
      <c r="GC104" s="43"/>
      <c r="GD104" s="43"/>
      <c r="GE104" s="43"/>
      <c r="GF104" s="43"/>
      <c r="GG104" s="43"/>
      <c r="GH104" s="43"/>
      <c r="GI104" s="43"/>
      <c r="GJ104" s="43"/>
      <c r="GK104" s="43"/>
      <c r="GL104" s="43"/>
      <c r="GM104" s="43"/>
      <c r="GN104" s="43"/>
      <c r="GO104" s="43"/>
      <c r="GP104" s="43"/>
      <c r="GQ104" s="43"/>
      <c r="GR104" s="43"/>
      <c r="GS104" s="43"/>
      <c r="GT104" s="43"/>
      <c r="GU104" s="43"/>
      <c r="GV104" s="43"/>
      <c r="GW104" s="43"/>
      <c r="GX104" s="43"/>
      <c r="GY104" s="43"/>
      <c r="GZ104" s="43"/>
      <c r="HA104" s="43"/>
      <c r="HB104" s="43"/>
      <c r="HC104" s="43"/>
      <c r="HD104" s="43"/>
      <c r="HE104" s="43"/>
      <c r="HF104" s="43"/>
      <c r="HG104" s="43"/>
      <c r="HH104" s="43"/>
      <c r="HI104" s="43"/>
      <c r="HJ104" s="43"/>
      <c r="HK104" s="43"/>
      <c r="HL104" s="43"/>
      <c r="HM104" s="43"/>
      <c r="HN104" s="43"/>
      <c r="HO104" s="43"/>
      <c r="HP104" s="43"/>
      <c r="HQ104" s="43"/>
      <c r="HR104"/>
      <c r="HS104"/>
      <c r="HT104"/>
      <c r="HU104"/>
      <c r="HV104"/>
      <c r="HW104"/>
      <c r="HX104"/>
      <c r="HY104"/>
      <c r="HZ104"/>
      <c r="IA104"/>
      <c r="IB104"/>
      <c r="IC104"/>
      <c r="ID104"/>
      <c r="IE104"/>
      <c r="IF104"/>
      <c r="IG104"/>
      <c r="IH104"/>
      <c r="II104"/>
      <c r="IJ104"/>
      <c r="IK104" s="32"/>
      <c r="IL104" s="32"/>
      <c r="IM104" s="32"/>
      <c r="IN104" s="32"/>
      <c r="IO104" s="32"/>
      <c r="IP104" s="32"/>
      <c r="IQ104" s="32"/>
    </row>
    <row r="105" spans="1:251" s="33" customFormat="1">
      <c r="A105" s="264" t="s">
        <v>37</v>
      </c>
      <c r="B105" s="4"/>
      <c r="C105" s="4"/>
      <c r="D105" s="24"/>
      <c r="E105" s="24">
        <f t="shared" ref="E105:K105" si="83">E83</f>
        <v>0.70186213655668084</v>
      </c>
      <c r="F105" s="24">
        <f t="shared" si="83"/>
        <v>1.9914695101632789</v>
      </c>
      <c r="G105" s="24">
        <f t="shared" si="83"/>
        <v>1.2409276248725789</v>
      </c>
      <c r="H105" s="24">
        <f t="shared" si="83"/>
        <v>1.3236471917034602</v>
      </c>
      <c r="I105" s="24">
        <f t="shared" si="83"/>
        <v>0.96870800384420597</v>
      </c>
      <c r="J105" s="24">
        <f t="shared" si="83"/>
        <v>0.69857114168719026</v>
      </c>
      <c r="K105" s="24">
        <f t="shared" si="83"/>
        <v>0.61323869397542108</v>
      </c>
      <c r="L105" s="24"/>
      <c r="M105" s="24">
        <f>M83</f>
        <v>0.57305323013741905</v>
      </c>
      <c r="N105" s="24"/>
      <c r="O105" s="24">
        <f t="shared" ref="O105:AB105" si="84">O83</f>
        <v>1.2303548795944232</v>
      </c>
      <c r="P105" s="24">
        <f t="shared" si="84"/>
        <v>1.2524752475247525</v>
      </c>
      <c r="Q105" s="24">
        <f t="shared" si="84"/>
        <v>3.3703339882121806</v>
      </c>
      <c r="R105" s="24">
        <f t="shared" si="84"/>
        <v>2.5822906641000962</v>
      </c>
      <c r="S105" s="24">
        <f t="shared" si="84"/>
        <v>3.7827857724680967</v>
      </c>
      <c r="T105" s="24">
        <f t="shared" si="84"/>
        <v>4.6037854889589909</v>
      </c>
      <c r="U105" s="24">
        <f t="shared" si="84"/>
        <v>3.5777076250607092</v>
      </c>
      <c r="V105" s="24">
        <f>V83</f>
        <v>4.9408637873754149</v>
      </c>
      <c r="W105" s="24">
        <f t="shared" si="84"/>
        <v>4.9216846501914375</v>
      </c>
      <c r="X105" s="24">
        <f t="shared" ref="X105" si="85">X83</f>
        <v>1.0187896343850309</v>
      </c>
      <c r="Y105" s="24">
        <f t="shared" si="84"/>
        <v>1.2162319453492307</v>
      </c>
      <c r="Z105" s="24">
        <f t="shared" ca="1" si="84"/>
        <v>1.0312433647633956</v>
      </c>
      <c r="AA105" s="24">
        <f t="shared" ca="1" si="84"/>
        <v>1.0196484867077749</v>
      </c>
      <c r="AB105" s="24">
        <f t="shared" ca="1" si="84"/>
        <v>0.98494429950863238</v>
      </c>
      <c r="AC105" s="24">
        <f ca="1">AC83</f>
        <v>0.94201717511942529</v>
      </c>
      <c r="AD105" s="24">
        <f ca="1">AD83</f>
        <v>0.88495091069119547</v>
      </c>
      <c r="AE105" s="24">
        <f ca="1">AE83</f>
        <v>0.81575281416533441</v>
      </c>
      <c r="AF105" s="24">
        <f ca="1">AF83</f>
        <v>0.73683266822516713</v>
      </c>
      <c r="AG105" s="24">
        <f ca="1">AG83</f>
        <v>0.65075969504381215</v>
      </c>
      <c r="AH105" s="43"/>
      <c r="AI105" s="43"/>
      <c r="AJ105" s="43"/>
      <c r="AK105" s="43"/>
      <c r="AL105" s="43"/>
      <c r="AM105" s="43"/>
      <c r="AN105" s="43"/>
      <c r="AO105" s="43"/>
      <c r="AP105" s="43"/>
      <c r="AQ105" s="43"/>
      <c r="AR105" s="43"/>
      <c r="AS105" s="43"/>
      <c r="AT105" s="43"/>
      <c r="AU105" s="43"/>
      <c r="AV105" s="43"/>
      <c r="AW105" s="43"/>
      <c r="AX105" s="43"/>
      <c r="AY105" s="43"/>
      <c r="AZ105" s="43"/>
      <c r="BA105" s="43"/>
      <c r="BB105" s="43"/>
      <c r="BC105" s="43"/>
      <c r="BD105" s="43"/>
      <c r="BE105" s="43"/>
      <c r="BF105" s="43"/>
      <c r="BG105" s="43"/>
      <c r="BH105" s="43"/>
      <c r="BI105" s="43"/>
      <c r="BJ105" s="43"/>
      <c r="BK105" s="43"/>
      <c r="BL105" s="43"/>
      <c r="BM105" s="43"/>
      <c r="BN105" s="43"/>
      <c r="BO105" s="43"/>
      <c r="BP105" s="43"/>
      <c r="BQ105" s="43"/>
      <c r="BR105" s="43"/>
      <c r="BS105" s="43"/>
      <c r="BT105" s="43"/>
      <c r="BU105" s="43"/>
      <c r="BV105" s="43"/>
      <c r="BW105" s="43"/>
      <c r="BX105" s="43"/>
      <c r="BY105" s="43"/>
      <c r="BZ105" s="43"/>
      <c r="CA105" s="43"/>
      <c r="CB105" s="43"/>
      <c r="CC105" s="43"/>
      <c r="CD105" s="43"/>
      <c r="CE105" s="43"/>
      <c r="CF105" s="43"/>
      <c r="CG105" s="43"/>
      <c r="CH105" s="43"/>
      <c r="CI105" s="43"/>
      <c r="CJ105" s="43"/>
      <c r="CK105" s="43"/>
      <c r="CL105" s="43"/>
      <c r="CM105" s="43"/>
      <c r="CN105" s="43"/>
      <c r="CO105" s="43"/>
      <c r="CP105" s="43"/>
      <c r="CQ105" s="43"/>
      <c r="CR105" s="43"/>
      <c r="CS105" s="43"/>
      <c r="CT105" s="43"/>
      <c r="CU105" s="43"/>
      <c r="CV105" s="43"/>
      <c r="CW105" s="43"/>
      <c r="CX105" s="43"/>
      <c r="CY105" s="43"/>
      <c r="CZ105" s="43"/>
      <c r="DA105" s="43"/>
      <c r="DB105" s="43"/>
      <c r="DC105" s="43"/>
      <c r="DD105" s="43"/>
      <c r="DE105" s="43"/>
      <c r="DF105" s="43"/>
      <c r="DG105" s="43"/>
      <c r="DH105" s="43"/>
      <c r="DI105" s="43"/>
      <c r="DJ105" s="43"/>
      <c r="DK105" s="43"/>
      <c r="DL105" s="43"/>
      <c r="DM105" s="43"/>
      <c r="DN105" s="43"/>
      <c r="DO105" s="43"/>
      <c r="DP105" s="43"/>
      <c r="DQ105" s="43"/>
      <c r="DR105" s="43"/>
      <c r="DS105" s="43"/>
      <c r="DT105" s="43"/>
      <c r="DU105" s="43"/>
      <c r="DV105" s="43"/>
      <c r="DW105" s="43"/>
      <c r="DX105" s="43"/>
      <c r="DY105" s="43"/>
      <c r="DZ105" s="43"/>
      <c r="EA105" s="43"/>
      <c r="EB105" s="43"/>
      <c r="EC105" s="43"/>
      <c r="ED105" s="43"/>
      <c r="EE105" s="43"/>
      <c r="EF105" s="43"/>
      <c r="EG105" s="43"/>
      <c r="EH105" s="43"/>
      <c r="EI105" s="43"/>
      <c r="EJ105" s="43"/>
      <c r="EK105" s="43"/>
      <c r="EL105" s="43"/>
      <c r="EM105" s="43"/>
      <c r="EN105" s="43"/>
      <c r="EO105" s="43"/>
      <c r="EP105" s="43"/>
      <c r="EQ105" s="43"/>
      <c r="ER105" s="43"/>
      <c r="ES105" s="43"/>
      <c r="ET105" s="43"/>
      <c r="EU105" s="43"/>
      <c r="EV105" s="43"/>
      <c r="EW105" s="43"/>
      <c r="EX105" s="43"/>
      <c r="EY105" s="43"/>
      <c r="EZ105" s="43"/>
      <c r="FA105" s="43"/>
      <c r="FB105" s="43"/>
      <c r="FC105" s="43"/>
      <c r="FD105" s="43"/>
      <c r="FE105" s="43"/>
      <c r="FF105" s="43"/>
      <c r="FG105" s="43"/>
      <c r="FH105" s="43"/>
      <c r="FI105" s="43"/>
      <c r="FJ105" s="43"/>
      <c r="FK105" s="43"/>
      <c r="FL105" s="43"/>
      <c r="FM105" s="43"/>
      <c r="FN105" s="43"/>
      <c r="FO105" s="43"/>
      <c r="FP105" s="43"/>
      <c r="FQ105" s="43"/>
      <c r="FR105" s="43"/>
      <c r="FS105" s="43"/>
      <c r="FT105" s="43"/>
      <c r="FU105" s="43"/>
      <c r="FV105" s="43"/>
      <c r="FW105" s="43"/>
      <c r="FX105" s="43"/>
      <c r="FY105" s="43"/>
      <c r="FZ105" s="43"/>
      <c r="GA105" s="43"/>
      <c r="GB105" s="43"/>
      <c r="GC105" s="43"/>
      <c r="GD105" s="43"/>
      <c r="GE105" s="43"/>
      <c r="GF105" s="43"/>
      <c r="GG105" s="43"/>
      <c r="GH105" s="43"/>
      <c r="GI105" s="43"/>
      <c r="GJ105" s="43"/>
      <c r="GK105" s="43"/>
      <c r="GL105" s="43"/>
      <c r="GM105" s="43"/>
      <c r="GN105" s="43"/>
      <c r="GO105" s="43"/>
      <c r="GP105" s="43"/>
      <c r="GQ105" s="43"/>
      <c r="GR105" s="43"/>
      <c r="GS105" s="43"/>
      <c r="GT105" s="43"/>
      <c r="GU105" s="43"/>
      <c r="GV105" s="43"/>
      <c r="GW105" s="43"/>
      <c r="GX105" s="43"/>
      <c r="GY105" s="43"/>
      <c r="GZ105" s="43"/>
      <c r="HA105" s="43"/>
      <c r="HB105" s="43"/>
      <c r="HC105" s="43"/>
      <c r="HD105" s="43"/>
      <c r="HE105" s="43"/>
      <c r="HF105" s="43"/>
      <c r="HG105" s="43"/>
      <c r="HH105" s="43"/>
      <c r="HI105" s="43"/>
      <c r="HJ105" s="43"/>
      <c r="HK105" s="43"/>
      <c r="HL105" s="43"/>
      <c r="HM105" s="43"/>
      <c r="HN105" s="43"/>
      <c r="HO105" s="43"/>
      <c r="HP105" s="43"/>
      <c r="HQ105" s="43"/>
      <c r="HR105"/>
      <c r="HS105"/>
      <c r="HT105"/>
      <c r="HU105"/>
      <c r="HV105"/>
      <c r="HW105"/>
      <c r="HX105"/>
      <c r="HY105"/>
      <c r="HZ105"/>
      <c r="IA105"/>
      <c r="IB105"/>
      <c r="IC105"/>
      <c r="ID105"/>
      <c r="IE105"/>
      <c r="IF105"/>
      <c r="IG105"/>
      <c r="IH105"/>
      <c r="II105"/>
      <c r="IJ105"/>
      <c r="IK105" s="32"/>
      <c r="IL105" s="32"/>
      <c r="IM105" s="32"/>
      <c r="IN105" s="32"/>
      <c r="IO105" s="32"/>
      <c r="IP105" s="32"/>
      <c r="IQ105" s="32"/>
    </row>
    <row r="106" spans="1:251" s="33" customFormat="1">
      <c r="A106" s="264" t="s">
        <v>437</v>
      </c>
      <c r="B106" s="4"/>
      <c r="C106" s="4"/>
      <c r="D106" s="5"/>
      <c r="E106" s="5">
        <f>E108-(BS!E201*(1-IS!B39))</f>
        <v>0.1617901731347236</v>
      </c>
      <c r="F106" s="5">
        <f>F108-(BS!F201*(1-IS!C39))</f>
        <v>0.13205233913081044</v>
      </c>
      <c r="G106" s="5">
        <f>G108-(BS!G201*(1-IS!D39))</f>
        <v>9.0539260277909137E-2</v>
      </c>
      <c r="H106" s="5">
        <f>H108-(BS!H201*(1-IS!E39))</f>
        <v>9.3400058958062568E-2</v>
      </c>
      <c r="I106" s="5">
        <f>I108-(BS!I201*(1-IS!F39))</f>
        <v>8.625483821431601E-2</v>
      </c>
      <c r="J106" s="5">
        <f>J108-(BS!J201*(1-IS!G39))</f>
        <v>7.6707793011347433E-2</v>
      </c>
      <c r="K106" s="5">
        <f>K108-(BS!K201*(1-IS!H39))</f>
        <v>7.6729033602662408E-2</v>
      </c>
      <c r="L106" s="5"/>
      <c r="M106" s="5">
        <f>M108-(BS!M201*(1-IS!I39))</f>
        <v>7.6503616660000939E-2</v>
      </c>
      <c r="N106" s="5"/>
      <c r="O106" s="5">
        <f>O108-(BS!O201*(1-IS!J39))</f>
        <v>2.779904563678566E-2</v>
      </c>
      <c r="P106" s="5">
        <f ca="1">P108-(BS!P201*(1-IS!K39))</f>
        <v>0.14437312710595374</v>
      </c>
      <c r="Q106" s="5">
        <f>Q108-(BS!Q201*(1-IS!L39))</f>
        <v>0.21385366658346078</v>
      </c>
      <c r="R106" s="5">
        <f>R108-(BS!R201*(1-IS!M39))</f>
        <v>8.1191853973948916E-2</v>
      </c>
      <c r="S106" s="5">
        <f>S108-(BS!S201*(1-IS!N39))</f>
        <v>8.6498734601726815E-2</v>
      </c>
      <c r="T106" s="5">
        <f>T108-(BS!T201*(1-IS!O39))</f>
        <v>0.10796602593144661</v>
      </c>
      <c r="U106" s="5">
        <f>U108-(BS!U201*(1-IS!P39))</f>
        <v>0.12897137344455067</v>
      </c>
      <c r="V106" s="5">
        <f>V108-(BS!V201*(1-IS!Q39))</f>
        <v>0.13710392013571809</v>
      </c>
      <c r="W106" s="5">
        <f>W108-(BS!W201*(1-IS!R39))</f>
        <v>0.16037661829284267</v>
      </c>
      <c r="X106" s="5">
        <f>X108-(BS!X201*(1-IS!S39))</f>
        <v>0.1808494051244654</v>
      </c>
      <c r="Y106" s="5">
        <f>Y108-(BS!Y201*(1-IS!T39))</f>
        <v>0.21083828519474462</v>
      </c>
      <c r="Z106" s="5">
        <f ca="1">Z108-(BS!Z201*(1-IS!U39))</f>
        <v>0.21211844572071636</v>
      </c>
      <c r="AA106" s="5">
        <f ca="1">AA108-(BS!AA201*(1-IS!V39))</f>
        <v>0.23107029864546891</v>
      </c>
      <c r="AB106" s="5">
        <f ca="1">AB108-(BS!AB201*(1-IS!W39))</f>
        <v>0.25370888497774224</v>
      </c>
      <c r="AC106" s="5">
        <f ca="1">AC108-(BS!AC201*(1-IS!X39))</f>
        <v>0.27406769462254582</v>
      </c>
      <c r="AD106" s="5">
        <f ca="1">AD108-(BS!AD201*(1-IS!Y39))</f>
        <v>0.29395090853308437</v>
      </c>
      <c r="AE106" s="5">
        <f ca="1">AE108-(BS!AE201*(1-IS!Z39))</f>
        <v>0.31375423167175359</v>
      </c>
      <c r="AF106" s="5">
        <f ca="1">AF108-(BS!AF201*(1-IS!AA39))</f>
        <v>0.33354490201744386</v>
      </c>
      <c r="AG106" s="5">
        <f ca="1">AG108-(BS!AG201*(1-IS!AB39))</f>
        <v>0.35339373528010792</v>
      </c>
      <c r="AH106" s="43"/>
      <c r="AI106" s="43"/>
      <c r="AJ106" s="43"/>
      <c r="AK106" s="43"/>
      <c r="AL106" s="43"/>
      <c r="AM106" s="43"/>
      <c r="AN106" s="43"/>
      <c r="AO106" s="43"/>
      <c r="AP106" s="43"/>
      <c r="AQ106" s="43"/>
      <c r="AR106" s="43"/>
      <c r="AS106" s="43"/>
      <c r="AT106" s="43"/>
      <c r="AU106" s="43"/>
      <c r="AV106" s="43"/>
      <c r="AW106" s="43"/>
      <c r="AX106" s="43"/>
      <c r="AY106" s="43"/>
      <c r="AZ106" s="43"/>
      <c r="BA106" s="43"/>
      <c r="BB106" s="43"/>
      <c r="BC106" s="43"/>
      <c r="BD106" s="43"/>
      <c r="BE106" s="43"/>
      <c r="BF106" s="43"/>
      <c r="BG106" s="43"/>
      <c r="BH106" s="43"/>
      <c r="BI106" s="43"/>
      <c r="BJ106" s="43"/>
      <c r="BK106" s="43"/>
      <c r="BL106" s="43"/>
      <c r="BM106" s="43"/>
      <c r="BN106" s="43"/>
      <c r="BO106" s="43"/>
      <c r="BP106" s="43"/>
      <c r="BQ106" s="43"/>
      <c r="BR106" s="43"/>
      <c r="BS106" s="43"/>
      <c r="BT106" s="43"/>
      <c r="BU106" s="43"/>
      <c r="BV106" s="43"/>
      <c r="BW106" s="43"/>
      <c r="BX106" s="43"/>
      <c r="BY106" s="43"/>
      <c r="BZ106" s="43"/>
      <c r="CA106" s="43"/>
      <c r="CB106" s="43"/>
      <c r="CC106" s="43"/>
      <c r="CD106" s="43"/>
      <c r="CE106" s="43"/>
      <c r="CF106" s="43"/>
      <c r="CG106" s="43"/>
      <c r="CH106" s="43"/>
      <c r="CI106" s="43"/>
      <c r="CJ106" s="43"/>
      <c r="CK106" s="43"/>
      <c r="CL106" s="43"/>
      <c r="CM106" s="43"/>
      <c r="CN106" s="43"/>
      <c r="CO106" s="43"/>
      <c r="CP106" s="43"/>
      <c r="CQ106" s="43"/>
      <c r="CR106" s="43"/>
      <c r="CS106" s="43"/>
      <c r="CT106" s="43"/>
      <c r="CU106" s="43"/>
      <c r="CV106" s="43"/>
      <c r="CW106" s="43"/>
      <c r="CX106" s="43"/>
      <c r="CY106" s="43"/>
      <c r="CZ106" s="43"/>
      <c r="DA106" s="43"/>
      <c r="DB106" s="43"/>
      <c r="DC106" s="43"/>
      <c r="DD106" s="43"/>
      <c r="DE106" s="43"/>
      <c r="DF106" s="43"/>
      <c r="DG106" s="43"/>
      <c r="DH106" s="43"/>
      <c r="DI106" s="43"/>
      <c r="DJ106" s="43"/>
      <c r="DK106" s="43"/>
      <c r="DL106" s="43"/>
      <c r="DM106" s="43"/>
      <c r="DN106" s="43"/>
      <c r="DO106" s="43"/>
      <c r="DP106" s="43"/>
      <c r="DQ106" s="43"/>
      <c r="DR106" s="43"/>
      <c r="DS106" s="43"/>
      <c r="DT106" s="43"/>
      <c r="DU106" s="43"/>
      <c r="DV106" s="43"/>
      <c r="DW106" s="43"/>
      <c r="DX106" s="43"/>
      <c r="DY106" s="43"/>
      <c r="DZ106" s="43"/>
      <c r="EA106" s="43"/>
      <c r="EB106" s="43"/>
      <c r="EC106" s="43"/>
      <c r="ED106" s="43"/>
      <c r="EE106" s="43"/>
      <c r="EF106" s="43"/>
      <c r="EG106" s="43"/>
      <c r="EH106" s="43"/>
      <c r="EI106" s="43"/>
      <c r="EJ106" s="43"/>
      <c r="EK106" s="43"/>
      <c r="EL106" s="43"/>
      <c r="EM106" s="43"/>
      <c r="EN106" s="43"/>
      <c r="EO106" s="43"/>
      <c r="EP106" s="43"/>
      <c r="EQ106" s="43"/>
      <c r="ER106" s="43"/>
      <c r="ES106" s="43"/>
      <c r="ET106" s="43"/>
      <c r="EU106" s="43"/>
      <c r="EV106" s="43"/>
      <c r="EW106" s="43"/>
      <c r="EX106" s="43"/>
      <c r="EY106" s="43"/>
      <c r="EZ106" s="43"/>
      <c r="FA106" s="43"/>
      <c r="FB106" s="43"/>
      <c r="FC106" s="43"/>
      <c r="FD106" s="43"/>
      <c r="FE106" s="43"/>
      <c r="FF106" s="43"/>
      <c r="FG106" s="43"/>
      <c r="FH106" s="43"/>
      <c r="FI106" s="43"/>
      <c r="FJ106" s="43"/>
      <c r="FK106" s="43"/>
      <c r="FL106" s="43"/>
      <c r="FM106" s="43"/>
      <c r="FN106" s="43"/>
      <c r="FO106" s="43"/>
      <c r="FP106" s="43"/>
      <c r="FQ106" s="43"/>
      <c r="FR106" s="43"/>
      <c r="FS106" s="43"/>
      <c r="FT106" s="43"/>
      <c r="FU106" s="43"/>
      <c r="FV106" s="43"/>
      <c r="FW106" s="43"/>
      <c r="FX106" s="43"/>
      <c r="FY106" s="43"/>
      <c r="FZ106" s="43"/>
      <c r="GA106" s="43"/>
      <c r="GB106" s="43"/>
      <c r="GC106" s="43"/>
      <c r="GD106" s="43"/>
      <c r="GE106" s="43"/>
      <c r="GF106" s="43"/>
      <c r="GG106" s="43"/>
      <c r="GH106" s="43"/>
      <c r="GI106" s="43"/>
      <c r="GJ106" s="43"/>
      <c r="GK106" s="43"/>
      <c r="GL106" s="43"/>
      <c r="GM106" s="43"/>
      <c r="GN106" s="43"/>
      <c r="GO106" s="43"/>
      <c r="GP106" s="43"/>
      <c r="GQ106" s="43"/>
      <c r="GR106" s="43"/>
      <c r="GS106" s="43"/>
      <c r="GT106" s="43"/>
      <c r="GU106" s="43"/>
      <c r="GV106" s="43"/>
      <c r="GW106" s="43"/>
      <c r="GX106" s="43"/>
      <c r="GY106" s="43"/>
      <c r="GZ106" s="43"/>
      <c r="HA106" s="43"/>
      <c r="HB106" s="43"/>
      <c r="HC106" s="43"/>
      <c r="HD106" s="43"/>
      <c r="HE106" s="43"/>
      <c r="HF106" s="43"/>
      <c r="HG106" s="43"/>
      <c r="HH106" s="43"/>
      <c r="HI106" s="43"/>
      <c r="HJ106" s="43"/>
      <c r="HK106" s="43"/>
      <c r="HL106" s="43"/>
      <c r="HM106" s="43"/>
      <c r="HN106" s="43"/>
      <c r="HO106" s="43"/>
      <c r="HP106" s="43"/>
      <c r="HQ106" s="43"/>
      <c r="HR106"/>
      <c r="HS106"/>
      <c r="HT106"/>
      <c r="HU106"/>
      <c r="HV106"/>
      <c r="HW106"/>
      <c r="HX106"/>
      <c r="HY106"/>
      <c r="HZ106"/>
      <c r="IA106"/>
      <c r="IB106"/>
      <c r="IC106"/>
      <c r="ID106"/>
      <c r="IE106"/>
      <c r="IF106"/>
      <c r="IG106"/>
      <c r="IH106"/>
      <c r="II106"/>
      <c r="IJ106"/>
      <c r="IK106" s="32"/>
      <c r="IL106" s="32"/>
      <c r="IM106" s="32"/>
      <c r="IN106" s="32"/>
      <c r="IO106" s="32"/>
      <c r="IP106" s="32"/>
      <c r="IQ106" s="32"/>
    </row>
    <row r="107" spans="1:251" s="33" customFormat="1">
      <c r="A107" s="264"/>
      <c r="B107" s="4"/>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3"/>
      <c r="AI107" s="43"/>
      <c r="AJ107" s="43"/>
      <c r="AK107" s="43"/>
      <c r="AL107" s="43"/>
      <c r="AM107" s="43"/>
      <c r="AN107" s="43"/>
      <c r="AO107" s="43"/>
      <c r="AP107" s="43"/>
      <c r="AQ107" s="43"/>
      <c r="AR107" s="43"/>
      <c r="AS107" s="43"/>
      <c r="AT107" s="43"/>
      <c r="AU107" s="43"/>
      <c r="AV107" s="43"/>
      <c r="AW107" s="43"/>
      <c r="AX107" s="43"/>
      <c r="AY107" s="43"/>
      <c r="AZ107" s="43"/>
      <c r="BA107" s="43"/>
      <c r="BB107" s="43"/>
      <c r="BC107" s="43"/>
      <c r="BD107" s="43"/>
      <c r="BE107" s="43"/>
      <c r="BF107" s="43"/>
      <c r="BG107" s="43"/>
      <c r="BH107" s="43"/>
      <c r="BI107" s="43"/>
      <c r="BJ107" s="43"/>
      <c r="BK107" s="43"/>
      <c r="BL107" s="43"/>
      <c r="BM107" s="43"/>
      <c r="BN107" s="43"/>
      <c r="BO107" s="43"/>
      <c r="BP107" s="43"/>
      <c r="BQ107" s="43"/>
      <c r="BR107" s="43"/>
      <c r="BS107" s="43"/>
      <c r="BT107" s="43"/>
      <c r="BU107" s="43"/>
      <c r="BV107" s="43"/>
      <c r="BW107" s="43"/>
      <c r="BX107" s="43"/>
      <c r="BY107" s="43"/>
      <c r="BZ107" s="43"/>
      <c r="CA107" s="43"/>
      <c r="CB107" s="43"/>
      <c r="CC107" s="43"/>
      <c r="CD107" s="43"/>
      <c r="CE107" s="43"/>
      <c r="CF107" s="43"/>
      <c r="CG107" s="43"/>
      <c r="CH107" s="43"/>
      <c r="CI107" s="43"/>
      <c r="CJ107" s="43"/>
      <c r="CK107" s="43"/>
      <c r="CL107" s="43"/>
      <c r="CM107" s="43"/>
      <c r="CN107" s="43"/>
      <c r="CO107" s="43"/>
      <c r="CP107" s="43"/>
      <c r="CQ107" s="43"/>
      <c r="CR107" s="43"/>
      <c r="CS107" s="43"/>
      <c r="CT107" s="43"/>
      <c r="CU107" s="43"/>
      <c r="CV107" s="43"/>
      <c r="CW107" s="43"/>
      <c r="CX107" s="43"/>
      <c r="CY107" s="43"/>
      <c r="CZ107" s="43"/>
      <c r="DA107" s="43"/>
      <c r="DB107" s="43"/>
      <c r="DC107" s="43"/>
      <c r="DD107" s="43"/>
      <c r="DE107" s="43"/>
      <c r="DF107" s="43"/>
      <c r="DG107" s="43"/>
      <c r="DH107" s="43"/>
      <c r="DI107" s="43"/>
      <c r="DJ107" s="43"/>
      <c r="DK107" s="43"/>
      <c r="DL107" s="43"/>
      <c r="DM107" s="43"/>
      <c r="DN107" s="43"/>
      <c r="DO107" s="43"/>
      <c r="DP107" s="43"/>
      <c r="DQ107" s="43"/>
      <c r="DR107" s="43"/>
      <c r="DS107" s="43"/>
      <c r="DT107" s="43"/>
      <c r="DU107" s="43"/>
      <c r="DV107" s="43"/>
      <c r="DW107" s="43"/>
      <c r="DX107" s="43"/>
      <c r="DY107" s="43"/>
      <c r="DZ107" s="43"/>
      <c r="EA107" s="43"/>
      <c r="EB107" s="43"/>
      <c r="EC107" s="43"/>
      <c r="ED107" s="43"/>
      <c r="EE107" s="43"/>
      <c r="EF107" s="43"/>
      <c r="EG107" s="43"/>
      <c r="EH107" s="43"/>
      <c r="EI107" s="43"/>
      <c r="EJ107" s="43"/>
      <c r="EK107" s="43"/>
      <c r="EL107" s="43"/>
      <c r="EM107" s="43"/>
      <c r="EN107" s="43"/>
      <c r="EO107" s="43"/>
      <c r="EP107" s="43"/>
      <c r="EQ107" s="43"/>
      <c r="ER107" s="43"/>
      <c r="ES107" s="43"/>
      <c r="ET107" s="43"/>
      <c r="EU107" s="43"/>
      <c r="EV107" s="43"/>
      <c r="EW107" s="43"/>
      <c r="EX107" s="43"/>
      <c r="EY107" s="43"/>
      <c r="EZ107" s="43"/>
      <c r="FA107" s="43"/>
      <c r="FB107" s="43"/>
      <c r="FC107" s="43"/>
      <c r="FD107" s="43"/>
      <c r="FE107" s="43"/>
      <c r="FF107" s="43"/>
      <c r="FG107" s="43"/>
      <c r="FH107" s="43"/>
      <c r="FI107" s="43"/>
      <c r="FJ107" s="43"/>
      <c r="FK107" s="43"/>
      <c r="FL107" s="43"/>
      <c r="FM107" s="43"/>
      <c r="FN107" s="43"/>
      <c r="FO107" s="43"/>
      <c r="FP107" s="43"/>
      <c r="FQ107" s="43"/>
      <c r="FR107" s="43"/>
      <c r="FS107" s="43"/>
      <c r="FT107" s="43"/>
      <c r="FU107" s="43"/>
      <c r="FV107" s="43"/>
      <c r="FW107" s="43"/>
      <c r="FX107" s="43"/>
      <c r="FY107" s="43"/>
      <c r="FZ107" s="43"/>
      <c r="GA107" s="43"/>
      <c r="GB107" s="43"/>
      <c r="GC107" s="43"/>
      <c r="GD107" s="43"/>
      <c r="GE107" s="43"/>
      <c r="GF107" s="43"/>
      <c r="GG107" s="43"/>
      <c r="GH107" s="43"/>
      <c r="GI107" s="43"/>
      <c r="GJ107" s="43"/>
      <c r="GK107" s="43"/>
      <c r="GL107" s="43"/>
      <c r="GM107" s="43"/>
      <c r="GN107" s="43"/>
      <c r="GO107" s="43"/>
      <c r="GP107" s="43"/>
      <c r="GQ107" s="43"/>
      <c r="GR107" s="43"/>
      <c r="GS107" s="43"/>
      <c r="GT107" s="43"/>
      <c r="GU107" s="43"/>
      <c r="GV107" s="43"/>
      <c r="GW107" s="43"/>
      <c r="GX107" s="43"/>
      <c r="GY107" s="43"/>
      <c r="GZ107" s="43"/>
      <c r="HA107" s="43"/>
      <c r="HB107" s="43"/>
      <c r="HC107" s="43"/>
      <c r="HD107" s="43"/>
      <c r="HE107" s="43"/>
      <c r="HF107" s="43"/>
      <c r="HG107" s="43"/>
      <c r="HH107" s="43"/>
      <c r="HI107" s="43"/>
      <c r="HJ107" s="43"/>
      <c r="HK107" s="43"/>
      <c r="HL107" s="43"/>
      <c r="HM107" s="43"/>
      <c r="HN107" s="43"/>
      <c r="HO107" s="43"/>
      <c r="HP107" s="43"/>
      <c r="HQ107" s="43"/>
      <c r="HR107"/>
      <c r="HS107"/>
      <c r="HT107"/>
      <c r="HU107"/>
      <c r="HV107"/>
      <c r="HW107"/>
      <c r="HX107"/>
      <c r="HY107"/>
      <c r="HZ107"/>
      <c r="IA107"/>
      <c r="IB107"/>
      <c r="IC107"/>
      <c r="ID107"/>
      <c r="IE107"/>
      <c r="IF107"/>
      <c r="IG107"/>
      <c r="IH107"/>
      <c r="II107"/>
      <c r="IJ107"/>
      <c r="IK107" s="32"/>
      <c r="IL107" s="32"/>
      <c r="IM107" s="32"/>
      <c r="IN107" s="32"/>
      <c r="IO107" s="32"/>
      <c r="IP107" s="32"/>
      <c r="IQ107" s="32"/>
    </row>
    <row r="108" spans="1:251" s="33" customFormat="1">
      <c r="A108" s="264" t="s">
        <v>438</v>
      </c>
      <c r="B108" s="4"/>
      <c r="C108" s="4"/>
      <c r="D108" s="5"/>
      <c r="E108" s="5">
        <f>E103*E104</f>
        <v>0.19971170841057037</v>
      </c>
      <c r="F108" s="5">
        <f t="shared" ref="F108:K108" si="86">F103*F104</f>
        <v>0.1646623194328459</v>
      </c>
      <c r="G108" s="5">
        <f t="shared" si="86"/>
        <v>0.1323186996032254</v>
      </c>
      <c r="H108" s="5">
        <f t="shared" si="86"/>
        <v>0.13108730302481436</v>
      </c>
      <c r="I108" s="5">
        <f t="shared" si="86"/>
        <v>0.12310119940029984</v>
      </c>
      <c r="J108" s="5">
        <f t="shared" si="86"/>
        <v>0.11799843464942904</v>
      </c>
      <c r="K108" s="5">
        <f t="shared" si="86"/>
        <v>0.12160529391430311</v>
      </c>
      <c r="L108" s="5"/>
      <c r="M108" s="5">
        <f>M103*M104</f>
        <v>0.12647308399372667</v>
      </c>
      <c r="N108" s="5"/>
      <c r="O108" s="5">
        <f t="shared" ref="O108:U108" si="87">O103*O104</f>
        <v>7.4529220779220778E-2</v>
      </c>
      <c r="P108" s="5">
        <f t="shared" ca="1" si="87"/>
        <v>0.19358123912913094</v>
      </c>
      <c r="Q108" s="5">
        <f>Q103*Q104</f>
        <v>0.2686713658731214</v>
      </c>
      <c r="R108" s="5">
        <f>R103*R104</f>
        <v>0.14164654998994167</v>
      </c>
      <c r="S108" s="5">
        <f t="shared" si="87"/>
        <v>0.1491783587362471</v>
      </c>
      <c r="T108" s="5">
        <f t="shared" si="87"/>
        <v>0.16635933009260909</v>
      </c>
      <c r="U108" s="5">
        <f t="shared" si="87"/>
        <v>0.18685794044665013</v>
      </c>
      <c r="V108" s="5">
        <f t="shared" ref="V108:AB108" si="88">V103*V104</f>
        <v>0.19499048713781758</v>
      </c>
      <c r="W108" s="5">
        <f t="shared" si="88"/>
        <v>0.21826318529494212</v>
      </c>
      <c r="X108" s="5">
        <f t="shared" ref="X108" si="89">X103*X104</f>
        <v>0.23873597212656486</v>
      </c>
      <c r="Y108" s="5">
        <f t="shared" si="88"/>
        <v>0.26872485219684411</v>
      </c>
      <c r="Z108" s="5">
        <f t="shared" ca="1" si="88"/>
        <v>0.27000501272281585</v>
      </c>
      <c r="AA108" s="5">
        <f t="shared" ca="1" si="88"/>
        <v>0.28895686564756839</v>
      </c>
      <c r="AB108" s="5">
        <f t="shared" ca="1" si="88"/>
        <v>0.31159545197984173</v>
      </c>
      <c r="AC108" s="5">
        <f ca="1">AC103*AC104</f>
        <v>0.33195426162464531</v>
      </c>
      <c r="AD108" s="5">
        <f ca="1">AD103*AD104</f>
        <v>0.35183747553518385</v>
      </c>
      <c r="AE108" s="5">
        <f ca="1">AE103*AE104</f>
        <v>0.37164079867385308</v>
      </c>
      <c r="AF108" s="5">
        <f ca="1">AF103*AF104</f>
        <v>0.39143146901954334</v>
      </c>
      <c r="AG108" s="5">
        <f ca="1">AG103*AG104</f>
        <v>0.41128030228220741</v>
      </c>
      <c r="AH108" s="43"/>
      <c r="AI108" s="43"/>
      <c r="AJ108" s="43"/>
      <c r="AK108" s="43"/>
      <c r="AL108" s="43"/>
      <c r="AM108" s="43"/>
      <c r="AN108" s="43"/>
      <c r="AO108" s="43"/>
      <c r="AP108" s="43"/>
      <c r="AQ108" s="43"/>
      <c r="AR108" s="43"/>
      <c r="AS108" s="43"/>
      <c r="AT108" s="43"/>
      <c r="AU108" s="43"/>
      <c r="AV108" s="43"/>
      <c r="AW108" s="43"/>
      <c r="AX108" s="43"/>
      <c r="AY108" s="43"/>
      <c r="AZ108" s="43"/>
      <c r="BA108" s="43"/>
      <c r="BB108" s="43"/>
      <c r="BC108" s="43"/>
      <c r="BD108" s="43"/>
      <c r="BE108" s="43"/>
      <c r="BF108" s="43"/>
      <c r="BG108" s="43"/>
      <c r="BH108" s="43"/>
      <c r="BI108" s="43"/>
      <c r="BJ108" s="43"/>
      <c r="BK108" s="43"/>
      <c r="BL108" s="43"/>
      <c r="BM108" s="43"/>
      <c r="BN108" s="43"/>
      <c r="BO108" s="43"/>
      <c r="BP108" s="43"/>
      <c r="BQ108" s="43"/>
      <c r="BR108" s="43"/>
      <c r="BS108" s="43"/>
      <c r="BT108" s="43"/>
      <c r="BU108" s="43"/>
      <c r="BV108" s="43"/>
      <c r="BW108" s="43"/>
      <c r="BX108" s="43"/>
      <c r="BY108" s="43"/>
      <c r="BZ108" s="43"/>
      <c r="CA108" s="43"/>
      <c r="CB108" s="43"/>
      <c r="CC108" s="43"/>
      <c r="CD108" s="43"/>
      <c r="CE108" s="43"/>
      <c r="CF108" s="43"/>
      <c r="CG108" s="43"/>
      <c r="CH108" s="43"/>
      <c r="CI108" s="43"/>
      <c r="CJ108" s="43"/>
      <c r="CK108" s="43"/>
      <c r="CL108" s="43"/>
      <c r="CM108" s="43"/>
      <c r="CN108" s="43"/>
      <c r="CO108" s="43"/>
      <c r="CP108" s="43"/>
      <c r="CQ108" s="43"/>
      <c r="CR108" s="43"/>
      <c r="CS108" s="43"/>
      <c r="CT108" s="43"/>
      <c r="CU108" s="43"/>
      <c r="CV108" s="43"/>
      <c r="CW108" s="43"/>
      <c r="CX108" s="43"/>
      <c r="CY108" s="43"/>
      <c r="CZ108" s="43"/>
      <c r="DA108" s="43"/>
      <c r="DB108" s="43"/>
      <c r="DC108" s="43"/>
      <c r="DD108" s="43"/>
      <c r="DE108" s="43"/>
      <c r="DF108" s="43"/>
      <c r="DG108" s="43"/>
      <c r="DH108" s="43"/>
      <c r="DI108" s="43"/>
      <c r="DJ108" s="43"/>
      <c r="DK108" s="43"/>
      <c r="DL108" s="43"/>
      <c r="DM108" s="43"/>
      <c r="DN108" s="43"/>
      <c r="DO108" s="43"/>
      <c r="DP108" s="43"/>
      <c r="DQ108" s="43"/>
      <c r="DR108" s="43"/>
      <c r="DS108" s="43"/>
      <c r="DT108" s="43"/>
      <c r="DU108" s="43"/>
      <c r="DV108" s="43"/>
      <c r="DW108" s="43"/>
      <c r="DX108" s="43"/>
      <c r="DY108" s="43"/>
      <c r="DZ108" s="43"/>
      <c r="EA108" s="43"/>
      <c r="EB108" s="43"/>
      <c r="EC108" s="43"/>
      <c r="ED108" s="43"/>
      <c r="EE108" s="43"/>
      <c r="EF108" s="43"/>
      <c r="EG108" s="43"/>
      <c r="EH108" s="43"/>
      <c r="EI108" s="43"/>
      <c r="EJ108" s="43"/>
      <c r="EK108" s="43"/>
      <c r="EL108" s="43"/>
      <c r="EM108" s="43"/>
      <c r="EN108" s="43"/>
      <c r="EO108" s="43"/>
      <c r="EP108" s="43"/>
      <c r="EQ108" s="43"/>
      <c r="ER108" s="43"/>
      <c r="ES108" s="43"/>
      <c r="ET108" s="43"/>
      <c r="EU108" s="43"/>
      <c r="EV108" s="43"/>
      <c r="EW108" s="43"/>
      <c r="EX108" s="43"/>
      <c r="EY108" s="43"/>
      <c r="EZ108" s="43"/>
      <c r="FA108" s="43"/>
      <c r="FB108" s="43"/>
      <c r="FC108" s="43"/>
      <c r="FD108" s="43"/>
      <c r="FE108" s="43"/>
      <c r="FF108" s="43"/>
      <c r="FG108" s="43"/>
      <c r="FH108" s="43"/>
      <c r="FI108" s="43"/>
      <c r="FJ108" s="43"/>
      <c r="FK108" s="43"/>
      <c r="FL108" s="43"/>
      <c r="FM108" s="43"/>
      <c r="FN108" s="43"/>
      <c r="FO108" s="43"/>
      <c r="FP108" s="43"/>
      <c r="FQ108" s="43"/>
      <c r="FR108" s="43"/>
      <c r="FS108" s="43"/>
      <c r="FT108" s="43"/>
      <c r="FU108" s="43"/>
      <c r="FV108" s="43"/>
      <c r="FW108" s="43"/>
      <c r="FX108" s="43"/>
      <c r="FY108" s="43"/>
      <c r="FZ108" s="43"/>
      <c r="GA108" s="43"/>
      <c r="GB108" s="43"/>
      <c r="GC108" s="43"/>
      <c r="GD108" s="43"/>
      <c r="GE108" s="43"/>
      <c r="GF108" s="43"/>
      <c r="GG108" s="43"/>
      <c r="GH108" s="43"/>
      <c r="GI108" s="43"/>
      <c r="GJ108" s="43"/>
      <c r="GK108" s="43"/>
      <c r="GL108" s="43"/>
      <c r="GM108" s="43"/>
      <c r="GN108" s="43"/>
      <c r="GO108" s="43"/>
      <c r="GP108" s="43"/>
      <c r="GQ108" s="43"/>
      <c r="GR108" s="43"/>
      <c r="GS108" s="43"/>
      <c r="GT108" s="43"/>
      <c r="GU108" s="43"/>
      <c r="GV108" s="43"/>
      <c r="GW108" s="43"/>
      <c r="GX108" s="43"/>
      <c r="GY108" s="43"/>
      <c r="GZ108" s="43"/>
      <c r="HA108" s="43"/>
      <c r="HB108" s="43"/>
      <c r="HC108" s="43"/>
      <c r="HD108" s="43"/>
      <c r="HE108" s="43"/>
      <c r="HF108" s="43"/>
      <c r="HG108" s="43"/>
      <c r="HH108" s="43"/>
      <c r="HI108" s="43"/>
      <c r="HJ108" s="43"/>
      <c r="HK108" s="43"/>
      <c r="HL108" s="43"/>
      <c r="HM108" s="43"/>
      <c r="HN108" s="43"/>
      <c r="HO108" s="43"/>
      <c r="HP108" s="43"/>
      <c r="HQ108" s="43"/>
      <c r="HR108"/>
      <c r="HS108"/>
      <c r="HT108"/>
      <c r="HU108"/>
      <c r="HV108"/>
      <c r="HW108"/>
      <c r="HX108"/>
      <c r="HY108"/>
      <c r="HZ108"/>
      <c r="IA108"/>
      <c r="IB108"/>
      <c r="IC108"/>
      <c r="ID108"/>
      <c r="IE108"/>
      <c r="IF108"/>
      <c r="IG108"/>
      <c r="IH108"/>
      <c r="II108"/>
      <c r="IJ108"/>
      <c r="IK108" s="32"/>
      <c r="IL108" s="32"/>
      <c r="IM108" s="32"/>
      <c r="IN108" s="32"/>
      <c r="IO108" s="32"/>
      <c r="IP108" s="32"/>
      <c r="IQ108" s="32"/>
    </row>
    <row r="109" spans="1:251" s="33" customFormat="1">
      <c r="A109" s="264" t="s">
        <v>439</v>
      </c>
      <c r="B109" s="4"/>
      <c r="C109" s="4"/>
      <c r="D109" s="5"/>
      <c r="E109" s="5">
        <f>E105*E106</f>
        <v>0.11355439659021241</v>
      </c>
      <c r="F109" s="5">
        <f t="shared" ref="F109:K109" si="90">F105*F106</f>
        <v>0.26297820712475023</v>
      </c>
      <c r="G109" s="5">
        <f t="shared" si="90"/>
        <v>0.11235266921438601</v>
      </c>
      <c r="H109" s="5">
        <f t="shared" si="90"/>
        <v>0.12362872574477714</v>
      </c>
      <c r="I109" s="5">
        <f t="shared" si="90"/>
        <v>8.3555752148494991E-2</v>
      </c>
      <c r="J109" s="5">
        <f>J105*J106</f>
        <v>5.3585850540241647E-2</v>
      </c>
      <c r="K109" s="5">
        <f t="shared" si="90"/>
        <v>4.7053212356492895E-2</v>
      </c>
      <c r="L109" s="5"/>
      <c r="M109" s="5">
        <f>M105*M106</f>
        <v>4.3840644644208407E-2</v>
      </c>
      <c r="N109" s="5"/>
      <c r="O109" s="5">
        <f t="shared" ref="O109:U109" si="91">O105*O106</f>
        <v>3.4202691447287298E-2</v>
      </c>
      <c r="P109" s="5">
        <f t="shared" ca="1" si="91"/>
        <v>0.18082376810795195</v>
      </c>
      <c r="Q109" s="5">
        <f>Q105*Q106</f>
        <v>0.72075828099003325</v>
      </c>
      <c r="R109" s="5">
        <f>R105*R106</f>
        <v>0.20966096651790658</v>
      </c>
      <c r="S109" s="5">
        <f t="shared" si="91"/>
        <v>0.32720618258790607</v>
      </c>
      <c r="T109" s="5">
        <f t="shared" si="91"/>
        <v>0.49705242348376399</v>
      </c>
      <c r="U109" s="5">
        <f t="shared" si="91"/>
        <v>0.46142186618712122</v>
      </c>
      <c r="V109" s="5">
        <f t="shared" ref="V109:AB109" si="92">V105*V106</f>
        <v>0.67741179410578045</v>
      </c>
      <c r="W109" s="5">
        <f t="shared" si="92"/>
        <v>0.7893231405014951</v>
      </c>
      <c r="X109" s="5">
        <f t="shared" ref="X109" si="93">X105*X106</f>
        <v>0.18424749932550444</v>
      </c>
      <c r="Y109" s="5">
        <f t="shared" si="92"/>
        <v>0.25642825775650019</v>
      </c>
      <c r="Z109" s="5">
        <f t="shared" ca="1" si="92"/>
        <v>0.21874573969341324</v>
      </c>
      <c r="AA109" s="5">
        <f t="shared" ca="1" si="92"/>
        <v>0.23561048033696597</v>
      </c>
      <c r="AB109" s="5">
        <f t="shared" ca="1" si="92"/>
        <v>0.24988911999351851</v>
      </c>
      <c r="AC109" s="5">
        <f ca="1">AC105*AC106</f>
        <v>0.25817647547982392</v>
      </c>
      <c r="AD109" s="5">
        <f ca="1">AD105*AD106</f>
        <v>0.26013212420485732</v>
      </c>
      <c r="AE109" s="5">
        <f ca="1">AE105*AE106</f>
        <v>0.25594589744251528</v>
      </c>
      <c r="AF109" s="5">
        <f ca="1">AF105*AF106</f>
        <v>0.24576678012641509</v>
      </c>
      <c r="AG109" s="5">
        <f ca="1">AG105*AG106</f>
        <v>0.2299743994012767</v>
      </c>
      <c r="AH109" s="43"/>
      <c r="AI109" s="43"/>
      <c r="AJ109" s="43"/>
      <c r="AK109" s="43"/>
      <c r="AL109" s="43"/>
      <c r="AM109" s="43"/>
      <c r="AN109" s="43"/>
      <c r="AO109" s="43"/>
      <c r="AP109" s="43"/>
      <c r="AQ109" s="43"/>
      <c r="AR109" s="43"/>
      <c r="AS109" s="43"/>
      <c r="AT109" s="43"/>
      <c r="AU109" s="43"/>
      <c r="AV109" s="43"/>
      <c r="AW109" s="43"/>
      <c r="AX109" s="43"/>
      <c r="AY109" s="43"/>
      <c r="AZ109" s="43"/>
      <c r="BA109" s="43"/>
      <c r="BB109" s="43"/>
      <c r="BC109" s="43"/>
      <c r="BD109" s="43"/>
      <c r="BE109" s="43"/>
      <c r="BF109" s="43"/>
      <c r="BG109" s="43"/>
      <c r="BH109" s="43"/>
      <c r="BI109" s="43"/>
      <c r="BJ109" s="43"/>
      <c r="BK109" s="43"/>
      <c r="BL109" s="43"/>
      <c r="BM109" s="43"/>
      <c r="BN109" s="43"/>
      <c r="BO109" s="43"/>
      <c r="BP109" s="43"/>
      <c r="BQ109" s="43"/>
      <c r="BR109" s="43"/>
      <c r="BS109" s="43"/>
      <c r="BT109" s="43"/>
      <c r="BU109" s="43"/>
      <c r="BV109" s="43"/>
      <c r="BW109" s="43"/>
      <c r="BX109" s="43"/>
      <c r="BY109" s="43"/>
      <c r="BZ109" s="43"/>
      <c r="CA109" s="43"/>
      <c r="CB109" s="43"/>
      <c r="CC109" s="43"/>
      <c r="CD109" s="43"/>
      <c r="CE109" s="43"/>
      <c r="CF109" s="43"/>
      <c r="CG109" s="43"/>
      <c r="CH109" s="43"/>
      <c r="CI109" s="43"/>
      <c r="CJ109" s="43"/>
      <c r="CK109" s="43"/>
      <c r="CL109" s="43"/>
      <c r="CM109" s="43"/>
      <c r="CN109" s="43"/>
      <c r="CO109" s="43"/>
      <c r="CP109" s="43"/>
      <c r="CQ109" s="43"/>
      <c r="CR109" s="43"/>
      <c r="CS109" s="43"/>
      <c r="CT109" s="43"/>
      <c r="CU109" s="43"/>
      <c r="CV109" s="43"/>
      <c r="CW109" s="43"/>
      <c r="CX109" s="43"/>
      <c r="CY109" s="43"/>
      <c r="CZ109" s="43"/>
      <c r="DA109" s="43"/>
      <c r="DB109" s="43"/>
      <c r="DC109" s="43"/>
      <c r="DD109" s="43"/>
      <c r="DE109" s="43"/>
      <c r="DF109" s="43"/>
      <c r="DG109" s="43"/>
      <c r="DH109" s="43"/>
      <c r="DI109" s="43"/>
      <c r="DJ109" s="43"/>
      <c r="DK109" s="43"/>
      <c r="DL109" s="43"/>
      <c r="DM109" s="43"/>
      <c r="DN109" s="43"/>
      <c r="DO109" s="43"/>
      <c r="DP109" s="43"/>
      <c r="DQ109" s="43"/>
      <c r="DR109" s="43"/>
      <c r="DS109" s="43"/>
      <c r="DT109" s="43"/>
      <c r="DU109" s="43"/>
      <c r="DV109" s="43"/>
      <c r="DW109" s="43"/>
      <c r="DX109" s="43"/>
      <c r="DY109" s="43"/>
      <c r="DZ109" s="43"/>
      <c r="EA109" s="43"/>
      <c r="EB109" s="43"/>
      <c r="EC109" s="43"/>
      <c r="ED109" s="43"/>
      <c r="EE109" s="43"/>
      <c r="EF109" s="43"/>
      <c r="EG109" s="43"/>
      <c r="EH109" s="43"/>
      <c r="EI109" s="43"/>
      <c r="EJ109" s="43"/>
      <c r="EK109" s="43"/>
      <c r="EL109" s="43"/>
      <c r="EM109" s="43"/>
      <c r="EN109" s="43"/>
      <c r="EO109" s="43"/>
      <c r="EP109" s="43"/>
      <c r="EQ109" s="43"/>
      <c r="ER109" s="43"/>
      <c r="ES109" s="43"/>
      <c r="ET109" s="43"/>
      <c r="EU109" s="43"/>
      <c r="EV109" s="43"/>
      <c r="EW109" s="43"/>
      <c r="EX109" s="43"/>
      <c r="EY109" s="43"/>
      <c r="EZ109" s="43"/>
      <c r="FA109" s="43"/>
      <c r="FB109" s="43"/>
      <c r="FC109" s="43"/>
      <c r="FD109" s="43"/>
      <c r="FE109" s="43"/>
      <c r="FF109" s="43"/>
      <c r="FG109" s="43"/>
      <c r="FH109" s="43"/>
      <c r="FI109" s="43"/>
      <c r="FJ109" s="43"/>
      <c r="FK109" s="43"/>
      <c r="FL109" s="43"/>
      <c r="FM109" s="43"/>
      <c r="FN109" s="43"/>
      <c r="FO109" s="43"/>
      <c r="FP109" s="43"/>
      <c r="FQ109" s="43"/>
      <c r="FR109" s="43"/>
      <c r="FS109" s="43"/>
      <c r="FT109" s="43"/>
      <c r="FU109" s="43"/>
      <c r="FV109" s="43"/>
      <c r="FW109" s="43"/>
      <c r="FX109" s="43"/>
      <c r="FY109" s="43"/>
      <c r="FZ109" s="43"/>
      <c r="GA109" s="43"/>
      <c r="GB109" s="43"/>
      <c r="GC109" s="43"/>
      <c r="GD109" s="43"/>
      <c r="GE109" s="43"/>
      <c r="GF109" s="43"/>
      <c r="GG109" s="43"/>
      <c r="GH109" s="43"/>
      <c r="GI109" s="43"/>
      <c r="GJ109" s="43"/>
      <c r="GK109" s="43"/>
      <c r="GL109" s="43"/>
      <c r="GM109" s="43"/>
      <c r="GN109" s="43"/>
      <c r="GO109" s="43"/>
      <c r="GP109" s="43"/>
      <c r="GQ109" s="43"/>
      <c r="GR109" s="43"/>
      <c r="GS109" s="43"/>
      <c r="GT109" s="43"/>
      <c r="GU109" s="43"/>
      <c r="GV109" s="43"/>
      <c r="GW109" s="43"/>
      <c r="GX109" s="43"/>
      <c r="GY109" s="43"/>
      <c r="GZ109" s="43"/>
      <c r="HA109" s="43"/>
      <c r="HB109" s="43"/>
      <c r="HC109" s="43"/>
      <c r="HD109" s="43"/>
      <c r="HE109" s="43"/>
      <c r="HF109" s="43"/>
      <c r="HG109" s="43"/>
      <c r="HH109" s="43"/>
      <c r="HI109" s="43"/>
      <c r="HJ109" s="43"/>
      <c r="HK109" s="43"/>
      <c r="HL109" s="43"/>
      <c r="HM109" s="43"/>
      <c r="HN109" s="43"/>
      <c r="HO109" s="43"/>
      <c r="HP109" s="43"/>
      <c r="HQ109" s="43"/>
      <c r="HR109"/>
      <c r="HS109"/>
      <c r="HT109"/>
      <c r="HU109"/>
      <c r="HV109"/>
      <c r="HW109"/>
      <c r="HX109"/>
      <c r="HY109"/>
      <c r="HZ109"/>
      <c r="IA109"/>
      <c r="IB109"/>
      <c r="IC109"/>
      <c r="ID109"/>
      <c r="IE109"/>
      <c r="IF109"/>
      <c r="IG109"/>
      <c r="IH109"/>
      <c r="II109"/>
      <c r="IJ109"/>
      <c r="IK109" s="32"/>
      <c r="IL109" s="32"/>
      <c r="IM109" s="32"/>
      <c r="IN109" s="32"/>
      <c r="IO109" s="32"/>
      <c r="IP109" s="32"/>
      <c r="IQ109" s="32"/>
    </row>
    <row r="110" spans="1:251" s="33" customFormat="1">
      <c r="A110" s="264" t="s">
        <v>509</v>
      </c>
      <c r="B110" s="4"/>
      <c r="C110" s="4"/>
      <c r="D110" s="5"/>
      <c r="E110" s="5">
        <f>E108+E109</f>
        <v>0.31326610500078278</v>
      </c>
      <c r="F110" s="5">
        <f t="shared" ref="F110:K110" si="94">F108+F109</f>
        <v>0.4276405265575961</v>
      </c>
      <c r="G110" s="5">
        <f t="shared" si="94"/>
        <v>0.24467136881761142</v>
      </c>
      <c r="H110" s="5">
        <f t="shared" si="94"/>
        <v>0.25471602876959148</v>
      </c>
      <c r="I110" s="5">
        <f t="shared" si="94"/>
        <v>0.20665695154879482</v>
      </c>
      <c r="J110" s="5">
        <f>J108+J109</f>
        <v>0.17158428518967067</v>
      </c>
      <c r="K110" s="5">
        <f t="shared" si="94"/>
        <v>0.16865850627079601</v>
      </c>
      <c r="L110" s="5"/>
      <c r="M110" s="5">
        <f>M108+M109</f>
        <v>0.17031372863793509</v>
      </c>
      <c r="N110" s="5"/>
      <c r="O110" s="5">
        <f t="shared" ref="O110:W110" si="95">O108+O109</f>
        <v>0.10873191222650808</v>
      </c>
      <c r="P110" s="5">
        <f t="shared" ca="1" si="95"/>
        <v>0.37440500723708292</v>
      </c>
      <c r="Q110" s="5">
        <f t="shared" si="95"/>
        <v>0.98942964686315471</v>
      </c>
      <c r="R110" s="5">
        <f t="shared" si="95"/>
        <v>0.35130751650784825</v>
      </c>
      <c r="S110" s="5">
        <f t="shared" si="95"/>
        <v>0.4763845413241532</v>
      </c>
      <c r="T110" s="5">
        <f t="shared" si="95"/>
        <v>0.66341175357637305</v>
      </c>
      <c r="U110" s="5">
        <f t="shared" si="95"/>
        <v>0.64827980663377138</v>
      </c>
      <c r="V110" s="5">
        <f t="shared" si="95"/>
        <v>0.87240228124359809</v>
      </c>
      <c r="W110" s="5">
        <f t="shared" si="95"/>
        <v>1.0075863257964373</v>
      </c>
      <c r="X110" s="5">
        <f t="shared" ref="X110" si="96">X108+X109</f>
        <v>0.42298347145206927</v>
      </c>
      <c r="Y110" s="5">
        <f t="shared" ref="Y110:AG110" si="97">Y108+Y109</f>
        <v>0.5251531099533443</v>
      </c>
      <c r="Z110" s="5">
        <f t="shared" ca="1" si="97"/>
        <v>0.48875075241622912</v>
      </c>
      <c r="AA110" s="5">
        <f t="shared" ca="1" si="97"/>
        <v>0.52456734598453436</v>
      </c>
      <c r="AB110" s="5">
        <f t="shared" ca="1" si="97"/>
        <v>0.56148457197336021</v>
      </c>
      <c r="AC110" s="5">
        <f t="shared" ca="1" si="97"/>
        <v>0.59013073710446928</v>
      </c>
      <c r="AD110" s="5">
        <f t="shared" ca="1" si="97"/>
        <v>0.61196959974004117</v>
      </c>
      <c r="AE110" s="5">
        <f t="shared" ca="1" si="97"/>
        <v>0.6275866961163683</v>
      </c>
      <c r="AF110" s="5">
        <f t="shared" ca="1" si="97"/>
        <v>0.63719824914595846</v>
      </c>
      <c r="AG110" s="5">
        <f t="shared" ca="1" si="97"/>
        <v>0.64125470168348409</v>
      </c>
      <c r="AH110" s="43"/>
      <c r="AI110" s="43"/>
      <c r="AJ110" s="43"/>
      <c r="AK110" s="43"/>
      <c r="AL110" s="43"/>
      <c r="AM110" s="43"/>
      <c r="AN110" s="43"/>
      <c r="AO110" s="43"/>
      <c r="AP110" s="43"/>
      <c r="AQ110" s="43"/>
      <c r="AR110" s="43"/>
      <c r="AS110" s="43"/>
      <c r="AT110" s="43"/>
      <c r="AU110" s="43"/>
      <c r="AV110" s="43"/>
      <c r="AW110" s="43"/>
      <c r="AX110" s="43"/>
      <c r="AY110" s="43"/>
      <c r="AZ110" s="43"/>
      <c r="BA110" s="43"/>
      <c r="BB110" s="43"/>
      <c r="BC110" s="43"/>
      <c r="BD110" s="43"/>
      <c r="BE110" s="43"/>
      <c r="BF110" s="43"/>
      <c r="BG110" s="43"/>
      <c r="BH110" s="43"/>
      <c r="BI110" s="43"/>
      <c r="BJ110" s="43"/>
      <c r="BK110" s="43"/>
      <c r="BL110" s="43"/>
      <c r="BM110" s="43"/>
      <c r="BN110" s="43"/>
      <c r="BO110" s="43"/>
      <c r="BP110" s="43"/>
      <c r="BQ110" s="43"/>
      <c r="BR110" s="43"/>
      <c r="BS110" s="43"/>
      <c r="BT110" s="43"/>
      <c r="BU110" s="43"/>
      <c r="BV110" s="43"/>
      <c r="BW110" s="43"/>
      <c r="BX110" s="43"/>
      <c r="BY110" s="43"/>
      <c r="BZ110" s="43"/>
      <c r="CA110" s="43"/>
      <c r="CB110" s="43"/>
      <c r="CC110" s="43"/>
      <c r="CD110" s="43"/>
      <c r="CE110" s="43"/>
      <c r="CF110" s="43"/>
      <c r="CG110" s="43"/>
      <c r="CH110" s="43"/>
      <c r="CI110" s="43"/>
      <c r="CJ110" s="43"/>
      <c r="CK110" s="43"/>
      <c r="CL110" s="43"/>
      <c r="CM110" s="43"/>
      <c r="CN110" s="43"/>
      <c r="CO110" s="43"/>
      <c r="CP110" s="43"/>
      <c r="CQ110" s="43"/>
      <c r="CR110" s="43"/>
      <c r="CS110" s="43"/>
      <c r="CT110" s="43"/>
      <c r="CU110" s="43"/>
      <c r="CV110" s="43"/>
      <c r="CW110" s="43"/>
      <c r="CX110" s="43"/>
      <c r="CY110" s="43"/>
      <c r="CZ110" s="43"/>
      <c r="DA110" s="43"/>
      <c r="DB110" s="43"/>
      <c r="DC110" s="43"/>
      <c r="DD110" s="43"/>
      <c r="DE110" s="43"/>
      <c r="DF110" s="43"/>
      <c r="DG110" s="43"/>
      <c r="DH110" s="43"/>
      <c r="DI110" s="43"/>
      <c r="DJ110" s="43"/>
      <c r="DK110" s="43"/>
      <c r="DL110" s="43"/>
      <c r="DM110" s="43"/>
      <c r="DN110" s="43"/>
      <c r="DO110" s="43"/>
      <c r="DP110" s="43"/>
      <c r="DQ110" s="43"/>
      <c r="DR110" s="43"/>
      <c r="DS110" s="43"/>
      <c r="DT110" s="43"/>
      <c r="DU110" s="43"/>
      <c r="DV110" s="43"/>
      <c r="DW110" s="43"/>
      <c r="DX110" s="43"/>
      <c r="DY110" s="43"/>
      <c r="DZ110" s="43"/>
      <c r="EA110" s="43"/>
      <c r="EB110" s="43"/>
      <c r="EC110" s="43"/>
      <c r="ED110" s="43"/>
      <c r="EE110" s="43"/>
      <c r="EF110" s="43"/>
      <c r="EG110" s="43"/>
      <c r="EH110" s="43"/>
      <c r="EI110" s="43"/>
      <c r="EJ110" s="43"/>
      <c r="EK110" s="43"/>
      <c r="EL110" s="43"/>
      <c r="EM110" s="43"/>
      <c r="EN110" s="43"/>
      <c r="EO110" s="43"/>
      <c r="EP110" s="43"/>
      <c r="EQ110" s="43"/>
      <c r="ER110" s="43"/>
      <c r="ES110" s="43"/>
      <c r="ET110" s="43"/>
      <c r="EU110" s="43"/>
      <c r="EV110" s="43"/>
      <c r="EW110" s="43"/>
      <c r="EX110" s="43"/>
      <c r="EY110" s="43"/>
      <c r="EZ110" s="43"/>
      <c r="FA110" s="43"/>
      <c r="FB110" s="43"/>
      <c r="FC110" s="43"/>
      <c r="FD110" s="43"/>
      <c r="FE110" s="43"/>
      <c r="FF110" s="43"/>
      <c r="FG110" s="43"/>
      <c r="FH110" s="43"/>
      <c r="FI110" s="43"/>
      <c r="FJ110" s="43"/>
      <c r="FK110" s="43"/>
      <c r="FL110" s="43"/>
      <c r="FM110" s="43"/>
      <c r="FN110" s="43"/>
      <c r="FO110" s="43"/>
      <c r="FP110" s="43"/>
      <c r="FQ110" s="43"/>
      <c r="FR110" s="43"/>
      <c r="FS110" s="43"/>
      <c r="FT110" s="43"/>
      <c r="FU110" s="43"/>
      <c r="FV110" s="43"/>
      <c r="FW110" s="43"/>
      <c r="FX110" s="43"/>
      <c r="FY110" s="43"/>
      <c r="FZ110" s="43"/>
      <c r="GA110" s="43"/>
      <c r="GB110" s="43"/>
      <c r="GC110" s="43"/>
      <c r="GD110" s="43"/>
      <c r="GE110" s="43"/>
      <c r="GF110" s="43"/>
      <c r="GG110" s="43"/>
      <c r="GH110" s="43"/>
      <c r="GI110" s="43"/>
      <c r="GJ110" s="43"/>
      <c r="GK110" s="43"/>
      <c r="GL110" s="43"/>
      <c r="GM110" s="43"/>
      <c r="GN110" s="43"/>
      <c r="GO110" s="43"/>
      <c r="GP110" s="43"/>
      <c r="GQ110" s="43"/>
      <c r="GR110" s="43"/>
      <c r="GS110" s="43"/>
      <c r="GT110" s="43"/>
      <c r="GU110" s="43"/>
      <c r="GV110" s="43"/>
      <c r="GW110" s="43"/>
      <c r="GX110" s="43"/>
      <c r="GY110" s="43"/>
      <c r="GZ110" s="43"/>
      <c r="HA110" s="43"/>
      <c r="HB110" s="43"/>
      <c r="HC110" s="43"/>
      <c r="HD110" s="43"/>
      <c r="HE110" s="43"/>
      <c r="HF110" s="43"/>
      <c r="HG110" s="43"/>
      <c r="HH110" s="43"/>
      <c r="HI110" s="43"/>
      <c r="HJ110" s="43"/>
      <c r="HK110" s="43"/>
      <c r="HL110" s="43"/>
      <c r="HM110" s="43"/>
      <c r="HN110" s="43"/>
      <c r="HO110" s="43"/>
      <c r="HP110" s="43"/>
      <c r="HQ110" s="43"/>
      <c r="HR110"/>
      <c r="HS110"/>
      <c r="HT110"/>
      <c r="HU110"/>
      <c r="HV110"/>
      <c r="HW110"/>
      <c r="HX110"/>
      <c r="HY110"/>
      <c r="HZ110"/>
      <c r="IA110"/>
      <c r="IB110"/>
      <c r="IC110"/>
      <c r="ID110"/>
      <c r="IE110"/>
      <c r="IF110"/>
      <c r="IG110"/>
      <c r="IH110"/>
      <c r="II110"/>
      <c r="IJ110"/>
      <c r="IK110" s="32"/>
      <c r="IL110" s="32"/>
      <c r="IM110" s="32"/>
      <c r="IN110" s="32"/>
      <c r="IO110" s="32"/>
      <c r="IP110" s="32"/>
      <c r="IQ110" s="32"/>
    </row>
    <row r="111" spans="1:251" s="33" customFormat="1">
      <c r="A111" s="167"/>
      <c r="B111" s="4"/>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3"/>
      <c r="AI111" s="43"/>
      <c r="AJ111" s="43"/>
      <c r="AK111" s="43"/>
      <c r="AL111" s="43"/>
      <c r="AM111" s="43"/>
      <c r="AN111" s="43"/>
      <c r="AO111" s="43"/>
      <c r="AP111" s="43"/>
      <c r="AQ111" s="43"/>
      <c r="AR111" s="43"/>
      <c r="AS111" s="43"/>
      <c r="AT111" s="43"/>
      <c r="AU111" s="43"/>
      <c r="AV111" s="43"/>
      <c r="AW111" s="43"/>
      <c r="AX111" s="43"/>
      <c r="AY111" s="43"/>
      <c r="AZ111" s="43"/>
      <c r="BA111" s="43"/>
      <c r="BB111" s="43"/>
      <c r="BC111" s="43"/>
      <c r="BD111" s="43"/>
      <c r="BE111" s="43"/>
      <c r="BF111" s="43"/>
      <c r="BG111" s="43"/>
      <c r="BH111" s="43"/>
      <c r="BI111" s="43"/>
      <c r="BJ111" s="43"/>
      <c r="BK111" s="43"/>
      <c r="BL111" s="43"/>
      <c r="BM111" s="43"/>
      <c r="BN111" s="43"/>
      <c r="BO111" s="43"/>
      <c r="BP111" s="43"/>
      <c r="BQ111" s="43"/>
      <c r="BR111" s="43"/>
      <c r="BS111" s="43"/>
      <c r="BT111" s="43"/>
      <c r="BU111" s="43"/>
      <c r="BV111" s="43"/>
      <c r="BW111" s="43"/>
      <c r="BX111" s="43"/>
      <c r="BY111" s="43"/>
      <c r="BZ111" s="43"/>
      <c r="CA111" s="43"/>
      <c r="CB111" s="43"/>
      <c r="CC111" s="43"/>
      <c r="CD111" s="43"/>
      <c r="CE111" s="43"/>
      <c r="CF111" s="43"/>
      <c r="CG111" s="43"/>
      <c r="CH111" s="43"/>
      <c r="CI111" s="43"/>
      <c r="CJ111" s="43"/>
      <c r="CK111" s="43"/>
      <c r="CL111" s="43"/>
      <c r="CM111" s="43"/>
      <c r="CN111" s="43"/>
      <c r="CO111" s="43"/>
      <c r="CP111" s="43"/>
      <c r="CQ111" s="43"/>
      <c r="CR111" s="43"/>
      <c r="CS111" s="43"/>
      <c r="CT111" s="43"/>
      <c r="CU111" s="43"/>
      <c r="CV111" s="43"/>
      <c r="CW111" s="43"/>
      <c r="CX111" s="43"/>
      <c r="CY111" s="43"/>
      <c r="CZ111" s="43"/>
      <c r="DA111" s="43"/>
      <c r="DB111" s="43"/>
      <c r="DC111" s="43"/>
      <c r="DD111" s="43"/>
      <c r="DE111" s="43"/>
      <c r="DF111" s="43"/>
      <c r="DG111" s="43"/>
      <c r="DH111" s="43"/>
      <c r="DI111" s="43"/>
      <c r="DJ111" s="43"/>
      <c r="DK111" s="43"/>
      <c r="DL111" s="43"/>
      <c r="DM111" s="43"/>
      <c r="DN111" s="43"/>
      <c r="DO111" s="43"/>
      <c r="DP111" s="43"/>
      <c r="DQ111" s="43"/>
      <c r="DR111" s="43"/>
      <c r="DS111" s="43"/>
      <c r="DT111" s="43"/>
      <c r="DU111" s="43"/>
      <c r="DV111" s="43"/>
      <c r="DW111" s="43"/>
      <c r="DX111" s="43"/>
      <c r="DY111" s="43"/>
      <c r="DZ111" s="43"/>
      <c r="EA111" s="43"/>
      <c r="EB111" s="43"/>
      <c r="EC111" s="43"/>
      <c r="ED111" s="43"/>
      <c r="EE111" s="43"/>
      <c r="EF111" s="43"/>
      <c r="EG111" s="43"/>
      <c r="EH111" s="43"/>
      <c r="EI111" s="43"/>
      <c r="EJ111" s="43"/>
      <c r="EK111" s="43"/>
      <c r="EL111" s="43"/>
      <c r="EM111" s="43"/>
      <c r="EN111" s="43"/>
      <c r="EO111" s="43"/>
      <c r="EP111" s="43"/>
      <c r="EQ111" s="43"/>
      <c r="ER111" s="43"/>
      <c r="ES111" s="43"/>
      <c r="ET111" s="43"/>
      <c r="EU111" s="43"/>
      <c r="EV111" s="43"/>
      <c r="EW111" s="43"/>
      <c r="EX111" s="43"/>
      <c r="EY111" s="43"/>
      <c r="EZ111" s="43"/>
      <c r="FA111" s="43"/>
      <c r="FB111" s="43"/>
      <c r="FC111" s="43"/>
      <c r="FD111" s="43"/>
      <c r="FE111" s="43"/>
      <c r="FF111" s="43"/>
      <c r="FG111" s="43"/>
      <c r="FH111" s="43"/>
      <c r="FI111" s="43"/>
      <c r="FJ111" s="43"/>
      <c r="FK111" s="43"/>
      <c r="FL111" s="43"/>
      <c r="FM111" s="43"/>
      <c r="FN111" s="43"/>
      <c r="FO111" s="43"/>
      <c r="FP111" s="43"/>
      <c r="FQ111" s="43"/>
      <c r="FR111" s="43"/>
      <c r="FS111" s="43"/>
      <c r="FT111" s="43"/>
      <c r="FU111" s="43"/>
      <c r="FV111" s="43"/>
      <c r="FW111" s="43"/>
      <c r="FX111" s="43"/>
      <c r="FY111" s="43"/>
      <c r="FZ111" s="43"/>
      <c r="GA111" s="43"/>
      <c r="GB111" s="43"/>
      <c r="GC111" s="43"/>
      <c r="GD111" s="43"/>
      <c r="GE111" s="43"/>
      <c r="GF111" s="43"/>
      <c r="GG111" s="43"/>
      <c r="GH111" s="43"/>
      <c r="GI111" s="43"/>
      <c r="GJ111" s="43"/>
      <c r="GK111" s="43"/>
      <c r="GL111" s="43"/>
      <c r="GM111" s="43"/>
      <c r="GN111" s="43"/>
      <c r="GO111" s="43"/>
      <c r="GP111" s="43"/>
      <c r="GQ111" s="43"/>
      <c r="GR111" s="43"/>
      <c r="GS111" s="43"/>
      <c r="GT111" s="43"/>
      <c r="GU111" s="43"/>
      <c r="GV111" s="43"/>
      <c r="GW111" s="43"/>
      <c r="GX111" s="43"/>
      <c r="GY111" s="43"/>
      <c r="GZ111" s="43"/>
      <c r="HA111" s="43"/>
      <c r="HB111" s="43"/>
      <c r="HC111" s="43"/>
      <c r="HD111" s="43"/>
      <c r="HE111" s="43"/>
      <c r="HF111" s="43"/>
      <c r="HG111" s="43"/>
      <c r="HH111" s="43"/>
      <c r="HI111" s="43"/>
      <c r="HJ111" s="43"/>
      <c r="HK111" s="43"/>
      <c r="HL111" s="43"/>
      <c r="HM111" s="43"/>
      <c r="HN111" s="43"/>
      <c r="HO111" s="43"/>
      <c r="HP111" s="43"/>
      <c r="HQ111" s="43"/>
      <c r="HR111"/>
      <c r="HS111"/>
      <c r="HT111"/>
      <c r="HU111"/>
      <c r="HV111"/>
      <c r="HW111"/>
      <c r="HX111"/>
      <c r="HY111"/>
      <c r="HZ111"/>
      <c r="IA111"/>
      <c r="IB111"/>
      <c r="IC111"/>
      <c r="ID111"/>
      <c r="IE111"/>
      <c r="IF111"/>
      <c r="IG111"/>
      <c r="IH111"/>
      <c r="II111"/>
      <c r="IJ111"/>
      <c r="IK111" s="32"/>
      <c r="IL111" s="32"/>
      <c r="IM111" s="32"/>
      <c r="IN111" s="32"/>
      <c r="IO111" s="32"/>
      <c r="IP111" s="32"/>
      <c r="IQ111" s="32"/>
    </row>
    <row r="112" spans="1:251" s="33" customFormat="1">
      <c r="A112" s="170" t="s">
        <v>147</v>
      </c>
      <c r="B112" s="4"/>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3"/>
      <c r="AI112" s="43"/>
      <c r="AJ112" s="43"/>
      <c r="AK112" s="43"/>
      <c r="AL112" s="43"/>
      <c r="AM112" s="43"/>
      <c r="AN112" s="43"/>
      <c r="AO112" s="43"/>
      <c r="AP112" s="43"/>
      <c r="AQ112" s="43"/>
      <c r="AR112" s="43"/>
      <c r="AS112" s="43"/>
      <c r="AT112" s="43"/>
      <c r="AU112" s="43"/>
      <c r="AV112" s="43"/>
      <c r="AW112" s="43"/>
      <c r="AX112" s="43"/>
      <c r="AY112" s="43"/>
      <c r="AZ112" s="43"/>
      <c r="BA112" s="43"/>
      <c r="BB112" s="43"/>
      <c r="BC112" s="43"/>
      <c r="BD112" s="43"/>
      <c r="BE112" s="43"/>
      <c r="BF112" s="43"/>
      <c r="BG112" s="43"/>
      <c r="BH112" s="43"/>
      <c r="BI112" s="43"/>
      <c r="BJ112" s="43"/>
      <c r="BK112" s="43"/>
      <c r="BL112" s="43"/>
      <c r="BM112" s="43"/>
      <c r="BN112" s="43"/>
      <c r="BO112" s="43"/>
      <c r="BP112" s="43"/>
      <c r="BQ112" s="43"/>
      <c r="BR112" s="43"/>
      <c r="BS112" s="43"/>
      <c r="BT112" s="43"/>
      <c r="BU112" s="43"/>
      <c r="BV112" s="43"/>
      <c r="BW112" s="43"/>
      <c r="BX112" s="43"/>
      <c r="BY112" s="43"/>
      <c r="BZ112" s="43"/>
      <c r="CA112" s="43"/>
      <c r="CB112" s="43"/>
      <c r="CC112" s="43"/>
      <c r="CD112" s="43"/>
      <c r="CE112" s="43"/>
      <c r="CF112" s="43"/>
      <c r="CG112" s="43"/>
      <c r="CH112" s="43"/>
      <c r="CI112" s="43"/>
      <c r="CJ112" s="43"/>
      <c r="CK112" s="43"/>
      <c r="CL112" s="43"/>
      <c r="CM112" s="43"/>
      <c r="CN112" s="43"/>
      <c r="CO112" s="43"/>
      <c r="CP112" s="43"/>
      <c r="CQ112" s="43"/>
      <c r="CR112" s="43"/>
      <c r="CS112" s="43"/>
      <c r="CT112" s="43"/>
      <c r="CU112" s="43"/>
      <c r="CV112" s="43"/>
      <c r="CW112" s="43"/>
      <c r="CX112" s="43"/>
      <c r="CY112" s="43"/>
      <c r="CZ112" s="43"/>
      <c r="DA112" s="43"/>
      <c r="DB112" s="43"/>
      <c r="DC112" s="43"/>
      <c r="DD112" s="43"/>
      <c r="DE112" s="43"/>
      <c r="DF112" s="43"/>
      <c r="DG112" s="43"/>
      <c r="DH112" s="43"/>
      <c r="DI112" s="43"/>
      <c r="DJ112" s="43"/>
      <c r="DK112" s="43"/>
      <c r="DL112" s="43"/>
      <c r="DM112" s="43"/>
      <c r="DN112" s="43"/>
      <c r="DO112" s="43"/>
      <c r="DP112" s="43"/>
      <c r="DQ112" s="43"/>
      <c r="DR112" s="43"/>
      <c r="DS112" s="43"/>
      <c r="DT112" s="43"/>
      <c r="DU112" s="43"/>
      <c r="DV112" s="43"/>
      <c r="DW112" s="43"/>
      <c r="DX112" s="43"/>
      <c r="DY112" s="43"/>
      <c r="DZ112" s="43"/>
      <c r="EA112" s="43"/>
      <c r="EB112" s="43"/>
      <c r="EC112" s="43"/>
      <c r="ED112" s="43"/>
      <c r="EE112" s="43"/>
      <c r="EF112" s="43"/>
      <c r="EG112" s="43"/>
      <c r="EH112" s="43"/>
      <c r="EI112" s="43"/>
      <c r="EJ112" s="43"/>
      <c r="EK112" s="43"/>
      <c r="EL112" s="43"/>
      <c r="EM112" s="43"/>
      <c r="EN112" s="43"/>
      <c r="EO112" s="43"/>
      <c r="EP112" s="43"/>
      <c r="EQ112" s="43"/>
      <c r="ER112" s="43"/>
      <c r="ES112" s="43"/>
      <c r="ET112" s="43"/>
      <c r="EU112" s="43"/>
      <c r="EV112" s="43"/>
      <c r="EW112" s="43"/>
      <c r="EX112" s="43"/>
      <c r="EY112" s="43"/>
      <c r="EZ112" s="43"/>
      <c r="FA112" s="43"/>
      <c r="FB112" s="43"/>
      <c r="FC112" s="43"/>
      <c r="FD112" s="43"/>
      <c r="FE112" s="43"/>
      <c r="FF112" s="43"/>
      <c r="FG112" s="43"/>
      <c r="FH112" s="43"/>
      <c r="FI112" s="43"/>
      <c r="FJ112" s="43"/>
      <c r="FK112" s="43"/>
      <c r="FL112" s="43"/>
      <c r="FM112" s="43"/>
      <c r="FN112" s="43"/>
      <c r="FO112" s="43"/>
      <c r="FP112" s="43"/>
      <c r="FQ112" s="43"/>
      <c r="FR112" s="43"/>
      <c r="FS112" s="43"/>
      <c r="FT112" s="43"/>
      <c r="FU112" s="43"/>
      <c r="FV112" s="43"/>
      <c r="FW112" s="43"/>
      <c r="FX112" s="43"/>
      <c r="FY112" s="43"/>
      <c r="FZ112" s="43"/>
      <c r="GA112" s="43"/>
      <c r="GB112" s="43"/>
      <c r="GC112" s="43"/>
      <c r="GD112" s="43"/>
      <c r="GE112" s="43"/>
      <c r="GF112" s="43"/>
      <c r="GG112" s="43"/>
      <c r="GH112" s="43"/>
      <c r="GI112" s="43"/>
      <c r="GJ112" s="43"/>
      <c r="GK112" s="43"/>
      <c r="GL112" s="43"/>
      <c r="GM112" s="43"/>
      <c r="GN112" s="43"/>
      <c r="GO112" s="43"/>
      <c r="GP112" s="43"/>
      <c r="GQ112" s="43"/>
      <c r="GR112" s="43"/>
      <c r="GS112" s="43"/>
      <c r="GT112" s="43"/>
      <c r="GU112" s="43"/>
      <c r="GV112" s="43"/>
      <c r="GW112" s="43"/>
      <c r="GX112" s="43"/>
      <c r="GY112" s="43"/>
      <c r="GZ112" s="43"/>
      <c r="HA112" s="43"/>
      <c r="HB112" s="43"/>
      <c r="HC112" s="43"/>
      <c r="HD112" s="43"/>
      <c r="HE112" s="43"/>
      <c r="HF112" s="43"/>
      <c r="HG112" s="43"/>
      <c r="HH112" s="43"/>
      <c r="HI112" s="43"/>
      <c r="HJ112" s="43"/>
      <c r="HK112" s="43"/>
      <c r="HL112" s="43"/>
      <c r="HM112" s="43"/>
      <c r="HN112" s="43"/>
      <c r="HO112" s="43"/>
      <c r="HP112" s="43"/>
      <c r="HQ112" s="43"/>
      <c r="HR112"/>
      <c r="HS112"/>
      <c r="HT112"/>
      <c r="HU112"/>
      <c r="HV112"/>
      <c r="HW112"/>
      <c r="HX112"/>
      <c r="HY112"/>
      <c r="HZ112"/>
      <c r="IA112"/>
      <c r="IB112"/>
      <c r="IC112"/>
      <c r="ID112"/>
      <c r="IE112"/>
      <c r="IF112"/>
      <c r="IG112"/>
      <c r="IH112"/>
      <c r="II112"/>
      <c r="IJ112"/>
      <c r="IK112" s="32"/>
      <c r="IL112" s="32"/>
      <c r="IM112" s="32"/>
      <c r="IN112" s="32"/>
      <c r="IO112" s="32"/>
      <c r="IP112" s="32"/>
      <c r="IQ112" s="32"/>
    </row>
    <row r="113" spans="1:251" s="33" customFormat="1">
      <c r="A113" s="264" t="s">
        <v>440</v>
      </c>
      <c r="B113" s="4"/>
      <c r="C113" s="4"/>
      <c r="D113" s="28">
        <f t="shared" ref="D113:K113" si="98">D10+D11+D15+D20+D21+D22+D25+D30</f>
        <v>46394</v>
      </c>
      <c r="E113" s="28">
        <f t="shared" si="98"/>
        <v>56281</v>
      </c>
      <c r="F113" s="28">
        <f t="shared" si="98"/>
        <v>78130</v>
      </c>
      <c r="G113" s="28">
        <f t="shared" si="98"/>
        <v>82815</v>
      </c>
      <c r="H113" s="28">
        <f t="shared" si="98"/>
        <v>83375</v>
      </c>
      <c r="I113" s="28">
        <f t="shared" si="98"/>
        <v>88798</v>
      </c>
      <c r="J113" s="28">
        <f t="shared" si="98"/>
        <v>91123.5</v>
      </c>
      <c r="K113" s="28">
        <f t="shared" si="98"/>
        <v>96281</v>
      </c>
      <c r="L113" s="28"/>
      <c r="M113" s="28">
        <f>M10+M11+M15+M20+M21+M22+M25+M30</f>
        <v>39732</v>
      </c>
      <c r="N113" s="28"/>
      <c r="O113" s="28">
        <f t="shared" ref="O113:U113" si="99">O10+O11+O15+O20+O21+O22+O25+O30</f>
        <v>16673</v>
      </c>
      <c r="P113" s="28">
        <f t="shared" si="99"/>
        <v>15038</v>
      </c>
      <c r="Q113" s="28">
        <f>Q10+Q11+Q15+Q20+Q21+Q22+Q25+Q30</f>
        <v>29826</v>
      </c>
      <c r="R113" s="28">
        <f>R10+R11+R15+R20+R21+R22+R25+R30</f>
        <v>29721</v>
      </c>
      <c r="S113" s="28">
        <f t="shared" si="99"/>
        <v>28183</v>
      </c>
      <c r="T113" s="28">
        <f t="shared" si="99"/>
        <v>25792</v>
      </c>
      <c r="U113" s="28">
        <f t="shared" si="99"/>
        <v>25229</v>
      </c>
      <c r="V113" s="28">
        <f t="shared" ref="V113:AB113" si="100">V10+V11+V15+V20+V21+V22+V25+V30</f>
        <v>24971</v>
      </c>
      <c r="W113" s="28">
        <f t="shared" si="100"/>
        <v>24683</v>
      </c>
      <c r="X113" s="28">
        <f t="shared" ref="X113" si="101">X10+X11+X15+X20+X21+X22+X25+X30</f>
        <v>23511</v>
      </c>
      <c r="Y113" s="28">
        <f t="shared" si="100"/>
        <v>22993.752532480634</v>
      </c>
      <c r="Z113" s="28">
        <f t="shared" si="100"/>
        <v>22853.393483376905</v>
      </c>
      <c r="AA113" s="28">
        <f t="shared" si="100"/>
        <v>22644.737515414152</v>
      </c>
      <c r="AB113" s="28">
        <f t="shared" si="100"/>
        <v>22426.954469544336</v>
      </c>
      <c r="AC113" s="28">
        <f>AC10+AC11+AC15+AC20+AC21+AC22+AC25+AC30</f>
        <v>22252.876506094493</v>
      </c>
      <c r="AD113" s="28">
        <f>AD10+AD11+AD15+AD20+AD21+AD22+AD25+AD30</f>
        <v>22094.838125360133</v>
      </c>
      <c r="AE113" s="28">
        <f>AE10+AE11+AE15+AE20+AE21+AE22+AE25+AE30</f>
        <v>21949.820375423697</v>
      </c>
      <c r="AF113" s="28">
        <f>AF10+AF11+AF15+AF20+AF21+AF22+AF25+AF30</f>
        <v>21815.212654390936</v>
      </c>
      <c r="AG113" s="28">
        <f>AG10+AG11+AG15+AG20+AG21+AG22+AG25+AG30</f>
        <v>21688.739208148803</v>
      </c>
      <c r="AH113" s="43"/>
      <c r="AI113" s="43"/>
      <c r="AJ113" s="43"/>
      <c r="AK113" s="43"/>
      <c r="AL113" s="43"/>
      <c r="AM113" s="43"/>
      <c r="AN113" s="43"/>
      <c r="AO113" s="43"/>
      <c r="AP113" s="43"/>
      <c r="AQ113" s="43"/>
      <c r="AR113" s="43"/>
      <c r="AS113" s="43"/>
      <c r="AT113" s="43"/>
      <c r="AU113" s="43"/>
      <c r="AV113" s="43"/>
      <c r="AW113" s="43"/>
      <c r="AX113" s="43"/>
      <c r="AY113" s="43"/>
      <c r="AZ113" s="43"/>
      <c r="BA113" s="43"/>
      <c r="BB113" s="43"/>
      <c r="BC113" s="43"/>
      <c r="BD113" s="43"/>
      <c r="BE113" s="43"/>
      <c r="BF113" s="43"/>
      <c r="BG113" s="43"/>
      <c r="BH113" s="43"/>
      <c r="BI113" s="43"/>
      <c r="BJ113" s="43"/>
      <c r="BK113" s="43"/>
      <c r="BL113" s="43"/>
      <c r="BM113" s="43"/>
      <c r="BN113" s="43"/>
      <c r="BO113" s="43"/>
      <c r="BP113" s="43"/>
      <c r="BQ113" s="43"/>
      <c r="BR113" s="43"/>
      <c r="BS113" s="43"/>
      <c r="BT113" s="43"/>
      <c r="BU113" s="43"/>
      <c r="BV113" s="43"/>
      <c r="BW113" s="43"/>
      <c r="BX113" s="43"/>
      <c r="BY113" s="43"/>
      <c r="BZ113" s="43"/>
      <c r="CA113" s="43"/>
      <c r="CB113" s="43"/>
      <c r="CC113" s="43"/>
      <c r="CD113" s="43"/>
      <c r="CE113" s="43"/>
      <c r="CF113" s="43"/>
      <c r="CG113" s="43"/>
      <c r="CH113" s="43"/>
      <c r="CI113" s="43"/>
      <c r="CJ113" s="43"/>
      <c r="CK113" s="43"/>
      <c r="CL113" s="43"/>
      <c r="CM113" s="43"/>
      <c r="CN113" s="43"/>
      <c r="CO113" s="43"/>
      <c r="CP113" s="43"/>
      <c r="CQ113" s="43"/>
      <c r="CR113" s="43"/>
      <c r="CS113" s="43"/>
      <c r="CT113" s="43"/>
      <c r="CU113" s="43"/>
      <c r="CV113" s="43"/>
      <c r="CW113" s="43"/>
      <c r="CX113" s="43"/>
      <c r="CY113" s="43"/>
      <c r="CZ113" s="43"/>
      <c r="DA113" s="43"/>
      <c r="DB113" s="43"/>
      <c r="DC113" s="43"/>
      <c r="DD113" s="43"/>
      <c r="DE113" s="43"/>
      <c r="DF113" s="43"/>
      <c r="DG113" s="43"/>
      <c r="DH113" s="43"/>
      <c r="DI113" s="43"/>
      <c r="DJ113" s="43"/>
      <c r="DK113" s="43"/>
      <c r="DL113" s="43"/>
      <c r="DM113" s="43"/>
      <c r="DN113" s="43"/>
      <c r="DO113" s="43"/>
      <c r="DP113" s="43"/>
      <c r="DQ113" s="43"/>
      <c r="DR113" s="43"/>
      <c r="DS113" s="43"/>
      <c r="DT113" s="43"/>
      <c r="DU113" s="43"/>
      <c r="DV113" s="43"/>
      <c r="DW113" s="43"/>
      <c r="DX113" s="43"/>
      <c r="DY113" s="43"/>
      <c r="DZ113" s="43"/>
      <c r="EA113" s="43"/>
      <c r="EB113" s="43"/>
      <c r="EC113" s="43"/>
      <c r="ED113" s="43"/>
      <c r="EE113" s="43"/>
      <c r="EF113" s="43"/>
      <c r="EG113" s="43"/>
      <c r="EH113" s="43"/>
      <c r="EI113" s="43"/>
      <c r="EJ113" s="43"/>
      <c r="EK113" s="43"/>
      <c r="EL113" s="43"/>
      <c r="EM113" s="43"/>
      <c r="EN113" s="43"/>
      <c r="EO113" s="43"/>
      <c r="EP113" s="43"/>
      <c r="EQ113" s="43"/>
      <c r="ER113" s="43"/>
      <c r="ES113" s="43"/>
      <c r="ET113" s="43"/>
      <c r="EU113" s="43"/>
      <c r="EV113" s="43"/>
      <c r="EW113" s="43"/>
      <c r="EX113" s="43"/>
      <c r="EY113" s="43"/>
      <c r="EZ113" s="43"/>
      <c r="FA113" s="43"/>
      <c r="FB113" s="43"/>
      <c r="FC113" s="43"/>
      <c r="FD113" s="43"/>
      <c r="FE113" s="43"/>
      <c r="FF113" s="43"/>
      <c r="FG113" s="43"/>
      <c r="FH113" s="43"/>
      <c r="FI113" s="43"/>
      <c r="FJ113" s="43"/>
      <c r="FK113" s="43"/>
      <c r="FL113" s="43"/>
      <c r="FM113" s="43"/>
      <c r="FN113" s="43"/>
      <c r="FO113" s="43"/>
      <c r="FP113" s="43"/>
      <c r="FQ113" s="43"/>
      <c r="FR113" s="43"/>
      <c r="FS113" s="43"/>
      <c r="FT113" s="43"/>
      <c r="FU113" s="43"/>
      <c r="FV113" s="43"/>
      <c r="FW113" s="43"/>
      <c r="FX113" s="43"/>
      <c r="FY113" s="43"/>
      <c r="FZ113" s="43"/>
      <c r="GA113" s="43"/>
      <c r="GB113" s="43"/>
      <c r="GC113" s="43"/>
      <c r="GD113" s="43"/>
      <c r="GE113" s="43"/>
      <c r="GF113" s="43"/>
      <c r="GG113" s="43"/>
      <c r="GH113" s="43"/>
      <c r="GI113" s="43"/>
      <c r="GJ113" s="43"/>
      <c r="GK113" s="43"/>
      <c r="GL113" s="43"/>
      <c r="GM113" s="43"/>
      <c r="GN113" s="43"/>
      <c r="GO113" s="43"/>
      <c r="GP113" s="43"/>
      <c r="GQ113" s="43"/>
      <c r="GR113" s="43"/>
      <c r="GS113" s="43"/>
      <c r="GT113" s="43"/>
      <c r="GU113" s="43"/>
      <c r="GV113" s="43"/>
      <c r="GW113" s="43"/>
      <c r="GX113" s="43"/>
      <c r="GY113" s="43"/>
      <c r="GZ113" s="43"/>
      <c r="HA113" s="43"/>
      <c r="HB113" s="43"/>
      <c r="HC113" s="43"/>
      <c r="HD113" s="43"/>
      <c r="HE113" s="43"/>
      <c r="HF113" s="43"/>
      <c r="HG113" s="43"/>
      <c r="HH113" s="43"/>
      <c r="HI113" s="43"/>
      <c r="HJ113" s="43"/>
      <c r="HK113" s="43"/>
      <c r="HL113" s="43"/>
      <c r="HM113" s="43"/>
      <c r="HN113" s="43"/>
      <c r="HO113" s="43"/>
      <c r="HP113" s="43"/>
      <c r="HQ113" s="43"/>
      <c r="HR113"/>
      <c r="HS113"/>
      <c r="HT113"/>
      <c r="HU113"/>
      <c r="HV113"/>
      <c r="HW113"/>
      <c r="HX113"/>
      <c r="HY113"/>
      <c r="HZ113"/>
      <c r="IA113"/>
      <c r="IB113"/>
      <c r="IC113"/>
      <c r="ID113"/>
      <c r="IE113"/>
      <c r="IF113"/>
      <c r="IG113"/>
      <c r="IH113"/>
      <c r="II113"/>
      <c r="IJ113"/>
      <c r="IK113" s="32"/>
      <c r="IL113" s="32"/>
      <c r="IM113" s="32"/>
      <c r="IN113" s="32"/>
      <c r="IO113" s="32"/>
      <c r="IP113" s="32"/>
      <c r="IQ113" s="32"/>
    </row>
    <row r="114" spans="1:251" s="33" customFormat="1">
      <c r="A114" s="264" t="s">
        <v>441</v>
      </c>
      <c r="B114" s="4"/>
      <c r="C114" s="4"/>
      <c r="D114" s="28">
        <f t="shared" ref="D114:K114" si="102">D35+D36+D42+D49+D50+D52-D40+D56+D57</f>
        <v>23688</v>
      </c>
      <c r="E114" s="28">
        <f t="shared" si="102"/>
        <v>24128</v>
      </c>
      <c r="F114" s="28">
        <f t="shared" si="102"/>
        <v>31914</v>
      </c>
      <c r="G114" s="28">
        <f t="shared" si="102"/>
        <v>36023</v>
      </c>
      <c r="H114" s="28">
        <f t="shared" si="102"/>
        <v>37349</v>
      </c>
      <c r="I114" s="28">
        <f t="shared" si="102"/>
        <v>38269</v>
      </c>
      <c r="J114" s="28">
        <f t="shared" si="102"/>
        <v>39689</v>
      </c>
      <c r="K114" s="28">
        <f t="shared" si="102"/>
        <v>40665</v>
      </c>
      <c r="L114" s="28"/>
      <c r="M114" s="28">
        <f>M35+M36+M42+M49+M50+M52-M40+M56+M57</f>
        <v>23119</v>
      </c>
      <c r="N114" s="28"/>
      <c r="O114" s="28">
        <f t="shared" ref="O114:AB114" si="103">O35+O36+O42+O49+O50+O52-O40+O56+O57</f>
        <v>13594</v>
      </c>
      <c r="P114" s="28">
        <f t="shared" si="103"/>
        <v>12929</v>
      </c>
      <c r="Q114" s="28">
        <f t="shared" si="103"/>
        <v>16978</v>
      </c>
      <c r="R114" s="28">
        <f t="shared" si="103"/>
        <v>16446</v>
      </c>
      <c r="S114" s="28">
        <f t="shared" si="103"/>
        <v>16045</v>
      </c>
      <c r="T114" s="28">
        <f t="shared" si="103"/>
        <v>14631</v>
      </c>
      <c r="U114" s="28">
        <f t="shared" si="103"/>
        <v>12798</v>
      </c>
      <c r="V114" s="28">
        <f t="shared" si="103"/>
        <v>13237</v>
      </c>
      <c r="W114" s="28">
        <f t="shared" si="103"/>
        <v>13116</v>
      </c>
      <c r="X114" s="28">
        <f t="shared" ref="X114" si="104">X35+X36+X42+X49+X50+X52-X40+X56+X57</f>
        <v>15539</v>
      </c>
      <c r="Y114" s="28">
        <f t="shared" si="103"/>
        <v>15546.700712286951</v>
      </c>
      <c r="Z114" s="28">
        <f t="shared" si="103"/>
        <v>15555.927367596258</v>
      </c>
      <c r="AA114" s="28">
        <f t="shared" si="103"/>
        <v>15541.068190086391</v>
      </c>
      <c r="AB114" s="28">
        <f t="shared" si="103"/>
        <v>15518.895684606241</v>
      </c>
      <c r="AC114" s="28">
        <f>AC35+AC36+AC42+AC49+AC50+AC52-AC40+AC56+AC57</f>
        <v>15504.122809572358</v>
      </c>
      <c r="AD114" s="28">
        <f>AD35+AD36+AD42+AD49+AD50+AD52-AD40+AD56+AD57</f>
        <v>15490.484312185959</v>
      </c>
      <c r="AE114" s="28">
        <f>AE35+AE36+AE42+AE49+AE50+AE52-AE40+AE56+AE57</f>
        <v>15477.904382678211</v>
      </c>
      <c r="AF114" s="28">
        <f>AF35+AF36+AF42+AF49+AF50+AF52-AF40+AF56+AF57</f>
        <v>15466.313435628181</v>
      </c>
      <c r="AG114" s="28">
        <f>AG35+AG36+AG42+AG49+AG50+AG52-AG40+AG56+AG57</f>
        <v>15455.64759847393</v>
      </c>
      <c r="AH114" s="43"/>
      <c r="AI114" s="43"/>
      <c r="AJ114" s="43"/>
      <c r="AK114" s="43"/>
      <c r="AL114" s="43"/>
      <c r="AM114" s="43"/>
      <c r="AN114" s="43"/>
      <c r="AO114" s="43"/>
      <c r="AP114" s="43"/>
      <c r="AQ114" s="43"/>
      <c r="AR114" s="43"/>
      <c r="AS114" s="43"/>
      <c r="AT114" s="43"/>
      <c r="AU114" s="43"/>
      <c r="AV114" s="43"/>
      <c r="AW114" s="43"/>
      <c r="AX114" s="43"/>
      <c r="AY114" s="43"/>
      <c r="AZ114" s="43"/>
      <c r="BA114" s="43"/>
      <c r="BB114" s="43"/>
      <c r="BC114" s="43"/>
      <c r="BD114" s="43"/>
      <c r="BE114" s="43"/>
      <c r="BF114" s="43"/>
      <c r="BG114" s="43"/>
      <c r="BH114" s="43"/>
      <c r="BI114" s="43"/>
      <c r="BJ114" s="43"/>
      <c r="BK114" s="43"/>
      <c r="BL114" s="43"/>
      <c r="BM114" s="43"/>
      <c r="BN114" s="43"/>
      <c r="BO114" s="43"/>
      <c r="BP114" s="43"/>
      <c r="BQ114" s="43"/>
      <c r="BR114" s="43"/>
      <c r="BS114" s="43"/>
      <c r="BT114" s="43"/>
      <c r="BU114" s="43"/>
      <c r="BV114" s="43"/>
      <c r="BW114" s="43"/>
      <c r="BX114" s="43"/>
      <c r="BY114" s="43"/>
      <c r="BZ114" s="43"/>
      <c r="CA114" s="43"/>
      <c r="CB114" s="43"/>
      <c r="CC114" s="43"/>
      <c r="CD114" s="43"/>
      <c r="CE114" s="43"/>
      <c r="CF114" s="43"/>
      <c r="CG114" s="43"/>
      <c r="CH114" s="43"/>
      <c r="CI114" s="43"/>
      <c r="CJ114" s="43"/>
      <c r="CK114" s="43"/>
      <c r="CL114" s="43"/>
      <c r="CM114" s="43"/>
      <c r="CN114" s="43"/>
      <c r="CO114" s="43"/>
      <c r="CP114" s="43"/>
      <c r="CQ114" s="43"/>
      <c r="CR114" s="43"/>
      <c r="CS114" s="43"/>
      <c r="CT114" s="43"/>
      <c r="CU114" s="43"/>
      <c r="CV114" s="43"/>
      <c r="CW114" s="43"/>
      <c r="CX114" s="43"/>
      <c r="CY114" s="43"/>
      <c r="CZ114" s="43"/>
      <c r="DA114" s="43"/>
      <c r="DB114" s="43"/>
      <c r="DC114" s="43"/>
      <c r="DD114" s="43"/>
      <c r="DE114" s="43"/>
      <c r="DF114" s="43"/>
      <c r="DG114" s="43"/>
      <c r="DH114" s="43"/>
      <c r="DI114" s="43"/>
      <c r="DJ114" s="43"/>
      <c r="DK114" s="43"/>
      <c r="DL114" s="43"/>
      <c r="DM114" s="43"/>
      <c r="DN114" s="43"/>
      <c r="DO114" s="43"/>
      <c r="DP114" s="43"/>
      <c r="DQ114" s="43"/>
      <c r="DR114" s="43"/>
      <c r="DS114" s="43"/>
      <c r="DT114" s="43"/>
      <c r="DU114" s="43"/>
      <c r="DV114" s="43"/>
      <c r="DW114" s="43"/>
      <c r="DX114" s="43"/>
      <c r="DY114" s="43"/>
      <c r="DZ114" s="43"/>
      <c r="EA114" s="43"/>
      <c r="EB114" s="43"/>
      <c r="EC114" s="43"/>
      <c r="ED114" s="43"/>
      <c r="EE114" s="43"/>
      <c r="EF114" s="43"/>
      <c r="EG114" s="43"/>
      <c r="EH114" s="43"/>
      <c r="EI114" s="43"/>
      <c r="EJ114" s="43"/>
      <c r="EK114" s="43"/>
      <c r="EL114" s="43"/>
      <c r="EM114" s="43"/>
      <c r="EN114" s="43"/>
      <c r="EO114" s="43"/>
      <c r="EP114" s="43"/>
      <c r="EQ114" s="43"/>
      <c r="ER114" s="43"/>
      <c r="ES114" s="43"/>
      <c r="ET114" s="43"/>
      <c r="EU114" s="43"/>
      <c r="EV114" s="43"/>
      <c r="EW114" s="43"/>
      <c r="EX114" s="43"/>
      <c r="EY114" s="43"/>
      <c r="EZ114" s="43"/>
      <c r="FA114" s="43"/>
      <c r="FB114" s="43"/>
      <c r="FC114" s="43"/>
      <c r="FD114" s="43"/>
      <c r="FE114" s="43"/>
      <c r="FF114" s="43"/>
      <c r="FG114" s="43"/>
      <c r="FH114" s="43"/>
      <c r="FI114" s="43"/>
      <c r="FJ114" s="43"/>
      <c r="FK114" s="43"/>
      <c r="FL114" s="43"/>
      <c r="FM114" s="43"/>
      <c r="FN114" s="43"/>
      <c r="FO114" s="43"/>
      <c r="FP114" s="43"/>
      <c r="FQ114" s="43"/>
      <c r="FR114" s="43"/>
      <c r="FS114" s="43"/>
      <c r="FT114" s="43"/>
      <c r="FU114" s="43"/>
      <c r="FV114" s="43"/>
      <c r="FW114" s="43"/>
      <c r="FX114" s="43"/>
      <c r="FY114" s="43"/>
      <c r="FZ114" s="43"/>
      <c r="GA114" s="43"/>
      <c r="GB114" s="43"/>
      <c r="GC114" s="43"/>
      <c r="GD114" s="43"/>
      <c r="GE114" s="43"/>
      <c r="GF114" s="43"/>
      <c r="GG114" s="43"/>
      <c r="GH114" s="43"/>
      <c r="GI114" s="43"/>
      <c r="GJ114" s="43"/>
      <c r="GK114" s="43"/>
      <c r="GL114" s="43"/>
      <c r="GM114" s="43"/>
      <c r="GN114" s="43"/>
      <c r="GO114" s="43"/>
      <c r="GP114" s="43"/>
      <c r="GQ114" s="43"/>
      <c r="GR114" s="43"/>
      <c r="GS114" s="43"/>
      <c r="GT114" s="43"/>
      <c r="GU114" s="43"/>
      <c r="GV114" s="43"/>
      <c r="GW114" s="43"/>
      <c r="GX114" s="43"/>
      <c r="GY114" s="43"/>
      <c r="GZ114" s="43"/>
      <c r="HA114" s="43"/>
      <c r="HB114" s="43"/>
      <c r="HC114" s="43"/>
      <c r="HD114" s="43"/>
      <c r="HE114" s="43"/>
      <c r="HF114" s="43"/>
      <c r="HG114" s="43"/>
      <c r="HH114" s="43"/>
      <c r="HI114" s="43"/>
      <c r="HJ114" s="43"/>
      <c r="HK114" s="43"/>
      <c r="HL114" s="43"/>
      <c r="HM114" s="43"/>
      <c r="HN114" s="43"/>
      <c r="HO114" s="43"/>
      <c r="HP114" s="43"/>
      <c r="HQ114" s="43"/>
      <c r="HR114"/>
      <c r="HS114"/>
      <c r="HT114"/>
      <c r="HU114"/>
      <c r="HV114"/>
      <c r="HW114"/>
      <c r="HX114"/>
      <c r="HY114"/>
      <c r="HZ114"/>
      <c r="IA114"/>
      <c r="IB114"/>
      <c r="IC114"/>
      <c r="ID114"/>
      <c r="IE114"/>
      <c r="IF114"/>
      <c r="IG114"/>
      <c r="IH114"/>
      <c r="II114"/>
      <c r="IJ114"/>
      <c r="IK114" s="32"/>
      <c r="IL114" s="32"/>
      <c r="IM114" s="32"/>
      <c r="IN114" s="32"/>
      <c r="IO114" s="32"/>
      <c r="IP114" s="32"/>
      <c r="IQ114" s="32"/>
    </row>
    <row r="115" spans="1:251" s="33" customFormat="1">
      <c r="A115" s="264" t="s">
        <v>442</v>
      </c>
      <c r="B115" s="4"/>
      <c r="C115" s="4"/>
      <c r="D115" s="28">
        <f t="shared" ref="D115:K115" si="105">D113-D114</f>
        <v>22706</v>
      </c>
      <c r="E115" s="28">
        <f t="shared" si="105"/>
        <v>32153</v>
      </c>
      <c r="F115" s="28">
        <f t="shared" si="105"/>
        <v>46216</v>
      </c>
      <c r="G115" s="28">
        <f t="shared" si="105"/>
        <v>46792</v>
      </c>
      <c r="H115" s="28">
        <f t="shared" si="105"/>
        <v>46026</v>
      </c>
      <c r="I115" s="28">
        <f t="shared" si="105"/>
        <v>50529</v>
      </c>
      <c r="J115" s="28">
        <f t="shared" si="105"/>
        <v>51434.5</v>
      </c>
      <c r="K115" s="28">
        <f t="shared" si="105"/>
        <v>55616</v>
      </c>
      <c r="L115" s="28"/>
      <c r="M115" s="28">
        <f>M113-M114</f>
        <v>16613</v>
      </c>
      <c r="N115" s="28"/>
      <c r="O115" s="28">
        <f t="shared" ref="O115:W115" si="106">O113-O114</f>
        <v>3079</v>
      </c>
      <c r="P115" s="28">
        <f t="shared" si="106"/>
        <v>2109</v>
      </c>
      <c r="Q115" s="28">
        <f t="shared" si="106"/>
        <v>12848</v>
      </c>
      <c r="R115" s="28">
        <f t="shared" si="106"/>
        <v>13275</v>
      </c>
      <c r="S115" s="28">
        <f t="shared" si="106"/>
        <v>12138</v>
      </c>
      <c r="T115" s="28">
        <f t="shared" si="106"/>
        <v>11161</v>
      </c>
      <c r="U115" s="28">
        <f t="shared" si="106"/>
        <v>12431</v>
      </c>
      <c r="V115" s="28">
        <f t="shared" si="106"/>
        <v>11734</v>
      </c>
      <c r="W115" s="28">
        <f t="shared" si="106"/>
        <v>11567</v>
      </c>
      <c r="X115" s="28">
        <f t="shared" ref="X115" si="107">X113-X114</f>
        <v>7972</v>
      </c>
      <c r="Y115" s="28">
        <f t="shared" ref="Y115:AG115" si="108">Y113-Y114</f>
        <v>7447.0518201936829</v>
      </c>
      <c r="Z115" s="28">
        <f t="shared" si="108"/>
        <v>7297.4661157806477</v>
      </c>
      <c r="AA115" s="28">
        <f t="shared" si="108"/>
        <v>7103.6693253277608</v>
      </c>
      <c r="AB115" s="28">
        <f t="shared" si="108"/>
        <v>6908.0587849380954</v>
      </c>
      <c r="AC115" s="28">
        <f t="shared" si="108"/>
        <v>6748.7536965221352</v>
      </c>
      <c r="AD115" s="28">
        <f t="shared" si="108"/>
        <v>6604.3538131741734</v>
      </c>
      <c r="AE115" s="28">
        <f t="shared" si="108"/>
        <v>6471.9159927454857</v>
      </c>
      <c r="AF115" s="28">
        <f t="shared" si="108"/>
        <v>6348.8992187627555</v>
      </c>
      <c r="AG115" s="28">
        <f t="shared" si="108"/>
        <v>6233.0916096748733</v>
      </c>
      <c r="AH115" s="43"/>
      <c r="AI115" s="43"/>
      <c r="AJ115" s="43"/>
      <c r="AK115" s="43"/>
      <c r="AL115" s="43"/>
      <c r="AM115" s="43"/>
      <c r="AN115" s="43"/>
      <c r="AO115" s="43"/>
      <c r="AP115" s="43"/>
      <c r="AQ115" s="43"/>
      <c r="AR115" s="43"/>
      <c r="AS115" s="43"/>
      <c r="AT115" s="43"/>
      <c r="AU115" s="43"/>
      <c r="AV115" s="43"/>
      <c r="AW115" s="43"/>
      <c r="AX115" s="43"/>
      <c r="AY115" s="43"/>
      <c r="AZ115" s="43"/>
      <c r="BA115" s="43"/>
      <c r="BB115" s="43"/>
      <c r="BC115" s="43"/>
      <c r="BD115" s="43"/>
      <c r="BE115" s="43"/>
      <c r="BF115" s="43"/>
      <c r="BG115" s="43"/>
      <c r="BH115" s="43"/>
      <c r="BI115" s="43"/>
      <c r="BJ115" s="43"/>
      <c r="BK115" s="43"/>
      <c r="BL115" s="43"/>
      <c r="BM115" s="43"/>
      <c r="BN115" s="43"/>
      <c r="BO115" s="43"/>
      <c r="BP115" s="43"/>
      <c r="BQ115" s="43"/>
      <c r="BR115" s="43"/>
      <c r="BS115" s="43"/>
      <c r="BT115" s="43"/>
      <c r="BU115" s="43"/>
      <c r="BV115" s="43"/>
      <c r="BW115" s="43"/>
      <c r="BX115" s="43"/>
      <c r="BY115" s="43"/>
      <c r="BZ115" s="43"/>
      <c r="CA115" s="43"/>
      <c r="CB115" s="43"/>
      <c r="CC115" s="43"/>
      <c r="CD115" s="43"/>
      <c r="CE115" s="43"/>
      <c r="CF115" s="43"/>
      <c r="CG115" s="43"/>
      <c r="CH115" s="43"/>
      <c r="CI115" s="43"/>
      <c r="CJ115" s="43"/>
      <c r="CK115" s="43"/>
      <c r="CL115" s="43"/>
      <c r="CM115" s="43"/>
      <c r="CN115" s="43"/>
      <c r="CO115" s="43"/>
      <c r="CP115" s="43"/>
      <c r="CQ115" s="43"/>
      <c r="CR115" s="43"/>
      <c r="CS115" s="43"/>
      <c r="CT115" s="43"/>
      <c r="CU115" s="43"/>
      <c r="CV115" s="43"/>
      <c r="CW115" s="43"/>
      <c r="CX115" s="43"/>
      <c r="CY115" s="43"/>
      <c r="CZ115" s="43"/>
      <c r="DA115" s="43"/>
      <c r="DB115" s="43"/>
      <c r="DC115" s="43"/>
      <c r="DD115" s="43"/>
      <c r="DE115" s="43"/>
      <c r="DF115" s="43"/>
      <c r="DG115" s="43"/>
      <c r="DH115" s="43"/>
      <c r="DI115" s="43"/>
      <c r="DJ115" s="43"/>
      <c r="DK115" s="43"/>
      <c r="DL115" s="43"/>
      <c r="DM115" s="43"/>
      <c r="DN115" s="43"/>
      <c r="DO115" s="43"/>
      <c r="DP115" s="43"/>
      <c r="DQ115" s="43"/>
      <c r="DR115" s="43"/>
      <c r="DS115" s="43"/>
      <c r="DT115" s="43"/>
      <c r="DU115" s="43"/>
      <c r="DV115" s="43"/>
      <c r="DW115" s="43"/>
      <c r="DX115" s="43"/>
      <c r="DY115" s="43"/>
      <c r="DZ115" s="43"/>
      <c r="EA115" s="43"/>
      <c r="EB115" s="43"/>
      <c r="EC115" s="43"/>
      <c r="ED115" s="43"/>
      <c r="EE115" s="43"/>
      <c r="EF115" s="43"/>
      <c r="EG115" s="43"/>
      <c r="EH115" s="43"/>
      <c r="EI115" s="43"/>
      <c r="EJ115" s="43"/>
      <c r="EK115" s="43"/>
      <c r="EL115" s="43"/>
      <c r="EM115" s="43"/>
      <c r="EN115" s="43"/>
      <c r="EO115" s="43"/>
      <c r="EP115" s="43"/>
      <c r="EQ115" s="43"/>
      <c r="ER115" s="43"/>
      <c r="ES115" s="43"/>
      <c r="ET115" s="43"/>
      <c r="EU115" s="43"/>
      <c r="EV115" s="43"/>
      <c r="EW115" s="43"/>
      <c r="EX115" s="43"/>
      <c r="EY115" s="43"/>
      <c r="EZ115" s="43"/>
      <c r="FA115" s="43"/>
      <c r="FB115" s="43"/>
      <c r="FC115" s="43"/>
      <c r="FD115" s="43"/>
      <c r="FE115" s="43"/>
      <c r="FF115" s="43"/>
      <c r="FG115" s="43"/>
      <c r="FH115" s="43"/>
      <c r="FI115" s="43"/>
      <c r="FJ115" s="43"/>
      <c r="FK115" s="43"/>
      <c r="FL115" s="43"/>
      <c r="FM115" s="43"/>
      <c r="FN115" s="43"/>
      <c r="FO115" s="43"/>
      <c r="FP115" s="43"/>
      <c r="FQ115" s="43"/>
      <c r="FR115" s="43"/>
      <c r="FS115" s="43"/>
      <c r="FT115" s="43"/>
      <c r="FU115" s="43"/>
      <c r="FV115" s="43"/>
      <c r="FW115" s="43"/>
      <c r="FX115" s="43"/>
      <c r="FY115" s="43"/>
      <c r="FZ115" s="43"/>
      <c r="GA115" s="43"/>
      <c r="GB115" s="43"/>
      <c r="GC115" s="43"/>
      <c r="GD115" s="43"/>
      <c r="GE115" s="43"/>
      <c r="GF115" s="43"/>
      <c r="GG115" s="43"/>
      <c r="GH115" s="43"/>
      <c r="GI115" s="43"/>
      <c r="GJ115" s="43"/>
      <c r="GK115" s="43"/>
      <c r="GL115" s="43"/>
      <c r="GM115" s="43"/>
      <c r="GN115" s="43"/>
      <c r="GO115" s="43"/>
      <c r="GP115" s="43"/>
      <c r="GQ115" s="43"/>
      <c r="GR115" s="43"/>
      <c r="GS115" s="43"/>
      <c r="GT115" s="43"/>
      <c r="GU115" s="43"/>
      <c r="GV115" s="43"/>
      <c r="GW115" s="43"/>
      <c r="GX115" s="43"/>
      <c r="GY115" s="43"/>
      <c r="GZ115" s="43"/>
      <c r="HA115" s="43"/>
      <c r="HB115" s="43"/>
      <c r="HC115" s="43"/>
      <c r="HD115" s="43"/>
      <c r="HE115" s="43"/>
      <c r="HF115" s="43"/>
      <c r="HG115" s="43"/>
      <c r="HH115" s="43"/>
      <c r="HI115" s="43"/>
      <c r="HJ115" s="43"/>
      <c r="HK115" s="43"/>
      <c r="HL115" s="43"/>
      <c r="HM115" s="43"/>
      <c r="HN115" s="43"/>
      <c r="HO115" s="43"/>
      <c r="HP115" s="43"/>
      <c r="HQ115" s="43"/>
      <c r="HR115"/>
      <c r="HS115"/>
      <c r="HT115"/>
      <c r="HU115"/>
      <c r="HV115"/>
      <c r="HW115"/>
      <c r="HX115"/>
      <c r="HY115"/>
      <c r="HZ115"/>
      <c r="IA115"/>
      <c r="IB115"/>
      <c r="IC115"/>
      <c r="ID115"/>
      <c r="IE115"/>
      <c r="IF115"/>
      <c r="IG115"/>
      <c r="IH115"/>
      <c r="II115"/>
      <c r="IJ115"/>
      <c r="IK115" s="32"/>
      <c r="IL115" s="32"/>
      <c r="IM115" s="32"/>
      <c r="IN115" s="32"/>
      <c r="IO115" s="32"/>
      <c r="IP115" s="32"/>
      <c r="IQ115" s="32"/>
    </row>
    <row r="116" spans="1:251" s="33" customFormat="1">
      <c r="A116" s="264" t="s">
        <v>438</v>
      </c>
      <c r="B116" s="4"/>
      <c r="C116" s="4"/>
      <c r="D116" s="5"/>
      <c r="E116" s="5">
        <f t="shared" ref="E116:J116" si="109">E119/D115</f>
        <v>0.40806064476349868</v>
      </c>
      <c r="F116" s="5">
        <f t="shared" si="109"/>
        <v>0.28822691506235809</v>
      </c>
      <c r="G116" s="5">
        <f t="shared" si="109"/>
        <v>0.22369006404708325</v>
      </c>
      <c r="H116" s="5">
        <f t="shared" si="109"/>
        <v>0.23200536416481451</v>
      </c>
      <c r="I116" s="5">
        <f>I119/H115</f>
        <v>0.22299488332681527</v>
      </c>
      <c r="J116" s="5">
        <f t="shared" si="109"/>
        <v>0.20736656177640561</v>
      </c>
      <c r="K116" s="5">
        <f>K119/J115</f>
        <v>0.21544099777386774</v>
      </c>
      <c r="L116" s="5"/>
      <c r="M116" s="5">
        <f>M119/K115</f>
        <v>0.2189469756904488</v>
      </c>
      <c r="N116" s="5"/>
      <c r="O116" s="5">
        <f>O119/M115</f>
        <v>0.17824565099620779</v>
      </c>
      <c r="P116" s="5">
        <f t="shared" ref="P116:X116" ca="1" si="110">P119/O115</f>
        <v>1.0482559272491068</v>
      </c>
      <c r="Q116" s="5">
        <f t="shared" si="110"/>
        <v>1.9157325746799432</v>
      </c>
      <c r="R116" s="5">
        <f t="shared" si="110"/>
        <v>0.32882549813200496</v>
      </c>
      <c r="S116" s="5">
        <f t="shared" si="110"/>
        <v>0.33399096045197746</v>
      </c>
      <c r="T116" s="5">
        <f t="shared" si="110"/>
        <v>0.38626668314384588</v>
      </c>
      <c r="U116" s="5">
        <f t="shared" si="110"/>
        <v>0.43181076964429715</v>
      </c>
      <c r="V116" s="5">
        <f t="shared" si="110"/>
        <v>0.39573767194915938</v>
      </c>
      <c r="W116" s="5">
        <f t="shared" si="110"/>
        <v>0.46448355207090508</v>
      </c>
      <c r="X116" s="5">
        <f t="shared" si="110"/>
        <v>0.50944237918215618</v>
      </c>
      <c r="Y116" s="5">
        <f t="shared" ref="Y116:AG116" si="111">Y119/X115</f>
        <v>0.79252257902659329</v>
      </c>
      <c r="Z116" s="5">
        <f t="shared" ca="1" si="111"/>
        <v>0.83367600964488031</v>
      </c>
      <c r="AA116" s="5">
        <f t="shared" ca="1" si="111"/>
        <v>0.90492300280598559</v>
      </c>
      <c r="AB116" s="5">
        <f t="shared" ca="1" si="111"/>
        <v>0.99328908736257782</v>
      </c>
      <c r="AC116" s="5">
        <f t="shared" ca="1" si="111"/>
        <v>1.0776867052230568</v>
      </c>
      <c r="AD116" s="5">
        <f t="shared" ca="1" si="111"/>
        <v>1.1601247052971049</v>
      </c>
      <c r="AE116" s="5">
        <f t="shared" ca="1" si="111"/>
        <v>1.2433227412950814</v>
      </c>
      <c r="AF116" s="5">
        <f t="shared" ca="1" si="111"/>
        <v>1.3275590171284668</v>
      </c>
      <c r="AG116" s="5">
        <f t="shared" ca="1" si="111"/>
        <v>1.4131847026856721</v>
      </c>
      <c r="AH116" s="43"/>
      <c r="AI116" s="43"/>
      <c r="AJ116" s="43"/>
      <c r="AK116" s="43"/>
      <c r="AL116" s="43"/>
      <c r="AM116" s="43"/>
      <c r="AN116" s="43"/>
      <c r="AO116" s="43"/>
      <c r="AP116" s="43"/>
      <c r="AQ116" s="43"/>
      <c r="AR116" s="43"/>
      <c r="AS116" s="43"/>
      <c r="AT116" s="43"/>
      <c r="AU116" s="43"/>
      <c r="AV116" s="43"/>
      <c r="AW116" s="43"/>
      <c r="AX116" s="43"/>
      <c r="AY116" s="43"/>
      <c r="AZ116" s="43"/>
      <c r="BA116" s="43"/>
      <c r="BB116" s="43"/>
      <c r="BC116" s="43"/>
      <c r="BD116" s="43"/>
      <c r="BE116" s="43"/>
      <c r="BF116" s="43"/>
      <c r="BG116" s="43"/>
      <c r="BH116" s="43"/>
      <c r="BI116" s="43"/>
      <c r="BJ116" s="43"/>
      <c r="BK116" s="43"/>
      <c r="BL116" s="43"/>
      <c r="BM116" s="43"/>
      <c r="BN116" s="43"/>
      <c r="BO116" s="43"/>
      <c r="BP116" s="43"/>
      <c r="BQ116" s="43"/>
      <c r="BR116" s="43"/>
      <c r="BS116" s="43"/>
      <c r="BT116" s="43"/>
      <c r="BU116" s="43"/>
      <c r="BV116" s="43"/>
      <c r="BW116" s="43"/>
      <c r="BX116" s="43"/>
      <c r="BY116" s="43"/>
      <c r="BZ116" s="43"/>
      <c r="CA116" s="43"/>
      <c r="CB116" s="43"/>
      <c r="CC116" s="43"/>
      <c r="CD116" s="43"/>
      <c r="CE116" s="43"/>
      <c r="CF116" s="43"/>
      <c r="CG116" s="43"/>
      <c r="CH116" s="43"/>
      <c r="CI116" s="43"/>
      <c r="CJ116" s="43"/>
      <c r="CK116" s="43"/>
      <c r="CL116" s="43"/>
      <c r="CM116" s="43"/>
      <c r="CN116" s="43"/>
      <c r="CO116" s="43"/>
      <c r="CP116" s="43"/>
      <c r="CQ116" s="43"/>
      <c r="CR116" s="43"/>
      <c r="CS116" s="43"/>
      <c r="CT116" s="43"/>
      <c r="CU116" s="43"/>
      <c r="CV116" s="43"/>
      <c r="CW116" s="43"/>
      <c r="CX116" s="43"/>
      <c r="CY116" s="43"/>
      <c r="CZ116" s="43"/>
      <c r="DA116" s="43"/>
      <c r="DB116" s="43"/>
      <c r="DC116" s="43"/>
      <c r="DD116" s="43"/>
      <c r="DE116" s="43"/>
      <c r="DF116" s="43"/>
      <c r="DG116" s="43"/>
      <c r="DH116" s="43"/>
      <c r="DI116" s="43"/>
      <c r="DJ116" s="43"/>
      <c r="DK116" s="43"/>
      <c r="DL116" s="43"/>
      <c r="DM116" s="43"/>
      <c r="DN116" s="43"/>
      <c r="DO116" s="43"/>
      <c r="DP116" s="43"/>
      <c r="DQ116" s="43"/>
      <c r="DR116" s="43"/>
      <c r="DS116" s="43"/>
      <c r="DT116" s="43"/>
      <c r="DU116" s="43"/>
      <c r="DV116" s="43"/>
      <c r="DW116" s="43"/>
      <c r="DX116" s="43"/>
      <c r="DY116" s="43"/>
      <c r="DZ116" s="43"/>
      <c r="EA116" s="43"/>
      <c r="EB116" s="43"/>
      <c r="EC116" s="43"/>
      <c r="ED116" s="43"/>
      <c r="EE116" s="43"/>
      <c r="EF116" s="43"/>
      <c r="EG116" s="43"/>
      <c r="EH116" s="43"/>
      <c r="EI116" s="43"/>
      <c r="EJ116" s="43"/>
      <c r="EK116" s="43"/>
      <c r="EL116" s="43"/>
      <c r="EM116" s="43"/>
      <c r="EN116" s="43"/>
      <c r="EO116" s="43"/>
      <c r="EP116" s="43"/>
      <c r="EQ116" s="43"/>
      <c r="ER116" s="43"/>
      <c r="ES116" s="43"/>
      <c r="ET116" s="43"/>
      <c r="EU116" s="43"/>
      <c r="EV116" s="43"/>
      <c r="EW116" s="43"/>
      <c r="EX116" s="43"/>
      <c r="EY116" s="43"/>
      <c r="EZ116" s="43"/>
      <c r="FA116" s="43"/>
      <c r="FB116" s="43"/>
      <c r="FC116" s="43"/>
      <c r="FD116" s="43"/>
      <c r="FE116" s="43"/>
      <c r="FF116" s="43"/>
      <c r="FG116" s="43"/>
      <c r="FH116" s="43"/>
      <c r="FI116" s="43"/>
      <c r="FJ116" s="43"/>
      <c r="FK116" s="43"/>
      <c r="FL116" s="43"/>
      <c r="FM116" s="43"/>
      <c r="FN116" s="43"/>
      <c r="FO116" s="43"/>
      <c r="FP116" s="43"/>
      <c r="FQ116" s="43"/>
      <c r="FR116" s="43"/>
      <c r="FS116" s="43"/>
      <c r="FT116" s="43"/>
      <c r="FU116" s="43"/>
      <c r="FV116" s="43"/>
      <c r="FW116" s="43"/>
      <c r="FX116" s="43"/>
      <c r="FY116" s="43"/>
      <c r="FZ116" s="43"/>
      <c r="GA116" s="43"/>
      <c r="GB116" s="43"/>
      <c r="GC116" s="43"/>
      <c r="GD116" s="43"/>
      <c r="GE116" s="43"/>
      <c r="GF116" s="43"/>
      <c r="GG116" s="43"/>
      <c r="GH116" s="43"/>
      <c r="GI116" s="43"/>
      <c r="GJ116" s="43"/>
      <c r="GK116" s="43"/>
      <c r="GL116" s="43"/>
      <c r="GM116" s="43"/>
      <c r="GN116" s="43"/>
      <c r="GO116" s="43"/>
      <c r="GP116" s="43"/>
      <c r="GQ116" s="43"/>
      <c r="GR116" s="43"/>
      <c r="GS116" s="43"/>
      <c r="GT116" s="43"/>
      <c r="GU116" s="43"/>
      <c r="GV116" s="43"/>
      <c r="GW116" s="43"/>
      <c r="GX116" s="43"/>
      <c r="GY116" s="43"/>
      <c r="GZ116" s="43"/>
      <c r="HA116" s="43"/>
      <c r="HB116" s="43"/>
      <c r="HC116" s="43"/>
      <c r="HD116" s="43"/>
      <c r="HE116" s="43"/>
      <c r="HF116" s="43"/>
      <c r="HG116" s="43"/>
      <c r="HH116" s="43"/>
      <c r="HI116" s="43"/>
      <c r="HJ116" s="43"/>
      <c r="HK116" s="43"/>
      <c r="HL116" s="43"/>
      <c r="HM116" s="43"/>
      <c r="HN116" s="43"/>
      <c r="HO116" s="43"/>
      <c r="HP116" s="43"/>
      <c r="HQ116" s="43"/>
      <c r="HR116"/>
      <c r="HS116"/>
      <c r="HT116"/>
      <c r="HU116"/>
      <c r="HV116"/>
      <c r="HW116"/>
      <c r="HX116"/>
      <c r="HY116"/>
      <c r="HZ116"/>
      <c r="IA116"/>
      <c r="IB116"/>
      <c r="IC116"/>
      <c r="ID116"/>
      <c r="IE116"/>
      <c r="IF116"/>
      <c r="IG116"/>
      <c r="IH116"/>
      <c r="II116"/>
      <c r="IJ116"/>
      <c r="IK116" s="32"/>
      <c r="IL116" s="32"/>
      <c r="IM116" s="32"/>
      <c r="IN116" s="32"/>
      <c r="IO116" s="32"/>
      <c r="IP116" s="32"/>
      <c r="IQ116" s="32"/>
    </row>
    <row r="117" spans="1:251" s="33" customFormat="1">
      <c r="A117" s="264"/>
      <c r="B117" s="4"/>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3"/>
      <c r="AI117" s="43"/>
      <c r="AJ117" s="43"/>
      <c r="AK117" s="43"/>
      <c r="AL117" s="43"/>
      <c r="AM117" s="43"/>
      <c r="AN117" s="43"/>
      <c r="AO117" s="43"/>
      <c r="AP117" s="43"/>
      <c r="AQ117" s="43"/>
      <c r="AR117" s="43"/>
      <c r="AS117" s="43"/>
      <c r="AT117" s="43"/>
      <c r="AU117" s="43"/>
      <c r="AV117" s="43"/>
      <c r="AW117" s="43"/>
      <c r="AX117" s="43"/>
      <c r="AY117" s="43"/>
      <c r="AZ117" s="43"/>
      <c r="BA117" s="43"/>
      <c r="BB117" s="43"/>
      <c r="BC117" s="43"/>
      <c r="BD117" s="43"/>
      <c r="BE117" s="43"/>
      <c r="BF117" s="43"/>
      <c r="BG117" s="43"/>
      <c r="BH117" s="43"/>
      <c r="BI117" s="43"/>
      <c r="BJ117" s="43"/>
      <c r="BK117" s="43"/>
      <c r="BL117" s="43"/>
      <c r="BM117" s="43"/>
      <c r="BN117" s="43"/>
      <c r="BO117" s="43"/>
      <c r="BP117" s="43"/>
      <c r="BQ117" s="43"/>
      <c r="BR117" s="43"/>
      <c r="BS117" s="43"/>
      <c r="BT117" s="43"/>
      <c r="BU117" s="43"/>
      <c r="BV117" s="43"/>
      <c r="BW117" s="43"/>
      <c r="BX117" s="43"/>
      <c r="BY117" s="43"/>
      <c r="BZ117" s="43"/>
      <c r="CA117" s="43"/>
      <c r="CB117" s="43"/>
      <c r="CC117" s="43"/>
      <c r="CD117" s="43"/>
      <c r="CE117" s="43"/>
      <c r="CF117" s="43"/>
      <c r="CG117" s="43"/>
      <c r="CH117" s="43"/>
      <c r="CI117" s="43"/>
      <c r="CJ117" s="43"/>
      <c r="CK117" s="43"/>
      <c r="CL117" s="43"/>
      <c r="CM117" s="43"/>
      <c r="CN117" s="43"/>
      <c r="CO117" s="43"/>
      <c r="CP117" s="43"/>
      <c r="CQ117" s="43"/>
      <c r="CR117" s="43"/>
      <c r="CS117" s="43"/>
      <c r="CT117" s="43"/>
      <c r="CU117" s="43"/>
      <c r="CV117" s="43"/>
      <c r="CW117" s="43"/>
      <c r="CX117" s="43"/>
      <c r="CY117" s="43"/>
      <c r="CZ117" s="43"/>
      <c r="DA117" s="43"/>
      <c r="DB117" s="43"/>
      <c r="DC117" s="43"/>
      <c r="DD117" s="43"/>
      <c r="DE117" s="43"/>
      <c r="DF117" s="43"/>
      <c r="DG117" s="43"/>
      <c r="DH117" s="43"/>
      <c r="DI117" s="43"/>
      <c r="DJ117" s="43"/>
      <c r="DK117" s="43"/>
      <c r="DL117" s="43"/>
      <c r="DM117" s="43"/>
      <c r="DN117" s="43"/>
      <c r="DO117" s="43"/>
      <c r="DP117" s="43"/>
      <c r="DQ117" s="43"/>
      <c r="DR117" s="43"/>
      <c r="DS117" s="43"/>
      <c r="DT117" s="43"/>
      <c r="DU117" s="43"/>
      <c r="DV117" s="43"/>
      <c r="DW117" s="43"/>
      <c r="DX117" s="43"/>
      <c r="DY117" s="43"/>
      <c r="DZ117" s="43"/>
      <c r="EA117" s="43"/>
      <c r="EB117" s="43"/>
      <c r="EC117" s="43"/>
      <c r="ED117" s="43"/>
      <c r="EE117" s="43"/>
      <c r="EF117" s="43"/>
      <c r="EG117" s="43"/>
      <c r="EH117" s="43"/>
      <c r="EI117" s="43"/>
      <c r="EJ117" s="43"/>
      <c r="EK117" s="43"/>
      <c r="EL117" s="43"/>
      <c r="EM117" s="43"/>
      <c r="EN117" s="43"/>
      <c r="EO117" s="43"/>
      <c r="EP117" s="43"/>
      <c r="EQ117" s="43"/>
      <c r="ER117" s="43"/>
      <c r="ES117" s="43"/>
      <c r="ET117" s="43"/>
      <c r="EU117" s="43"/>
      <c r="EV117" s="43"/>
      <c r="EW117" s="43"/>
      <c r="EX117" s="43"/>
      <c r="EY117" s="43"/>
      <c r="EZ117" s="43"/>
      <c r="FA117" s="43"/>
      <c r="FB117" s="43"/>
      <c r="FC117" s="43"/>
      <c r="FD117" s="43"/>
      <c r="FE117" s="43"/>
      <c r="FF117" s="43"/>
      <c r="FG117" s="43"/>
      <c r="FH117" s="43"/>
      <c r="FI117" s="43"/>
      <c r="FJ117" s="43"/>
      <c r="FK117" s="43"/>
      <c r="FL117" s="43"/>
      <c r="FM117" s="43"/>
      <c r="FN117" s="43"/>
      <c r="FO117" s="43"/>
      <c r="FP117" s="43"/>
      <c r="FQ117" s="43"/>
      <c r="FR117" s="43"/>
      <c r="FS117" s="43"/>
      <c r="FT117" s="43"/>
      <c r="FU117" s="43"/>
      <c r="FV117" s="43"/>
      <c r="FW117" s="43"/>
      <c r="FX117" s="43"/>
      <c r="FY117" s="43"/>
      <c r="FZ117" s="43"/>
      <c r="GA117" s="43"/>
      <c r="GB117" s="43"/>
      <c r="GC117" s="43"/>
      <c r="GD117" s="43"/>
      <c r="GE117" s="43"/>
      <c r="GF117" s="43"/>
      <c r="GG117" s="43"/>
      <c r="GH117" s="43"/>
      <c r="GI117" s="43"/>
      <c r="GJ117" s="43"/>
      <c r="GK117" s="43"/>
      <c r="GL117" s="43"/>
      <c r="GM117" s="43"/>
      <c r="GN117" s="43"/>
      <c r="GO117" s="43"/>
      <c r="GP117" s="43"/>
      <c r="GQ117" s="43"/>
      <c r="GR117" s="43"/>
      <c r="GS117" s="43"/>
      <c r="GT117" s="43"/>
      <c r="GU117" s="43"/>
      <c r="GV117" s="43"/>
      <c r="GW117" s="43"/>
      <c r="GX117" s="43"/>
      <c r="GY117" s="43"/>
      <c r="GZ117" s="43"/>
      <c r="HA117" s="43"/>
      <c r="HB117" s="43"/>
      <c r="HC117" s="43"/>
      <c r="HD117" s="43"/>
      <c r="HE117" s="43"/>
      <c r="HF117" s="43"/>
      <c r="HG117" s="43"/>
      <c r="HH117" s="43"/>
      <c r="HI117" s="43"/>
      <c r="HJ117" s="43"/>
      <c r="HK117" s="43"/>
      <c r="HL117" s="43"/>
      <c r="HM117" s="43"/>
      <c r="HN117" s="43"/>
      <c r="HO117" s="43"/>
      <c r="HP117" s="43"/>
      <c r="HQ117" s="43"/>
      <c r="HR117"/>
      <c r="HS117"/>
      <c r="HT117"/>
      <c r="HU117"/>
      <c r="HV117"/>
      <c r="HW117"/>
      <c r="HX117"/>
      <c r="HY117"/>
      <c r="HZ117"/>
      <c r="IA117"/>
      <c r="IB117"/>
      <c r="IC117"/>
      <c r="ID117"/>
      <c r="IE117"/>
      <c r="IF117"/>
      <c r="IG117"/>
      <c r="IH117"/>
      <c r="II117"/>
      <c r="IJ117"/>
      <c r="IK117" s="32"/>
      <c r="IL117" s="32"/>
      <c r="IM117" s="32"/>
      <c r="IN117" s="32"/>
      <c r="IO117" s="32"/>
      <c r="IP117" s="32"/>
      <c r="IQ117" s="32"/>
    </row>
    <row r="118" spans="1:251" s="33" customFormat="1">
      <c r="A118" s="170" t="s">
        <v>443</v>
      </c>
      <c r="B118" s="4"/>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3"/>
      <c r="AI118" s="43"/>
      <c r="AJ118" s="43"/>
      <c r="AK118" s="43"/>
      <c r="AL118" s="43"/>
      <c r="AM118" s="43"/>
      <c r="AN118" s="43"/>
      <c r="AO118" s="43"/>
      <c r="AP118" s="43"/>
      <c r="AQ118" s="43"/>
      <c r="AR118" s="43"/>
      <c r="AS118" s="43"/>
      <c r="AT118" s="43"/>
      <c r="AU118" s="43"/>
      <c r="AV118" s="43"/>
      <c r="AW118" s="43"/>
      <c r="AX118" s="43"/>
      <c r="AY118" s="43"/>
      <c r="AZ118" s="43"/>
      <c r="BA118" s="43"/>
      <c r="BB118" s="43"/>
      <c r="BC118" s="43"/>
      <c r="BD118" s="43"/>
      <c r="BE118" s="43"/>
      <c r="BF118" s="43"/>
      <c r="BG118" s="43"/>
      <c r="BH118" s="43"/>
      <c r="BI118" s="43"/>
      <c r="BJ118" s="43"/>
      <c r="BK118" s="43"/>
      <c r="BL118" s="43"/>
      <c r="BM118" s="43"/>
      <c r="BN118" s="43"/>
      <c r="BO118" s="43"/>
      <c r="BP118" s="43"/>
      <c r="BQ118" s="43"/>
      <c r="BR118" s="43"/>
      <c r="BS118" s="43"/>
      <c r="BT118" s="43"/>
      <c r="BU118" s="43"/>
      <c r="BV118" s="43"/>
      <c r="BW118" s="43"/>
      <c r="BX118" s="43"/>
      <c r="BY118" s="43"/>
      <c r="BZ118" s="43"/>
      <c r="CA118" s="43"/>
      <c r="CB118" s="43"/>
      <c r="CC118" s="43"/>
      <c r="CD118" s="43"/>
      <c r="CE118" s="43"/>
      <c r="CF118" s="43"/>
      <c r="CG118" s="43"/>
      <c r="CH118" s="43"/>
      <c r="CI118" s="43"/>
      <c r="CJ118" s="43"/>
      <c r="CK118" s="43"/>
      <c r="CL118" s="43"/>
      <c r="CM118" s="43"/>
      <c r="CN118" s="43"/>
      <c r="CO118" s="43"/>
      <c r="CP118" s="43"/>
      <c r="CQ118" s="43"/>
      <c r="CR118" s="43"/>
      <c r="CS118" s="43"/>
      <c r="CT118" s="43"/>
      <c r="CU118" s="43"/>
      <c r="CV118" s="43"/>
      <c r="CW118" s="43"/>
      <c r="CX118" s="43"/>
      <c r="CY118" s="43"/>
      <c r="CZ118" s="43"/>
      <c r="DA118" s="43"/>
      <c r="DB118" s="43"/>
      <c r="DC118" s="43"/>
      <c r="DD118" s="43"/>
      <c r="DE118" s="43"/>
      <c r="DF118" s="43"/>
      <c r="DG118" s="43"/>
      <c r="DH118" s="43"/>
      <c r="DI118" s="43"/>
      <c r="DJ118" s="43"/>
      <c r="DK118" s="43"/>
      <c r="DL118" s="43"/>
      <c r="DM118" s="43"/>
      <c r="DN118" s="43"/>
      <c r="DO118" s="43"/>
      <c r="DP118" s="43"/>
      <c r="DQ118" s="43"/>
      <c r="DR118" s="43"/>
      <c r="DS118" s="43"/>
      <c r="DT118" s="43"/>
      <c r="DU118" s="43"/>
      <c r="DV118" s="43"/>
      <c r="DW118" s="43"/>
      <c r="DX118" s="43"/>
      <c r="DY118" s="43"/>
      <c r="DZ118" s="43"/>
      <c r="EA118" s="43"/>
      <c r="EB118" s="43"/>
      <c r="EC118" s="43"/>
      <c r="ED118" s="43"/>
      <c r="EE118" s="43"/>
      <c r="EF118" s="43"/>
      <c r="EG118" s="43"/>
      <c r="EH118" s="43"/>
      <c r="EI118" s="43"/>
      <c r="EJ118" s="43"/>
      <c r="EK118" s="43"/>
      <c r="EL118" s="43"/>
      <c r="EM118" s="43"/>
      <c r="EN118" s="43"/>
      <c r="EO118" s="43"/>
      <c r="EP118" s="43"/>
      <c r="EQ118" s="43"/>
      <c r="ER118" s="43"/>
      <c r="ES118" s="43"/>
      <c r="ET118" s="43"/>
      <c r="EU118" s="43"/>
      <c r="EV118" s="43"/>
      <c r="EW118" s="43"/>
      <c r="EX118" s="43"/>
      <c r="EY118" s="43"/>
      <c r="EZ118" s="43"/>
      <c r="FA118" s="43"/>
      <c r="FB118" s="43"/>
      <c r="FC118" s="43"/>
      <c r="FD118" s="43"/>
      <c r="FE118" s="43"/>
      <c r="FF118" s="43"/>
      <c r="FG118" s="43"/>
      <c r="FH118" s="43"/>
      <c r="FI118" s="43"/>
      <c r="FJ118" s="43"/>
      <c r="FK118" s="43"/>
      <c r="FL118" s="43"/>
      <c r="FM118" s="43"/>
      <c r="FN118" s="43"/>
      <c r="FO118" s="43"/>
      <c r="FP118" s="43"/>
      <c r="FQ118" s="43"/>
      <c r="FR118" s="43"/>
      <c r="FS118" s="43"/>
      <c r="FT118" s="43"/>
      <c r="FU118" s="43"/>
      <c r="FV118" s="43"/>
      <c r="FW118" s="43"/>
      <c r="FX118" s="43"/>
      <c r="FY118" s="43"/>
      <c r="FZ118" s="43"/>
      <c r="GA118" s="43"/>
      <c r="GB118" s="43"/>
      <c r="GC118" s="43"/>
      <c r="GD118" s="43"/>
      <c r="GE118" s="43"/>
      <c r="GF118" s="43"/>
      <c r="GG118" s="43"/>
      <c r="GH118" s="43"/>
      <c r="GI118" s="43"/>
      <c r="GJ118" s="43"/>
      <c r="GK118" s="43"/>
      <c r="GL118" s="43"/>
      <c r="GM118" s="43"/>
      <c r="GN118" s="43"/>
      <c r="GO118" s="43"/>
      <c r="GP118" s="43"/>
      <c r="GQ118" s="43"/>
      <c r="GR118" s="43"/>
      <c r="GS118" s="43"/>
      <c r="GT118" s="43"/>
      <c r="GU118" s="43"/>
      <c r="GV118" s="43"/>
      <c r="GW118" s="43"/>
      <c r="GX118" s="43"/>
      <c r="GY118" s="43"/>
      <c r="GZ118" s="43"/>
      <c r="HA118" s="43"/>
      <c r="HB118" s="43"/>
      <c r="HC118" s="43"/>
      <c r="HD118" s="43"/>
      <c r="HE118" s="43"/>
      <c r="HF118" s="43"/>
      <c r="HG118" s="43"/>
      <c r="HH118" s="43"/>
      <c r="HI118" s="43"/>
      <c r="HJ118" s="43"/>
      <c r="HK118" s="43"/>
      <c r="HL118" s="43"/>
      <c r="HM118" s="43"/>
      <c r="HN118" s="43"/>
      <c r="HO118" s="43"/>
      <c r="HP118" s="43"/>
      <c r="HQ118" s="43"/>
      <c r="HR118"/>
      <c r="HS118"/>
      <c r="HT118"/>
      <c r="HU118"/>
      <c r="HV118"/>
      <c r="HW118"/>
      <c r="HX118"/>
      <c r="HY118"/>
      <c r="HZ118"/>
      <c r="IA118"/>
      <c r="IB118"/>
      <c r="IC118"/>
      <c r="ID118"/>
      <c r="IE118"/>
      <c r="IF118"/>
      <c r="IG118"/>
      <c r="IH118"/>
      <c r="II118"/>
      <c r="IJ118"/>
      <c r="IK118" s="32"/>
      <c r="IL118" s="32"/>
      <c r="IM118" s="32"/>
      <c r="IN118" s="32"/>
      <c r="IO118" s="32"/>
      <c r="IP118" s="32"/>
      <c r="IQ118" s="32"/>
    </row>
    <row r="119" spans="1:251" s="33" customFormat="1">
      <c r="A119" s="264" t="s">
        <v>444</v>
      </c>
      <c r="B119" s="4"/>
      <c r="C119" s="4"/>
      <c r="D119" s="28"/>
      <c r="E119" s="28">
        <f>(IS!B120*(1-IS!B39))</f>
        <v>9265.4250000000011</v>
      </c>
      <c r="F119" s="28">
        <f>(IS!C120*(1-IS!C39))</f>
        <v>9267.36</v>
      </c>
      <c r="G119" s="28">
        <f>(IS!D120*(1-IS!D39))</f>
        <v>10338.06</v>
      </c>
      <c r="H119" s="28">
        <f>(IS!E120*(1-IS!E39))</f>
        <v>10855.995000000001</v>
      </c>
      <c r="I119" s="28">
        <f>(IS!F120*(1-IS!F39))</f>
        <v>10263.5625</v>
      </c>
      <c r="J119" s="28">
        <f>(IS!G120*(1-IS!G39))</f>
        <v>10478.025</v>
      </c>
      <c r="K119" s="28">
        <f>(IS!H120*(1-IS!H39))</f>
        <v>11081.1</v>
      </c>
      <c r="L119" s="28"/>
      <c r="M119" s="28">
        <f>(IS!I120*(1-IS!I39))</f>
        <v>12176.955</v>
      </c>
      <c r="N119" s="28"/>
      <c r="O119" s="28">
        <f>(IS!J120*(1-IS!J39))</f>
        <v>2961.1950000000002</v>
      </c>
      <c r="P119" s="28">
        <f ca="1">(IS!K120*(1-IS!K39))</f>
        <v>3227.58</v>
      </c>
      <c r="Q119" s="28">
        <f>(IS!L120*(1-IS!L39))</f>
        <v>4040.28</v>
      </c>
      <c r="R119" s="28">
        <f>(IS!M120*(1-IS!M39))</f>
        <v>4224.75</v>
      </c>
      <c r="S119" s="28">
        <f>(IS!N120*(1-IS!N39))</f>
        <v>4433.7300000000005</v>
      </c>
      <c r="T119" s="28">
        <f>(IS!O120*(1-IS!O39))</f>
        <v>4688.505000000001</v>
      </c>
      <c r="U119" s="28">
        <f>(IS!P120*(1-IS!P39))</f>
        <v>4819.4400000000005</v>
      </c>
      <c r="V119" s="28">
        <f>(IS!Q120*(1-IS!Q39))</f>
        <v>4919.415</v>
      </c>
      <c r="W119" s="28">
        <f>(IS!R120*(1-IS!R39))</f>
        <v>5450.25</v>
      </c>
      <c r="X119" s="28">
        <f>(IS!S120*(1-IS!S39))</f>
        <v>5892.72</v>
      </c>
      <c r="Y119" s="28">
        <f>(IS!T120*(1-IS!T39))</f>
        <v>6317.9900000000016</v>
      </c>
      <c r="Z119" s="28">
        <f ca="1">(IS!U120*(1-IS!U39))</f>
        <v>6208.4284450777122</v>
      </c>
      <c r="AA119" s="28">
        <f ca="1">(IS!V120*(1-IS!V39))</f>
        <v>6603.6449503671556</v>
      </c>
      <c r="AB119" s="28">
        <f ca="1">(IS!W120*(1-IS!W39))</f>
        <v>7055.9972210803508</v>
      </c>
      <c r="AC119" s="28">
        <f ca="1">(IS!X120*(1-IS!X39))</f>
        <v>7444.723111427129</v>
      </c>
      <c r="AD119" s="28">
        <f ca="1">(IS!Y120*(1-IS!Y39))</f>
        <v>7829.3958933004888</v>
      </c>
      <c r="AE119" s="28">
        <f ca="1">(IS!Z120*(1-IS!Z39))</f>
        <v>8211.3432874783375</v>
      </c>
      <c r="AF119" s="28">
        <f ca="1">(IS!AA120*(1-IS!AA39))</f>
        <v>8591.8504342672022</v>
      </c>
      <c r="AG119" s="28">
        <f ca="1">(IS!AB120*(1-IS!AB39))</f>
        <v>8972.1672548485403</v>
      </c>
      <c r="AH119" s="43"/>
      <c r="AI119" s="43"/>
      <c r="AJ119" s="43"/>
      <c r="AK119" s="43"/>
      <c r="AL119" s="43"/>
      <c r="AM119" s="43"/>
      <c r="AN119" s="43"/>
      <c r="AO119" s="43"/>
      <c r="AP119" s="43"/>
      <c r="AQ119" s="43"/>
      <c r="AR119" s="43"/>
      <c r="AS119" s="43"/>
      <c r="AT119" s="43"/>
      <c r="AU119" s="43"/>
      <c r="AV119" s="43"/>
      <c r="AW119" s="43"/>
      <c r="AX119" s="43"/>
      <c r="AY119" s="43"/>
      <c r="AZ119" s="43"/>
      <c r="BA119" s="43"/>
      <c r="BB119" s="43"/>
      <c r="BC119" s="43"/>
      <c r="BD119" s="43"/>
      <c r="BE119" s="43"/>
      <c r="BF119" s="43"/>
      <c r="BG119" s="43"/>
      <c r="BH119" s="43"/>
      <c r="BI119" s="43"/>
      <c r="BJ119" s="43"/>
      <c r="BK119" s="43"/>
      <c r="BL119" s="43"/>
      <c r="BM119" s="43"/>
      <c r="BN119" s="43"/>
      <c r="BO119" s="43"/>
      <c r="BP119" s="43"/>
      <c r="BQ119" s="43"/>
      <c r="BR119" s="43"/>
      <c r="BS119" s="43"/>
      <c r="BT119" s="43"/>
      <c r="BU119" s="43"/>
      <c r="BV119" s="43"/>
      <c r="BW119" s="43"/>
      <c r="BX119" s="43"/>
      <c r="BY119" s="43"/>
      <c r="BZ119" s="43"/>
      <c r="CA119" s="43"/>
      <c r="CB119" s="43"/>
      <c r="CC119" s="43"/>
      <c r="CD119" s="43"/>
      <c r="CE119" s="43"/>
      <c r="CF119" s="43"/>
      <c r="CG119" s="43"/>
      <c r="CH119" s="43"/>
      <c r="CI119" s="43"/>
      <c r="CJ119" s="43"/>
      <c r="CK119" s="43"/>
      <c r="CL119" s="43"/>
      <c r="CM119" s="43"/>
      <c r="CN119" s="43"/>
      <c r="CO119" s="43"/>
      <c r="CP119" s="43"/>
      <c r="CQ119" s="43"/>
      <c r="CR119" s="43"/>
      <c r="CS119" s="43"/>
      <c r="CT119" s="43"/>
      <c r="CU119" s="43"/>
      <c r="CV119" s="43"/>
      <c r="CW119" s="43"/>
      <c r="CX119" s="43"/>
      <c r="CY119" s="43"/>
      <c r="CZ119" s="43"/>
      <c r="DA119" s="43"/>
      <c r="DB119" s="43"/>
      <c r="DC119" s="43"/>
      <c r="DD119" s="43"/>
      <c r="DE119" s="43"/>
      <c r="DF119" s="43"/>
      <c r="DG119" s="43"/>
      <c r="DH119" s="43"/>
      <c r="DI119" s="43"/>
      <c r="DJ119" s="43"/>
      <c r="DK119" s="43"/>
      <c r="DL119" s="43"/>
      <c r="DM119" s="43"/>
      <c r="DN119" s="43"/>
      <c r="DO119" s="43"/>
      <c r="DP119" s="43"/>
      <c r="DQ119" s="43"/>
      <c r="DR119" s="43"/>
      <c r="DS119" s="43"/>
      <c r="DT119" s="43"/>
      <c r="DU119" s="43"/>
      <c r="DV119" s="43"/>
      <c r="DW119" s="43"/>
      <c r="DX119" s="43"/>
      <c r="DY119" s="43"/>
      <c r="DZ119" s="43"/>
      <c r="EA119" s="43"/>
      <c r="EB119" s="43"/>
      <c r="EC119" s="43"/>
      <c r="ED119" s="43"/>
      <c r="EE119" s="43"/>
      <c r="EF119" s="43"/>
      <c r="EG119" s="43"/>
      <c r="EH119" s="43"/>
      <c r="EI119" s="43"/>
      <c r="EJ119" s="43"/>
      <c r="EK119" s="43"/>
      <c r="EL119" s="43"/>
      <c r="EM119" s="43"/>
      <c r="EN119" s="43"/>
      <c r="EO119" s="43"/>
      <c r="EP119" s="43"/>
      <c r="EQ119" s="43"/>
      <c r="ER119" s="43"/>
      <c r="ES119" s="43"/>
      <c r="ET119" s="43"/>
      <c r="EU119" s="43"/>
      <c r="EV119" s="43"/>
      <c r="EW119" s="43"/>
      <c r="EX119" s="43"/>
      <c r="EY119" s="43"/>
      <c r="EZ119" s="43"/>
      <c r="FA119" s="43"/>
      <c r="FB119" s="43"/>
      <c r="FC119" s="43"/>
      <c r="FD119" s="43"/>
      <c r="FE119" s="43"/>
      <c r="FF119" s="43"/>
      <c r="FG119" s="43"/>
      <c r="FH119" s="43"/>
      <c r="FI119" s="43"/>
      <c r="FJ119" s="43"/>
      <c r="FK119" s="43"/>
      <c r="FL119" s="43"/>
      <c r="FM119" s="43"/>
      <c r="FN119" s="43"/>
      <c r="FO119" s="43"/>
      <c r="FP119" s="43"/>
      <c r="FQ119" s="43"/>
      <c r="FR119" s="43"/>
      <c r="FS119" s="43"/>
      <c r="FT119" s="43"/>
      <c r="FU119" s="43"/>
      <c r="FV119" s="43"/>
      <c r="FW119" s="43"/>
      <c r="FX119" s="43"/>
      <c r="FY119" s="43"/>
      <c r="FZ119" s="43"/>
      <c r="GA119" s="43"/>
      <c r="GB119" s="43"/>
      <c r="GC119" s="43"/>
      <c r="GD119" s="43"/>
      <c r="GE119" s="43"/>
      <c r="GF119" s="43"/>
      <c r="GG119" s="43"/>
      <c r="GH119" s="43"/>
      <c r="GI119" s="43"/>
      <c r="GJ119" s="43"/>
      <c r="GK119" s="43"/>
      <c r="GL119" s="43"/>
      <c r="GM119" s="43"/>
      <c r="GN119" s="43"/>
      <c r="GO119" s="43"/>
      <c r="GP119" s="43"/>
      <c r="GQ119" s="43"/>
      <c r="GR119" s="43"/>
      <c r="GS119" s="43"/>
      <c r="GT119" s="43"/>
      <c r="GU119" s="43"/>
      <c r="GV119" s="43"/>
      <c r="GW119" s="43"/>
      <c r="GX119" s="43"/>
      <c r="GY119" s="43"/>
      <c r="GZ119" s="43"/>
      <c r="HA119" s="43"/>
      <c r="HB119" s="43"/>
      <c r="HC119" s="43"/>
      <c r="HD119" s="43"/>
      <c r="HE119" s="43"/>
      <c r="HF119" s="43"/>
      <c r="HG119" s="43"/>
      <c r="HH119" s="43"/>
      <c r="HI119" s="43"/>
      <c r="HJ119" s="43"/>
      <c r="HK119" s="43"/>
      <c r="HL119" s="43"/>
      <c r="HM119" s="43"/>
      <c r="HN119" s="43"/>
      <c r="HO119" s="43"/>
      <c r="HP119" s="43"/>
      <c r="HQ119" s="43"/>
      <c r="HR119"/>
      <c r="HS119"/>
      <c r="HT119"/>
      <c r="HU119"/>
      <c r="HV119"/>
      <c r="HW119"/>
      <c r="HX119"/>
      <c r="HY119"/>
      <c r="HZ119"/>
      <c r="IA119"/>
      <c r="IB119"/>
      <c r="IC119"/>
      <c r="ID119"/>
      <c r="IE119"/>
      <c r="IF119"/>
      <c r="IG119"/>
      <c r="IH119"/>
      <c r="II119"/>
      <c r="IJ119"/>
      <c r="IK119" s="32"/>
      <c r="IL119" s="32"/>
      <c r="IM119" s="32"/>
      <c r="IN119" s="32"/>
      <c r="IO119" s="32"/>
      <c r="IP119" s="32"/>
      <c r="IQ119" s="32"/>
    </row>
    <row r="120" spans="1:251" s="33" customFormat="1">
      <c r="A120" s="264" t="s">
        <v>9</v>
      </c>
      <c r="B120" s="4"/>
      <c r="C120" s="4"/>
      <c r="D120" s="28">
        <f t="shared" ref="D120:K120" si="112">D78</f>
        <v>30150</v>
      </c>
      <c r="E120" s="28">
        <f t="shared" si="112"/>
        <v>28827</v>
      </c>
      <c r="F120" s="28">
        <f t="shared" si="112"/>
        <v>43100</v>
      </c>
      <c r="G120" s="28">
        <f t="shared" si="112"/>
        <v>41210</v>
      </c>
      <c r="H120" s="28">
        <f t="shared" si="112"/>
        <v>42798</v>
      </c>
      <c r="I120" s="28">
        <f t="shared" si="112"/>
        <v>49615.7</v>
      </c>
      <c r="J120" s="28">
        <f t="shared" si="112"/>
        <v>53694</v>
      </c>
      <c r="K120" s="28">
        <f t="shared" si="112"/>
        <v>59640</v>
      </c>
      <c r="L120" s="28"/>
      <c r="M120" s="28">
        <f>M78</f>
        <v>21147</v>
      </c>
      <c r="N120" s="28"/>
      <c r="O120" s="28">
        <f t="shared" ref="O120:AB120" si="113">O78</f>
        <v>7895</v>
      </c>
      <c r="P120" s="28">
        <f t="shared" si="113"/>
        <v>10302</v>
      </c>
      <c r="Q120" s="28">
        <f t="shared" si="113"/>
        <v>16032</v>
      </c>
      <c r="R120" s="28">
        <f t="shared" si="113"/>
        <v>17389</v>
      </c>
      <c r="S120" s="28">
        <f t="shared" si="113"/>
        <v>17372</v>
      </c>
      <c r="T120" s="28">
        <f t="shared" si="113"/>
        <v>17048</v>
      </c>
      <c r="U120" s="28">
        <f t="shared" si="113"/>
        <v>18635</v>
      </c>
      <c r="V120" s="28">
        <f>V78</f>
        <v>17703</v>
      </c>
      <c r="W120" s="28">
        <f t="shared" si="113"/>
        <v>15792</v>
      </c>
      <c r="X120" s="28">
        <f t="shared" ref="X120" si="114">X78</f>
        <v>26654</v>
      </c>
      <c r="Y120" s="28">
        <f t="shared" si="113"/>
        <v>24279.198583502992</v>
      </c>
      <c r="Z120" s="28">
        <f t="shared" ca="1" si="113"/>
        <v>24243.608317347389</v>
      </c>
      <c r="AA120" s="28">
        <f t="shared" ca="1" si="113"/>
        <v>23218.626814429481</v>
      </c>
      <c r="AB120" s="28">
        <f t="shared" ca="1" si="113"/>
        <v>23335.787165089707</v>
      </c>
      <c r="AC120" s="28">
        <f ca="1">AC78</f>
        <v>23529.062031177265</v>
      </c>
      <c r="AD120" s="28">
        <f ca="1">AD78</f>
        <v>23835.371211831807</v>
      </c>
      <c r="AE120" s="28">
        <f ca="1">AE78</f>
        <v>24256.122320220238</v>
      </c>
      <c r="AF120" s="28">
        <f ca="1">AF78</f>
        <v>24793.047867831912</v>
      </c>
      <c r="AG120" s="28">
        <f ca="1">AG78</f>
        <v>25448.287826249383</v>
      </c>
      <c r="AH120" s="43"/>
      <c r="AI120" s="43"/>
      <c r="AJ120" s="43"/>
      <c r="AK120" s="43"/>
      <c r="AL120" s="43"/>
      <c r="AM120" s="43"/>
      <c r="AN120" s="43"/>
      <c r="AO120" s="43"/>
      <c r="AP120" s="43"/>
      <c r="AQ120" s="43"/>
      <c r="AR120" s="43"/>
      <c r="AS120" s="43"/>
      <c r="AT120" s="43"/>
      <c r="AU120" s="43"/>
      <c r="AV120" s="43"/>
      <c r="AW120" s="43"/>
      <c r="AX120" s="43"/>
      <c r="AY120" s="43"/>
      <c r="AZ120" s="43"/>
      <c r="BA120" s="43"/>
      <c r="BB120" s="43"/>
      <c r="BC120" s="43"/>
      <c r="BD120" s="43"/>
      <c r="BE120" s="43"/>
      <c r="BF120" s="43"/>
      <c r="BG120" s="43"/>
      <c r="BH120" s="43"/>
      <c r="BI120" s="43"/>
      <c r="BJ120" s="43"/>
      <c r="BK120" s="43"/>
      <c r="BL120" s="43"/>
      <c r="BM120" s="43"/>
      <c r="BN120" s="43"/>
      <c r="BO120" s="43"/>
      <c r="BP120" s="43"/>
      <c r="BQ120" s="43"/>
      <c r="BR120" s="43"/>
      <c r="BS120" s="43"/>
      <c r="BT120" s="43"/>
      <c r="BU120" s="43"/>
      <c r="BV120" s="43"/>
      <c r="BW120" s="43"/>
      <c r="BX120" s="43"/>
      <c r="BY120" s="43"/>
      <c r="BZ120" s="43"/>
      <c r="CA120" s="43"/>
      <c r="CB120" s="43"/>
      <c r="CC120" s="43"/>
      <c r="CD120" s="43"/>
      <c r="CE120" s="43"/>
      <c r="CF120" s="43"/>
      <c r="CG120" s="43"/>
      <c r="CH120" s="43"/>
      <c r="CI120" s="43"/>
      <c r="CJ120" s="43"/>
      <c r="CK120" s="43"/>
      <c r="CL120" s="43"/>
      <c r="CM120" s="43"/>
      <c r="CN120" s="43"/>
      <c r="CO120" s="43"/>
      <c r="CP120" s="43"/>
      <c r="CQ120" s="43"/>
      <c r="CR120" s="43"/>
      <c r="CS120" s="43"/>
      <c r="CT120" s="43"/>
      <c r="CU120" s="43"/>
      <c r="CV120" s="43"/>
      <c r="CW120" s="43"/>
      <c r="CX120" s="43"/>
      <c r="CY120" s="43"/>
      <c r="CZ120" s="43"/>
      <c r="DA120" s="43"/>
      <c r="DB120" s="43"/>
      <c r="DC120" s="43"/>
      <c r="DD120" s="43"/>
      <c r="DE120" s="43"/>
      <c r="DF120" s="43"/>
      <c r="DG120" s="43"/>
      <c r="DH120" s="43"/>
      <c r="DI120" s="43"/>
      <c r="DJ120" s="43"/>
      <c r="DK120" s="43"/>
      <c r="DL120" s="43"/>
      <c r="DM120" s="43"/>
      <c r="DN120" s="43"/>
      <c r="DO120" s="43"/>
      <c r="DP120" s="43"/>
      <c r="DQ120" s="43"/>
      <c r="DR120" s="43"/>
      <c r="DS120" s="43"/>
      <c r="DT120" s="43"/>
      <c r="DU120" s="43"/>
      <c r="DV120" s="43"/>
      <c r="DW120" s="43"/>
      <c r="DX120" s="43"/>
      <c r="DY120" s="43"/>
      <c r="DZ120" s="43"/>
      <c r="EA120" s="43"/>
      <c r="EB120" s="43"/>
      <c r="EC120" s="43"/>
      <c r="ED120" s="43"/>
      <c r="EE120" s="43"/>
      <c r="EF120" s="43"/>
      <c r="EG120" s="43"/>
      <c r="EH120" s="43"/>
      <c r="EI120" s="43"/>
      <c r="EJ120" s="43"/>
      <c r="EK120" s="43"/>
      <c r="EL120" s="43"/>
      <c r="EM120" s="43"/>
      <c r="EN120" s="43"/>
      <c r="EO120" s="43"/>
      <c r="EP120" s="43"/>
      <c r="EQ120" s="43"/>
      <c r="ER120" s="43"/>
      <c r="ES120" s="43"/>
      <c r="ET120" s="43"/>
      <c r="EU120" s="43"/>
      <c r="EV120" s="43"/>
      <c r="EW120" s="43"/>
      <c r="EX120" s="43"/>
      <c r="EY120" s="43"/>
      <c r="EZ120" s="43"/>
      <c r="FA120" s="43"/>
      <c r="FB120" s="43"/>
      <c r="FC120" s="43"/>
      <c r="FD120" s="43"/>
      <c r="FE120" s="43"/>
      <c r="FF120" s="43"/>
      <c r="FG120" s="43"/>
      <c r="FH120" s="43"/>
      <c r="FI120" s="43"/>
      <c r="FJ120" s="43"/>
      <c r="FK120" s="43"/>
      <c r="FL120" s="43"/>
      <c r="FM120" s="43"/>
      <c r="FN120" s="43"/>
      <c r="FO120" s="43"/>
      <c r="FP120" s="43"/>
      <c r="FQ120" s="43"/>
      <c r="FR120" s="43"/>
      <c r="FS120" s="43"/>
      <c r="FT120" s="43"/>
      <c r="FU120" s="43"/>
      <c r="FV120" s="43"/>
      <c r="FW120" s="43"/>
      <c r="FX120" s="43"/>
      <c r="FY120" s="43"/>
      <c r="FZ120" s="43"/>
      <c r="GA120" s="43"/>
      <c r="GB120" s="43"/>
      <c r="GC120" s="43"/>
      <c r="GD120" s="43"/>
      <c r="GE120" s="43"/>
      <c r="GF120" s="43"/>
      <c r="GG120" s="43"/>
      <c r="GH120" s="43"/>
      <c r="GI120" s="43"/>
      <c r="GJ120" s="43"/>
      <c r="GK120" s="43"/>
      <c r="GL120" s="43"/>
      <c r="GM120" s="43"/>
      <c r="GN120" s="43"/>
      <c r="GO120" s="43"/>
      <c r="GP120" s="43"/>
      <c r="GQ120" s="43"/>
      <c r="GR120" s="43"/>
      <c r="GS120" s="43"/>
      <c r="GT120" s="43"/>
      <c r="GU120" s="43"/>
      <c r="GV120" s="43"/>
      <c r="GW120" s="43"/>
      <c r="GX120" s="43"/>
      <c r="GY120" s="43"/>
      <c r="GZ120" s="43"/>
      <c r="HA120" s="43"/>
      <c r="HB120" s="43"/>
      <c r="HC120" s="43"/>
      <c r="HD120" s="43"/>
      <c r="HE120" s="43"/>
      <c r="HF120" s="43"/>
      <c r="HG120" s="43"/>
      <c r="HH120" s="43"/>
      <c r="HI120" s="43"/>
      <c r="HJ120" s="43"/>
      <c r="HK120" s="43"/>
      <c r="HL120" s="43"/>
      <c r="HM120" s="43"/>
      <c r="HN120" s="43"/>
      <c r="HO120" s="43"/>
      <c r="HP120" s="43"/>
      <c r="HQ120" s="43"/>
      <c r="HR120"/>
      <c r="HS120"/>
      <c r="HT120"/>
      <c r="HU120"/>
      <c r="HV120"/>
      <c r="HW120"/>
      <c r="HX120"/>
      <c r="HY120"/>
      <c r="HZ120"/>
      <c r="IA120"/>
      <c r="IB120"/>
      <c r="IC120"/>
      <c r="ID120"/>
      <c r="IE120"/>
      <c r="IF120"/>
      <c r="IG120"/>
      <c r="IH120"/>
      <c r="II120"/>
      <c r="IJ120"/>
      <c r="IK120" s="32"/>
      <c r="IL120" s="32"/>
      <c r="IM120" s="32"/>
      <c r="IN120" s="32"/>
      <c r="IO120" s="32"/>
      <c r="IP120" s="32"/>
      <c r="IQ120" s="32"/>
    </row>
    <row r="121" spans="1:251" s="33" customFormat="1">
      <c r="A121" s="264" t="s">
        <v>10</v>
      </c>
      <c r="B121" s="4"/>
      <c r="C121" s="4"/>
      <c r="D121" s="5"/>
      <c r="E121" s="5">
        <f>E119/D120</f>
        <v>0.3073109452736319</v>
      </c>
      <c r="F121" s="5">
        <f t="shared" ref="F121:K121" si="115">F119/E120</f>
        <v>0.3214819440108232</v>
      </c>
      <c r="G121" s="5">
        <f t="shared" si="115"/>
        <v>0.23986218097447795</v>
      </c>
      <c r="H121" s="5">
        <f t="shared" si="115"/>
        <v>0.26343108468818249</v>
      </c>
      <c r="I121" s="5">
        <f t="shared" si="115"/>
        <v>0.23981406841441189</v>
      </c>
      <c r="J121" s="5">
        <f t="shared" si="115"/>
        <v>0.21118365759225408</v>
      </c>
      <c r="K121" s="5">
        <f t="shared" si="115"/>
        <v>0.20637501396804112</v>
      </c>
      <c r="L121" s="5"/>
      <c r="M121" s="5">
        <f>M119/K120</f>
        <v>0.20417429577464788</v>
      </c>
      <c r="N121" s="5"/>
      <c r="O121" s="5">
        <f>O119/O120</f>
        <v>0.37507219759341359</v>
      </c>
      <c r="P121" s="5">
        <f t="shared" ref="P121:X121" ca="1" si="116">P119/O120</f>
        <v>0.40881317289423685</v>
      </c>
      <c r="Q121" s="5">
        <f>Q119/AVERAGE(16451,16197,15682,16032)</f>
        <v>0.25109723128554118</v>
      </c>
      <c r="R121" s="5">
        <f>R119/AVERAGE(16451,16197,15682,16032)</f>
        <v>0.26256176004474691</v>
      </c>
      <c r="S121" s="5">
        <f>S119/R120</f>
        <v>0.25497325895681183</v>
      </c>
      <c r="T121" s="5">
        <f t="shared" si="116"/>
        <v>0.26988861386138618</v>
      </c>
      <c r="U121" s="5">
        <f t="shared" si="116"/>
        <v>0.28269826372595031</v>
      </c>
      <c r="V121" s="5">
        <f t="shared" si="116"/>
        <v>0.26398792594580089</v>
      </c>
      <c r="W121" s="5">
        <f t="shared" si="116"/>
        <v>0.30787154719539062</v>
      </c>
      <c r="X121" s="5">
        <f t="shared" si="116"/>
        <v>0.37314589665653497</v>
      </c>
      <c r="Y121" s="5">
        <f t="shared" ref="Y121:AG121" si="117">Y119/X120</f>
        <v>0.23703721767839731</v>
      </c>
      <c r="Z121" s="5">
        <f t="shared" ca="1" si="117"/>
        <v>0.25570977656964999</v>
      </c>
      <c r="AA121" s="5">
        <f t="shared" ca="1" si="117"/>
        <v>0.27238704997729035</v>
      </c>
      <c r="AB121" s="5">
        <f t="shared" ca="1" si="117"/>
        <v>0.30389382100302853</v>
      </c>
      <c r="AC121" s="5">
        <f t="shared" ca="1" si="117"/>
        <v>0.31902601179721163</v>
      </c>
      <c r="AD121" s="5">
        <f t="shared" ca="1" si="117"/>
        <v>0.33275427141660474</v>
      </c>
      <c r="AE121" s="5">
        <f t="shared" ca="1" si="117"/>
        <v>0.3445024293727908</v>
      </c>
      <c r="AF121" s="5">
        <f t="shared" ca="1" si="117"/>
        <v>0.35421368349156607</v>
      </c>
      <c r="AG121" s="5">
        <f t="shared" ca="1" si="117"/>
        <v>0.36188238342771906</v>
      </c>
      <c r="AH121" s="43"/>
      <c r="AI121" s="43"/>
      <c r="AJ121" s="43"/>
      <c r="AK121" s="43"/>
      <c r="AL121" s="43"/>
      <c r="AM121" s="43"/>
      <c r="AN121" s="43"/>
      <c r="AO121" s="43"/>
      <c r="AP121" s="43"/>
      <c r="AQ121" s="43"/>
      <c r="AR121" s="43"/>
      <c r="AS121" s="43"/>
      <c r="AT121" s="43"/>
      <c r="AU121" s="43"/>
      <c r="AV121" s="43"/>
      <c r="AW121" s="43"/>
      <c r="AX121" s="43"/>
      <c r="AY121" s="43"/>
      <c r="AZ121" s="43"/>
      <c r="BA121" s="43"/>
      <c r="BB121" s="43"/>
      <c r="BC121" s="43"/>
      <c r="BD121" s="43"/>
      <c r="BE121" s="43"/>
      <c r="BF121" s="43"/>
      <c r="BG121" s="43"/>
      <c r="BH121" s="43"/>
      <c r="BI121" s="43"/>
      <c r="BJ121" s="43"/>
      <c r="BK121" s="43"/>
      <c r="BL121" s="43"/>
      <c r="BM121" s="43"/>
      <c r="BN121" s="43"/>
      <c r="BO121" s="43"/>
      <c r="BP121" s="43"/>
      <c r="BQ121" s="43"/>
      <c r="BR121" s="43"/>
      <c r="BS121" s="43"/>
      <c r="BT121" s="43"/>
      <c r="BU121" s="43"/>
      <c r="BV121" s="43"/>
      <c r="BW121" s="43"/>
      <c r="BX121" s="43"/>
      <c r="BY121" s="43"/>
      <c r="BZ121" s="43"/>
      <c r="CA121" s="43"/>
      <c r="CB121" s="43"/>
      <c r="CC121" s="43"/>
      <c r="CD121" s="43"/>
      <c r="CE121" s="43"/>
      <c r="CF121" s="43"/>
      <c r="CG121" s="43"/>
      <c r="CH121" s="43"/>
      <c r="CI121" s="43"/>
      <c r="CJ121" s="43"/>
      <c r="CK121" s="43"/>
      <c r="CL121" s="43"/>
      <c r="CM121" s="43"/>
      <c r="CN121" s="43"/>
      <c r="CO121" s="43"/>
      <c r="CP121" s="43"/>
      <c r="CQ121" s="43"/>
      <c r="CR121" s="43"/>
      <c r="CS121" s="43"/>
      <c r="CT121" s="43"/>
      <c r="CU121" s="43"/>
      <c r="CV121" s="43"/>
      <c r="CW121" s="43"/>
      <c r="CX121" s="43"/>
      <c r="CY121" s="43"/>
      <c r="CZ121" s="43"/>
      <c r="DA121" s="43"/>
      <c r="DB121" s="43"/>
      <c r="DC121" s="43"/>
      <c r="DD121" s="43"/>
      <c r="DE121" s="43"/>
      <c r="DF121" s="43"/>
      <c r="DG121" s="43"/>
      <c r="DH121" s="43"/>
      <c r="DI121" s="43"/>
      <c r="DJ121" s="43"/>
      <c r="DK121" s="43"/>
      <c r="DL121" s="43"/>
      <c r="DM121" s="43"/>
      <c r="DN121" s="43"/>
      <c r="DO121" s="43"/>
      <c r="DP121" s="43"/>
      <c r="DQ121" s="43"/>
      <c r="DR121" s="43"/>
      <c r="DS121" s="43"/>
      <c r="DT121" s="43"/>
      <c r="DU121" s="43"/>
      <c r="DV121" s="43"/>
      <c r="DW121" s="43"/>
      <c r="DX121" s="43"/>
      <c r="DY121" s="43"/>
      <c r="DZ121" s="43"/>
      <c r="EA121" s="43"/>
      <c r="EB121" s="43"/>
      <c r="EC121" s="43"/>
      <c r="ED121" s="43"/>
      <c r="EE121" s="43"/>
      <c r="EF121" s="43"/>
      <c r="EG121" s="43"/>
      <c r="EH121" s="43"/>
      <c r="EI121" s="43"/>
      <c r="EJ121" s="43"/>
      <c r="EK121" s="43"/>
      <c r="EL121" s="43"/>
      <c r="EM121" s="43"/>
      <c r="EN121" s="43"/>
      <c r="EO121" s="43"/>
      <c r="EP121" s="43"/>
      <c r="EQ121" s="43"/>
      <c r="ER121" s="43"/>
      <c r="ES121" s="43"/>
      <c r="ET121" s="43"/>
      <c r="EU121" s="43"/>
      <c r="EV121" s="43"/>
      <c r="EW121" s="43"/>
      <c r="EX121" s="43"/>
      <c r="EY121" s="43"/>
      <c r="EZ121" s="43"/>
      <c r="FA121" s="43"/>
      <c r="FB121" s="43"/>
      <c r="FC121" s="43"/>
      <c r="FD121" s="43"/>
      <c r="FE121" s="43"/>
      <c r="FF121" s="43"/>
      <c r="FG121" s="43"/>
      <c r="FH121" s="43"/>
      <c r="FI121" s="43"/>
      <c r="FJ121" s="43"/>
      <c r="FK121" s="43"/>
      <c r="FL121" s="43"/>
      <c r="FM121" s="43"/>
      <c r="FN121" s="43"/>
      <c r="FO121" s="43"/>
      <c r="FP121" s="43"/>
      <c r="FQ121" s="43"/>
      <c r="FR121" s="43"/>
      <c r="FS121" s="43"/>
      <c r="FT121" s="43"/>
      <c r="FU121" s="43"/>
      <c r="FV121" s="43"/>
      <c r="FW121" s="43"/>
      <c r="FX121" s="43"/>
      <c r="FY121" s="43"/>
      <c r="FZ121" s="43"/>
      <c r="GA121" s="43"/>
      <c r="GB121" s="43"/>
      <c r="GC121" s="43"/>
      <c r="GD121" s="43"/>
      <c r="GE121" s="43"/>
      <c r="GF121" s="43"/>
      <c r="GG121" s="43"/>
      <c r="GH121" s="43"/>
      <c r="GI121" s="43"/>
      <c r="GJ121" s="43"/>
      <c r="GK121" s="43"/>
      <c r="GL121" s="43"/>
      <c r="GM121" s="43"/>
      <c r="GN121" s="43"/>
      <c r="GO121" s="43"/>
      <c r="GP121" s="43"/>
      <c r="GQ121" s="43"/>
      <c r="GR121" s="43"/>
      <c r="GS121" s="43"/>
      <c r="GT121" s="43"/>
      <c r="GU121" s="43"/>
      <c r="GV121" s="43"/>
      <c r="GW121" s="43"/>
      <c r="GX121" s="43"/>
      <c r="GY121" s="43"/>
      <c r="GZ121" s="43"/>
      <c r="HA121" s="43"/>
      <c r="HB121" s="43"/>
      <c r="HC121" s="43"/>
      <c r="HD121" s="43"/>
      <c r="HE121" s="43"/>
      <c r="HF121" s="43"/>
      <c r="HG121" s="43"/>
      <c r="HH121" s="43"/>
      <c r="HI121" s="43"/>
      <c r="HJ121" s="43"/>
      <c r="HK121" s="43"/>
      <c r="HL121" s="43"/>
      <c r="HM121" s="43"/>
      <c r="HN121" s="43"/>
      <c r="HO121" s="43"/>
      <c r="HP121" s="43"/>
      <c r="HQ121" s="43"/>
      <c r="HR121"/>
      <c r="HS121"/>
      <c r="HT121"/>
      <c r="HU121"/>
      <c r="HV121"/>
      <c r="HW121"/>
      <c r="HX121"/>
      <c r="HY121"/>
      <c r="HZ121"/>
      <c r="IA121"/>
      <c r="IB121"/>
      <c r="IC121"/>
      <c r="ID121"/>
      <c r="IE121"/>
      <c r="IF121"/>
      <c r="IG121"/>
      <c r="IH121"/>
      <c r="II121"/>
      <c r="IJ121"/>
      <c r="IK121" s="32"/>
      <c r="IL121" s="32"/>
      <c r="IM121" s="32"/>
      <c r="IN121" s="32"/>
      <c r="IO121" s="32"/>
      <c r="IP121" s="32"/>
      <c r="IQ121" s="32"/>
    </row>
    <row r="122" spans="1:251" s="33" customFormat="1">
      <c r="A122" s="80"/>
      <c r="B122" s="32"/>
      <c r="C122" s="32"/>
      <c r="D122" s="51"/>
      <c r="E122" s="51"/>
      <c r="F122" s="51"/>
      <c r="G122" s="51"/>
      <c r="H122" s="51"/>
      <c r="I122" s="51"/>
      <c r="J122" s="263"/>
      <c r="K122" s="263"/>
      <c r="L122" s="263"/>
      <c r="M122" s="263"/>
      <c r="N122" s="263"/>
      <c r="O122" s="263"/>
      <c r="P122" s="263"/>
      <c r="Q122" s="263"/>
      <c r="R122" s="263"/>
      <c r="S122" s="263"/>
      <c r="T122" s="118"/>
      <c r="U122" s="118"/>
      <c r="V122" s="118"/>
      <c r="W122" s="118"/>
      <c r="X122" s="118"/>
      <c r="Y122" s="118"/>
      <c r="Z122" s="118"/>
      <c r="AA122" s="118"/>
      <c r="AB122" s="118"/>
      <c r="AC122" s="118"/>
      <c r="AD122" s="118"/>
      <c r="AE122" s="118"/>
      <c r="AF122" s="118"/>
      <c r="AG122" s="118"/>
      <c r="AH122" s="43"/>
      <c r="AI122" s="43"/>
      <c r="AJ122" s="43"/>
      <c r="AK122" s="43"/>
      <c r="AL122" s="43"/>
      <c r="AM122" s="43"/>
      <c r="AN122" s="43"/>
      <c r="AO122" s="43"/>
      <c r="AP122" s="43"/>
      <c r="AQ122" s="43"/>
      <c r="AR122" s="43"/>
      <c r="AS122" s="43"/>
      <c r="AT122" s="43"/>
      <c r="AU122" s="43"/>
      <c r="AV122" s="43"/>
      <c r="AW122" s="43"/>
      <c r="AX122" s="43"/>
      <c r="AY122" s="43"/>
      <c r="AZ122" s="43"/>
      <c r="BA122" s="43"/>
      <c r="BB122" s="43"/>
      <c r="BC122" s="43"/>
      <c r="BD122" s="43"/>
      <c r="BE122" s="43"/>
      <c r="BF122" s="43"/>
      <c r="BG122" s="43"/>
      <c r="BH122" s="43"/>
      <c r="BI122" s="43"/>
      <c r="BJ122" s="43"/>
      <c r="BK122" s="43"/>
      <c r="BL122" s="43"/>
      <c r="BM122" s="43"/>
      <c r="BN122" s="43"/>
      <c r="BO122" s="43"/>
      <c r="BP122" s="43"/>
      <c r="BQ122" s="43"/>
      <c r="BR122" s="43"/>
      <c r="BS122" s="43"/>
      <c r="BT122" s="43"/>
      <c r="BU122" s="43"/>
      <c r="BV122" s="43"/>
      <c r="BW122" s="43"/>
      <c r="BX122" s="43"/>
      <c r="BY122" s="43"/>
      <c r="BZ122" s="43"/>
      <c r="CA122" s="43"/>
      <c r="CB122" s="43"/>
      <c r="CC122" s="43"/>
      <c r="CD122" s="43"/>
      <c r="CE122" s="43"/>
      <c r="CF122" s="43"/>
      <c r="CG122" s="43"/>
      <c r="CH122" s="43"/>
      <c r="CI122" s="43"/>
      <c r="CJ122" s="43"/>
      <c r="CK122" s="43"/>
      <c r="CL122" s="43"/>
      <c r="CM122" s="43"/>
      <c r="CN122" s="43"/>
      <c r="CO122" s="43"/>
      <c r="CP122" s="43"/>
      <c r="CQ122" s="43"/>
      <c r="CR122" s="43"/>
      <c r="CS122" s="43"/>
      <c r="CT122" s="43"/>
      <c r="CU122" s="43"/>
      <c r="CV122" s="43"/>
      <c r="CW122" s="43"/>
      <c r="CX122" s="43"/>
      <c r="CY122" s="43"/>
      <c r="CZ122" s="43"/>
      <c r="DA122" s="43"/>
      <c r="DB122" s="43"/>
      <c r="DC122" s="43"/>
      <c r="DD122" s="43"/>
      <c r="DE122" s="43"/>
      <c r="DF122" s="43"/>
      <c r="DG122" s="43"/>
      <c r="DH122" s="43"/>
      <c r="DI122" s="43"/>
      <c r="DJ122" s="43"/>
      <c r="DK122" s="43"/>
      <c r="DL122" s="43"/>
      <c r="DM122" s="43"/>
      <c r="DN122" s="43"/>
      <c r="DO122" s="43"/>
      <c r="DP122" s="43"/>
      <c r="DQ122" s="43"/>
      <c r="DR122" s="43"/>
      <c r="DS122" s="43"/>
      <c r="DT122" s="43"/>
      <c r="DU122" s="43"/>
      <c r="DV122" s="43"/>
      <c r="DW122" s="43"/>
      <c r="DX122" s="43"/>
      <c r="DY122" s="43"/>
      <c r="DZ122" s="43"/>
      <c r="EA122" s="43"/>
      <c r="EB122" s="43"/>
      <c r="EC122" s="43"/>
      <c r="ED122" s="43"/>
      <c r="EE122" s="43"/>
      <c r="EF122" s="43"/>
      <c r="EG122" s="43"/>
      <c r="EH122" s="43"/>
      <c r="EI122" s="43"/>
      <c r="EJ122" s="43"/>
      <c r="EK122" s="43"/>
      <c r="EL122" s="43"/>
      <c r="EM122" s="43"/>
      <c r="EN122" s="43"/>
      <c r="EO122" s="43"/>
      <c r="EP122" s="43"/>
      <c r="EQ122" s="43"/>
      <c r="ER122" s="43"/>
      <c r="ES122" s="43"/>
      <c r="ET122" s="43"/>
      <c r="EU122" s="43"/>
      <c r="EV122" s="43"/>
      <c r="EW122" s="43"/>
      <c r="EX122" s="43"/>
      <c r="EY122" s="43"/>
      <c r="EZ122" s="43"/>
      <c r="FA122" s="43"/>
      <c r="FB122" s="43"/>
      <c r="FC122" s="43"/>
      <c r="FD122" s="43"/>
      <c r="FE122" s="43"/>
      <c r="FF122" s="43"/>
      <c r="FG122" s="43"/>
      <c r="FH122" s="43"/>
      <c r="FI122" s="43"/>
      <c r="FJ122" s="43"/>
      <c r="FK122" s="43"/>
      <c r="FL122" s="43"/>
      <c r="FM122" s="43"/>
      <c r="FN122" s="43"/>
      <c r="FO122" s="43"/>
      <c r="FP122" s="43"/>
      <c r="FQ122" s="43"/>
      <c r="FR122" s="43"/>
      <c r="FS122" s="43"/>
      <c r="FT122" s="43"/>
      <c r="FU122" s="43"/>
      <c r="FV122" s="43"/>
      <c r="FW122" s="43"/>
      <c r="FX122" s="43"/>
      <c r="FY122" s="43"/>
      <c r="FZ122" s="43"/>
      <c r="GA122" s="43"/>
      <c r="GB122" s="43"/>
      <c r="GC122" s="43"/>
      <c r="GD122" s="43"/>
      <c r="GE122" s="43"/>
      <c r="GF122" s="43"/>
      <c r="GG122" s="43"/>
      <c r="GH122" s="43"/>
      <c r="GI122" s="43"/>
      <c r="GJ122" s="43"/>
      <c r="GK122" s="43"/>
      <c r="GL122" s="43"/>
      <c r="GM122" s="43"/>
      <c r="GN122" s="43"/>
      <c r="GO122" s="43"/>
      <c r="GP122" s="43"/>
      <c r="GQ122" s="43"/>
      <c r="GR122" s="43"/>
      <c r="GS122" s="43"/>
      <c r="GT122" s="43"/>
      <c r="GU122" s="43"/>
      <c r="GV122" s="43"/>
      <c r="GW122" s="43"/>
      <c r="GX122" s="43"/>
      <c r="GY122" s="43"/>
      <c r="GZ122" s="43"/>
      <c r="HA122" s="43"/>
      <c r="HB122" s="43"/>
      <c r="HC122" s="43"/>
      <c r="HD122" s="43"/>
      <c r="HE122" s="43"/>
      <c r="HF122" s="43"/>
      <c r="HG122" s="43"/>
      <c r="HH122" s="43"/>
      <c r="HI122" s="43"/>
      <c r="HJ122" s="43"/>
      <c r="HK122" s="43"/>
      <c r="HL122" s="43"/>
      <c r="HM122" s="43"/>
      <c r="HN122" s="43"/>
      <c r="HO122" s="43"/>
      <c r="HP122" s="43"/>
      <c r="HQ122" s="43"/>
      <c r="HR122"/>
      <c r="HS122"/>
      <c r="HT122"/>
      <c r="HU122"/>
      <c r="HV122"/>
      <c r="HW122"/>
      <c r="HX122"/>
      <c r="HY122"/>
      <c r="HZ122"/>
      <c r="IA122"/>
      <c r="IB122"/>
      <c r="IC122"/>
      <c r="ID122"/>
      <c r="IE122"/>
      <c r="IF122"/>
      <c r="IG122"/>
      <c r="IH122"/>
      <c r="II122"/>
      <c r="IJ122"/>
      <c r="IK122" s="32"/>
      <c r="IL122" s="32"/>
      <c r="IM122" s="32"/>
      <c r="IN122" s="32"/>
      <c r="IO122" s="32"/>
      <c r="IP122" s="32"/>
      <c r="IQ122" s="32"/>
    </row>
    <row r="123" spans="1:251" s="33" customFormat="1">
      <c r="A123" s="80"/>
      <c r="B123" s="32"/>
      <c r="C123" s="32"/>
      <c r="D123" s="51"/>
      <c r="E123" s="51"/>
      <c r="F123" s="51"/>
      <c r="G123" s="51"/>
      <c r="H123" s="51"/>
      <c r="I123" s="51"/>
      <c r="J123" s="263"/>
      <c r="K123" s="263"/>
      <c r="L123" s="263"/>
      <c r="M123" s="263"/>
      <c r="N123" s="263"/>
      <c r="O123" s="263"/>
      <c r="P123" s="263"/>
      <c r="Q123" s="263"/>
      <c r="R123" s="263"/>
      <c r="S123" s="263"/>
      <c r="T123" s="118"/>
      <c r="U123" s="118"/>
      <c r="V123" s="118"/>
      <c r="W123" s="118"/>
      <c r="X123" s="118"/>
      <c r="Y123" s="118"/>
      <c r="Z123" s="118"/>
      <c r="AA123" s="118"/>
      <c r="AB123" s="118"/>
      <c r="AC123" s="118"/>
      <c r="AD123" s="118"/>
      <c r="AE123" s="118"/>
      <c r="AF123" s="118"/>
      <c r="AG123" s="118"/>
      <c r="AH123" s="43"/>
      <c r="AI123" s="43"/>
      <c r="AJ123" s="43"/>
      <c r="AK123" s="43"/>
      <c r="AL123" s="43"/>
      <c r="AM123" s="43"/>
      <c r="AN123" s="43"/>
      <c r="AO123" s="43"/>
      <c r="AP123" s="43"/>
      <c r="AQ123" s="43"/>
      <c r="AR123" s="43"/>
      <c r="AS123" s="43"/>
      <c r="AT123" s="43"/>
      <c r="AU123" s="43"/>
      <c r="AV123" s="43"/>
      <c r="AW123" s="43"/>
      <c r="AX123" s="43"/>
      <c r="AY123" s="43"/>
      <c r="AZ123" s="43"/>
      <c r="BA123" s="43"/>
      <c r="BB123" s="43"/>
      <c r="BC123" s="43"/>
      <c r="BD123" s="43"/>
      <c r="BE123" s="43"/>
      <c r="BF123" s="43"/>
      <c r="BG123" s="43"/>
      <c r="BH123" s="43"/>
      <c r="BI123" s="43"/>
      <c r="BJ123" s="43"/>
      <c r="BK123" s="43"/>
      <c r="BL123" s="43"/>
      <c r="BM123" s="43"/>
      <c r="BN123" s="43"/>
      <c r="BO123" s="43"/>
      <c r="BP123" s="43"/>
      <c r="BQ123" s="43"/>
      <c r="BR123" s="43"/>
      <c r="BS123" s="43"/>
      <c r="BT123" s="43"/>
      <c r="BU123" s="43"/>
      <c r="BV123" s="43"/>
      <c r="BW123" s="43"/>
      <c r="BX123" s="43"/>
      <c r="BY123" s="43"/>
      <c r="BZ123" s="43"/>
      <c r="CA123" s="43"/>
      <c r="CB123" s="43"/>
      <c r="CC123" s="43"/>
      <c r="CD123" s="43"/>
      <c r="CE123" s="43"/>
      <c r="CF123" s="43"/>
      <c r="CG123" s="43"/>
      <c r="CH123" s="43"/>
      <c r="CI123" s="43"/>
      <c r="CJ123" s="43"/>
      <c r="CK123" s="43"/>
      <c r="CL123" s="43"/>
      <c r="CM123" s="43"/>
      <c r="CN123" s="43"/>
      <c r="CO123" s="43"/>
      <c r="CP123" s="43"/>
      <c r="CQ123" s="43"/>
      <c r="CR123" s="43"/>
      <c r="CS123" s="43"/>
      <c r="CT123" s="43"/>
      <c r="CU123" s="43"/>
      <c r="CV123" s="43"/>
      <c r="CW123" s="43"/>
      <c r="CX123" s="43"/>
      <c r="CY123" s="43"/>
      <c r="CZ123" s="43"/>
      <c r="DA123" s="43"/>
      <c r="DB123" s="43"/>
      <c r="DC123" s="43"/>
      <c r="DD123" s="43"/>
      <c r="DE123" s="43"/>
      <c r="DF123" s="43"/>
      <c r="DG123" s="43"/>
      <c r="DH123" s="43"/>
      <c r="DI123" s="43"/>
      <c r="DJ123" s="43"/>
      <c r="DK123" s="43"/>
      <c r="DL123" s="43"/>
      <c r="DM123" s="43"/>
      <c r="DN123" s="43"/>
      <c r="DO123" s="43"/>
      <c r="DP123" s="43"/>
      <c r="DQ123" s="43"/>
      <c r="DR123" s="43"/>
      <c r="DS123" s="43"/>
      <c r="DT123" s="43"/>
      <c r="DU123" s="43"/>
      <c r="DV123" s="43"/>
      <c r="DW123" s="43"/>
      <c r="DX123" s="43"/>
      <c r="DY123" s="43"/>
      <c r="DZ123" s="43"/>
      <c r="EA123" s="43"/>
      <c r="EB123" s="43"/>
      <c r="EC123" s="43"/>
      <c r="ED123" s="43"/>
      <c r="EE123" s="43"/>
      <c r="EF123" s="43"/>
      <c r="EG123" s="43"/>
      <c r="EH123" s="43"/>
      <c r="EI123" s="43"/>
      <c r="EJ123" s="43"/>
      <c r="EK123" s="43"/>
      <c r="EL123" s="43"/>
      <c r="EM123" s="43"/>
      <c r="EN123" s="43"/>
      <c r="EO123" s="43"/>
      <c r="EP123" s="43"/>
      <c r="EQ123" s="43"/>
      <c r="ER123" s="43"/>
      <c r="ES123" s="43"/>
      <c r="ET123" s="43"/>
      <c r="EU123" s="43"/>
      <c r="EV123" s="43"/>
      <c r="EW123" s="43"/>
      <c r="EX123" s="43"/>
      <c r="EY123" s="43"/>
      <c r="EZ123" s="43"/>
      <c r="FA123" s="43"/>
      <c r="FB123" s="43"/>
      <c r="FC123" s="43"/>
      <c r="FD123" s="43"/>
      <c r="FE123" s="43"/>
      <c r="FF123" s="43"/>
      <c r="FG123" s="43"/>
      <c r="FH123" s="43"/>
      <c r="FI123" s="43"/>
      <c r="FJ123" s="43"/>
      <c r="FK123" s="43"/>
      <c r="FL123" s="43"/>
      <c r="FM123" s="43"/>
      <c r="FN123" s="43"/>
      <c r="FO123" s="43"/>
      <c r="FP123" s="43"/>
      <c r="FQ123" s="43"/>
      <c r="FR123" s="43"/>
      <c r="FS123" s="43"/>
      <c r="FT123" s="43"/>
      <c r="FU123" s="43"/>
      <c r="FV123" s="43"/>
      <c r="FW123" s="43"/>
      <c r="FX123" s="43"/>
      <c r="FY123" s="43"/>
      <c r="FZ123" s="43"/>
      <c r="GA123" s="43"/>
      <c r="GB123" s="43"/>
      <c r="GC123" s="43"/>
      <c r="GD123" s="43"/>
      <c r="GE123" s="43"/>
      <c r="GF123" s="43"/>
      <c r="GG123" s="43"/>
      <c r="GH123" s="43"/>
      <c r="GI123" s="43"/>
      <c r="GJ123" s="43"/>
      <c r="GK123" s="43"/>
      <c r="GL123" s="43"/>
      <c r="GM123" s="43"/>
      <c r="GN123" s="43"/>
      <c r="GO123" s="43"/>
      <c r="GP123" s="43"/>
      <c r="GQ123" s="43"/>
      <c r="GR123" s="43"/>
      <c r="GS123" s="43"/>
      <c r="GT123" s="43"/>
      <c r="GU123" s="43"/>
      <c r="GV123" s="43"/>
      <c r="GW123" s="43"/>
      <c r="GX123" s="43"/>
      <c r="GY123" s="43"/>
      <c r="GZ123" s="43"/>
      <c r="HA123" s="43"/>
      <c r="HB123" s="43"/>
      <c r="HC123" s="43"/>
      <c r="HD123" s="43"/>
      <c r="HE123" s="43"/>
      <c r="HF123" s="43"/>
      <c r="HG123" s="43"/>
      <c r="HH123" s="43"/>
      <c r="HI123" s="43"/>
      <c r="HJ123" s="43"/>
      <c r="HK123" s="43"/>
      <c r="HL123" s="43"/>
      <c r="HM123" s="43"/>
      <c r="HN123" s="43"/>
      <c r="HO123" s="43"/>
      <c r="HP123" s="43"/>
      <c r="HQ123" s="43"/>
      <c r="HR123"/>
      <c r="HS123"/>
      <c r="HT123"/>
      <c r="HU123"/>
      <c r="HV123"/>
      <c r="HW123"/>
      <c r="HX123"/>
      <c r="HY123"/>
      <c r="HZ123"/>
      <c r="IA123"/>
      <c r="IB123"/>
      <c r="IC123"/>
      <c r="ID123"/>
      <c r="IE123"/>
      <c r="IF123"/>
      <c r="IG123"/>
      <c r="IH123"/>
      <c r="II123"/>
      <c r="IJ123"/>
      <c r="IK123" s="32"/>
      <c r="IL123" s="32"/>
      <c r="IM123" s="32"/>
      <c r="IN123" s="32"/>
      <c r="IO123" s="32"/>
      <c r="IP123" s="32"/>
      <c r="IQ123" s="32"/>
    </row>
    <row r="124" spans="1:251" s="33" customFormat="1">
      <c r="A124" s="219" t="s">
        <v>12</v>
      </c>
      <c r="B124" s="215"/>
      <c r="C124" s="215"/>
      <c r="D124" s="265"/>
      <c r="E124" s="265"/>
      <c r="F124" s="265"/>
      <c r="G124" s="265"/>
      <c r="H124" s="265"/>
      <c r="I124" s="265"/>
      <c r="J124" s="266"/>
      <c r="K124" s="266"/>
      <c r="L124" s="266"/>
      <c r="M124" s="266"/>
      <c r="N124" s="266"/>
      <c r="O124" s="266"/>
      <c r="P124" s="266"/>
      <c r="Q124" s="266"/>
      <c r="R124" s="266"/>
      <c r="S124" s="266"/>
      <c r="T124" s="267"/>
      <c r="U124" s="267"/>
      <c r="V124" s="267"/>
      <c r="W124" s="267"/>
      <c r="X124" s="267"/>
      <c r="Y124" s="267"/>
      <c r="Z124" s="267"/>
      <c r="AA124" s="267"/>
      <c r="AB124" s="267"/>
      <c r="AC124" s="267"/>
      <c r="AD124" s="267"/>
      <c r="AE124" s="267"/>
      <c r="AF124" s="267"/>
      <c r="AG124" s="267"/>
      <c r="AH124" s="43"/>
      <c r="AI124" s="43"/>
      <c r="AJ124" s="43"/>
      <c r="AK124" s="43"/>
      <c r="AL124" s="43"/>
      <c r="AM124" s="43"/>
      <c r="AN124" s="43"/>
      <c r="AO124" s="43"/>
      <c r="AP124" s="43"/>
      <c r="AQ124" s="43"/>
      <c r="AR124" s="43"/>
      <c r="AS124" s="43"/>
      <c r="AT124" s="43"/>
      <c r="AU124" s="43"/>
      <c r="AV124" s="43"/>
      <c r="AW124" s="43"/>
      <c r="AX124" s="43"/>
      <c r="AY124" s="43"/>
      <c r="AZ124" s="43"/>
      <c r="BA124" s="43"/>
      <c r="BB124" s="43"/>
      <c r="BC124" s="43"/>
      <c r="BD124" s="43"/>
      <c r="BE124" s="43"/>
      <c r="BF124" s="43"/>
      <c r="BG124" s="43"/>
      <c r="BH124" s="43"/>
      <c r="BI124" s="43"/>
      <c r="BJ124" s="43"/>
      <c r="BK124" s="43"/>
      <c r="BL124" s="43"/>
      <c r="BM124" s="43"/>
      <c r="BN124" s="43"/>
      <c r="BO124" s="43"/>
      <c r="BP124" s="43"/>
      <c r="BQ124" s="43"/>
      <c r="BR124" s="43"/>
      <c r="BS124" s="43"/>
      <c r="BT124" s="43"/>
      <c r="BU124" s="43"/>
      <c r="BV124" s="43"/>
      <c r="BW124" s="43"/>
      <c r="BX124" s="43"/>
      <c r="BY124" s="43"/>
      <c r="BZ124" s="43"/>
      <c r="CA124" s="43"/>
      <c r="CB124" s="43"/>
      <c r="CC124" s="43"/>
      <c r="CD124" s="43"/>
      <c r="CE124" s="43"/>
      <c r="CF124" s="43"/>
      <c r="CG124" s="43"/>
      <c r="CH124" s="43"/>
      <c r="CI124" s="43"/>
      <c r="CJ124" s="43"/>
      <c r="CK124" s="43"/>
      <c r="CL124" s="43"/>
      <c r="CM124" s="43"/>
      <c r="CN124" s="43"/>
      <c r="CO124" s="43"/>
      <c r="CP124" s="43"/>
      <c r="CQ124" s="43"/>
      <c r="CR124" s="43"/>
      <c r="CS124" s="43"/>
      <c r="CT124" s="43"/>
      <c r="CU124" s="43"/>
      <c r="CV124" s="43"/>
      <c r="CW124" s="43"/>
      <c r="CX124" s="43"/>
      <c r="CY124" s="43"/>
      <c r="CZ124" s="43"/>
      <c r="DA124" s="43"/>
      <c r="DB124" s="43"/>
      <c r="DC124" s="43"/>
      <c r="DD124" s="43"/>
      <c r="DE124" s="43"/>
      <c r="DF124" s="43"/>
      <c r="DG124" s="43"/>
      <c r="DH124" s="43"/>
      <c r="DI124" s="43"/>
      <c r="DJ124" s="43"/>
      <c r="DK124" s="43"/>
      <c r="DL124" s="43"/>
      <c r="DM124" s="43"/>
      <c r="DN124" s="43"/>
      <c r="DO124" s="43"/>
      <c r="DP124" s="43"/>
      <c r="DQ124" s="43"/>
      <c r="DR124" s="43"/>
      <c r="DS124" s="43"/>
      <c r="DT124" s="43"/>
      <c r="DU124" s="43"/>
      <c r="DV124" s="43"/>
      <c r="DW124" s="43"/>
      <c r="DX124" s="43"/>
      <c r="DY124" s="43"/>
      <c r="DZ124" s="43"/>
      <c r="EA124" s="43"/>
      <c r="EB124" s="43"/>
      <c r="EC124" s="43"/>
      <c r="ED124" s="43"/>
      <c r="EE124" s="43"/>
      <c r="EF124" s="43"/>
      <c r="EG124" s="43"/>
      <c r="EH124" s="43"/>
      <c r="EI124" s="43"/>
      <c r="EJ124" s="43"/>
      <c r="EK124" s="43"/>
      <c r="EL124" s="43"/>
      <c r="EM124" s="43"/>
      <c r="EN124" s="43"/>
      <c r="EO124" s="43"/>
      <c r="EP124" s="43"/>
      <c r="EQ124" s="43"/>
      <c r="ER124" s="43"/>
      <c r="ES124" s="43"/>
      <c r="ET124" s="43"/>
      <c r="EU124" s="43"/>
      <c r="EV124" s="43"/>
      <c r="EW124" s="43"/>
      <c r="EX124" s="43"/>
      <c r="EY124" s="43"/>
      <c r="EZ124" s="43"/>
      <c r="FA124" s="43"/>
      <c r="FB124" s="43"/>
      <c r="FC124" s="43"/>
      <c r="FD124" s="43"/>
      <c r="FE124" s="43"/>
      <c r="FF124" s="43"/>
      <c r="FG124" s="43"/>
      <c r="FH124" s="43"/>
      <c r="FI124" s="43"/>
      <c r="FJ124" s="43"/>
      <c r="FK124" s="43"/>
      <c r="FL124" s="43"/>
      <c r="FM124" s="43"/>
      <c r="FN124" s="43"/>
      <c r="FO124" s="43"/>
      <c r="FP124" s="43"/>
      <c r="FQ124" s="43"/>
      <c r="FR124" s="43"/>
      <c r="FS124" s="43"/>
      <c r="FT124" s="43"/>
      <c r="FU124" s="43"/>
      <c r="FV124" s="43"/>
      <c r="FW124" s="43"/>
      <c r="FX124" s="43"/>
      <c r="FY124" s="43"/>
      <c r="FZ124" s="43"/>
      <c r="GA124" s="43"/>
      <c r="GB124" s="43"/>
      <c r="GC124" s="43"/>
      <c r="GD124" s="43"/>
      <c r="GE124" s="43"/>
      <c r="GF124" s="43"/>
      <c r="GG124" s="43"/>
      <c r="GH124" s="43"/>
      <c r="GI124" s="43"/>
      <c r="GJ124" s="43"/>
      <c r="GK124" s="43"/>
      <c r="GL124" s="43"/>
      <c r="GM124" s="43"/>
      <c r="GN124" s="43"/>
      <c r="GO124" s="43"/>
      <c r="GP124" s="43"/>
      <c r="GQ124" s="43"/>
      <c r="GR124" s="43"/>
      <c r="GS124" s="43"/>
      <c r="GT124" s="43"/>
      <c r="GU124" s="43"/>
      <c r="GV124" s="43"/>
      <c r="GW124" s="43"/>
      <c r="GX124" s="43"/>
      <c r="GY124" s="43"/>
      <c r="GZ124" s="43"/>
      <c r="HA124" s="43"/>
      <c r="HB124" s="43"/>
      <c r="HC124" s="43"/>
      <c r="HD124" s="43"/>
      <c r="HE124" s="43"/>
      <c r="HF124" s="43"/>
      <c r="HG124" s="43"/>
      <c r="HH124" s="43"/>
      <c r="HI124" s="43"/>
      <c r="HJ124" s="43"/>
      <c r="HK124" s="43"/>
      <c r="HL124" s="43"/>
      <c r="HM124" s="43"/>
      <c r="HN124" s="43"/>
      <c r="HO124" s="43"/>
      <c r="HP124" s="43"/>
      <c r="HQ124" s="43"/>
      <c r="HR124"/>
      <c r="HS124"/>
      <c r="HT124"/>
      <c r="HU124"/>
      <c r="HV124"/>
      <c r="HW124"/>
      <c r="HX124"/>
      <c r="HY124"/>
      <c r="HZ124"/>
      <c r="IA124"/>
      <c r="IB124"/>
      <c r="IC124"/>
      <c r="ID124"/>
      <c r="IE124"/>
      <c r="IF124"/>
      <c r="IG124"/>
      <c r="IH124"/>
      <c r="II124"/>
      <c r="IJ124"/>
      <c r="IK124" s="32"/>
      <c r="IL124" s="32"/>
      <c r="IM124" s="32"/>
      <c r="IN124" s="32"/>
      <c r="IO124" s="32"/>
      <c r="IP124" s="32"/>
      <c r="IQ124" s="32"/>
    </row>
    <row r="125" spans="1:251" s="33" customFormat="1">
      <c r="A125" s="34"/>
      <c r="B125" s="32"/>
      <c r="C125" s="32"/>
      <c r="D125" s="51"/>
      <c r="E125" s="51"/>
      <c r="F125" s="51"/>
      <c r="G125" s="51"/>
      <c r="H125" s="51"/>
      <c r="I125" s="51"/>
      <c r="J125" s="263"/>
      <c r="K125" s="263"/>
      <c r="L125" s="263"/>
      <c r="M125" s="263"/>
      <c r="N125" s="263"/>
      <c r="O125" s="263"/>
      <c r="P125" s="263"/>
      <c r="Q125" s="263"/>
      <c r="R125" s="263"/>
      <c r="S125" s="263"/>
      <c r="T125" s="118"/>
      <c r="U125" s="118"/>
      <c r="V125" s="118"/>
      <c r="W125" s="118"/>
      <c r="X125" s="118"/>
      <c r="Y125" s="118"/>
      <c r="Z125" s="118"/>
      <c r="AA125" s="118"/>
      <c r="AB125" s="118"/>
      <c r="AC125" s="118"/>
      <c r="AD125" s="118"/>
      <c r="AE125" s="118"/>
      <c r="AF125" s="118"/>
      <c r="AG125" s="118"/>
      <c r="AH125" s="43"/>
      <c r="AI125" s="43"/>
      <c r="AJ125" s="43"/>
      <c r="AK125" s="43"/>
      <c r="AL125" s="43"/>
      <c r="AM125" s="43"/>
      <c r="AN125" s="43"/>
      <c r="AO125" s="43"/>
      <c r="AP125" s="43"/>
      <c r="AQ125" s="43"/>
      <c r="AR125" s="43"/>
      <c r="AS125" s="43"/>
      <c r="AT125" s="43"/>
      <c r="AU125" s="43"/>
      <c r="AV125" s="43"/>
      <c r="AW125" s="43"/>
      <c r="AX125" s="43"/>
      <c r="AY125" s="43"/>
      <c r="AZ125" s="43"/>
      <c r="BA125" s="43"/>
      <c r="BB125" s="43"/>
      <c r="BC125" s="43"/>
      <c r="BD125" s="43"/>
      <c r="BE125" s="43"/>
      <c r="BF125" s="43"/>
      <c r="BG125" s="43"/>
      <c r="BH125" s="43"/>
      <c r="BI125" s="43"/>
      <c r="BJ125" s="43"/>
      <c r="BK125" s="43"/>
      <c r="BL125" s="43"/>
      <c r="BM125" s="43"/>
      <c r="BN125" s="43"/>
      <c r="BO125" s="43"/>
      <c r="BP125" s="43"/>
      <c r="BQ125" s="43"/>
      <c r="BR125" s="43"/>
      <c r="BS125" s="43"/>
      <c r="BT125" s="43"/>
      <c r="BU125" s="43"/>
      <c r="BV125" s="43"/>
      <c r="BW125" s="43"/>
      <c r="BX125" s="43"/>
      <c r="BY125" s="43"/>
      <c r="BZ125" s="43"/>
      <c r="CA125" s="43"/>
      <c r="CB125" s="43"/>
      <c r="CC125" s="43"/>
      <c r="CD125" s="43"/>
      <c r="CE125" s="43"/>
      <c r="CF125" s="43"/>
      <c r="CG125" s="43"/>
      <c r="CH125" s="43"/>
      <c r="CI125" s="43"/>
      <c r="CJ125" s="43"/>
      <c r="CK125" s="43"/>
      <c r="CL125" s="43"/>
      <c r="CM125" s="43"/>
      <c r="CN125" s="43"/>
      <c r="CO125" s="43"/>
      <c r="CP125" s="43"/>
      <c r="CQ125" s="43"/>
      <c r="CR125" s="43"/>
      <c r="CS125" s="43"/>
      <c r="CT125" s="43"/>
      <c r="CU125" s="43"/>
      <c r="CV125" s="43"/>
      <c r="CW125" s="43"/>
      <c r="CX125" s="43"/>
      <c r="CY125" s="43"/>
      <c r="CZ125" s="43"/>
      <c r="DA125" s="43"/>
      <c r="DB125" s="43"/>
      <c r="DC125" s="43"/>
      <c r="DD125" s="43"/>
      <c r="DE125" s="43"/>
      <c r="DF125" s="43"/>
      <c r="DG125" s="43"/>
      <c r="DH125" s="43"/>
      <c r="DI125" s="43"/>
      <c r="DJ125" s="43"/>
      <c r="DK125" s="43"/>
      <c r="DL125" s="43"/>
      <c r="DM125" s="43"/>
      <c r="DN125" s="43"/>
      <c r="DO125" s="43"/>
      <c r="DP125" s="43"/>
      <c r="DQ125" s="43"/>
      <c r="DR125" s="43"/>
      <c r="DS125" s="43"/>
      <c r="DT125" s="43"/>
      <c r="DU125" s="43"/>
      <c r="DV125" s="43"/>
      <c r="DW125" s="43"/>
      <c r="DX125" s="43"/>
      <c r="DY125" s="43"/>
      <c r="DZ125" s="43"/>
      <c r="EA125" s="43"/>
      <c r="EB125" s="43"/>
      <c r="EC125" s="43"/>
      <c r="ED125" s="43"/>
      <c r="EE125" s="43"/>
      <c r="EF125" s="43"/>
      <c r="EG125" s="43"/>
      <c r="EH125" s="43"/>
      <c r="EI125" s="43"/>
      <c r="EJ125" s="43"/>
      <c r="EK125" s="43"/>
      <c r="EL125" s="43"/>
      <c r="EM125" s="43"/>
      <c r="EN125" s="43"/>
      <c r="EO125" s="43"/>
      <c r="EP125" s="43"/>
      <c r="EQ125" s="43"/>
      <c r="ER125" s="43"/>
      <c r="ES125" s="43"/>
      <c r="ET125" s="43"/>
      <c r="EU125" s="43"/>
      <c r="EV125" s="43"/>
      <c r="EW125" s="43"/>
      <c r="EX125" s="43"/>
      <c r="EY125" s="43"/>
      <c r="EZ125" s="43"/>
      <c r="FA125" s="43"/>
      <c r="FB125" s="43"/>
      <c r="FC125" s="43"/>
      <c r="FD125" s="43"/>
      <c r="FE125" s="43"/>
      <c r="FF125" s="43"/>
      <c r="FG125" s="43"/>
      <c r="FH125" s="43"/>
      <c r="FI125" s="43"/>
      <c r="FJ125" s="43"/>
      <c r="FK125" s="43"/>
      <c r="FL125" s="43"/>
      <c r="FM125" s="43"/>
      <c r="FN125" s="43"/>
      <c r="FO125" s="43"/>
      <c r="FP125" s="43"/>
      <c r="FQ125" s="43"/>
      <c r="FR125" s="43"/>
      <c r="FS125" s="43"/>
      <c r="FT125" s="43"/>
      <c r="FU125" s="43"/>
      <c r="FV125" s="43"/>
      <c r="FW125" s="43"/>
      <c r="FX125" s="43"/>
      <c r="FY125" s="43"/>
      <c r="FZ125" s="43"/>
      <c r="GA125" s="43"/>
      <c r="GB125" s="43"/>
      <c r="GC125" s="43"/>
      <c r="GD125" s="43"/>
      <c r="GE125" s="43"/>
      <c r="GF125" s="43"/>
      <c r="GG125" s="43"/>
      <c r="GH125" s="43"/>
      <c r="GI125" s="43"/>
      <c r="GJ125" s="43"/>
      <c r="GK125" s="43"/>
      <c r="GL125" s="43"/>
      <c r="GM125" s="43"/>
      <c r="GN125" s="43"/>
      <c r="GO125" s="43"/>
      <c r="GP125" s="43"/>
      <c r="GQ125" s="43"/>
      <c r="GR125" s="43"/>
      <c r="GS125" s="43"/>
      <c r="GT125" s="43"/>
      <c r="GU125" s="43"/>
      <c r="GV125" s="43"/>
      <c r="GW125" s="43"/>
      <c r="GX125" s="43"/>
      <c r="GY125" s="43"/>
      <c r="GZ125" s="43"/>
      <c r="HA125" s="43"/>
      <c r="HB125" s="43"/>
      <c r="HC125" s="43"/>
      <c r="HD125" s="43"/>
      <c r="HE125" s="43"/>
      <c r="HF125" s="43"/>
      <c r="HG125" s="43"/>
      <c r="HH125" s="43"/>
      <c r="HI125" s="43"/>
      <c r="HJ125" s="43"/>
      <c r="HK125" s="43"/>
      <c r="HL125" s="43"/>
      <c r="HM125" s="43"/>
      <c r="HN125" s="43"/>
      <c r="HO125" s="43"/>
      <c r="HP125" s="43"/>
      <c r="HQ125" s="43"/>
      <c r="HR125"/>
      <c r="HS125"/>
      <c r="HT125"/>
      <c r="HU125"/>
      <c r="HV125"/>
      <c r="HW125"/>
      <c r="HX125"/>
      <c r="HY125"/>
      <c r="HZ125"/>
      <c r="IA125"/>
      <c r="IB125"/>
      <c r="IC125"/>
      <c r="ID125"/>
      <c r="IE125"/>
      <c r="IF125"/>
      <c r="IG125"/>
      <c r="IH125"/>
      <c r="II125"/>
      <c r="IJ125"/>
      <c r="IK125" s="32"/>
      <c r="IL125" s="32"/>
      <c r="IM125" s="32"/>
      <c r="IN125" s="32"/>
      <c r="IO125" s="32"/>
      <c r="IP125" s="32"/>
      <c r="IQ125" s="32"/>
    </row>
    <row r="126" spans="1:251" s="33" customFormat="1">
      <c r="A126" s="34" t="s">
        <v>13</v>
      </c>
      <c r="B126" s="32"/>
      <c r="C126" s="32"/>
      <c r="D126" s="51"/>
      <c r="E126" s="51"/>
      <c r="F126" s="51"/>
      <c r="G126" s="51"/>
      <c r="H126" s="51"/>
      <c r="I126" s="51"/>
      <c r="J126" s="263"/>
      <c r="K126" s="263"/>
      <c r="L126" s="263"/>
      <c r="M126" s="263"/>
      <c r="N126" s="263"/>
      <c r="O126" s="263"/>
      <c r="P126" s="263"/>
      <c r="Q126" s="263"/>
      <c r="R126" s="263"/>
      <c r="S126" s="263"/>
      <c r="T126" s="118"/>
      <c r="U126" s="118"/>
      <c r="V126" s="118"/>
      <c r="W126" s="118"/>
      <c r="X126" s="118"/>
      <c r="Y126" s="118"/>
      <c r="Z126" s="118"/>
      <c r="AA126" s="118"/>
      <c r="AB126" s="118"/>
      <c r="AC126" s="118"/>
      <c r="AD126" s="118"/>
      <c r="AE126" s="118"/>
      <c r="AF126" s="118"/>
      <c r="AG126" s="118"/>
      <c r="AH126" s="43"/>
      <c r="AI126" s="43"/>
      <c r="AJ126" s="43"/>
      <c r="AK126" s="43"/>
      <c r="AL126" s="43"/>
      <c r="AM126" s="43"/>
      <c r="AN126" s="43"/>
      <c r="AO126" s="43"/>
      <c r="AP126" s="43"/>
      <c r="AQ126" s="43"/>
      <c r="AR126" s="43"/>
      <c r="AS126" s="43"/>
      <c r="AT126" s="43"/>
      <c r="AU126" s="43"/>
      <c r="AV126" s="43"/>
      <c r="AW126" s="43"/>
      <c r="AX126" s="43"/>
      <c r="AY126" s="43"/>
      <c r="AZ126" s="43"/>
      <c r="BA126" s="43"/>
      <c r="BB126" s="43"/>
      <c r="BC126" s="43"/>
      <c r="BD126" s="43"/>
      <c r="BE126" s="43"/>
      <c r="BF126" s="43"/>
      <c r="BG126" s="43"/>
      <c r="BH126" s="43"/>
      <c r="BI126" s="43"/>
      <c r="BJ126" s="43"/>
      <c r="BK126" s="43"/>
      <c r="BL126" s="43"/>
      <c r="BM126" s="43"/>
      <c r="BN126" s="43"/>
      <c r="BO126" s="43"/>
      <c r="BP126" s="43"/>
      <c r="BQ126" s="43"/>
      <c r="BR126" s="43"/>
      <c r="BS126" s="43"/>
      <c r="BT126" s="43"/>
      <c r="BU126" s="43"/>
      <c r="BV126" s="43"/>
      <c r="BW126" s="43"/>
      <c r="BX126" s="43"/>
      <c r="BY126" s="43"/>
      <c r="BZ126" s="43"/>
      <c r="CA126" s="43"/>
      <c r="CB126" s="43"/>
      <c r="CC126" s="43"/>
      <c r="CD126" s="43"/>
      <c r="CE126" s="43"/>
      <c r="CF126" s="43"/>
      <c r="CG126" s="43"/>
      <c r="CH126" s="43"/>
      <c r="CI126" s="43"/>
      <c r="CJ126" s="43"/>
      <c r="CK126" s="43"/>
      <c r="CL126" s="43"/>
      <c r="CM126" s="43"/>
      <c r="CN126" s="43"/>
      <c r="CO126" s="43"/>
      <c r="CP126" s="43"/>
      <c r="CQ126" s="43"/>
      <c r="CR126" s="43"/>
      <c r="CS126" s="43"/>
      <c r="CT126" s="43"/>
      <c r="CU126" s="43"/>
      <c r="CV126" s="43"/>
      <c r="CW126" s="43"/>
      <c r="CX126" s="43"/>
      <c r="CY126" s="43"/>
      <c r="CZ126" s="43"/>
      <c r="DA126" s="43"/>
      <c r="DB126" s="43"/>
      <c r="DC126" s="43"/>
      <c r="DD126" s="43"/>
      <c r="DE126" s="43"/>
      <c r="DF126" s="43"/>
      <c r="DG126" s="43"/>
      <c r="DH126" s="43"/>
      <c r="DI126" s="43"/>
      <c r="DJ126" s="43"/>
      <c r="DK126" s="43"/>
      <c r="DL126" s="43"/>
      <c r="DM126" s="43"/>
      <c r="DN126" s="43"/>
      <c r="DO126" s="43"/>
      <c r="DP126" s="43"/>
      <c r="DQ126" s="43"/>
      <c r="DR126" s="43"/>
      <c r="DS126" s="43"/>
      <c r="DT126" s="43"/>
      <c r="DU126" s="43"/>
      <c r="DV126" s="43"/>
      <c r="DW126" s="43"/>
      <c r="DX126" s="43"/>
      <c r="DY126" s="43"/>
      <c r="DZ126" s="43"/>
      <c r="EA126" s="43"/>
      <c r="EB126" s="43"/>
      <c r="EC126" s="43"/>
      <c r="ED126" s="43"/>
      <c r="EE126" s="43"/>
      <c r="EF126" s="43"/>
      <c r="EG126" s="43"/>
      <c r="EH126" s="43"/>
      <c r="EI126" s="43"/>
      <c r="EJ126" s="43"/>
      <c r="EK126" s="43"/>
      <c r="EL126" s="43"/>
      <c r="EM126" s="43"/>
      <c r="EN126" s="43"/>
      <c r="EO126" s="43"/>
      <c r="EP126" s="43"/>
      <c r="EQ126" s="43"/>
      <c r="ER126" s="43"/>
      <c r="ES126" s="43"/>
      <c r="ET126" s="43"/>
      <c r="EU126" s="43"/>
      <c r="EV126" s="43"/>
      <c r="EW126" s="43"/>
      <c r="EX126" s="43"/>
      <c r="EY126" s="43"/>
      <c r="EZ126" s="43"/>
      <c r="FA126" s="43"/>
      <c r="FB126" s="43"/>
      <c r="FC126" s="43"/>
      <c r="FD126" s="43"/>
      <c r="FE126" s="43"/>
      <c r="FF126" s="43"/>
      <c r="FG126" s="43"/>
      <c r="FH126" s="43"/>
      <c r="FI126" s="43"/>
      <c r="FJ126" s="43"/>
      <c r="FK126" s="43"/>
      <c r="FL126" s="43"/>
      <c r="FM126" s="43"/>
      <c r="FN126" s="43"/>
      <c r="FO126" s="43"/>
      <c r="FP126" s="43"/>
      <c r="FQ126" s="43"/>
      <c r="FR126" s="43"/>
      <c r="FS126" s="43"/>
      <c r="FT126" s="43"/>
      <c r="FU126" s="43"/>
      <c r="FV126" s="43"/>
      <c r="FW126" s="43"/>
      <c r="FX126" s="43"/>
      <c r="FY126" s="43"/>
      <c r="FZ126" s="43"/>
      <c r="GA126" s="43"/>
      <c r="GB126" s="43"/>
      <c r="GC126" s="43"/>
      <c r="GD126" s="43"/>
      <c r="GE126" s="43"/>
      <c r="GF126" s="43"/>
      <c r="GG126" s="43"/>
      <c r="GH126" s="43"/>
      <c r="GI126" s="43"/>
      <c r="GJ126" s="43"/>
      <c r="GK126" s="43"/>
      <c r="GL126" s="43"/>
      <c r="GM126" s="43"/>
      <c r="GN126" s="43"/>
      <c r="GO126" s="43"/>
      <c r="GP126" s="43"/>
      <c r="GQ126" s="43"/>
      <c r="GR126" s="43"/>
      <c r="GS126" s="43"/>
      <c r="GT126" s="43"/>
      <c r="GU126" s="43"/>
      <c r="GV126" s="43"/>
      <c r="GW126" s="43"/>
      <c r="GX126" s="43"/>
      <c r="GY126" s="43"/>
      <c r="GZ126" s="43"/>
      <c r="HA126" s="43"/>
      <c r="HB126" s="43"/>
      <c r="HC126" s="43"/>
      <c r="HD126" s="43"/>
      <c r="HE126" s="43"/>
      <c r="HF126" s="43"/>
      <c r="HG126" s="43"/>
      <c r="HH126" s="43"/>
      <c r="HI126" s="43"/>
      <c r="HJ126" s="43"/>
      <c r="HK126" s="43"/>
      <c r="HL126" s="43"/>
      <c r="HM126" s="43"/>
      <c r="HN126" s="43"/>
      <c r="HO126" s="43"/>
      <c r="HP126" s="43"/>
      <c r="HQ126" s="43"/>
      <c r="HR126"/>
      <c r="HS126"/>
      <c r="HT126"/>
      <c r="HU126"/>
      <c r="HV126"/>
      <c r="HW126"/>
      <c r="HX126"/>
      <c r="HY126"/>
      <c r="HZ126"/>
      <c r="IA126"/>
      <c r="IB126"/>
      <c r="IC126"/>
      <c r="ID126"/>
      <c r="IE126"/>
      <c r="IF126"/>
      <c r="IG126"/>
      <c r="IH126"/>
      <c r="II126"/>
      <c r="IJ126"/>
      <c r="IK126" s="32"/>
      <c r="IL126" s="32"/>
      <c r="IM126" s="32"/>
      <c r="IN126" s="32"/>
      <c r="IO126" s="32"/>
      <c r="IP126" s="32"/>
      <c r="IQ126" s="32"/>
    </row>
    <row r="127" spans="1:251" s="33" customFormat="1">
      <c r="A127" s="32" t="s">
        <v>14</v>
      </c>
      <c r="B127" s="32"/>
      <c r="C127" s="32"/>
      <c r="D127" s="51"/>
      <c r="E127" s="271">
        <f>E10/IS!B11*365</f>
        <v>25.568377456553517</v>
      </c>
      <c r="F127" s="271">
        <f>F10/IS!C11*365</f>
        <v>32.052051439069196</v>
      </c>
      <c r="G127" s="271">
        <f>G10/IS!D11*365</f>
        <v>29.147909718451874</v>
      </c>
      <c r="H127" s="271">
        <f>H10/IS!E11*365</f>
        <v>29.8228027219537</v>
      </c>
      <c r="I127" s="271">
        <f>I10/IS!F11*365</f>
        <v>31.603189246178179</v>
      </c>
      <c r="J127" s="271">
        <f>J10/IS!G11*365</f>
        <v>32.658611681283823</v>
      </c>
      <c r="K127" s="271">
        <f>K10/IS!H11*365</f>
        <v>28.389359603052547</v>
      </c>
      <c r="L127" s="263"/>
      <c r="M127" s="271">
        <f>M10/IS!I11*365</f>
        <v>14.57425629941414</v>
      </c>
      <c r="N127" s="263"/>
      <c r="O127" s="271">
        <f>O10/IS!J11*365</f>
        <v>1.9915198527478306</v>
      </c>
      <c r="P127" s="271">
        <f>P10/IS!K11*365</f>
        <v>1.0256082763905741</v>
      </c>
      <c r="Q127" s="271">
        <f>Q10/IS!L11*365</f>
        <v>2.0827389443651927</v>
      </c>
      <c r="R127" s="271">
        <f>R10/IS!M11*365</f>
        <v>1.8366682453232299</v>
      </c>
      <c r="S127" s="271">
        <f>S10/IS!N11*365</f>
        <v>5.729514438001523</v>
      </c>
      <c r="T127" s="271">
        <f>T10/IS!O11*365</f>
        <v>4.0254285714285718</v>
      </c>
      <c r="U127" s="271">
        <f>T127</f>
        <v>4.0254285714285718</v>
      </c>
      <c r="V127" s="271">
        <f t="shared" ref="V127:X129" si="118">U127</f>
        <v>4.0254285714285718</v>
      </c>
      <c r="W127" s="271">
        <f t="shared" si="118"/>
        <v>4.0254285714285718</v>
      </c>
      <c r="X127" s="271">
        <f t="shared" si="118"/>
        <v>4.0254285714285718</v>
      </c>
      <c r="Y127" s="271">
        <f t="shared" ref="Y127:Y129" si="119">X127</f>
        <v>4.0254285714285718</v>
      </c>
      <c r="Z127" s="271">
        <f t="shared" ref="Z127:AB129" si="120">Y127</f>
        <v>4.0254285714285718</v>
      </c>
      <c r="AA127" s="271">
        <f t="shared" si="120"/>
        <v>4.0254285714285718</v>
      </c>
      <c r="AB127" s="271">
        <f t="shared" si="120"/>
        <v>4.0254285714285718</v>
      </c>
      <c r="AC127" s="271">
        <f t="shared" ref="AC127:AG129" si="121">AB127</f>
        <v>4.0254285714285718</v>
      </c>
      <c r="AD127" s="271">
        <f t="shared" si="121"/>
        <v>4.0254285714285718</v>
      </c>
      <c r="AE127" s="271">
        <f t="shared" si="121"/>
        <v>4.0254285714285718</v>
      </c>
      <c r="AF127" s="271">
        <f t="shared" si="121"/>
        <v>4.0254285714285718</v>
      </c>
      <c r="AG127" s="271">
        <f t="shared" si="121"/>
        <v>4.0254285714285718</v>
      </c>
      <c r="AH127" s="43"/>
      <c r="AI127" s="43"/>
      <c r="AJ127" s="43"/>
      <c r="AK127" s="43"/>
      <c r="AL127" s="43"/>
      <c r="AM127" s="43"/>
      <c r="AN127" s="43"/>
      <c r="AO127" s="43"/>
      <c r="AP127" s="43"/>
      <c r="AQ127" s="43"/>
      <c r="AR127" s="43"/>
      <c r="AS127" s="43"/>
      <c r="AT127" s="43"/>
      <c r="AU127" s="43"/>
      <c r="AV127" s="43"/>
      <c r="AW127" s="43"/>
      <c r="AX127" s="43"/>
      <c r="AY127" s="43"/>
      <c r="AZ127" s="43"/>
      <c r="BA127" s="43"/>
      <c r="BB127" s="43"/>
      <c r="BC127" s="43"/>
      <c r="BD127" s="43"/>
      <c r="BE127" s="43"/>
      <c r="BF127" s="43"/>
      <c r="BG127" s="43"/>
      <c r="BH127" s="43"/>
      <c r="BI127" s="43"/>
      <c r="BJ127" s="43"/>
      <c r="BK127" s="43"/>
      <c r="BL127" s="43"/>
      <c r="BM127" s="43"/>
      <c r="BN127" s="43"/>
      <c r="BO127" s="43"/>
      <c r="BP127" s="43"/>
      <c r="BQ127" s="43"/>
      <c r="BR127" s="43"/>
      <c r="BS127" s="43"/>
      <c r="BT127" s="43"/>
      <c r="BU127" s="43"/>
      <c r="BV127" s="43"/>
      <c r="BW127" s="43"/>
      <c r="BX127" s="43"/>
      <c r="BY127" s="43"/>
      <c r="BZ127" s="43"/>
      <c r="CA127" s="43"/>
      <c r="CB127" s="43"/>
      <c r="CC127" s="43"/>
      <c r="CD127" s="43"/>
      <c r="CE127" s="43"/>
      <c r="CF127" s="43"/>
      <c r="CG127" s="43"/>
      <c r="CH127" s="43"/>
      <c r="CI127" s="43"/>
      <c r="CJ127" s="43"/>
      <c r="CK127" s="43"/>
      <c r="CL127" s="43"/>
      <c r="CM127" s="43"/>
      <c r="CN127" s="43"/>
      <c r="CO127" s="43"/>
      <c r="CP127" s="43"/>
      <c r="CQ127" s="43"/>
      <c r="CR127" s="43"/>
      <c r="CS127" s="43"/>
      <c r="CT127" s="43"/>
      <c r="CU127" s="43"/>
      <c r="CV127" s="43"/>
      <c r="CW127" s="43"/>
      <c r="CX127" s="43"/>
      <c r="CY127" s="43"/>
      <c r="CZ127" s="43"/>
      <c r="DA127" s="43"/>
      <c r="DB127" s="43"/>
      <c r="DC127" s="43"/>
      <c r="DD127" s="43"/>
      <c r="DE127" s="43"/>
      <c r="DF127" s="43"/>
      <c r="DG127" s="43"/>
      <c r="DH127" s="43"/>
      <c r="DI127" s="43"/>
      <c r="DJ127" s="43"/>
      <c r="DK127" s="43"/>
      <c r="DL127" s="43"/>
      <c r="DM127" s="43"/>
      <c r="DN127" s="43"/>
      <c r="DO127" s="43"/>
      <c r="DP127" s="43"/>
      <c r="DQ127" s="43"/>
      <c r="DR127" s="43"/>
      <c r="DS127" s="43"/>
      <c r="DT127" s="43"/>
      <c r="DU127" s="43"/>
      <c r="DV127" s="43"/>
      <c r="DW127" s="43"/>
      <c r="DX127" s="43"/>
      <c r="DY127" s="43"/>
      <c r="DZ127" s="43"/>
      <c r="EA127" s="43"/>
      <c r="EB127" s="43"/>
      <c r="EC127" s="43"/>
      <c r="ED127" s="43"/>
      <c r="EE127" s="43"/>
      <c r="EF127" s="43"/>
      <c r="EG127" s="43"/>
      <c r="EH127" s="43"/>
      <c r="EI127" s="43"/>
      <c r="EJ127" s="43"/>
      <c r="EK127" s="43"/>
      <c r="EL127" s="43"/>
      <c r="EM127" s="43"/>
      <c r="EN127" s="43"/>
      <c r="EO127" s="43"/>
      <c r="EP127" s="43"/>
      <c r="EQ127" s="43"/>
      <c r="ER127" s="43"/>
      <c r="ES127" s="43"/>
      <c r="ET127" s="43"/>
      <c r="EU127" s="43"/>
      <c r="EV127" s="43"/>
      <c r="EW127" s="43"/>
      <c r="EX127" s="43"/>
      <c r="EY127" s="43"/>
      <c r="EZ127" s="43"/>
      <c r="FA127" s="43"/>
      <c r="FB127" s="43"/>
      <c r="FC127" s="43"/>
      <c r="FD127" s="43"/>
      <c r="FE127" s="43"/>
      <c r="FF127" s="43"/>
      <c r="FG127" s="43"/>
      <c r="FH127" s="43"/>
      <c r="FI127" s="43"/>
      <c r="FJ127" s="43"/>
      <c r="FK127" s="43"/>
      <c r="FL127" s="43"/>
      <c r="FM127" s="43"/>
      <c r="FN127" s="43"/>
      <c r="FO127" s="43"/>
      <c r="FP127" s="43"/>
      <c r="FQ127" s="43"/>
      <c r="FR127" s="43"/>
      <c r="FS127" s="43"/>
      <c r="FT127" s="43"/>
      <c r="FU127" s="43"/>
      <c r="FV127" s="43"/>
      <c r="FW127" s="43"/>
      <c r="FX127" s="43"/>
      <c r="FY127" s="43"/>
      <c r="FZ127" s="43"/>
      <c r="GA127" s="43"/>
      <c r="GB127" s="43"/>
      <c r="GC127" s="43"/>
      <c r="GD127" s="43"/>
      <c r="GE127" s="43"/>
      <c r="GF127" s="43"/>
      <c r="GG127" s="43"/>
      <c r="GH127" s="43"/>
      <c r="GI127" s="43"/>
      <c r="GJ127" s="43"/>
      <c r="GK127" s="43"/>
      <c r="GL127" s="43"/>
      <c r="GM127" s="43"/>
      <c r="GN127" s="43"/>
      <c r="GO127" s="43"/>
      <c r="GP127" s="43"/>
      <c r="GQ127" s="43"/>
      <c r="GR127" s="43"/>
      <c r="GS127" s="43"/>
      <c r="GT127" s="43"/>
      <c r="GU127" s="43"/>
      <c r="GV127" s="43"/>
      <c r="GW127" s="43"/>
      <c r="GX127" s="43"/>
      <c r="GY127" s="43"/>
      <c r="GZ127" s="43"/>
      <c r="HA127" s="43"/>
      <c r="HB127" s="43"/>
      <c r="HC127" s="43"/>
      <c r="HD127" s="43"/>
      <c r="HE127" s="43"/>
      <c r="HF127" s="43"/>
      <c r="HG127" s="43"/>
      <c r="HH127" s="43"/>
      <c r="HI127" s="43"/>
      <c r="HJ127" s="43"/>
      <c r="HK127" s="43"/>
      <c r="HL127" s="43"/>
      <c r="HM127" s="43"/>
      <c r="HN127" s="43"/>
      <c r="HO127" s="43"/>
      <c r="HP127" s="43"/>
      <c r="HQ127" s="43"/>
      <c r="HR127"/>
      <c r="HS127"/>
      <c r="HT127"/>
      <c r="HU127"/>
      <c r="HV127"/>
      <c r="HW127"/>
      <c r="HX127"/>
      <c r="HY127"/>
      <c r="HZ127"/>
      <c r="IA127"/>
      <c r="IB127"/>
      <c r="IC127"/>
      <c r="ID127"/>
      <c r="IE127"/>
      <c r="IF127"/>
      <c r="IG127"/>
      <c r="IH127"/>
      <c r="II127"/>
      <c r="IJ127"/>
      <c r="IK127" s="32"/>
      <c r="IL127" s="32"/>
      <c r="IM127" s="32"/>
      <c r="IN127" s="32"/>
      <c r="IO127" s="32"/>
      <c r="IP127" s="32"/>
      <c r="IQ127" s="32"/>
    </row>
    <row r="128" spans="1:251" s="33" customFormat="1">
      <c r="A128" s="32" t="s">
        <v>15</v>
      </c>
      <c r="B128" s="32"/>
      <c r="C128" s="32"/>
      <c r="D128" s="51"/>
      <c r="E128" s="271">
        <f>E11/IS!B13*365</f>
        <v>110.16013104670209</v>
      </c>
      <c r="F128" s="271">
        <f>F11/IS!C13*365</f>
        <v>107.79059973045821</v>
      </c>
      <c r="G128" s="271">
        <f>G11/IS!D13*365</f>
        <v>96.073598820059004</v>
      </c>
      <c r="H128" s="271">
        <f>H11/IS!E13*365</f>
        <v>101.72697569317211</v>
      </c>
      <c r="I128" s="271">
        <f>I11/IS!F13*365</f>
        <v>109.25949168497019</v>
      </c>
      <c r="J128" s="271">
        <f>J11/IS!G13*365</f>
        <v>106.36961253809316</v>
      </c>
      <c r="K128" s="271">
        <f>K11/IS!H13*365</f>
        <v>93.507285665875969</v>
      </c>
      <c r="L128" s="263"/>
      <c r="M128" s="271">
        <f>M11/IS!I13*365</f>
        <v>83.821467312220548</v>
      </c>
      <c r="N128" s="263"/>
      <c r="O128" s="271">
        <f>O11/IS!J13*365</f>
        <v>58.10714739113876</v>
      </c>
      <c r="P128" s="271">
        <f>P11/IS!K13*365</f>
        <v>48.464165942118989</v>
      </c>
      <c r="Q128" s="271">
        <f>Q11/IS!L13*365</f>
        <v>81.250768663141059</v>
      </c>
      <c r="R128" s="271">
        <f>R11/IS!M13*365</f>
        <v>82.988020176544765</v>
      </c>
      <c r="S128" s="271">
        <f>S11/IS!N13*365</f>
        <v>83.024549290372079</v>
      </c>
      <c r="T128" s="271">
        <f>T11/IS!O13*365</f>
        <v>81.059526837954721</v>
      </c>
      <c r="U128" s="271">
        <f>T128</f>
        <v>81.059526837954721</v>
      </c>
      <c r="V128" s="271">
        <f t="shared" si="118"/>
        <v>81.059526837954721</v>
      </c>
      <c r="W128" s="271">
        <f t="shared" si="118"/>
        <v>81.059526837954721</v>
      </c>
      <c r="X128" s="271">
        <f t="shared" si="118"/>
        <v>81.059526837954721</v>
      </c>
      <c r="Y128" s="271">
        <f t="shared" si="119"/>
        <v>81.059526837954721</v>
      </c>
      <c r="Z128" s="271">
        <f t="shared" si="120"/>
        <v>81.059526837954721</v>
      </c>
      <c r="AA128" s="271">
        <f t="shared" si="120"/>
        <v>81.059526837954721</v>
      </c>
      <c r="AB128" s="271">
        <f t="shared" si="120"/>
        <v>81.059526837954721</v>
      </c>
      <c r="AC128" s="271">
        <f t="shared" si="121"/>
        <v>81.059526837954721</v>
      </c>
      <c r="AD128" s="271">
        <f t="shared" si="121"/>
        <v>81.059526837954721</v>
      </c>
      <c r="AE128" s="271">
        <f t="shared" si="121"/>
        <v>81.059526837954721</v>
      </c>
      <c r="AF128" s="271">
        <f t="shared" si="121"/>
        <v>81.059526837954721</v>
      </c>
      <c r="AG128" s="271">
        <f t="shared" si="121"/>
        <v>81.059526837954721</v>
      </c>
      <c r="AH128" s="43"/>
      <c r="AI128" s="43"/>
      <c r="AJ128" s="43"/>
      <c r="AK128" s="43"/>
      <c r="AL128" s="43"/>
      <c r="AM128" s="43"/>
      <c r="AN128" s="43"/>
      <c r="AO128" s="43"/>
      <c r="AP128" s="43"/>
      <c r="AQ128" s="43"/>
      <c r="AR128" s="43"/>
      <c r="AS128" s="43"/>
      <c r="AT128" s="43"/>
      <c r="AU128" s="43"/>
      <c r="AV128" s="43"/>
      <c r="AW128" s="43"/>
      <c r="AX128" s="43"/>
      <c r="AY128" s="43"/>
      <c r="AZ128" s="43"/>
      <c r="BA128" s="43"/>
      <c r="BB128" s="43"/>
      <c r="BC128" s="43"/>
      <c r="BD128" s="43"/>
      <c r="BE128" s="43"/>
      <c r="BF128" s="43"/>
      <c r="BG128" s="43"/>
      <c r="BH128" s="43"/>
      <c r="BI128" s="43"/>
      <c r="BJ128" s="43"/>
      <c r="BK128" s="43"/>
      <c r="BL128" s="43"/>
      <c r="BM128" s="43"/>
      <c r="BN128" s="43"/>
      <c r="BO128" s="43"/>
      <c r="BP128" s="43"/>
      <c r="BQ128" s="43"/>
      <c r="BR128" s="43"/>
      <c r="BS128" s="43"/>
      <c r="BT128" s="43"/>
      <c r="BU128" s="43"/>
      <c r="BV128" s="43"/>
      <c r="BW128" s="43"/>
      <c r="BX128" s="43"/>
      <c r="BY128" s="43"/>
      <c r="BZ128" s="43"/>
      <c r="CA128" s="43"/>
      <c r="CB128" s="43"/>
      <c r="CC128" s="43"/>
      <c r="CD128" s="43"/>
      <c r="CE128" s="43"/>
      <c r="CF128" s="43"/>
      <c r="CG128" s="43"/>
      <c r="CH128" s="43"/>
      <c r="CI128" s="43"/>
      <c r="CJ128" s="43"/>
      <c r="CK128" s="43"/>
      <c r="CL128" s="43"/>
      <c r="CM128" s="43"/>
      <c r="CN128" s="43"/>
      <c r="CO128" s="43"/>
      <c r="CP128" s="43"/>
      <c r="CQ128" s="43"/>
      <c r="CR128" s="43"/>
      <c r="CS128" s="43"/>
      <c r="CT128" s="43"/>
      <c r="CU128" s="43"/>
      <c r="CV128" s="43"/>
      <c r="CW128" s="43"/>
      <c r="CX128" s="43"/>
      <c r="CY128" s="43"/>
      <c r="CZ128" s="43"/>
      <c r="DA128" s="43"/>
      <c r="DB128" s="43"/>
      <c r="DC128" s="43"/>
      <c r="DD128" s="43"/>
      <c r="DE128" s="43"/>
      <c r="DF128" s="43"/>
      <c r="DG128" s="43"/>
      <c r="DH128" s="43"/>
      <c r="DI128" s="43"/>
      <c r="DJ128" s="43"/>
      <c r="DK128" s="43"/>
      <c r="DL128" s="43"/>
      <c r="DM128" s="43"/>
      <c r="DN128" s="43"/>
      <c r="DO128" s="43"/>
      <c r="DP128" s="43"/>
      <c r="DQ128" s="43"/>
      <c r="DR128" s="43"/>
      <c r="DS128" s="43"/>
      <c r="DT128" s="43"/>
      <c r="DU128" s="43"/>
      <c r="DV128" s="43"/>
      <c r="DW128" s="43"/>
      <c r="DX128" s="43"/>
      <c r="DY128" s="43"/>
      <c r="DZ128" s="43"/>
      <c r="EA128" s="43"/>
      <c r="EB128" s="43"/>
      <c r="EC128" s="43"/>
      <c r="ED128" s="43"/>
      <c r="EE128" s="43"/>
      <c r="EF128" s="43"/>
      <c r="EG128" s="43"/>
      <c r="EH128" s="43"/>
      <c r="EI128" s="43"/>
      <c r="EJ128" s="43"/>
      <c r="EK128" s="43"/>
      <c r="EL128" s="43"/>
      <c r="EM128" s="43"/>
      <c r="EN128" s="43"/>
      <c r="EO128" s="43"/>
      <c r="EP128" s="43"/>
      <c r="EQ128" s="43"/>
      <c r="ER128" s="43"/>
      <c r="ES128" s="43"/>
      <c r="ET128" s="43"/>
      <c r="EU128" s="43"/>
      <c r="EV128" s="43"/>
      <c r="EW128" s="43"/>
      <c r="EX128" s="43"/>
      <c r="EY128" s="43"/>
      <c r="EZ128" s="43"/>
      <c r="FA128" s="43"/>
      <c r="FB128" s="43"/>
      <c r="FC128" s="43"/>
      <c r="FD128" s="43"/>
      <c r="FE128" s="43"/>
      <c r="FF128" s="43"/>
      <c r="FG128" s="43"/>
      <c r="FH128" s="43"/>
      <c r="FI128" s="43"/>
      <c r="FJ128" s="43"/>
      <c r="FK128" s="43"/>
      <c r="FL128" s="43"/>
      <c r="FM128" s="43"/>
      <c r="FN128" s="43"/>
      <c r="FO128" s="43"/>
      <c r="FP128" s="43"/>
      <c r="FQ128" s="43"/>
      <c r="FR128" s="43"/>
      <c r="FS128" s="43"/>
      <c r="FT128" s="43"/>
      <c r="FU128" s="43"/>
      <c r="FV128" s="43"/>
      <c r="FW128" s="43"/>
      <c r="FX128" s="43"/>
      <c r="FY128" s="43"/>
      <c r="FZ128" s="43"/>
      <c r="GA128" s="43"/>
      <c r="GB128" s="43"/>
      <c r="GC128" s="43"/>
      <c r="GD128" s="43"/>
      <c r="GE128" s="43"/>
      <c r="GF128" s="43"/>
      <c r="GG128" s="43"/>
      <c r="GH128" s="43"/>
      <c r="GI128" s="43"/>
      <c r="GJ128" s="43"/>
      <c r="GK128" s="43"/>
      <c r="GL128" s="43"/>
      <c r="GM128" s="43"/>
      <c r="GN128" s="43"/>
      <c r="GO128" s="43"/>
      <c r="GP128" s="43"/>
      <c r="GQ128" s="43"/>
      <c r="GR128" s="43"/>
      <c r="GS128" s="43"/>
      <c r="GT128" s="43"/>
      <c r="GU128" s="43"/>
      <c r="GV128" s="43"/>
      <c r="GW128" s="43"/>
      <c r="GX128" s="43"/>
      <c r="GY128" s="43"/>
      <c r="GZ128" s="43"/>
      <c r="HA128" s="43"/>
      <c r="HB128" s="43"/>
      <c r="HC128" s="43"/>
      <c r="HD128" s="43"/>
      <c r="HE128" s="43"/>
      <c r="HF128" s="43"/>
      <c r="HG128" s="43"/>
      <c r="HH128" s="43"/>
      <c r="HI128" s="43"/>
      <c r="HJ128" s="43"/>
      <c r="HK128" s="43"/>
      <c r="HL128" s="43"/>
      <c r="HM128" s="43"/>
      <c r="HN128" s="43"/>
      <c r="HO128" s="43"/>
      <c r="HP128" s="43"/>
      <c r="HQ128" s="43"/>
      <c r="HR128"/>
      <c r="HS128"/>
      <c r="HT128"/>
      <c r="HU128"/>
      <c r="HV128"/>
      <c r="HW128"/>
      <c r="HX128"/>
      <c r="HY128"/>
      <c r="HZ128"/>
      <c r="IA128"/>
      <c r="IB128"/>
      <c r="IC128"/>
      <c r="ID128"/>
      <c r="IE128"/>
      <c r="IF128"/>
      <c r="IG128"/>
      <c r="IH128"/>
      <c r="II128"/>
      <c r="IJ128"/>
      <c r="IK128" s="32"/>
      <c r="IL128" s="32"/>
      <c r="IM128" s="32"/>
      <c r="IN128" s="32"/>
      <c r="IO128" s="32"/>
      <c r="IP128" s="32"/>
      <c r="IQ128" s="32"/>
    </row>
    <row r="129" spans="1:251" s="33" customFormat="1">
      <c r="A129" s="32" t="s">
        <v>16</v>
      </c>
      <c r="B129" s="32"/>
      <c r="C129" s="32"/>
      <c r="D129" s="51"/>
      <c r="E129" s="271">
        <f>E35/IS!B13*365</f>
        <v>40.889078327148731</v>
      </c>
      <c r="F129" s="271">
        <f>F35/IS!C13*365</f>
        <v>46.571933962264154</v>
      </c>
      <c r="G129" s="271">
        <f>G35/IS!D13*365</f>
        <v>38.761061946902657</v>
      </c>
      <c r="H129" s="271">
        <f>H35/IS!E13*365</f>
        <v>34.417979723952605</v>
      </c>
      <c r="I129" s="271">
        <f>I35/IS!F13*365</f>
        <v>36.625980545967991</v>
      </c>
      <c r="J129" s="271">
        <f>J35/IS!G13*365</f>
        <v>36.717167319692351</v>
      </c>
      <c r="K129" s="271">
        <f>K35/IS!H13*365</f>
        <v>32.202764196156267</v>
      </c>
      <c r="L129" s="263"/>
      <c r="M129" s="271">
        <f>M35/IS!I13*365</f>
        <v>13.654787416990766</v>
      </c>
      <c r="N129" s="263"/>
      <c r="O129" s="271">
        <f>O35/IS!J13*365</f>
        <v>28.312174685794087</v>
      </c>
      <c r="P129" s="271">
        <f>P35/IS!K13*365</f>
        <v>23.121351384921127</v>
      </c>
      <c r="Q129" s="271">
        <f>Q35/IS!L13*365</f>
        <v>22.175624154470544</v>
      </c>
      <c r="R129" s="271">
        <f>R35/IS!M13*365</f>
        <v>24.348675914249686</v>
      </c>
      <c r="S129" s="271">
        <f>S35/IS!N13*365</f>
        <v>23.474619613860121</v>
      </c>
      <c r="T129" s="271">
        <f>T35/IS!O13*365</f>
        <v>20.9380564741796</v>
      </c>
      <c r="U129" s="271">
        <f>T129</f>
        <v>20.9380564741796</v>
      </c>
      <c r="V129" s="271">
        <f t="shared" si="118"/>
        <v>20.9380564741796</v>
      </c>
      <c r="W129" s="271">
        <f t="shared" si="118"/>
        <v>20.9380564741796</v>
      </c>
      <c r="X129" s="271">
        <f t="shared" si="118"/>
        <v>20.9380564741796</v>
      </c>
      <c r="Y129" s="271">
        <f t="shared" si="119"/>
        <v>20.9380564741796</v>
      </c>
      <c r="Z129" s="271">
        <f t="shared" si="120"/>
        <v>20.9380564741796</v>
      </c>
      <c r="AA129" s="271">
        <f t="shared" si="120"/>
        <v>20.9380564741796</v>
      </c>
      <c r="AB129" s="271">
        <f t="shared" si="120"/>
        <v>20.9380564741796</v>
      </c>
      <c r="AC129" s="271">
        <f t="shared" si="121"/>
        <v>20.9380564741796</v>
      </c>
      <c r="AD129" s="271">
        <f t="shared" si="121"/>
        <v>20.9380564741796</v>
      </c>
      <c r="AE129" s="271">
        <f t="shared" si="121"/>
        <v>20.9380564741796</v>
      </c>
      <c r="AF129" s="271">
        <f t="shared" si="121"/>
        <v>20.9380564741796</v>
      </c>
      <c r="AG129" s="271">
        <f t="shared" si="121"/>
        <v>20.9380564741796</v>
      </c>
      <c r="AH129" s="43"/>
      <c r="AI129" s="43"/>
      <c r="AJ129" s="43"/>
      <c r="AK129" s="43"/>
      <c r="AL129" s="43"/>
      <c r="AM129" s="43"/>
      <c r="AN129" s="43"/>
      <c r="AO129" s="43"/>
      <c r="AP129" s="43"/>
      <c r="AQ129" s="43"/>
      <c r="AR129" s="43"/>
      <c r="AS129" s="43"/>
      <c r="AT129" s="43"/>
      <c r="AU129" s="43"/>
      <c r="AV129" s="43"/>
      <c r="AW129" s="43"/>
      <c r="AX129" s="43"/>
      <c r="AY129" s="43"/>
      <c r="AZ129" s="43"/>
      <c r="BA129" s="43"/>
      <c r="BB129" s="43"/>
      <c r="BC129" s="43"/>
      <c r="BD129" s="43"/>
      <c r="BE129" s="43"/>
      <c r="BF129" s="43"/>
      <c r="BG129" s="43"/>
      <c r="BH129" s="43"/>
      <c r="BI129" s="43"/>
      <c r="BJ129" s="43"/>
      <c r="BK129" s="43"/>
      <c r="BL129" s="43"/>
      <c r="BM129" s="43"/>
      <c r="BN129" s="43"/>
      <c r="BO129" s="43"/>
      <c r="BP129" s="43"/>
      <c r="BQ129" s="43"/>
      <c r="BR129" s="43"/>
      <c r="BS129" s="43"/>
      <c r="BT129" s="43"/>
      <c r="BU129" s="43"/>
      <c r="BV129" s="43"/>
      <c r="BW129" s="43"/>
      <c r="BX129" s="43"/>
      <c r="BY129" s="43"/>
      <c r="BZ129" s="43"/>
      <c r="CA129" s="43"/>
      <c r="CB129" s="43"/>
      <c r="CC129" s="43"/>
      <c r="CD129" s="43"/>
      <c r="CE129" s="43"/>
      <c r="CF129" s="43"/>
      <c r="CG129" s="43"/>
      <c r="CH129" s="43"/>
      <c r="CI129" s="43"/>
      <c r="CJ129" s="43"/>
      <c r="CK129" s="43"/>
      <c r="CL129" s="43"/>
      <c r="CM129" s="43"/>
      <c r="CN129" s="43"/>
      <c r="CO129" s="43"/>
      <c r="CP129" s="43"/>
      <c r="CQ129" s="43"/>
      <c r="CR129" s="43"/>
      <c r="CS129" s="43"/>
      <c r="CT129" s="43"/>
      <c r="CU129" s="43"/>
      <c r="CV129" s="43"/>
      <c r="CW129" s="43"/>
      <c r="CX129" s="43"/>
      <c r="CY129" s="43"/>
      <c r="CZ129" s="43"/>
      <c r="DA129" s="43"/>
      <c r="DB129" s="43"/>
      <c r="DC129" s="43"/>
      <c r="DD129" s="43"/>
      <c r="DE129" s="43"/>
      <c r="DF129" s="43"/>
      <c r="DG129" s="43"/>
      <c r="DH129" s="43"/>
      <c r="DI129" s="43"/>
      <c r="DJ129" s="43"/>
      <c r="DK129" s="43"/>
      <c r="DL129" s="43"/>
      <c r="DM129" s="43"/>
      <c r="DN129" s="43"/>
      <c r="DO129" s="43"/>
      <c r="DP129" s="43"/>
      <c r="DQ129" s="43"/>
      <c r="DR129" s="43"/>
      <c r="DS129" s="43"/>
      <c r="DT129" s="43"/>
      <c r="DU129" s="43"/>
      <c r="DV129" s="43"/>
      <c r="DW129" s="43"/>
      <c r="DX129" s="43"/>
      <c r="DY129" s="43"/>
      <c r="DZ129" s="43"/>
      <c r="EA129" s="43"/>
      <c r="EB129" s="43"/>
      <c r="EC129" s="43"/>
      <c r="ED129" s="43"/>
      <c r="EE129" s="43"/>
      <c r="EF129" s="43"/>
      <c r="EG129" s="43"/>
      <c r="EH129" s="43"/>
      <c r="EI129" s="43"/>
      <c r="EJ129" s="43"/>
      <c r="EK129" s="43"/>
      <c r="EL129" s="43"/>
      <c r="EM129" s="43"/>
      <c r="EN129" s="43"/>
      <c r="EO129" s="43"/>
      <c r="EP129" s="43"/>
      <c r="EQ129" s="43"/>
      <c r="ER129" s="43"/>
      <c r="ES129" s="43"/>
      <c r="ET129" s="43"/>
      <c r="EU129" s="43"/>
      <c r="EV129" s="43"/>
      <c r="EW129" s="43"/>
      <c r="EX129" s="43"/>
      <c r="EY129" s="43"/>
      <c r="EZ129" s="43"/>
      <c r="FA129" s="43"/>
      <c r="FB129" s="43"/>
      <c r="FC129" s="43"/>
      <c r="FD129" s="43"/>
      <c r="FE129" s="43"/>
      <c r="FF129" s="43"/>
      <c r="FG129" s="43"/>
      <c r="FH129" s="43"/>
      <c r="FI129" s="43"/>
      <c r="FJ129" s="43"/>
      <c r="FK129" s="43"/>
      <c r="FL129" s="43"/>
      <c r="FM129" s="43"/>
      <c r="FN129" s="43"/>
      <c r="FO129" s="43"/>
      <c r="FP129" s="43"/>
      <c r="FQ129" s="43"/>
      <c r="FR129" s="43"/>
      <c r="FS129" s="43"/>
      <c r="FT129" s="43"/>
      <c r="FU129" s="43"/>
      <c r="FV129" s="43"/>
      <c r="FW129" s="43"/>
      <c r="FX129" s="43"/>
      <c r="FY129" s="43"/>
      <c r="FZ129" s="43"/>
      <c r="GA129" s="43"/>
      <c r="GB129" s="43"/>
      <c r="GC129" s="43"/>
      <c r="GD129" s="43"/>
      <c r="GE129" s="43"/>
      <c r="GF129" s="43"/>
      <c r="GG129" s="43"/>
      <c r="GH129" s="43"/>
      <c r="GI129" s="43"/>
      <c r="GJ129" s="43"/>
      <c r="GK129" s="43"/>
      <c r="GL129" s="43"/>
      <c r="GM129" s="43"/>
      <c r="GN129" s="43"/>
      <c r="GO129" s="43"/>
      <c r="GP129" s="43"/>
      <c r="GQ129" s="43"/>
      <c r="GR129" s="43"/>
      <c r="GS129" s="43"/>
      <c r="GT129" s="43"/>
      <c r="GU129" s="43"/>
      <c r="GV129" s="43"/>
      <c r="GW129" s="43"/>
      <c r="GX129" s="43"/>
      <c r="GY129" s="43"/>
      <c r="GZ129" s="43"/>
      <c r="HA129" s="43"/>
      <c r="HB129" s="43"/>
      <c r="HC129" s="43"/>
      <c r="HD129" s="43"/>
      <c r="HE129" s="43"/>
      <c r="HF129" s="43"/>
      <c r="HG129" s="43"/>
      <c r="HH129" s="43"/>
      <c r="HI129" s="43"/>
      <c r="HJ129" s="43"/>
      <c r="HK129" s="43"/>
      <c r="HL129" s="43"/>
      <c r="HM129" s="43"/>
      <c r="HN129" s="43"/>
      <c r="HO129" s="43"/>
      <c r="HP129" s="43"/>
      <c r="HQ129" s="43"/>
      <c r="HR129"/>
      <c r="HS129"/>
      <c r="HT129"/>
      <c r="HU129"/>
      <c r="HV129"/>
      <c r="HW129"/>
      <c r="HX129"/>
      <c r="HY129"/>
      <c r="HZ129"/>
      <c r="IA129"/>
      <c r="IB129"/>
      <c r="IC129"/>
      <c r="ID129"/>
      <c r="IE129"/>
      <c r="IF129"/>
      <c r="IG129"/>
      <c r="IH129"/>
      <c r="II129"/>
      <c r="IJ129"/>
      <c r="IK129" s="32"/>
      <c r="IL129" s="32"/>
      <c r="IM129" s="32"/>
      <c r="IN129" s="32"/>
      <c r="IO129" s="32"/>
      <c r="IP129" s="32"/>
      <c r="IQ129" s="32"/>
    </row>
    <row r="130" spans="1:251" s="33" customFormat="1">
      <c r="A130" s="32"/>
      <c r="B130" s="32"/>
      <c r="C130" s="32"/>
      <c r="D130" s="51"/>
      <c r="E130" s="4"/>
      <c r="F130" s="4"/>
      <c r="G130" s="4"/>
      <c r="H130" s="4"/>
      <c r="I130" s="4"/>
      <c r="J130" s="4"/>
      <c r="K130" s="4"/>
      <c r="L130" s="263"/>
      <c r="M130" s="4"/>
      <c r="N130" s="263"/>
      <c r="O130" s="4"/>
      <c r="P130" s="4"/>
      <c r="Q130" s="4"/>
      <c r="R130" s="4"/>
      <c r="S130" s="4"/>
      <c r="T130" s="4"/>
      <c r="U130" s="4"/>
      <c r="V130" s="4"/>
      <c r="W130" s="4"/>
      <c r="X130" s="4"/>
      <c r="Y130" s="4"/>
      <c r="Z130" s="4"/>
      <c r="AA130" s="4"/>
      <c r="AB130" s="4"/>
      <c r="AC130" s="4"/>
      <c r="AD130" s="4"/>
      <c r="AE130" s="4"/>
      <c r="AF130" s="4"/>
      <c r="AG130" s="4"/>
      <c r="AH130" s="43"/>
      <c r="AI130" s="43"/>
      <c r="AJ130" s="43"/>
      <c r="AK130" s="43"/>
      <c r="AL130" s="43"/>
      <c r="AM130" s="43"/>
      <c r="AN130" s="43"/>
      <c r="AO130" s="43"/>
      <c r="AP130" s="43"/>
      <c r="AQ130" s="43"/>
      <c r="AR130" s="43"/>
      <c r="AS130" s="43"/>
      <c r="AT130" s="43"/>
      <c r="AU130" s="43"/>
      <c r="AV130" s="43"/>
      <c r="AW130" s="43"/>
      <c r="AX130" s="43"/>
      <c r="AY130" s="43"/>
      <c r="AZ130" s="43"/>
      <c r="BA130" s="43"/>
      <c r="BB130" s="43"/>
      <c r="BC130" s="43"/>
      <c r="BD130" s="43"/>
      <c r="BE130" s="43"/>
      <c r="BF130" s="43"/>
      <c r="BG130" s="43"/>
      <c r="BH130" s="43"/>
      <c r="BI130" s="43"/>
      <c r="BJ130" s="43"/>
      <c r="BK130" s="43"/>
      <c r="BL130" s="43"/>
      <c r="BM130" s="43"/>
      <c r="BN130" s="43"/>
      <c r="BO130" s="43"/>
      <c r="BP130" s="43"/>
      <c r="BQ130" s="43"/>
      <c r="BR130" s="43"/>
      <c r="BS130" s="43"/>
      <c r="BT130" s="43"/>
      <c r="BU130" s="43"/>
      <c r="BV130" s="43"/>
      <c r="BW130" s="43"/>
      <c r="BX130" s="43"/>
      <c r="BY130" s="43"/>
      <c r="BZ130" s="43"/>
      <c r="CA130" s="43"/>
      <c r="CB130" s="43"/>
      <c r="CC130" s="43"/>
      <c r="CD130" s="43"/>
      <c r="CE130" s="43"/>
      <c r="CF130" s="43"/>
      <c r="CG130" s="43"/>
      <c r="CH130" s="43"/>
      <c r="CI130" s="43"/>
      <c r="CJ130" s="43"/>
      <c r="CK130" s="43"/>
      <c r="CL130" s="43"/>
      <c r="CM130" s="43"/>
      <c r="CN130" s="43"/>
      <c r="CO130" s="43"/>
      <c r="CP130" s="43"/>
      <c r="CQ130" s="43"/>
      <c r="CR130" s="43"/>
      <c r="CS130" s="43"/>
      <c r="CT130" s="43"/>
      <c r="CU130" s="43"/>
      <c r="CV130" s="43"/>
      <c r="CW130" s="43"/>
      <c r="CX130" s="43"/>
      <c r="CY130" s="43"/>
      <c r="CZ130" s="43"/>
      <c r="DA130" s="43"/>
      <c r="DB130" s="43"/>
      <c r="DC130" s="43"/>
      <c r="DD130" s="43"/>
      <c r="DE130" s="43"/>
      <c r="DF130" s="43"/>
      <c r="DG130" s="43"/>
      <c r="DH130" s="43"/>
      <c r="DI130" s="43"/>
      <c r="DJ130" s="43"/>
      <c r="DK130" s="43"/>
      <c r="DL130" s="43"/>
      <c r="DM130" s="43"/>
      <c r="DN130" s="43"/>
      <c r="DO130" s="43"/>
      <c r="DP130" s="43"/>
      <c r="DQ130" s="43"/>
      <c r="DR130" s="43"/>
      <c r="DS130" s="43"/>
      <c r="DT130" s="43"/>
      <c r="DU130" s="43"/>
      <c r="DV130" s="43"/>
      <c r="DW130" s="43"/>
      <c r="DX130" s="43"/>
      <c r="DY130" s="43"/>
      <c r="DZ130" s="43"/>
      <c r="EA130" s="43"/>
      <c r="EB130" s="43"/>
      <c r="EC130" s="43"/>
      <c r="ED130" s="43"/>
      <c r="EE130" s="43"/>
      <c r="EF130" s="43"/>
      <c r="EG130" s="43"/>
      <c r="EH130" s="43"/>
      <c r="EI130" s="43"/>
      <c r="EJ130" s="43"/>
      <c r="EK130" s="43"/>
      <c r="EL130" s="43"/>
      <c r="EM130" s="43"/>
      <c r="EN130" s="43"/>
      <c r="EO130" s="43"/>
      <c r="EP130" s="43"/>
      <c r="EQ130" s="43"/>
      <c r="ER130" s="43"/>
      <c r="ES130" s="43"/>
      <c r="ET130" s="43"/>
      <c r="EU130" s="43"/>
      <c r="EV130" s="43"/>
      <c r="EW130" s="43"/>
      <c r="EX130" s="43"/>
      <c r="EY130" s="43"/>
      <c r="EZ130" s="43"/>
      <c r="FA130" s="43"/>
      <c r="FB130" s="43"/>
      <c r="FC130" s="43"/>
      <c r="FD130" s="43"/>
      <c r="FE130" s="43"/>
      <c r="FF130" s="43"/>
      <c r="FG130" s="43"/>
      <c r="FH130" s="43"/>
      <c r="FI130" s="43"/>
      <c r="FJ130" s="43"/>
      <c r="FK130" s="43"/>
      <c r="FL130" s="43"/>
      <c r="FM130" s="43"/>
      <c r="FN130" s="43"/>
      <c r="FO130" s="43"/>
      <c r="FP130" s="43"/>
      <c r="FQ130" s="43"/>
      <c r="FR130" s="43"/>
      <c r="FS130" s="43"/>
      <c r="FT130" s="43"/>
      <c r="FU130" s="43"/>
      <c r="FV130" s="43"/>
      <c r="FW130" s="43"/>
      <c r="FX130" s="43"/>
      <c r="FY130" s="43"/>
      <c r="FZ130" s="43"/>
      <c r="GA130" s="43"/>
      <c r="GB130" s="43"/>
      <c r="GC130" s="43"/>
      <c r="GD130" s="43"/>
      <c r="GE130" s="43"/>
      <c r="GF130" s="43"/>
      <c r="GG130" s="43"/>
      <c r="GH130" s="43"/>
      <c r="GI130" s="43"/>
      <c r="GJ130" s="43"/>
      <c r="GK130" s="43"/>
      <c r="GL130" s="43"/>
      <c r="GM130" s="43"/>
      <c r="GN130" s="43"/>
      <c r="GO130" s="43"/>
      <c r="GP130" s="43"/>
      <c r="GQ130" s="43"/>
      <c r="GR130" s="43"/>
      <c r="GS130" s="43"/>
      <c r="GT130" s="43"/>
      <c r="GU130" s="43"/>
      <c r="GV130" s="43"/>
      <c r="GW130" s="43"/>
      <c r="GX130" s="43"/>
      <c r="GY130" s="43"/>
      <c r="GZ130" s="43"/>
      <c r="HA130" s="43"/>
      <c r="HB130" s="43"/>
      <c r="HC130" s="43"/>
      <c r="HD130" s="43"/>
      <c r="HE130" s="43"/>
      <c r="HF130" s="43"/>
      <c r="HG130" s="43"/>
      <c r="HH130" s="43"/>
      <c r="HI130" s="43"/>
      <c r="HJ130" s="43"/>
      <c r="HK130" s="43"/>
      <c r="HL130" s="43"/>
      <c r="HM130" s="43"/>
      <c r="HN130" s="43"/>
      <c r="HO130" s="43"/>
      <c r="HP130" s="43"/>
      <c r="HQ130" s="43"/>
      <c r="HR130"/>
      <c r="HS130"/>
      <c r="HT130"/>
      <c r="HU130"/>
      <c r="HV130"/>
      <c r="HW130"/>
      <c r="HX130"/>
      <c r="HY130"/>
      <c r="HZ130"/>
      <c r="IA130"/>
      <c r="IB130"/>
      <c r="IC130"/>
      <c r="ID130"/>
      <c r="IE130"/>
      <c r="IF130"/>
      <c r="IG130"/>
      <c r="IH130"/>
      <c r="II130"/>
      <c r="IJ130"/>
      <c r="IK130" s="32"/>
      <c r="IL130" s="32"/>
      <c r="IM130" s="32"/>
      <c r="IN130" s="32"/>
      <c r="IO130" s="32"/>
      <c r="IP130" s="32"/>
      <c r="IQ130" s="32"/>
    </row>
    <row r="131" spans="1:251" s="33" customFormat="1">
      <c r="A131" s="34" t="s">
        <v>17</v>
      </c>
      <c r="B131" s="32"/>
      <c r="C131" s="32"/>
      <c r="D131" s="51"/>
      <c r="E131" s="4"/>
      <c r="F131" s="4"/>
      <c r="G131" s="4"/>
      <c r="H131" s="4"/>
      <c r="I131" s="4"/>
      <c r="J131" s="4"/>
      <c r="K131" s="4"/>
      <c r="L131" s="263"/>
      <c r="M131" s="4"/>
      <c r="N131" s="263"/>
      <c r="O131" s="4"/>
      <c r="P131" s="4"/>
      <c r="Q131" s="4"/>
      <c r="R131" s="4"/>
      <c r="S131" s="4"/>
      <c r="T131" s="4"/>
      <c r="U131" s="4"/>
      <c r="V131" s="4"/>
      <c r="W131" s="4"/>
      <c r="X131" s="4"/>
      <c r="Y131" s="4"/>
      <c r="Z131" s="4"/>
      <c r="AA131" s="4"/>
      <c r="AB131" s="4"/>
      <c r="AC131" s="4"/>
      <c r="AD131" s="4"/>
      <c r="AE131" s="4"/>
      <c r="AF131" s="4"/>
      <c r="AG131" s="4"/>
      <c r="AH131" s="43"/>
      <c r="AI131" s="43"/>
      <c r="AJ131" s="43"/>
      <c r="AK131" s="43"/>
      <c r="AL131" s="43"/>
      <c r="AM131" s="43"/>
      <c r="AN131" s="43"/>
      <c r="AO131" s="43"/>
      <c r="AP131" s="43"/>
      <c r="AQ131" s="43"/>
      <c r="AR131" s="43"/>
      <c r="AS131" s="43"/>
      <c r="AT131" s="43"/>
      <c r="AU131" s="43"/>
      <c r="AV131" s="43"/>
      <c r="AW131" s="43"/>
      <c r="AX131" s="43"/>
      <c r="AY131" s="43"/>
      <c r="AZ131" s="43"/>
      <c r="BA131" s="43"/>
      <c r="BB131" s="43"/>
      <c r="BC131" s="43"/>
      <c r="BD131" s="43"/>
      <c r="BE131" s="43"/>
      <c r="BF131" s="43"/>
      <c r="BG131" s="43"/>
      <c r="BH131" s="43"/>
      <c r="BI131" s="43"/>
      <c r="BJ131" s="43"/>
      <c r="BK131" s="43"/>
      <c r="BL131" s="43"/>
      <c r="BM131" s="43"/>
      <c r="BN131" s="43"/>
      <c r="BO131" s="43"/>
      <c r="BP131" s="43"/>
      <c r="BQ131" s="43"/>
      <c r="BR131" s="43"/>
      <c r="BS131" s="43"/>
      <c r="BT131" s="43"/>
      <c r="BU131" s="43"/>
      <c r="BV131" s="43"/>
      <c r="BW131" s="43"/>
      <c r="BX131" s="43"/>
      <c r="BY131" s="43"/>
      <c r="BZ131" s="43"/>
      <c r="CA131" s="43"/>
      <c r="CB131" s="43"/>
      <c r="CC131" s="43"/>
      <c r="CD131" s="43"/>
      <c r="CE131" s="43"/>
      <c r="CF131" s="43"/>
      <c r="CG131" s="43"/>
      <c r="CH131" s="43"/>
      <c r="CI131" s="43"/>
      <c r="CJ131" s="43"/>
      <c r="CK131" s="43"/>
      <c r="CL131" s="43"/>
      <c r="CM131" s="43"/>
      <c r="CN131" s="43"/>
      <c r="CO131" s="43"/>
      <c r="CP131" s="43"/>
      <c r="CQ131" s="43"/>
      <c r="CR131" s="43"/>
      <c r="CS131" s="43"/>
      <c r="CT131" s="43"/>
      <c r="CU131" s="43"/>
      <c r="CV131" s="43"/>
      <c r="CW131" s="43"/>
      <c r="CX131" s="43"/>
      <c r="CY131" s="43"/>
      <c r="CZ131" s="43"/>
      <c r="DA131" s="43"/>
      <c r="DB131" s="43"/>
      <c r="DC131" s="43"/>
      <c r="DD131" s="43"/>
      <c r="DE131" s="43"/>
      <c r="DF131" s="43"/>
      <c r="DG131" s="43"/>
      <c r="DH131" s="43"/>
      <c r="DI131" s="43"/>
      <c r="DJ131" s="43"/>
      <c r="DK131" s="43"/>
      <c r="DL131" s="43"/>
      <c r="DM131" s="43"/>
      <c r="DN131" s="43"/>
      <c r="DO131" s="43"/>
      <c r="DP131" s="43"/>
      <c r="DQ131" s="43"/>
      <c r="DR131" s="43"/>
      <c r="DS131" s="43"/>
      <c r="DT131" s="43"/>
      <c r="DU131" s="43"/>
      <c r="DV131" s="43"/>
      <c r="DW131" s="43"/>
      <c r="DX131" s="43"/>
      <c r="DY131" s="43"/>
      <c r="DZ131" s="43"/>
      <c r="EA131" s="43"/>
      <c r="EB131" s="43"/>
      <c r="EC131" s="43"/>
      <c r="ED131" s="43"/>
      <c r="EE131" s="43"/>
      <c r="EF131" s="43"/>
      <c r="EG131" s="43"/>
      <c r="EH131" s="43"/>
      <c r="EI131" s="43"/>
      <c r="EJ131" s="43"/>
      <c r="EK131" s="43"/>
      <c r="EL131" s="43"/>
      <c r="EM131" s="43"/>
      <c r="EN131" s="43"/>
      <c r="EO131" s="43"/>
      <c r="EP131" s="43"/>
      <c r="EQ131" s="43"/>
      <c r="ER131" s="43"/>
      <c r="ES131" s="43"/>
      <c r="ET131" s="43"/>
      <c r="EU131" s="43"/>
      <c r="EV131" s="43"/>
      <c r="EW131" s="43"/>
      <c r="EX131" s="43"/>
      <c r="EY131" s="43"/>
      <c r="EZ131" s="43"/>
      <c r="FA131" s="43"/>
      <c r="FB131" s="43"/>
      <c r="FC131" s="43"/>
      <c r="FD131" s="43"/>
      <c r="FE131" s="43"/>
      <c r="FF131" s="43"/>
      <c r="FG131" s="43"/>
      <c r="FH131" s="43"/>
      <c r="FI131" s="43"/>
      <c r="FJ131" s="43"/>
      <c r="FK131" s="43"/>
      <c r="FL131" s="43"/>
      <c r="FM131" s="43"/>
      <c r="FN131" s="43"/>
      <c r="FO131" s="43"/>
      <c r="FP131" s="43"/>
      <c r="FQ131" s="43"/>
      <c r="FR131" s="43"/>
      <c r="FS131" s="43"/>
      <c r="FT131" s="43"/>
      <c r="FU131" s="43"/>
      <c r="FV131" s="43"/>
      <c r="FW131" s="43"/>
      <c r="FX131" s="43"/>
      <c r="FY131" s="43"/>
      <c r="FZ131" s="43"/>
      <c r="GA131" s="43"/>
      <c r="GB131" s="43"/>
      <c r="GC131" s="43"/>
      <c r="GD131" s="43"/>
      <c r="GE131" s="43"/>
      <c r="GF131" s="43"/>
      <c r="GG131" s="43"/>
      <c r="GH131" s="43"/>
      <c r="GI131" s="43"/>
      <c r="GJ131" s="43"/>
      <c r="GK131" s="43"/>
      <c r="GL131" s="43"/>
      <c r="GM131" s="43"/>
      <c r="GN131" s="43"/>
      <c r="GO131" s="43"/>
      <c r="GP131" s="43"/>
      <c r="GQ131" s="43"/>
      <c r="GR131" s="43"/>
      <c r="GS131" s="43"/>
      <c r="GT131" s="43"/>
      <c r="GU131" s="43"/>
      <c r="GV131" s="43"/>
      <c r="GW131" s="43"/>
      <c r="GX131" s="43"/>
      <c r="GY131" s="43"/>
      <c r="GZ131" s="43"/>
      <c r="HA131" s="43"/>
      <c r="HB131" s="43"/>
      <c r="HC131" s="43"/>
      <c r="HD131" s="43"/>
      <c r="HE131" s="43"/>
      <c r="HF131" s="43"/>
      <c r="HG131" s="43"/>
      <c r="HH131" s="43"/>
      <c r="HI131" s="43"/>
      <c r="HJ131" s="43"/>
      <c r="HK131" s="43"/>
      <c r="HL131" s="43"/>
      <c r="HM131" s="43"/>
      <c r="HN131" s="43"/>
      <c r="HO131" s="43"/>
      <c r="HP131" s="43"/>
      <c r="HQ131" s="43"/>
      <c r="HR131"/>
      <c r="HS131"/>
      <c r="HT131"/>
      <c r="HU131"/>
      <c r="HV131"/>
      <c r="HW131"/>
      <c r="HX131"/>
      <c r="HY131"/>
      <c r="HZ131"/>
      <c r="IA131"/>
      <c r="IB131"/>
      <c r="IC131"/>
      <c r="ID131"/>
      <c r="IE131"/>
      <c r="IF131"/>
      <c r="IG131"/>
      <c r="IH131"/>
      <c r="II131"/>
      <c r="IJ131"/>
      <c r="IK131" s="32"/>
      <c r="IL131" s="32"/>
      <c r="IM131" s="32"/>
      <c r="IN131" s="32"/>
      <c r="IO131" s="32"/>
      <c r="IP131" s="32"/>
      <c r="IQ131" s="32"/>
    </row>
    <row r="132" spans="1:251" s="33" customFormat="1">
      <c r="A132" s="32" t="s">
        <v>18</v>
      </c>
      <c r="B132" s="32"/>
      <c r="C132" s="32"/>
      <c r="D132" s="51"/>
      <c r="E132" s="5">
        <f>E10/IS!B11</f>
        <v>7.0050349196037032E-2</v>
      </c>
      <c r="F132" s="5">
        <f>F10/IS!C11</f>
        <v>8.7813839559093693E-2</v>
      </c>
      <c r="G132" s="5">
        <f>G10/IS!D11</f>
        <v>7.9857286899868152E-2</v>
      </c>
      <c r="H132" s="5">
        <f>H10/IS!E11</f>
        <v>8.170630882727041E-2</v>
      </c>
      <c r="I132" s="5">
        <f>I10/IS!F11</f>
        <v>8.6584080126515556E-2</v>
      </c>
      <c r="J132" s="5">
        <f>J10/IS!G11</f>
        <v>8.9475648441873487E-2</v>
      </c>
      <c r="K132" s="5">
        <f>K10/IS!H11</f>
        <v>7.7779067405623417E-2</v>
      </c>
      <c r="L132" s="263"/>
      <c r="M132" s="5">
        <f>M10/IS!I11</f>
        <v>3.9929469313463396E-2</v>
      </c>
      <c r="N132" s="263"/>
      <c r="O132" s="5">
        <f>O10/IS!J11</f>
        <v>5.4562187746515908E-3</v>
      </c>
      <c r="P132" s="5">
        <f>P10/IS!K11</f>
        <v>2.809885688741299E-3</v>
      </c>
      <c r="Q132" s="5">
        <f>Q10/IS!L11</f>
        <v>5.7061340941512127E-3</v>
      </c>
      <c r="R132" s="5">
        <f>R10/IS!M11</f>
        <v>5.0319677954061091E-3</v>
      </c>
      <c r="S132" s="5">
        <f>S10/IS!N11</f>
        <v>1.5697299830141159E-2</v>
      </c>
      <c r="T132" s="5">
        <f>T10/IS!O11</f>
        <v>1.1028571428571429E-2</v>
      </c>
      <c r="U132" s="5">
        <f>U10/IS!P11</f>
        <v>6.5107852573175569E-3</v>
      </c>
      <c r="V132" s="5">
        <f>V10/IS!Q11</f>
        <v>6.9098728944096887E-3</v>
      </c>
      <c r="W132" s="5">
        <f>W10/IS!R11</f>
        <v>6.5876984646769101E-3</v>
      </c>
      <c r="X132" s="5">
        <f>X10/IS!S11</f>
        <v>7.8088638361690022E-3</v>
      </c>
      <c r="Y132" s="5">
        <f>Y10/IS!T11</f>
        <v>1.1028571428571429E-2</v>
      </c>
      <c r="Z132" s="5">
        <f>Z10/IS!U11</f>
        <v>1.1028571428571428E-2</v>
      </c>
      <c r="AA132" s="5">
        <f>AA10/IS!V11</f>
        <v>1.1028571428571429E-2</v>
      </c>
      <c r="AB132" s="5">
        <f>AB10/IS!W11</f>
        <v>1.1028571428571429E-2</v>
      </c>
      <c r="AC132" s="5">
        <f>AC10/IS!X11</f>
        <v>1.1028571428571429E-2</v>
      </c>
      <c r="AD132" s="5">
        <f>AD10/IS!Y11</f>
        <v>1.1028571428571429E-2</v>
      </c>
      <c r="AE132" s="5">
        <f>AE10/IS!Z11</f>
        <v>1.1028571428571429E-2</v>
      </c>
      <c r="AF132" s="5">
        <f>AF10/IS!AA11</f>
        <v>1.1028571428571429E-2</v>
      </c>
      <c r="AG132" s="5">
        <f>AG10/IS!AB11</f>
        <v>1.1028571428571429E-2</v>
      </c>
      <c r="AH132" s="43"/>
      <c r="AI132" s="43"/>
      <c r="AJ132" s="43"/>
      <c r="AK132" s="43"/>
      <c r="AL132" s="43"/>
      <c r="AM132" s="43"/>
      <c r="AN132" s="43"/>
      <c r="AO132" s="43"/>
      <c r="AP132" s="43"/>
      <c r="AQ132" s="43"/>
      <c r="AR132" s="43"/>
      <c r="AS132" s="43"/>
      <c r="AT132" s="43"/>
      <c r="AU132" s="43"/>
      <c r="AV132" s="43"/>
      <c r="AW132" s="43"/>
      <c r="AX132" s="43"/>
      <c r="AY132" s="43"/>
      <c r="AZ132" s="43"/>
      <c r="BA132" s="43"/>
      <c r="BB132" s="43"/>
      <c r="BC132" s="43"/>
      <c r="BD132" s="43"/>
      <c r="BE132" s="43"/>
      <c r="BF132" s="43"/>
      <c r="BG132" s="43"/>
      <c r="BH132" s="43"/>
      <c r="BI132" s="43"/>
      <c r="BJ132" s="43"/>
      <c r="BK132" s="43"/>
      <c r="BL132" s="43"/>
      <c r="BM132" s="43"/>
      <c r="BN132" s="43"/>
      <c r="BO132" s="43"/>
      <c r="BP132" s="43"/>
      <c r="BQ132" s="43"/>
      <c r="BR132" s="43"/>
      <c r="BS132" s="43"/>
      <c r="BT132" s="43"/>
      <c r="BU132" s="43"/>
      <c r="BV132" s="43"/>
      <c r="BW132" s="43"/>
      <c r="BX132" s="43"/>
      <c r="BY132" s="43"/>
      <c r="BZ132" s="43"/>
      <c r="CA132" s="43"/>
      <c r="CB132" s="43"/>
      <c r="CC132" s="43"/>
      <c r="CD132" s="43"/>
      <c r="CE132" s="43"/>
      <c r="CF132" s="43"/>
      <c r="CG132" s="43"/>
      <c r="CH132" s="43"/>
      <c r="CI132" s="43"/>
      <c r="CJ132" s="43"/>
      <c r="CK132" s="43"/>
      <c r="CL132" s="43"/>
      <c r="CM132" s="43"/>
      <c r="CN132" s="43"/>
      <c r="CO132" s="43"/>
      <c r="CP132" s="43"/>
      <c r="CQ132" s="43"/>
      <c r="CR132" s="43"/>
      <c r="CS132" s="43"/>
      <c r="CT132" s="43"/>
      <c r="CU132" s="43"/>
      <c r="CV132" s="43"/>
      <c r="CW132" s="43"/>
      <c r="CX132" s="43"/>
      <c r="CY132" s="43"/>
      <c r="CZ132" s="43"/>
      <c r="DA132" s="43"/>
      <c r="DB132" s="43"/>
      <c r="DC132" s="43"/>
      <c r="DD132" s="43"/>
      <c r="DE132" s="43"/>
      <c r="DF132" s="43"/>
      <c r="DG132" s="43"/>
      <c r="DH132" s="43"/>
      <c r="DI132" s="43"/>
      <c r="DJ132" s="43"/>
      <c r="DK132" s="43"/>
      <c r="DL132" s="43"/>
      <c r="DM132" s="43"/>
      <c r="DN132" s="43"/>
      <c r="DO132" s="43"/>
      <c r="DP132" s="43"/>
      <c r="DQ132" s="43"/>
      <c r="DR132" s="43"/>
      <c r="DS132" s="43"/>
      <c r="DT132" s="43"/>
      <c r="DU132" s="43"/>
      <c r="DV132" s="43"/>
      <c r="DW132" s="43"/>
      <c r="DX132" s="43"/>
      <c r="DY132" s="43"/>
      <c r="DZ132" s="43"/>
      <c r="EA132" s="43"/>
      <c r="EB132" s="43"/>
      <c r="EC132" s="43"/>
      <c r="ED132" s="43"/>
      <c r="EE132" s="43"/>
      <c r="EF132" s="43"/>
      <c r="EG132" s="43"/>
      <c r="EH132" s="43"/>
      <c r="EI132" s="43"/>
      <c r="EJ132" s="43"/>
      <c r="EK132" s="43"/>
      <c r="EL132" s="43"/>
      <c r="EM132" s="43"/>
      <c r="EN132" s="43"/>
      <c r="EO132" s="43"/>
      <c r="EP132" s="43"/>
      <c r="EQ132" s="43"/>
      <c r="ER132" s="43"/>
      <c r="ES132" s="43"/>
      <c r="ET132" s="43"/>
      <c r="EU132" s="43"/>
      <c r="EV132" s="43"/>
      <c r="EW132" s="43"/>
      <c r="EX132" s="43"/>
      <c r="EY132" s="43"/>
      <c r="EZ132" s="43"/>
      <c r="FA132" s="43"/>
      <c r="FB132" s="43"/>
      <c r="FC132" s="43"/>
      <c r="FD132" s="43"/>
      <c r="FE132" s="43"/>
      <c r="FF132" s="43"/>
      <c r="FG132" s="43"/>
      <c r="FH132" s="43"/>
      <c r="FI132" s="43"/>
      <c r="FJ132" s="43"/>
      <c r="FK132" s="43"/>
      <c r="FL132" s="43"/>
      <c r="FM132" s="43"/>
      <c r="FN132" s="43"/>
      <c r="FO132" s="43"/>
      <c r="FP132" s="43"/>
      <c r="FQ132" s="43"/>
      <c r="FR132" s="43"/>
      <c r="FS132" s="43"/>
      <c r="FT132" s="43"/>
      <c r="FU132" s="43"/>
      <c r="FV132" s="43"/>
      <c r="FW132" s="43"/>
      <c r="FX132" s="43"/>
      <c r="FY132" s="43"/>
      <c r="FZ132" s="43"/>
      <c r="GA132" s="43"/>
      <c r="GB132" s="43"/>
      <c r="GC132" s="43"/>
      <c r="GD132" s="43"/>
      <c r="GE132" s="43"/>
      <c r="GF132" s="43"/>
      <c r="GG132" s="43"/>
      <c r="GH132" s="43"/>
      <c r="GI132" s="43"/>
      <c r="GJ132" s="43"/>
      <c r="GK132" s="43"/>
      <c r="GL132" s="43"/>
      <c r="GM132" s="43"/>
      <c r="GN132" s="43"/>
      <c r="GO132" s="43"/>
      <c r="GP132" s="43"/>
      <c r="GQ132" s="43"/>
      <c r="GR132" s="43"/>
      <c r="GS132" s="43"/>
      <c r="GT132" s="43"/>
      <c r="GU132" s="43"/>
      <c r="GV132" s="43"/>
      <c r="GW132" s="43"/>
      <c r="GX132" s="43"/>
      <c r="GY132" s="43"/>
      <c r="GZ132" s="43"/>
      <c r="HA132" s="43"/>
      <c r="HB132" s="43"/>
      <c r="HC132" s="43"/>
      <c r="HD132" s="43"/>
      <c r="HE132" s="43"/>
      <c r="HF132" s="43"/>
      <c r="HG132" s="43"/>
      <c r="HH132" s="43"/>
      <c r="HI132" s="43"/>
      <c r="HJ132" s="43"/>
      <c r="HK132" s="43"/>
      <c r="HL132" s="43"/>
      <c r="HM132" s="43"/>
      <c r="HN132" s="43"/>
      <c r="HO132" s="43"/>
      <c r="HP132" s="43"/>
      <c r="HQ132" s="43"/>
      <c r="HR132"/>
      <c r="HS132"/>
      <c r="HT132"/>
      <c r="HU132"/>
      <c r="HV132"/>
      <c r="HW132"/>
      <c r="HX132"/>
      <c r="HY132"/>
      <c r="HZ132"/>
      <c r="IA132"/>
      <c r="IB132"/>
      <c r="IC132"/>
      <c r="ID132"/>
      <c r="IE132"/>
      <c r="IF132"/>
      <c r="IG132"/>
      <c r="IH132"/>
      <c r="II132"/>
      <c r="IJ132"/>
      <c r="IK132" s="32"/>
      <c r="IL132" s="32"/>
      <c r="IM132" s="32"/>
      <c r="IN132" s="32"/>
      <c r="IO132" s="32"/>
      <c r="IP132" s="32"/>
      <c r="IQ132" s="32"/>
    </row>
    <row r="133" spans="1:251" s="33" customFormat="1">
      <c r="A133" s="32" t="s">
        <v>19</v>
      </c>
      <c r="B133" s="32"/>
      <c r="C133" s="32"/>
      <c r="D133" s="51"/>
      <c r="E133" s="271">
        <f t="shared" ref="E133:K133" si="122">1/E132</f>
        <v>14.275446325063761</v>
      </c>
      <c r="F133" s="271">
        <f t="shared" si="122"/>
        <v>11.387726638772664</v>
      </c>
      <c r="G133" s="271">
        <f t="shared" si="122"/>
        <v>12.522338772338772</v>
      </c>
      <c r="H133" s="271">
        <f t="shared" si="122"/>
        <v>12.238956995524422</v>
      </c>
      <c r="I133" s="271">
        <f t="shared" si="122"/>
        <v>11.549467275494672</v>
      </c>
      <c r="J133" s="271">
        <f t="shared" si="122"/>
        <v>11.176225234619395</v>
      </c>
      <c r="K133" s="271">
        <f t="shared" si="122"/>
        <v>12.856929677299012</v>
      </c>
      <c r="L133" s="263"/>
      <c r="M133" s="271">
        <f>1/M132</f>
        <v>25.044159544159545</v>
      </c>
      <c r="N133" s="263"/>
      <c r="O133" s="271">
        <f>1/O132</f>
        <v>183.27710843373495</v>
      </c>
      <c r="P133" s="271">
        <f t="shared" ref="P133:V133" si="123">1/P132</f>
        <v>355.88636363636363</v>
      </c>
      <c r="Q133" s="271">
        <f>1/Q132</f>
        <v>175.25</v>
      </c>
      <c r="R133" s="271">
        <f>1/R132</f>
        <v>198.7294117647059</v>
      </c>
      <c r="S133" s="271">
        <f t="shared" si="123"/>
        <v>63.705223880597018</v>
      </c>
      <c r="T133" s="271">
        <f t="shared" si="123"/>
        <v>90.673575129533674</v>
      </c>
      <c r="U133" s="271">
        <f t="shared" si="123"/>
        <v>153.59130434782608</v>
      </c>
      <c r="V133" s="271">
        <f t="shared" si="123"/>
        <v>144.72046234150449</v>
      </c>
      <c r="W133" s="271">
        <f t="shared" ref="W133:AB133" si="124">1/W132</f>
        <v>151.79808325502106</v>
      </c>
      <c r="X133" s="271">
        <f t="shared" ref="X133" si="125">1/X132</f>
        <v>128.05960264900662</v>
      </c>
      <c r="Y133" s="271">
        <f t="shared" si="124"/>
        <v>90.673575129533674</v>
      </c>
      <c r="Z133" s="271">
        <f t="shared" si="124"/>
        <v>90.673575129533688</v>
      </c>
      <c r="AA133" s="271">
        <f t="shared" si="124"/>
        <v>90.673575129533674</v>
      </c>
      <c r="AB133" s="271">
        <f t="shared" si="124"/>
        <v>90.673575129533674</v>
      </c>
      <c r="AC133" s="271">
        <f>1/AC132</f>
        <v>90.673575129533674</v>
      </c>
      <c r="AD133" s="271">
        <f>1/AD132</f>
        <v>90.673575129533674</v>
      </c>
      <c r="AE133" s="271">
        <f>1/AE132</f>
        <v>90.673575129533674</v>
      </c>
      <c r="AF133" s="271">
        <f>1/AF132</f>
        <v>90.673575129533674</v>
      </c>
      <c r="AG133" s="271">
        <f>1/AG132</f>
        <v>90.673575129533674</v>
      </c>
      <c r="AH133" s="43"/>
      <c r="AI133" s="43"/>
      <c r="AJ133" s="43"/>
      <c r="AK133" s="43"/>
      <c r="AL133" s="43"/>
      <c r="AM133" s="43"/>
      <c r="AN133" s="43"/>
      <c r="AO133" s="43"/>
      <c r="AP133" s="43"/>
      <c r="AQ133" s="43"/>
      <c r="AR133" s="43"/>
      <c r="AS133" s="43"/>
      <c r="AT133" s="43"/>
      <c r="AU133" s="43"/>
      <c r="AV133" s="43"/>
      <c r="AW133" s="43"/>
      <c r="AX133" s="43"/>
      <c r="AY133" s="43"/>
      <c r="AZ133" s="43"/>
      <c r="BA133" s="43"/>
      <c r="BB133" s="43"/>
      <c r="BC133" s="43"/>
      <c r="BD133" s="43"/>
      <c r="BE133" s="43"/>
      <c r="BF133" s="43"/>
      <c r="BG133" s="43"/>
      <c r="BH133" s="43"/>
      <c r="BI133" s="43"/>
      <c r="BJ133" s="43"/>
      <c r="BK133" s="43"/>
      <c r="BL133" s="43"/>
      <c r="BM133" s="43"/>
      <c r="BN133" s="43"/>
      <c r="BO133" s="43"/>
      <c r="BP133" s="43"/>
      <c r="BQ133" s="43"/>
      <c r="BR133" s="43"/>
      <c r="BS133" s="43"/>
      <c r="BT133" s="43"/>
      <c r="BU133" s="43"/>
      <c r="BV133" s="43"/>
      <c r="BW133" s="43"/>
      <c r="BX133" s="43"/>
      <c r="BY133" s="43"/>
      <c r="BZ133" s="43"/>
      <c r="CA133" s="43"/>
      <c r="CB133" s="43"/>
      <c r="CC133" s="43"/>
      <c r="CD133" s="43"/>
      <c r="CE133" s="43"/>
      <c r="CF133" s="43"/>
      <c r="CG133" s="43"/>
      <c r="CH133" s="43"/>
      <c r="CI133" s="43"/>
      <c r="CJ133" s="43"/>
      <c r="CK133" s="43"/>
      <c r="CL133" s="43"/>
      <c r="CM133" s="43"/>
      <c r="CN133" s="43"/>
      <c r="CO133" s="43"/>
      <c r="CP133" s="43"/>
      <c r="CQ133" s="43"/>
      <c r="CR133" s="43"/>
      <c r="CS133" s="43"/>
      <c r="CT133" s="43"/>
      <c r="CU133" s="43"/>
      <c r="CV133" s="43"/>
      <c r="CW133" s="43"/>
      <c r="CX133" s="43"/>
      <c r="CY133" s="43"/>
      <c r="CZ133" s="43"/>
      <c r="DA133" s="43"/>
      <c r="DB133" s="43"/>
      <c r="DC133" s="43"/>
      <c r="DD133" s="43"/>
      <c r="DE133" s="43"/>
      <c r="DF133" s="43"/>
      <c r="DG133" s="43"/>
      <c r="DH133" s="43"/>
      <c r="DI133" s="43"/>
      <c r="DJ133" s="43"/>
      <c r="DK133" s="43"/>
      <c r="DL133" s="43"/>
      <c r="DM133" s="43"/>
      <c r="DN133" s="43"/>
      <c r="DO133" s="43"/>
      <c r="DP133" s="43"/>
      <c r="DQ133" s="43"/>
      <c r="DR133" s="43"/>
      <c r="DS133" s="43"/>
      <c r="DT133" s="43"/>
      <c r="DU133" s="43"/>
      <c r="DV133" s="43"/>
      <c r="DW133" s="43"/>
      <c r="DX133" s="43"/>
      <c r="DY133" s="43"/>
      <c r="DZ133" s="43"/>
      <c r="EA133" s="43"/>
      <c r="EB133" s="43"/>
      <c r="EC133" s="43"/>
      <c r="ED133" s="43"/>
      <c r="EE133" s="43"/>
      <c r="EF133" s="43"/>
      <c r="EG133" s="43"/>
      <c r="EH133" s="43"/>
      <c r="EI133" s="43"/>
      <c r="EJ133" s="43"/>
      <c r="EK133" s="43"/>
      <c r="EL133" s="43"/>
      <c r="EM133" s="43"/>
      <c r="EN133" s="43"/>
      <c r="EO133" s="43"/>
      <c r="EP133" s="43"/>
      <c r="EQ133" s="43"/>
      <c r="ER133" s="43"/>
      <c r="ES133" s="43"/>
      <c r="ET133" s="43"/>
      <c r="EU133" s="43"/>
      <c r="EV133" s="43"/>
      <c r="EW133" s="43"/>
      <c r="EX133" s="43"/>
      <c r="EY133" s="43"/>
      <c r="EZ133" s="43"/>
      <c r="FA133" s="43"/>
      <c r="FB133" s="43"/>
      <c r="FC133" s="43"/>
      <c r="FD133" s="43"/>
      <c r="FE133" s="43"/>
      <c r="FF133" s="43"/>
      <c r="FG133" s="43"/>
      <c r="FH133" s="43"/>
      <c r="FI133" s="43"/>
      <c r="FJ133" s="43"/>
      <c r="FK133" s="43"/>
      <c r="FL133" s="43"/>
      <c r="FM133" s="43"/>
      <c r="FN133" s="43"/>
      <c r="FO133" s="43"/>
      <c r="FP133" s="43"/>
      <c r="FQ133" s="43"/>
      <c r="FR133" s="43"/>
      <c r="FS133" s="43"/>
      <c r="FT133" s="43"/>
      <c r="FU133" s="43"/>
      <c r="FV133" s="43"/>
      <c r="FW133" s="43"/>
      <c r="FX133" s="43"/>
      <c r="FY133" s="43"/>
      <c r="FZ133" s="43"/>
      <c r="GA133" s="43"/>
      <c r="GB133" s="43"/>
      <c r="GC133" s="43"/>
      <c r="GD133" s="43"/>
      <c r="GE133" s="43"/>
      <c r="GF133" s="43"/>
      <c r="GG133" s="43"/>
      <c r="GH133" s="43"/>
      <c r="GI133" s="43"/>
      <c r="GJ133" s="43"/>
      <c r="GK133" s="43"/>
      <c r="GL133" s="43"/>
      <c r="GM133" s="43"/>
      <c r="GN133" s="43"/>
      <c r="GO133" s="43"/>
      <c r="GP133" s="43"/>
      <c r="GQ133" s="43"/>
      <c r="GR133" s="43"/>
      <c r="GS133" s="43"/>
      <c r="GT133" s="43"/>
      <c r="GU133" s="43"/>
      <c r="GV133" s="43"/>
      <c r="GW133" s="43"/>
      <c r="GX133" s="43"/>
      <c r="GY133" s="43"/>
      <c r="GZ133" s="43"/>
      <c r="HA133" s="43"/>
      <c r="HB133" s="43"/>
      <c r="HC133" s="43"/>
      <c r="HD133" s="43"/>
      <c r="HE133" s="43"/>
      <c r="HF133" s="43"/>
      <c r="HG133" s="43"/>
      <c r="HH133" s="43"/>
      <c r="HI133" s="43"/>
      <c r="HJ133" s="43"/>
      <c r="HK133" s="43"/>
      <c r="HL133" s="43"/>
      <c r="HM133" s="43"/>
      <c r="HN133" s="43"/>
      <c r="HO133" s="43"/>
      <c r="HP133" s="43"/>
      <c r="HQ133" s="43"/>
      <c r="HR133"/>
      <c r="HS133"/>
      <c r="HT133"/>
      <c r="HU133"/>
      <c r="HV133"/>
      <c r="HW133"/>
      <c r="HX133"/>
      <c r="HY133"/>
      <c r="HZ133"/>
      <c r="IA133"/>
      <c r="IB133"/>
      <c r="IC133"/>
      <c r="ID133"/>
      <c r="IE133"/>
      <c r="IF133"/>
      <c r="IG133"/>
      <c r="IH133"/>
      <c r="II133"/>
      <c r="IJ133"/>
      <c r="IK133" s="32"/>
      <c r="IL133" s="32"/>
      <c r="IM133" s="32"/>
      <c r="IN133" s="32"/>
      <c r="IO133" s="32"/>
      <c r="IP133" s="32"/>
      <c r="IQ133" s="32"/>
    </row>
    <row r="134" spans="1:251" s="33" customFormat="1">
      <c r="A134" s="32"/>
      <c r="B134" s="32"/>
      <c r="C134" s="32"/>
      <c r="D134" s="51"/>
      <c r="E134" s="4"/>
      <c r="F134" s="4"/>
      <c r="G134" s="4"/>
      <c r="H134" s="4"/>
      <c r="I134" s="4"/>
      <c r="J134" s="4"/>
      <c r="K134" s="4"/>
      <c r="L134" s="263"/>
      <c r="M134" s="4"/>
      <c r="N134" s="263"/>
      <c r="O134" s="4"/>
      <c r="P134" s="4"/>
      <c r="Q134" s="4"/>
      <c r="R134" s="4"/>
      <c r="S134" s="4"/>
      <c r="T134" s="4"/>
      <c r="U134" s="4"/>
      <c r="V134" s="4"/>
      <c r="W134" s="4"/>
      <c r="X134" s="4"/>
      <c r="Y134" s="4"/>
      <c r="Z134" s="4"/>
      <c r="AA134" s="4"/>
      <c r="AB134" s="4"/>
      <c r="AC134" s="4"/>
      <c r="AD134" s="4"/>
      <c r="AE134" s="4"/>
      <c r="AF134" s="4"/>
      <c r="AG134" s="4"/>
      <c r="AH134" s="43"/>
      <c r="AI134" s="43"/>
      <c r="AJ134" s="43"/>
      <c r="AK134" s="43"/>
      <c r="AL134" s="43"/>
      <c r="AM134" s="43"/>
      <c r="AN134" s="43"/>
      <c r="AO134" s="43"/>
      <c r="AP134" s="43"/>
      <c r="AQ134" s="43"/>
      <c r="AR134" s="43"/>
      <c r="AS134" s="43"/>
      <c r="AT134" s="43"/>
      <c r="AU134" s="43"/>
      <c r="AV134" s="43"/>
      <c r="AW134" s="43"/>
      <c r="AX134" s="43"/>
      <c r="AY134" s="43"/>
      <c r="AZ134" s="43"/>
      <c r="BA134" s="43"/>
      <c r="BB134" s="43"/>
      <c r="BC134" s="43"/>
      <c r="BD134" s="43"/>
      <c r="BE134" s="43"/>
      <c r="BF134" s="43"/>
      <c r="BG134" s="43"/>
      <c r="BH134" s="43"/>
      <c r="BI134" s="43"/>
      <c r="BJ134" s="43"/>
      <c r="BK134" s="43"/>
      <c r="BL134" s="43"/>
      <c r="BM134" s="43"/>
      <c r="BN134" s="43"/>
      <c r="BO134" s="43"/>
      <c r="BP134" s="43"/>
      <c r="BQ134" s="43"/>
      <c r="BR134" s="43"/>
      <c r="BS134" s="43"/>
      <c r="BT134" s="43"/>
      <c r="BU134" s="43"/>
      <c r="BV134" s="43"/>
      <c r="BW134" s="43"/>
      <c r="BX134" s="43"/>
      <c r="BY134" s="43"/>
      <c r="BZ134" s="43"/>
      <c r="CA134" s="43"/>
      <c r="CB134" s="43"/>
      <c r="CC134" s="43"/>
      <c r="CD134" s="43"/>
      <c r="CE134" s="43"/>
      <c r="CF134" s="43"/>
      <c r="CG134" s="43"/>
      <c r="CH134" s="43"/>
      <c r="CI134" s="43"/>
      <c r="CJ134" s="43"/>
      <c r="CK134" s="43"/>
      <c r="CL134" s="43"/>
      <c r="CM134" s="43"/>
      <c r="CN134" s="43"/>
      <c r="CO134" s="43"/>
      <c r="CP134" s="43"/>
      <c r="CQ134" s="43"/>
      <c r="CR134" s="43"/>
      <c r="CS134" s="43"/>
      <c r="CT134" s="43"/>
      <c r="CU134" s="43"/>
      <c r="CV134" s="43"/>
      <c r="CW134" s="43"/>
      <c r="CX134" s="43"/>
      <c r="CY134" s="43"/>
      <c r="CZ134" s="43"/>
      <c r="DA134" s="43"/>
      <c r="DB134" s="43"/>
      <c r="DC134" s="43"/>
      <c r="DD134" s="43"/>
      <c r="DE134" s="43"/>
      <c r="DF134" s="43"/>
      <c r="DG134" s="43"/>
      <c r="DH134" s="43"/>
      <c r="DI134" s="43"/>
      <c r="DJ134" s="43"/>
      <c r="DK134" s="43"/>
      <c r="DL134" s="43"/>
      <c r="DM134" s="43"/>
      <c r="DN134" s="43"/>
      <c r="DO134" s="43"/>
      <c r="DP134" s="43"/>
      <c r="DQ134" s="43"/>
      <c r="DR134" s="43"/>
      <c r="DS134" s="43"/>
      <c r="DT134" s="43"/>
      <c r="DU134" s="43"/>
      <c r="DV134" s="43"/>
      <c r="DW134" s="43"/>
      <c r="DX134" s="43"/>
      <c r="DY134" s="43"/>
      <c r="DZ134" s="43"/>
      <c r="EA134" s="43"/>
      <c r="EB134" s="43"/>
      <c r="EC134" s="43"/>
      <c r="ED134" s="43"/>
      <c r="EE134" s="43"/>
      <c r="EF134" s="43"/>
      <c r="EG134" s="43"/>
      <c r="EH134" s="43"/>
      <c r="EI134" s="43"/>
      <c r="EJ134" s="43"/>
      <c r="EK134" s="43"/>
      <c r="EL134" s="43"/>
      <c r="EM134" s="43"/>
      <c r="EN134" s="43"/>
      <c r="EO134" s="43"/>
      <c r="EP134" s="43"/>
      <c r="EQ134" s="43"/>
      <c r="ER134" s="43"/>
      <c r="ES134" s="43"/>
      <c r="ET134" s="43"/>
      <c r="EU134" s="43"/>
      <c r="EV134" s="43"/>
      <c r="EW134" s="43"/>
      <c r="EX134" s="43"/>
      <c r="EY134" s="43"/>
      <c r="EZ134" s="43"/>
      <c r="FA134" s="43"/>
      <c r="FB134" s="43"/>
      <c r="FC134" s="43"/>
      <c r="FD134" s="43"/>
      <c r="FE134" s="43"/>
      <c r="FF134" s="43"/>
      <c r="FG134" s="43"/>
      <c r="FH134" s="43"/>
      <c r="FI134" s="43"/>
      <c r="FJ134" s="43"/>
      <c r="FK134" s="43"/>
      <c r="FL134" s="43"/>
      <c r="FM134" s="43"/>
      <c r="FN134" s="43"/>
      <c r="FO134" s="43"/>
      <c r="FP134" s="43"/>
      <c r="FQ134" s="43"/>
      <c r="FR134" s="43"/>
      <c r="FS134" s="43"/>
      <c r="FT134" s="43"/>
      <c r="FU134" s="43"/>
      <c r="FV134" s="43"/>
      <c r="FW134" s="43"/>
      <c r="FX134" s="43"/>
      <c r="FY134" s="43"/>
      <c r="FZ134" s="43"/>
      <c r="GA134" s="43"/>
      <c r="GB134" s="43"/>
      <c r="GC134" s="43"/>
      <c r="GD134" s="43"/>
      <c r="GE134" s="43"/>
      <c r="GF134" s="43"/>
      <c r="GG134" s="43"/>
      <c r="GH134" s="43"/>
      <c r="GI134" s="43"/>
      <c r="GJ134" s="43"/>
      <c r="GK134" s="43"/>
      <c r="GL134" s="43"/>
      <c r="GM134" s="43"/>
      <c r="GN134" s="43"/>
      <c r="GO134" s="43"/>
      <c r="GP134" s="43"/>
      <c r="GQ134" s="43"/>
      <c r="GR134" s="43"/>
      <c r="GS134" s="43"/>
      <c r="GT134" s="43"/>
      <c r="GU134" s="43"/>
      <c r="GV134" s="43"/>
      <c r="GW134" s="43"/>
      <c r="GX134" s="43"/>
      <c r="GY134" s="43"/>
      <c r="GZ134" s="43"/>
      <c r="HA134" s="43"/>
      <c r="HB134" s="43"/>
      <c r="HC134" s="43"/>
      <c r="HD134" s="43"/>
      <c r="HE134" s="43"/>
      <c r="HF134" s="43"/>
      <c r="HG134" s="43"/>
      <c r="HH134" s="43"/>
      <c r="HI134" s="43"/>
      <c r="HJ134" s="43"/>
      <c r="HK134" s="43"/>
      <c r="HL134" s="43"/>
      <c r="HM134" s="43"/>
      <c r="HN134" s="43"/>
      <c r="HO134" s="43"/>
      <c r="HP134" s="43"/>
      <c r="HQ134" s="43"/>
      <c r="HR134"/>
      <c r="HS134"/>
      <c r="HT134"/>
      <c r="HU134"/>
      <c r="HV134"/>
      <c r="HW134"/>
      <c r="HX134"/>
      <c r="HY134"/>
      <c r="HZ134"/>
      <c r="IA134"/>
      <c r="IB134"/>
      <c r="IC134"/>
      <c r="ID134"/>
      <c r="IE134"/>
      <c r="IF134"/>
      <c r="IG134"/>
      <c r="IH134"/>
      <c r="II134"/>
      <c r="IJ134"/>
      <c r="IK134" s="32"/>
      <c r="IL134" s="32"/>
      <c r="IM134" s="32"/>
      <c r="IN134" s="32"/>
      <c r="IO134" s="32"/>
      <c r="IP134" s="32"/>
      <c r="IQ134" s="32"/>
    </row>
    <row r="135" spans="1:251" s="33" customFormat="1">
      <c r="A135" s="32" t="s">
        <v>20</v>
      </c>
      <c r="B135" s="32"/>
      <c r="C135" s="32"/>
      <c r="D135" s="51"/>
      <c r="E135" s="5">
        <f>E11/IS!B13</f>
        <v>0.30180857821014273</v>
      </c>
      <c r="F135" s="5">
        <f>F11/IS!C13</f>
        <v>0.29531671159029649</v>
      </c>
      <c r="G135" s="5">
        <f>G11/IS!D13</f>
        <v>0.26321533923303836</v>
      </c>
      <c r="H135" s="5">
        <f>H11/IS!E13</f>
        <v>0.27870404299499207</v>
      </c>
      <c r="I135" s="5">
        <f>I11/IS!F13</f>
        <v>0.29934107310950736</v>
      </c>
      <c r="J135" s="5">
        <f>J11/IS!G13</f>
        <v>0.2914235959947758</v>
      </c>
      <c r="K135" s="5">
        <f>K11/IS!H13</f>
        <v>0.25618434429007114</v>
      </c>
      <c r="L135" s="263"/>
      <c r="M135" s="5">
        <f>M11/IS!I13</f>
        <v>0.2296478556499193</v>
      </c>
      <c r="N135" s="263"/>
      <c r="O135" s="5">
        <f>O11/IS!J13</f>
        <v>0.15919766408531166</v>
      </c>
      <c r="P135" s="5">
        <f>P11/IS!K13</f>
        <v>0.13277853682772325</v>
      </c>
      <c r="Q135" s="5">
        <f>Q11/IS!L13</f>
        <v>0.22260484565244126</v>
      </c>
      <c r="R135" s="5">
        <f>R11/IS!M13</f>
        <v>0.22736443883984866</v>
      </c>
      <c r="S135" s="5">
        <f>S11/IS!N13</f>
        <v>0.2274645186037591</v>
      </c>
      <c r="T135" s="5">
        <f>T11/IS!O13</f>
        <v>0.22208089544645129</v>
      </c>
      <c r="U135" s="5">
        <f>U11/IS!P13</f>
        <v>0.24613570867173173</v>
      </c>
      <c r="V135" s="5">
        <f>V11/IS!Q13</f>
        <v>0.26294293650014255</v>
      </c>
      <c r="W135" s="5">
        <f>W11/IS!R13</f>
        <v>0.25915528901365309</v>
      </c>
      <c r="X135" s="5">
        <f>X11/IS!S13</f>
        <v>0.26519265580553403</v>
      </c>
      <c r="Y135" s="5">
        <f>Y11/IS!T13</f>
        <v>0.22208089544645127</v>
      </c>
      <c r="Z135" s="5">
        <f>Z11/IS!U13</f>
        <v>0.22208089544645129</v>
      </c>
      <c r="AA135" s="5">
        <f>AA11/IS!V13</f>
        <v>0.22208089544645127</v>
      </c>
      <c r="AB135" s="5">
        <f>AB11/IS!W13</f>
        <v>0.22208089544645129</v>
      </c>
      <c r="AC135" s="5">
        <f>AC11/IS!X13</f>
        <v>0.22208089544645127</v>
      </c>
      <c r="AD135" s="5">
        <f>AD11/IS!Y13</f>
        <v>0.22208089544645129</v>
      </c>
      <c r="AE135" s="5">
        <f>AE11/IS!Z13</f>
        <v>0.22208089544645127</v>
      </c>
      <c r="AF135" s="5">
        <f>AF11/IS!AA13</f>
        <v>0.22208089544645132</v>
      </c>
      <c r="AG135" s="5">
        <f>AG11/IS!AB13</f>
        <v>0.22208089544645129</v>
      </c>
      <c r="AH135" s="43"/>
      <c r="AI135" s="43"/>
      <c r="AJ135" s="43"/>
      <c r="AK135" s="43"/>
      <c r="AL135" s="43"/>
      <c r="AM135" s="43"/>
      <c r="AN135" s="43"/>
      <c r="AO135" s="43"/>
      <c r="AP135" s="43"/>
      <c r="AQ135" s="43"/>
      <c r="AR135" s="43"/>
      <c r="AS135" s="43"/>
      <c r="AT135" s="43"/>
      <c r="AU135" s="43"/>
      <c r="AV135" s="43"/>
      <c r="AW135" s="43"/>
      <c r="AX135" s="43"/>
      <c r="AY135" s="43"/>
      <c r="AZ135" s="43"/>
      <c r="BA135" s="43"/>
      <c r="BB135" s="43"/>
      <c r="BC135" s="43"/>
      <c r="BD135" s="43"/>
      <c r="BE135" s="43"/>
      <c r="BF135" s="43"/>
      <c r="BG135" s="43"/>
      <c r="BH135" s="43"/>
      <c r="BI135" s="43"/>
      <c r="BJ135" s="43"/>
      <c r="BK135" s="43"/>
      <c r="BL135" s="43"/>
      <c r="BM135" s="43"/>
      <c r="BN135" s="43"/>
      <c r="BO135" s="43"/>
      <c r="BP135" s="43"/>
      <c r="BQ135" s="43"/>
      <c r="BR135" s="43"/>
      <c r="BS135" s="43"/>
      <c r="BT135" s="43"/>
      <c r="BU135" s="43"/>
      <c r="BV135" s="43"/>
      <c r="BW135" s="43"/>
      <c r="BX135" s="43"/>
      <c r="BY135" s="43"/>
      <c r="BZ135" s="43"/>
      <c r="CA135" s="43"/>
      <c r="CB135" s="43"/>
      <c r="CC135" s="43"/>
      <c r="CD135" s="43"/>
      <c r="CE135" s="43"/>
      <c r="CF135" s="43"/>
      <c r="CG135" s="43"/>
      <c r="CH135" s="43"/>
      <c r="CI135" s="43"/>
      <c r="CJ135" s="43"/>
      <c r="CK135" s="43"/>
      <c r="CL135" s="43"/>
      <c r="CM135" s="43"/>
      <c r="CN135" s="43"/>
      <c r="CO135" s="43"/>
      <c r="CP135" s="43"/>
      <c r="CQ135" s="43"/>
      <c r="CR135" s="43"/>
      <c r="CS135" s="43"/>
      <c r="CT135" s="43"/>
      <c r="CU135" s="43"/>
      <c r="CV135" s="43"/>
      <c r="CW135" s="43"/>
      <c r="CX135" s="43"/>
      <c r="CY135" s="43"/>
      <c r="CZ135" s="43"/>
      <c r="DA135" s="43"/>
      <c r="DB135" s="43"/>
      <c r="DC135" s="43"/>
      <c r="DD135" s="43"/>
      <c r="DE135" s="43"/>
      <c r="DF135" s="43"/>
      <c r="DG135" s="43"/>
      <c r="DH135" s="43"/>
      <c r="DI135" s="43"/>
      <c r="DJ135" s="43"/>
      <c r="DK135" s="43"/>
      <c r="DL135" s="43"/>
      <c r="DM135" s="43"/>
      <c r="DN135" s="43"/>
      <c r="DO135" s="43"/>
      <c r="DP135" s="43"/>
      <c r="DQ135" s="43"/>
      <c r="DR135" s="43"/>
      <c r="DS135" s="43"/>
      <c r="DT135" s="43"/>
      <c r="DU135" s="43"/>
      <c r="DV135" s="43"/>
      <c r="DW135" s="43"/>
      <c r="DX135" s="43"/>
      <c r="DY135" s="43"/>
      <c r="DZ135" s="43"/>
      <c r="EA135" s="43"/>
      <c r="EB135" s="43"/>
      <c r="EC135" s="43"/>
      <c r="ED135" s="43"/>
      <c r="EE135" s="43"/>
      <c r="EF135" s="43"/>
      <c r="EG135" s="43"/>
      <c r="EH135" s="43"/>
      <c r="EI135" s="43"/>
      <c r="EJ135" s="43"/>
      <c r="EK135" s="43"/>
      <c r="EL135" s="43"/>
      <c r="EM135" s="43"/>
      <c r="EN135" s="43"/>
      <c r="EO135" s="43"/>
      <c r="EP135" s="43"/>
      <c r="EQ135" s="43"/>
      <c r="ER135" s="43"/>
      <c r="ES135" s="43"/>
      <c r="ET135" s="43"/>
      <c r="EU135" s="43"/>
      <c r="EV135" s="43"/>
      <c r="EW135" s="43"/>
      <c r="EX135" s="43"/>
      <c r="EY135" s="43"/>
      <c r="EZ135" s="43"/>
      <c r="FA135" s="43"/>
      <c r="FB135" s="43"/>
      <c r="FC135" s="43"/>
      <c r="FD135" s="43"/>
      <c r="FE135" s="43"/>
      <c r="FF135" s="43"/>
      <c r="FG135" s="43"/>
      <c r="FH135" s="43"/>
      <c r="FI135" s="43"/>
      <c r="FJ135" s="43"/>
      <c r="FK135" s="43"/>
      <c r="FL135" s="43"/>
      <c r="FM135" s="43"/>
      <c r="FN135" s="43"/>
      <c r="FO135" s="43"/>
      <c r="FP135" s="43"/>
      <c r="FQ135" s="43"/>
      <c r="FR135" s="43"/>
      <c r="FS135" s="43"/>
      <c r="FT135" s="43"/>
      <c r="FU135" s="43"/>
      <c r="FV135" s="43"/>
      <c r="FW135" s="43"/>
      <c r="FX135" s="43"/>
      <c r="FY135" s="43"/>
      <c r="FZ135" s="43"/>
      <c r="GA135" s="43"/>
      <c r="GB135" s="43"/>
      <c r="GC135" s="43"/>
      <c r="GD135" s="43"/>
      <c r="GE135" s="43"/>
      <c r="GF135" s="43"/>
      <c r="GG135" s="43"/>
      <c r="GH135" s="43"/>
      <c r="GI135" s="43"/>
      <c r="GJ135" s="43"/>
      <c r="GK135" s="43"/>
      <c r="GL135" s="43"/>
      <c r="GM135" s="43"/>
      <c r="GN135" s="43"/>
      <c r="GO135" s="43"/>
      <c r="GP135" s="43"/>
      <c r="GQ135" s="43"/>
      <c r="GR135" s="43"/>
      <c r="GS135" s="43"/>
      <c r="GT135" s="43"/>
      <c r="GU135" s="43"/>
      <c r="GV135" s="43"/>
      <c r="GW135" s="43"/>
      <c r="GX135" s="43"/>
      <c r="GY135" s="43"/>
      <c r="GZ135" s="43"/>
      <c r="HA135" s="43"/>
      <c r="HB135" s="43"/>
      <c r="HC135" s="43"/>
      <c r="HD135" s="43"/>
      <c r="HE135" s="43"/>
      <c r="HF135" s="43"/>
      <c r="HG135" s="43"/>
      <c r="HH135" s="43"/>
      <c r="HI135" s="43"/>
      <c r="HJ135" s="43"/>
      <c r="HK135" s="43"/>
      <c r="HL135" s="43"/>
      <c r="HM135" s="43"/>
      <c r="HN135" s="43"/>
      <c r="HO135" s="43"/>
      <c r="HP135" s="43"/>
      <c r="HQ135" s="43"/>
      <c r="HR135"/>
      <c r="HS135"/>
      <c r="HT135"/>
      <c r="HU135"/>
      <c r="HV135"/>
      <c r="HW135"/>
      <c r="HX135"/>
      <c r="HY135"/>
      <c r="HZ135"/>
      <c r="IA135"/>
      <c r="IB135"/>
      <c r="IC135"/>
      <c r="ID135"/>
      <c r="IE135"/>
      <c r="IF135"/>
      <c r="IG135"/>
      <c r="IH135"/>
      <c r="II135"/>
      <c r="IJ135"/>
      <c r="IK135" s="32"/>
      <c r="IL135" s="32"/>
      <c r="IM135" s="32"/>
      <c r="IN135" s="32"/>
      <c r="IO135" s="32"/>
      <c r="IP135" s="32"/>
      <c r="IQ135" s="32"/>
    </row>
    <row r="136" spans="1:251" s="33" customFormat="1">
      <c r="A136" s="32" t="s">
        <v>22</v>
      </c>
      <c r="B136" s="32"/>
      <c r="C136" s="32"/>
      <c r="D136" s="51"/>
      <c r="E136" s="271">
        <f t="shared" ref="E136:K136" si="126">1/E135</f>
        <v>3.3133584404076211</v>
      </c>
      <c r="F136" s="271">
        <f t="shared" si="126"/>
        <v>3.3861950941243584</v>
      </c>
      <c r="G136" s="271">
        <f t="shared" si="126"/>
        <v>3.7991706825058835</v>
      </c>
      <c r="H136" s="271">
        <f t="shared" si="126"/>
        <v>3.5880354990686971</v>
      </c>
      <c r="I136" s="271">
        <f t="shared" si="126"/>
        <v>3.3406708595387844</v>
      </c>
      <c r="J136" s="271">
        <f t="shared" si="126"/>
        <v>3.4314311323573348</v>
      </c>
      <c r="K136" s="271">
        <f t="shared" si="126"/>
        <v>3.9034391534391539</v>
      </c>
      <c r="L136" s="263"/>
      <c r="M136" s="271">
        <f>1/M135</f>
        <v>4.3544930875576036</v>
      </c>
      <c r="N136" s="263"/>
      <c r="O136" s="271">
        <f>1/O135</f>
        <v>6.2814992025518341</v>
      </c>
      <c r="P136" s="271">
        <f t="shared" ref="P136:W136" si="127">1/P135</f>
        <v>7.5313376987839105</v>
      </c>
      <c r="Q136" s="271">
        <f>1/Q135</f>
        <v>4.4922651933701658</v>
      </c>
      <c r="R136" s="271">
        <f>1/R135</f>
        <v>4.3982251802551309</v>
      </c>
      <c r="S136" s="271">
        <f>1/S135</f>
        <v>4.3962900505902196</v>
      </c>
      <c r="T136" s="271">
        <f t="shared" si="127"/>
        <v>4.5028636884306987</v>
      </c>
      <c r="U136" s="271">
        <f t="shared" si="127"/>
        <v>4.0627993613624263</v>
      </c>
      <c r="V136" s="271">
        <f t="shared" si="127"/>
        <v>3.8031065344836059</v>
      </c>
      <c r="W136" s="271">
        <f t="shared" si="127"/>
        <v>3.8586903003446591</v>
      </c>
      <c r="X136" s="271">
        <f t="shared" ref="X136" si="128">1/X135</f>
        <v>3.7708434909800093</v>
      </c>
      <c r="Y136" s="271">
        <f t="shared" ref="Y136:AG136" si="129">1/Y135</f>
        <v>4.5028636884306987</v>
      </c>
      <c r="Z136" s="271">
        <f t="shared" si="129"/>
        <v>4.5028636884306987</v>
      </c>
      <c r="AA136" s="271">
        <f t="shared" si="129"/>
        <v>4.5028636884306987</v>
      </c>
      <c r="AB136" s="271">
        <f t="shared" si="129"/>
        <v>4.5028636884306987</v>
      </c>
      <c r="AC136" s="271">
        <f t="shared" si="129"/>
        <v>4.5028636884306987</v>
      </c>
      <c r="AD136" s="271">
        <f t="shared" si="129"/>
        <v>4.5028636884306987</v>
      </c>
      <c r="AE136" s="271">
        <f t="shared" si="129"/>
        <v>4.5028636884306987</v>
      </c>
      <c r="AF136" s="271">
        <f t="shared" si="129"/>
        <v>4.5028636884306978</v>
      </c>
      <c r="AG136" s="271">
        <f t="shared" si="129"/>
        <v>4.5028636884306987</v>
      </c>
      <c r="AH136" s="43"/>
      <c r="AI136" s="43"/>
      <c r="AJ136" s="43"/>
      <c r="AK136" s="43"/>
      <c r="AL136" s="43"/>
      <c r="AM136" s="43"/>
      <c r="AN136" s="43"/>
      <c r="AO136" s="43"/>
      <c r="AP136" s="43"/>
      <c r="AQ136" s="43"/>
      <c r="AR136" s="43"/>
      <c r="AS136" s="43"/>
      <c r="AT136" s="43"/>
      <c r="AU136" s="43"/>
      <c r="AV136" s="43"/>
      <c r="AW136" s="43"/>
      <c r="AX136" s="43"/>
      <c r="AY136" s="43"/>
      <c r="AZ136" s="43"/>
      <c r="BA136" s="43"/>
      <c r="BB136" s="43"/>
      <c r="BC136" s="43"/>
      <c r="BD136" s="43"/>
      <c r="BE136" s="43"/>
      <c r="BF136" s="43"/>
      <c r="BG136" s="43"/>
      <c r="BH136" s="43"/>
      <c r="BI136" s="43"/>
      <c r="BJ136" s="43"/>
      <c r="BK136" s="43"/>
      <c r="BL136" s="43"/>
      <c r="BM136" s="43"/>
      <c r="BN136" s="43"/>
      <c r="BO136" s="43"/>
      <c r="BP136" s="43"/>
      <c r="BQ136" s="43"/>
      <c r="BR136" s="43"/>
      <c r="BS136" s="43"/>
      <c r="BT136" s="43"/>
      <c r="BU136" s="43"/>
      <c r="BV136" s="43"/>
      <c r="BW136" s="43"/>
      <c r="BX136" s="43"/>
      <c r="BY136" s="43"/>
      <c r="BZ136" s="43"/>
      <c r="CA136" s="43"/>
      <c r="CB136" s="43"/>
      <c r="CC136" s="43"/>
      <c r="CD136" s="43"/>
      <c r="CE136" s="43"/>
      <c r="CF136" s="43"/>
      <c r="CG136" s="43"/>
      <c r="CH136" s="43"/>
      <c r="CI136" s="43"/>
      <c r="CJ136" s="43"/>
      <c r="CK136" s="43"/>
      <c r="CL136" s="43"/>
      <c r="CM136" s="43"/>
      <c r="CN136" s="43"/>
      <c r="CO136" s="43"/>
      <c r="CP136" s="43"/>
      <c r="CQ136" s="43"/>
      <c r="CR136" s="43"/>
      <c r="CS136" s="43"/>
      <c r="CT136" s="43"/>
      <c r="CU136" s="43"/>
      <c r="CV136" s="43"/>
      <c r="CW136" s="43"/>
      <c r="CX136" s="43"/>
      <c r="CY136" s="43"/>
      <c r="CZ136" s="43"/>
      <c r="DA136" s="43"/>
      <c r="DB136" s="43"/>
      <c r="DC136" s="43"/>
      <c r="DD136" s="43"/>
      <c r="DE136" s="43"/>
      <c r="DF136" s="43"/>
      <c r="DG136" s="43"/>
      <c r="DH136" s="43"/>
      <c r="DI136" s="43"/>
      <c r="DJ136" s="43"/>
      <c r="DK136" s="43"/>
      <c r="DL136" s="43"/>
      <c r="DM136" s="43"/>
      <c r="DN136" s="43"/>
      <c r="DO136" s="43"/>
      <c r="DP136" s="43"/>
      <c r="DQ136" s="43"/>
      <c r="DR136" s="43"/>
      <c r="DS136" s="43"/>
      <c r="DT136" s="43"/>
      <c r="DU136" s="43"/>
      <c r="DV136" s="43"/>
      <c r="DW136" s="43"/>
      <c r="DX136" s="43"/>
      <c r="DY136" s="43"/>
      <c r="DZ136" s="43"/>
      <c r="EA136" s="43"/>
      <c r="EB136" s="43"/>
      <c r="EC136" s="43"/>
      <c r="ED136" s="43"/>
      <c r="EE136" s="43"/>
      <c r="EF136" s="43"/>
      <c r="EG136" s="43"/>
      <c r="EH136" s="43"/>
      <c r="EI136" s="43"/>
      <c r="EJ136" s="43"/>
      <c r="EK136" s="43"/>
      <c r="EL136" s="43"/>
      <c r="EM136" s="43"/>
      <c r="EN136" s="43"/>
      <c r="EO136" s="43"/>
      <c r="EP136" s="43"/>
      <c r="EQ136" s="43"/>
      <c r="ER136" s="43"/>
      <c r="ES136" s="43"/>
      <c r="ET136" s="43"/>
      <c r="EU136" s="43"/>
      <c r="EV136" s="43"/>
      <c r="EW136" s="43"/>
      <c r="EX136" s="43"/>
      <c r="EY136" s="43"/>
      <c r="EZ136" s="43"/>
      <c r="FA136" s="43"/>
      <c r="FB136" s="43"/>
      <c r="FC136" s="43"/>
      <c r="FD136" s="43"/>
      <c r="FE136" s="43"/>
      <c r="FF136" s="43"/>
      <c r="FG136" s="43"/>
      <c r="FH136" s="43"/>
      <c r="FI136" s="43"/>
      <c r="FJ136" s="43"/>
      <c r="FK136" s="43"/>
      <c r="FL136" s="43"/>
      <c r="FM136" s="43"/>
      <c r="FN136" s="43"/>
      <c r="FO136" s="43"/>
      <c r="FP136" s="43"/>
      <c r="FQ136" s="43"/>
      <c r="FR136" s="43"/>
      <c r="FS136" s="43"/>
      <c r="FT136" s="43"/>
      <c r="FU136" s="43"/>
      <c r="FV136" s="43"/>
      <c r="FW136" s="43"/>
      <c r="FX136" s="43"/>
      <c r="FY136" s="43"/>
      <c r="FZ136" s="43"/>
      <c r="GA136" s="43"/>
      <c r="GB136" s="43"/>
      <c r="GC136" s="43"/>
      <c r="GD136" s="43"/>
      <c r="GE136" s="43"/>
      <c r="GF136" s="43"/>
      <c r="GG136" s="43"/>
      <c r="GH136" s="43"/>
      <c r="GI136" s="43"/>
      <c r="GJ136" s="43"/>
      <c r="GK136" s="43"/>
      <c r="GL136" s="43"/>
      <c r="GM136" s="43"/>
      <c r="GN136" s="43"/>
      <c r="GO136" s="43"/>
      <c r="GP136" s="43"/>
      <c r="GQ136" s="43"/>
      <c r="GR136" s="43"/>
      <c r="GS136" s="43"/>
      <c r="GT136" s="43"/>
      <c r="GU136" s="43"/>
      <c r="GV136" s="43"/>
      <c r="GW136" s="43"/>
      <c r="GX136" s="43"/>
      <c r="GY136" s="43"/>
      <c r="GZ136" s="43"/>
      <c r="HA136" s="43"/>
      <c r="HB136" s="43"/>
      <c r="HC136" s="43"/>
      <c r="HD136" s="43"/>
      <c r="HE136" s="43"/>
      <c r="HF136" s="43"/>
      <c r="HG136" s="43"/>
      <c r="HH136" s="43"/>
      <c r="HI136" s="43"/>
      <c r="HJ136" s="43"/>
      <c r="HK136" s="43"/>
      <c r="HL136" s="43"/>
      <c r="HM136" s="43"/>
      <c r="HN136" s="43"/>
      <c r="HO136" s="43"/>
      <c r="HP136" s="43"/>
      <c r="HQ136" s="43"/>
      <c r="HR136"/>
      <c r="HS136"/>
      <c r="HT136"/>
      <c r="HU136"/>
      <c r="HV136"/>
      <c r="HW136"/>
      <c r="HX136"/>
      <c r="HY136"/>
      <c r="HZ136"/>
      <c r="IA136"/>
      <c r="IB136"/>
      <c r="IC136"/>
      <c r="ID136"/>
      <c r="IE136"/>
      <c r="IF136"/>
      <c r="IG136"/>
      <c r="IH136"/>
      <c r="II136"/>
      <c r="IJ136"/>
      <c r="IK136" s="32"/>
      <c r="IL136" s="32"/>
      <c r="IM136" s="32"/>
      <c r="IN136" s="32"/>
      <c r="IO136" s="32"/>
      <c r="IP136" s="32"/>
      <c r="IQ136" s="32"/>
    </row>
    <row r="137" spans="1:251" s="33" customFormat="1">
      <c r="A137" s="32"/>
      <c r="B137" s="32"/>
      <c r="C137" s="32"/>
      <c r="D137" s="51"/>
      <c r="E137" s="4"/>
      <c r="F137" s="4"/>
      <c r="G137" s="4"/>
      <c r="H137" s="4"/>
      <c r="I137" s="4"/>
      <c r="J137" s="4"/>
      <c r="K137" s="4"/>
      <c r="L137" s="263"/>
      <c r="M137" s="4"/>
      <c r="N137" s="263"/>
      <c r="O137" s="4"/>
      <c r="P137" s="4"/>
      <c r="Q137" s="4"/>
      <c r="R137" s="4"/>
      <c r="S137" s="4"/>
      <c r="T137" s="4"/>
      <c r="U137" s="4"/>
      <c r="V137" s="4"/>
      <c r="W137" s="4"/>
      <c r="X137" s="4"/>
      <c r="Y137" s="4"/>
      <c r="Z137" s="4"/>
      <c r="AA137" s="4"/>
      <c r="AB137" s="4"/>
      <c r="AC137" s="4"/>
      <c r="AD137" s="4"/>
      <c r="AE137" s="4"/>
      <c r="AF137" s="4"/>
      <c r="AG137" s="4"/>
      <c r="AH137" s="43"/>
      <c r="AI137" s="43"/>
      <c r="AJ137" s="43"/>
      <c r="AK137" s="43"/>
      <c r="AL137" s="43"/>
      <c r="AM137" s="43"/>
      <c r="AN137" s="43"/>
      <c r="AO137" s="43"/>
      <c r="AP137" s="43"/>
      <c r="AQ137" s="43"/>
      <c r="AR137" s="43"/>
      <c r="AS137" s="43"/>
      <c r="AT137" s="43"/>
      <c r="AU137" s="43"/>
      <c r="AV137" s="43"/>
      <c r="AW137" s="43"/>
      <c r="AX137" s="43"/>
      <c r="AY137" s="43"/>
      <c r="AZ137" s="43"/>
      <c r="BA137" s="43"/>
      <c r="BB137" s="43"/>
      <c r="BC137" s="43"/>
      <c r="BD137" s="43"/>
      <c r="BE137" s="43"/>
      <c r="BF137" s="43"/>
      <c r="BG137" s="43"/>
      <c r="BH137" s="43"/>
      <c r="BI137" s="43"/>
      <c r="BJ137" s="43"/>
      <c r="BK137" s="43"/>
      <c r="BL137" s="43"/>
      <c r="BM137" s="43"/>
      <c r="BN137" s="43"/>
      <c r="BO137" s="43"/>
      <c r="BP137" s="43"/>
      <c r="BQ137" s="43"/>
      <c r="BR137" s="43"/>
      <c r="BS137" s="43"/>
      <c r="BT137" s="43"/>
      <c r="BU137" s="43"/>
      <c r="BV137" s="43"/>
      <c r="BW137" s="43"/>
      <c r="BX137" s="43"/>
      <c r="BY137" s="43"/>
      <c r="BZ137" s="43"/>
      <c r="CA137" s="43"/>
      <c r="CB137" s="43"/>
      <c r="CC137" s="43"/>
      <c r="CD137" s="43"/>
      <c r="CE137" s="43"/>
      <c r="CF137" s="43"/>
      <c r="CG137" s="43"/>
      <c r="CH137" s="43"/>
      <c r="CI137" s="43"/>
      <c r="CJ137" s="43"/>
      <c r="CK137" s="43"/>
      <c r="CL137" s="43"/>
      <c r="CM137" s="43"/>
      <c r="CN137" s="43"/>
      <c r="CO137" s="43"/>
      <c r="CP137" s="43"/>
      <c r="CQ137" s="43"/>
      <c r="CR137" s="43"/>
      <c r="CS137" s="43"/>
      <c r="CT137" s="43"/>
      <c r="CU137" s="43"/>
      <c r="CV137" s="43"/>
      <c r="CW137" s="43"/>
      <c r="CX137" s="43"/>
      <c r="CY137" s="43"/>
      <c r="CZ137" s="43"/>
      <c r="DA137" s="43"/>
      <c r="DB137" s="43"/>
      <c r="DC137" s="43"/>
      <c r="DD137" s="43"/>
      <c r="DE137" s="43"/>
      <c r="DF137" s="43"/>
      <c r="DG137" s="43"/>
      <c r="DH137" s="43"/>
      <c r="DI137" s="43"/>
      <c r="DJ137" s="43"/>
      <c r="DK137" s="43"/>
      <c r="DL137" s="43"/>
      <c r="DM137" s="43"/>
      <c r="DN137" s="43"/>
      <c r="DO137" s="43"/>
      <c r="DP137" s="43"/>
      <c r="DQ137" s="43"/>
      <c r="DR137" s="43"/>
      <c r="DS137" s="43"/>
      <c r="DT137" s="43"/>
      <c r="DU137" s="43"/>
      <c r="DV137" s="43"/>
      <c r="DW137" s="43"/>
      <c r="DX137" s="43"/>
      <c r="DY137" s="43"/>
      <c r="DZ137" s="43"/>
      <c r="EA137" s="43"/>
      <c r="EB137" s="43"/>
      <c r="EC137" s="43"/>
      <c r="ED137" s="43"/>
      <c r="EE137" s="43"/>
      <c r="EF137" s="43"/>
      <c r="EG137" s="43"/>
      <c r="EH137" s="43"/>
      <c r="EI137" s="43"/>
      <c r="EJ137" s="43"/>
      <c r="EK137" s="43"/>
      <c r="EL137" s="43"/>
      <c r="EM137" s="43"/>
      <c r="EN137" s="43"/>
      <c r="EO137" s="43"/>
      <c r="EP137" s="43"/>
      <c r="EQ137" s="43"/>
      <c r="ER137" s="43"/>
      <c r="ES137" s="43"/>
      <c r="ET137" s="43"/>
      <c r="EU137" s="43"/>
      <c r="EV137" s="43"/>
      <c r="EW137" s="43"/>
      <c r="EX137" s="43"/>
      <c r="EY137" s="43"/>
      <c r="EZ137" s="43"/>
      <c r="FA137" s="43"/>
      <c r="FB137" s="43"/>
      <c r="FC137" s="43"/>
      <c r="FD137" s="43"/>
      <c r="FE137" s="43"/>
      <c r="FF137" s="43"/>
      <c r="FG137" s="43"/>
      <c r="FH137" s="43"/>
      <c r="FI137" s="43"/>
      <c r="FJ137" s="43"/>
      <c r="FK137" s="43"/>
      <c r="FL137" s="43"/>
      <c r="FM137" s="43"/>
      <c r="FN137" s="43"/>
      <c r="FO137" s="43"/>
      <c r="FP137" s="43"/>
      <c r="FQ137" s="43"/>
      <c r="FR137" s="43"/>
      <c r="FS137" s="43"/>
      <c r="FT137" s="43"/>
      <c r="FU137" s="43"/>
      <c r="FV137" s="43"/>
      <c r="FW137" s="43"/>
      <c r="FX137" s="43"/>
      <c r="FY137" s="43"/>
      <c r="FZ137" s="43"/>
      <c r="GA137" s="43"/>
      <c r="GB137" s="43"/>
      <c r="GC137" s="43"/>
      <c r="GD137" s="43"/>
      <c r="GE137" s="43"/>
      <c r="GF137" s="43"/>
      <c r="GG137" s="43"/>
      <c r="GH137" s="43"/>
      <c r="GI137" s="43"/>
      <c r="GJ137" s="43"/>
      <c r="GK137" s="43"/>
      <c r="GL137" s="43"/>
      <c r="GM137" s="43"/>
      <c r="GN137" s="43"/>
      <c r="GO137" s="43"/>
      <c r="GP137" s="43"/>
      <c r="GQ137" s="43"/>
      <c r="GR137" s="43"/>
      <c r="GS137" s="43"/>
      <c r="GT137" s="43"/>
      <c r="GU137" s="43"/>
      <c r="GV137" s="43"/>
      <c r="GW137" s="43"/>
      <c r="GX137" s="43"/>
      <c r="GY137" s="43"/>
      <c r="GZ137" s="43"/>
      <c r="HA137" s="43"/>
      <c r="HB137" s="43"/>
      <c r="HC137" s="43"/>
      <c r="HD137" s="43"/>
      <c r="HE137" s="43"/>
      <c r="HF137" s="43"/>
      <c r="HG137" s="43"/>
      <c r="HH137" s="43"/>
      <c r="HI137" s="43"/>
      <c r="HJ137" s="43"/>
      <c r="HK137" s="43"/>
      <c r="HL137" s="43"/>
      <c r="HM137" s="43"/>
      <c r="HN137" s="43"/>
      <c r="HO137" s="43"/>
      <c r="HP137" s="43"/>
      <c r="HQ137" s="43"/>
      <c r="HR137"/>
      <c r="HS137"/>
      <c r="HT137"/>
      <c r="HU137"/>
      <c r="HV137"/>
      <c r="HW137"/>
      <c r="HX137"/>
      <c r="HY137"/>
      <c r="HZ137"/>
      <c r="IA137"/>
      <c r="IB137"/>
      <c r="IC137"/>
      <c r="ID137"/>
      <c r="IE137"/>
      <c r="IF137"/>
      <c r="IG137"/>
      <c r="IH137"/>
      <c r="II137"/>
      <c r="IJ137"/>
      <c r="IK137" s="32"/>
      <c r="IL137" s="32"/>
      <c r="IM137" s="32"/>
      <c r="IN137" s="32"/>
      <c r="IO137" s="32"/>
      <c r="IP137" s="32"/>
      <c r="IQ137" s="32"/>
    </row>
    <row r="138" spans="1:251" s="33" customFormat="1">
      <c r="A138" s="43" t="s">
        <v>23</v>
      </c>
      <c r="B138" s="32"/>
      <c r="C138" s="32"/>
      <c r="D138" s="51"/>
      <c r="E138" s="5">
        <f>E35/IS!B13</f>
        <v>0.11202487212917461</v>
      </c>
      <c r="F138" s="5">
        <f>F35/IS!C13</f>
        <v>0.12759433962264152</v>
      </c>
      <c r="G138" s="5">
        <f>G35/IS!D13</f>
        <v>0.10619469026548672</v>
      </c>
      <c r="H138" s="5">
        <f>H35/IS!E13</f>
        <v>9.4295834860144132E-2</v>
      </c>
      <c r="I138" s="5">
        <f>I35/IS!F13</f>
        <v>0.10034515218073423</v>
      </c>
      <c r="J138" s="5">
        <f>J35/IS!G13</f>
        <v>0.10059497895806124</v>
      </c>
      <c r="K138" s="5">
        <f>K35/IS!H13</f>
        <v>8.8226751222345939E-2</v>
      </c>
      <c r="L138" s="263"/>
      <c r="M138" s="5">
        <f>M35/IS!I13</f>
        <v>3.7410376484906208E-2</v>
      </c>
      <c r="N138" s="263"/>
      <c r="O138" s="5">
        <f>O35/IS!J13</f>
        <v>7.7567601878887907E-2</v>
      </c>
      <c r="P138" s="5">
        <f>P35/IS!K13</f>
        <v>6.3346168177866105E-2</v>
      </c>
      <c r="Q138" s="5">
        <f>Q35/IS!L13</f>
        <v>6.0755134669782315E-2</v>
      </c>
      <c r="R138" s="5">
        <f>R35/IS!M13</f>
        <v>6.6708701134930645E-2</v>
      </c>
      <c r="S138" s="5">
        <f>S35/IS!N13</f>
        <v>6.43140263393428E-2</v>
      </c>
      <c r="T138" s="5">
        <f>T35/IS!O13</f>
        <v>5.7364538285423559E-2</v>
      </c>
      <c r="U138" s="5">
        <f>U35/IS!P13</f>
        <v>5.3576106890227924E-2</v>
      </c>
      <c r="V138" s="5">
        <f>V35/IS!Q13</f>
        <v>5.3619736070617305E-2</v>
      </c>
      <c r="W138" s="5">
        <f>W35/IS!R13</f>
        <v>5.1039938752073473E-2</v>
      </c>
      <c r="X138" s="5">
        <f>X35/IS!S13</f>
        <v>5.495215929661236E-2</v>
      </c>
      <c r="Y138" s="5">
        <f>Y35/IS!T13</f>
        <v>5.7364538285423559E-2</v>
      </c>
      <c r="Z138" s="5">
        <f>Z35/IS!U13</f>
        <v>5.7364538285423559E-2</v>
      </c>
      <c r="AA138" s="5">
        <f>AA35/IS!V13</f>
        <v>5.7364538285423559E-2</v>
      </c>
      <c r="AB138" s="5">
        <f>AB35/IS!W13</f>
        <v>5.7364538285423559E-2</v>
      </c>
      <c r="AC138" s="5">
        <f>AC35/IS!X13</f>
        <v>5.7364538285423559E-2</v>
      </c>
      <c r="AD138" s="5">
        <f>AD35/IS!Y13</f>
        <v>5.7364538285423559E-2</v>
      </c>
      <c r="AE138" s="5">
        <f>AE35/IS!Z13</f>
        <v>5.7364538285423559E-2</v>
      </c>
      <c r="AF138" s="5">
        <f>AF35/IS!AA13</f>
        <v>5.7364538285423559E-2</v>
      </c>
      <c r="AG138" s="5">
        <f>AG35/IS!AB13</f>
        <v>5.7364538285423559E-2</v>
      </c>
      <c r="AH138" s="43"/>
      <c r="AI138" s="43"/>
      <c r="AJ138" s="43"/>
      <c r="AK138" s="43"/>
      <c r="AL138" s="43"/>
      <c r="AM138" s="43"/>
      <c r="AN138" s="43"/>
      <c r="AO138" s="43"/>
      <c r="AP138" s="43"/>
      <c r="AQ138" s="43"/>
      <c r="AR138" s="43"/>
      <c r="AS138" s="43"/>
      <c r="AT138" s="43"/>
      <c r="AU138" s="43"/>
      <c r="AV138" s="43"/>
      <c r="AW138" s="43"/>
      <c r="AX138" s="43"/>
      <c r="AY138" s="43"/>
      <c r="AZ138" s="43"/>
      <c r="BA138" s="43"/>
      <c r="BB138" s="43"/>
      <c r="BC138" s="43"/>
      <c r="BD138" s="43"/>
      <c r="BE138" s="43"/>
      <c r="BF138" s="43"/>
      <c r="BG138" s="43"/>
      <c r="BH138" s="43"/>
      <c r="BI138" s="43"/>
      <c r="BJ138" s="43"/>
      <c r="BK138" s="43"/>
      <c r="BL138" s="43"/>
      <c r="BM138" s="43"/>
      <c r="BN138" s="43"/>
      <c r="BO138" s="43"/>
      <c r="BP138" s="43"/>
      <c r="BQ138" s="43"/>
      <c r="BR138" s="43"/>
      <c r="BS138" s="43"/>
      <c r="BT138" s="43"/>
      <c r="BU138" s="43"/>
      <c r="BV138" s="43"/>
      <c r="BW138" s="43"/>
      <c r="BX138" s="43"/>
      <c r="BY138" s="43"/>
      <c r="BZ138" s="43"/>
      <c r="CA138" s="43"/>
      <c r="CB138" s="43"/>
      <c r="CC138" s="43"/>
      <c r="CD138" s="43"/>
      <c r="CE138" s="43"/>
      <c r="CF138" s="43"/>
      <c r="CG138" s="43"/>
      <c r="CH138" s="43"/>
      <c r="CI138" s="43"/>
      <c r="CJ138" s="43"/>
      <c r="CK138" s="43"/>
      <c r="CL138" s="43"/>
      <c r="CM138" s="43"/>
      <c r="CN138" s="43"/>
      <c r="CO138" s="43"/>
      <c r="CP138" s="43"/>
      <c r="CQ138" s="43"/>
      <c r="CR138" s="43"/>
      <c r="CS138" s="43"/>
      <c r="CT138" s="43"/>
      <c r="CU138" s="43"/>
      <c r="CV138" s="43"/>
      <c r="CW138" s="43"/>
      <c r="CX138" s="43"/>
      <c r="CY138" s="43"/>
      <c r="CZ138" s="43"/>
      <c r="DA138" s="43"/>
      <c r="DB138" s="43"/>
      <c r="DC138" s="43"/>
      <c r="DD138" s="43"/>
      <c r="DE138" s="43"/>
      <c r="DF138" s="43"/>
      <c r="DG138" s="43"/>
      <c r="DH138" s="43"/>
      <c r="DI138" s="43"/>
      <c r="DJ138" s="43"/>
      <c r="DK138" s="43"/>
      <c r="DL138" s="43"/>
      <c r="DM138" s="43"/>
      <c r="DN138" s="43"/>
      <c r="DO138" s="43"/>
      <c r="DP138" s="43"/>
      <c r="DQ138" s="43"/>
      <c r="DR138" s="43"/>
      <c r="DS138" s="43"/>
      <c r="DT138" s="43"/>
      <c r="DU138" s="43"/>
      <c r="DV138" s="43"/>
      <c r="DW138" s="43"/>
      <c r="DX138" s="43"/>
      <c r="DY138" s="43"/>
      <c r="DZ138" s="43"/>
      <c r="EA138" s="43"/>
      <c r="EB138" s="43"/>
      <c r="EC138" s="43"/>
      <c r="ED138" s="43"/>
      <c r="EE138" s="43"/>
      <c r="EF138" s="43"/>
      <c r="EG138" s="43"/>
      <c r="EH138" s="43"/>
      <c r="EI138" s="43"/>
      <c r="EJ138" s="43"/>
      <c r="EK138" s="43"/>
      <c r="EL138" s="43"/>
      <c r="EM138" s="43"/>
      <c r="EN138" s="43"/>
      <c r="EO138" s="43"/>
      <c r="EP138" s="43"/>
      <c r="EQ138" s="43"/>
      <c r="ER138" s="43"/>
      <c r="ES138" s="43"/>
      <c r="ET138" s="43"/>
      <c r="EU138" s="43"/>
      <c r="EV138" s="43"/>
      <c r="EW138" s="43"/>
      <c r="EX138" s="43"/>
      <c r="EY138" s="43"/>
      <c r="EZ138" s="43"/>
      <c r="FA138" s="43"/>
      <c r="FB138" s="43"/>
      <c r="FC138" s="43"/>
      <c r="FD138" s="43"/>
      <c r="FE138" s="43"/>
      <c r="FF138" s="43"/>
      <c r="FG138" s="43"/>
      <c r="FH138" s="43"/>
      <c r="FI138" s="43"/>
      <c r="FJ138" s="43"/>
      <c r="FK138" s="43"/>
      <c r="FL138" s="43"/>
      <c r="FM138" s="43"/>
      <c r="FN138" s="43"/>
      <c r="FO138" s="43"/>
      <c r="FP138" s="43"/>
      <c r="FQ138" s="43"/>
      <c r="FR138" s="43"/>
      <c r="FS138" s="43"/>
      <c r="FT138" s="43"/>
      <c r="FU138" s="43"/>
      <c r="FV138" s="43"/>
      <c r="FW138" s="43"/>
      <c r="FX138" s="43"/>
      <c r="FY138" s="43"/>
      <c r="FZ138" s="43"/>
      <c r="GA138" s="43"/>
      <c r="GB138" s="43"/>
      <c r="GC138" s="43"/>
      <c r="GD138" s="43"/>
      <c r="GE138" s="43"/>
      <c r="GF138" s="43"/>
      <c r="GG138" s="43"/>
      <c r="GH138" s="43"/>
      <c r="GI138" s="43"/>
      <c r="GJ138" s="43"/>
      <c r="GK138" s="43"/>
      <c r="GL138" s="43"/>
      <c r="GM138" s="43"/>
      <c r="GN138" s="43"/>
      <c r="GO138" s="43"/>
      <c r="GP138" s="43"/>
      <c r="GQ138" s="43"/>
      <c r="GR138" s="43"/>
      <c r="GS138" s="43"/>
      <c r="GT138" s="43"/>
      <c r="GU138" s="43"/>
      <c r="GV138" s="43"/>
      <c r="GW138" s="43"/>
      <c r="GX138" s="43"/>
      <c r="GY138" s="43"/>
      <c r="GZ138" s="43"/>
      <c r="HA138" s="43"/>
      <c r="HB138" s="43"/>
      <c r="HC138" s="43"/>
      <c r="HD138" s="43"/>
      <c r="HE138" s="43"/>
      <c r="HF138" s="43"/>
      <c r="HG138" s="43"/>
      <c r="HH138" s="43"/>
      <c r="HI138" s="43"/>
      <c r="HJ138" s="43"/>
      <c r="HK138" s="43"/>
      <c r="HL138" s="43"/>
      <c r="HM138" s="43"/>
      <c r="HN138" s="43"/>
      <c r="HO138" s="43"/>
      <c r="HP138" s="43"/>
      <c r="HQ138" s="43"/>
      <c r="HR138"/>
      <c r="HS138"/>
      <c r="HT138"/>
      <c r="HU138"/>
      <c r="HV138"/>
      <c r="HW138"/>
      <c r="HX138"/>
      <c r="HY138"/>
      <c r="HZ138"/>
      <c r="IA138"/>
      <c r="IB138"/>
      <c r="IC138"/>
      <c r="ID138"/>
      <c r="IE138"/>
      <c r="IF138"/>
      <c r="IG138"/>
      <c r="IH138"/>
      <c r="II138"/>
      <c r="IJ138"/>
      <c r="IK138" s="32"/>
      <c r="IL138" s="32"/>
      <c r="IM138" s="32"/>
      <c r="IN138" s="32"/>
      <c r="IO138" s="32"/>
      <c r="IP138" s="32"/>
      <c r="IQ138" s="32"/>
    </row>
    <row r="139" spans="1:251" s="33" customFormat="1">
      <c r="A139" s="43" t="s">
        <v>24</v>
      </c>
      <c r="B139" s="32"/>
      <c r="C139" s="32"/>
      <c r="D139" s="51"/>
      <c r="E139" s="271">
        <f t="shared" ref="E139:K139" si="130">1/E138</f>
        <v>8.926589077887197</v>
      </c>
      <c r="F139" s="271">
        <f t="shared" si="130"/>
        <v>7.8373382624768935</v>
      </c>
      <c r="G139" s="271">
        <f t="shared" si="130"/>
        <v>9.4166666666666661</v>
      </c>
      <c r="H139" s="271">
        <f t="shared" si="130"/>
        <v>10.604922279792746</v>
      </c>
      <c r="I139" s="271">
        <f t="shared" si="130"/>
        <v>9.965603502188868</v>
      </c>
      <c r="J139" s="271">
        <f t="shared" si="130"/>
        <v>9.9408540103866123</v>
      </c>
      <c r="K139" s="271">
        <f t="shared" si="130"/>
        <v>11.334430727023319</v>
      </c>
      <c r="L139" s="263"/>
      <c r="M139" s="271">
        <f>1/M138</f>
        <v>26.730551626591232</v>
      </c>
      <c r="N139" s="263"/>
      <c r="O139" s="271">
        <f>1/O138</f>
        <v>12.891980360065466</v>
      </c>
      <c r="P139" s="271">
        <f t="shared" ref="P139:W139" si="131">1/P138</f>
        <v>15.786274509803921</v>
      </c>
      <c r="Q139" s="271">
        <f>1/Q138</f>
        <v>16.459514170040485</v>
      </c>
      <c r="R139" s="271">
        <f t="shared" si="131"/>
        <v>14.99054820415879</v>
      </c>
      <c r="S139" s="271">
        <f t="shared" si="131"/>
        <v>15.548707753479125</v>
      </c>
      <c r="T139" s="271">
        <f t="shared" si="131"/>
        <v>17.432372505543235</v>
      </c>
      <c r="U139" s="271">
        <f t="shared" si="131"/>
        <v>18.665036674816626</v>
      </c>
      <c r="V139" s="271">
        <f t="shared" si="131"/>
        <v>18.649849351794607</v>
      </c>
      <c r="W139" s="271">
        <f t="shared" si="131"/>
        <v>19.592500000000008</v>
      </c>
      <c r="X139" s="271">
        <f t="shared" ref="X139" si="132">1/X138</f>
        <v>18.197647058823531</v>
      </c>
      <c r="Y139" s="271">
        <f t="shared" ref="Y139:AG139" si="133">1/Y138</f>
        <v>17.432372505543235</v>
      </c>
      <c r="Z139" s="271">
        <f t="shared" si="133"/>
        <v>17.432372505543235</v>
      </c>
      <c r="AA139" s="271">
        <f t="shared" si="133"/>
        <v>17.432372505543235</v>
      </c>
      <c r="AB139" s="271">
        <f t="shared" si="133"/>
        <v>17.432372505543235</v>
      </c>
      <c r="AC139" s="271">
        <f t="shared" si="133"/>
        <v>17.432372505543235</v>
      </c>
      <c r="AD139" s="271">
        <f t="shared" si="133"/>
        <v>17.432372505543235</v>
      </c>
      <c r="AE139" s="271">
        <f t="shared" si="133"/>
        <v>17.432372505543235</v>
      </c>
      <c r="AF139" s="271">
        <f t="shared" si="133"/>
        <v>17.432372505543235</v>
      </c>
      <c r="AG139" s="271">
        <f t="shared" si="133"/>
        <v>17.432372505543235</v>
      </c>
      <c r="AH139" s="43"/>
      <c r="AI139" s="43"/>
      <c r="AJ139" s="43"/>
      <c r="AK139" s="43"/>
      <c r="AL139" s="43"/>
      <c r="AM139" s="43"/>
      <c r="AN139" s="43"/>
      <c r="AO139" s="43"/>
      <c r="AP139" s="43"/>
      <c r="AQ139" s="43"/>
      <c r="AR139" s="43"/>
      <c r="AS139" s="43"/>
      <c r="AT139" s="43"/>
      <c r="AU139" s="43"/>
      <c r="AV139" s="43"/>
      <c r="AW139" s="43"/>
      <c r="AX139" s="43"/>
      <c r="AY139" s="43"/>
      <c r="AZ139" s="43"/>
      <c r="BA139" s="43"/>
      <c r="BB139" s="43"/>
      <c r="BC139" s="43"/>
      <c r="BD139" s="43"/>
      <c r="BE139" s="43"/>
      <c r="BF139" s="43"/>
      <c r="BG139" s="43"/>
      <c r="BH139" s="43"/>
      <c r="BI139" s="43"/>
      <c r="BJ139" s="43"/>
      <c r="BK139" s="43"/>
      <c r="BL139" s="43"/>
      <c r="BM139" s="43"/>
      <c r="BN139" s="43"/>
      <c r="BO139" s="43"/>
      <c r="BP139" s="43"/>
      <c r="BQ139" s="43"/>
      <c r="BR139" s="43"/>
      <c r="BS139" s="43"/>
      <c r="BT139" s="43"/>
      <c r="BU139" s="43"/>
      <c r="BV139" s="43"/>
      <c r="BW139" s="43"/>
      <c r="BX139" s="43"/>
      <c r="BY139" s="43"/>
      <c r="BZ139" s="43"/>
      <c r="CA139" s="43"/>
      <c r="CB139" s="43"/>
      <c r="CC139" s="43"/>
      <c r="CD139" s="43"/>
      <c r="CE139" s="43"/>
      <c r="CF139" s="43"/>
      <c r="CG139" s="43"/>
      <c r="CH139" s="43"/>
      <c r="CI139" s="43"/>
      <c r="CJ139" s="43"/>
      <c r="CK139" s="43"/>
      <c r="CL139" s="43"/>
      <c r="CM139" s="43"/>
      <c r="CN139" s="43"/>
      <c r="CO139" s="43"/>
      <c r="CP139" s="43"/>
      <c r="CQ139" s="43"/>
      <c r="CR139" s="43"/>
      <c r="CS139" s="43"/>
      <c r="CT139" s="43"/>
      <c r="CU139" s="43"/>
      <c r="CV139" s="43"/>
      <c r="CW139" s="43"/>
      <c r="CX139" s="43"/>
      <c r="CY139" s="43"/>
      <c r="CZ139" s="43"/>
      <c r="DA139" s="43"/>
      <c r="DB139" s="43"/>
      <c r="DC139" s="43"/>
      <c r="DD139" s="43"/>
      <c r="DE139" s="43"/>
      <c r="DF139" s="43"/>
      <c r="DG139" s="43"/>
      <c r="DH139" s="43"/>
      <c r="DI139" s="43"/>
      <c r="DJ139" s="43"/>
      <c r="DK139" s="43"/>
      <c r="DL139" s="43"/>
      <c r="DM139" s="43"/>
      <c r="DN139" s="43"/>
      <c r="DO139" s="43"/>
      <c r="DP139" s="43"/>
      <c r="DQ139" s="43"/>
      <c r="DR139" s="43"/>
      <c r="DS139" s="43"/>
      <c r="DT139" s="43"/>
      <c r="DU139" s="43"/>
      <c r="DV139" s="43"/>
      <c r="DW139" s="43"/>
      <c r="DX139" s="43"/>
      <c r="DY139" s="43"/>
      <c r="DZ139" s="43"/>
      <c r="EA139" s="43"/>
      <c r="EB139" s="43"/>
      <c r="EC139" s="43"/>
      <c r="ED139" s="43"/>
      <c r="EE139" s="43"/>
      <c r="EF139" s="43"/>
      <c r="EG139" s="43"/>
      <c r="EH139" s="43"/>
      <c r="EI139" s="43"/>
      <c r="EJ139" s="43"/>
      <c r="EK139" s="43"/>
      <c r="EL139" s="43"/>
      <c r="EM139" s="43"/>
      <c r="EN139" s="43"/>
      <c r="EO139" s="43"/>
      <c r="EP139" s="43"/>
      <c r="EQ139" s="43"/>
      <c r="ER139" s="43"/>
      <c r="ES139" s="43"/>
      <c r="ET139" s="43"/>
      <c r="EU139" s="43"/>
      <c r="EV139" s="43"/>
      <c r="EW139" s="43"/>
      <c r="EX139" s="43"/>
      <c r="EY139" s="43"/>
      <c r="EZ139" s="43"/>
      <c r="FA139" s="43"/>
      <c r="FB139" s="43"/>
      <c r="FC139" s="43"/>
      <c r="FD139" s="43"/>
      <c r="FE139" s="43"/>
      <c r="FF139" s="43"/>
      <c r="FG139" s="43"/>
      <c r="FH139" s="43"/>
      <c r="FI139" s="43"/>
      <c r="FJ139" s="43"/>
      <c r="FK139" s="43"/>
      <c r="FL139" s="43"/>
      <c r="FM139" s="43"/>
      <c r="FN139" s="43"/>
      <c r="FO139" s="43"/>
      <c r="FP139" s="43"/>
      <c r="FQ139" s="43"/>
      <c r="FR139" s="43"/>
      <c r="FS139" s="43"/>
      <c r="FT139" s="43"/>
      <c r="FU139" s="43"/>
      <c r="FV139" s="43"/>
      <c r="FW139" s="43"/>
      <c r="FX139" s="43"/>
      <c r="FY139" s="43"/>
      <c r="FZ139" s="43"/>
      <c r="GA139" s="43"/>
      <c r="GB139" s="43"/>
      <c r="GC139" s="43"/>
      <c r="GD139" s="43"/>
      <c r="GE139" s="43"/>
      <c r="GF139" s="43"/>
      <c r="GG139" s="43"/>
      <c r="GH139" s="43"/>
      <c r="GI139" s="43"/>
      <c r="GJ139" s="43"/>
      <c r="GK139" s="43"/>
      <c r="GL139" s="43"/>
      <c r="GM139" s="43"/>
      <c r="GN139" s="43"/>
      <c r="GO139" s="43"/>
      <c r="GP139" s="43"/>
      <c r="GQ139" s="43"/>
      <c r="GR139" s="43"/>
      <c r="GS139" s="43"/>
      <c r="GT139" s="43"/>
      <c r="GU139" s="43"/>
      <c r="GV139" s="43"/>
      <c r="GW139" s="43"/>
      <c r="GX139" s="43"/>
      <c r="GY139" s="43"/>
      <c r="GZ139" s="43"/>
      <c r="HA139" s="43"/>
      <c r="HB139" s="43"/>
      <c r="HC139" s="43"/>
      <c r="HD139" s="43"/>
      <c r="HE139" s="43"/>
      <c r="HF139" s="43"/>
      <c r="HG139" s="43"/>
      <c r="HH139" s="43"/>
      <c r="HI139" s="43"/>
      <c r="HJ139" s="43"/>
      <c r="HK139" s="43"/>
      <c r="HL139" s="43"/>
      <c r="HM139" s="43"/>
      <c r="HN139" s="43"/>
      <c r="HO139" s="43"/>
      <c r="HP139" s="43"/>
      <c r="HQ139" s="43"/>
      <c r="HR139"/>
      <c r="HS139"/>
      <c r="HT139"/>
      <c r="HU139"/>
      <c r="HV139"/>
      <c r="HW139"/>
      <c r="HX139"/>
      <c r="HY139"/>
      <c r="HZ139"/>
      <c r="IA139"/>
      <c r="IB139"/>
      <c r="IC139"/>
      <c r="ID139"/>
      <c r="IE139"/>
      <c r="IF139"/>
      <c r="IG139"/>
      <c r="IH139"/>
      <c r="II139"/>
      <c r="IJ139"/>
      <c r="IK139" s="32"/>
      <c r="IL139" s="32"/>
      <c r="IM139" s="32"/>
      <c r="IN139" s="32"/>
      <c r="IO139" s="32"/>
      <c r="IP139" s="32"/>
      <c r="IQ139" s="32"/>
    </row>
    <row r="140" spans="1:251" s="33" customFormat="1">
      <c r="A140" s="32"/>
      <c r="B140" s="32"/>
      <c r="C140" s="32"/>
      <c r="D140" s="51"/>
      <c r="E140" s="51"/>
      <c r="F140" s="51"/>
      <c r="G140" s="51"/>
      <c r="H140" s="51"/>
      <c r="I140" s="51"/>
      <c r="J140" s="263"/>
      <c r="K140" s="263"/>
      <c r="L140" s="263"/>
      <c r="M140" s="263"/>
      <c r="N140" s="263"/>
      <c r="O140" s="263"/>
      <c r="P140" s="263"/>
      <c r="Q140" s="263"/>
      <c r="R140" s="263"/>
      <c r="S140" s="263"/>
      <c r="T140" s="118"/>
      <c r="U140" s="118"/>
      <c r="V140" s="118"/>
      <c r="W140" s="118"/>
      <c r="X140" s="118"/>
      <c r="Y140" s="118"/>
      <c r="Z140" s="118"/>
      <c r="AA140" s="118"/>
      <c r="AB140" s="118"/>
      <c r="AC140" s="118"/>
      <c r="AD140" s="118"/>
      <c r="AE140" s="118"/>
      <c r="AF140" s="118"/>
      <c r="AG140" s="118"/>
      <c r="AH140" s="43"/>
      <c r="AI140" s="43"/>
      <c r="AJ140" s="43"/>
      <c r="AK140" s="43"/>
      <c r="AL140" s="43"/>
      <c r="AM140" s="43"/>
      <c r="AN140" s="43"/>
      <c r="AO140" s="43"/>
      <c r="AP140" s="43"/>
      <c r="AQ140" s="43"/>
      <c r="AR140" s="43"/>
      <c r="AS140" s="43"/>
      <c r="AT140" s="43"/>
      <c r="AU140" s="43"/>
      <c r="AV140" s="43"/>
      <c r="AW140" s="43"/>
      <c r="AX140" s="43"/>
      <c r="AY140" s="43"/>
      <c r="AZ140" s="43"/>
      <c r="BA140" s="43"/>
      <c r="BB140" s="43"/>
      <c r="BC140" s="43"/>
      <c r="BD140" s="43"/>
      <c r="BE140" s="43"/>
      <c r="BF140" s="43"/>
      <c r="BG140" s="43"/>
      <c r="BH140" s="43"/>
      <c r="BI140" s="43"/>
      <c r="BJ140" s="43"/>
      <c r="BK140" s="43"/>
      <c r="BL140" s="43"/>
      <c r="BM140" s="43"/>
      <c r="BN140" s="43"/>
      <c r="BO140" s="43"/>
      <c r="BP140" s="43"/>
      <c r="BQ140" s="43"/>
      <c r="BR140" s="43"/>
      <c r="BS140" s="43"/>
      <c r="BT140" s="43"/>
      <c r="BU140" s="43"/>
      <c r="BV140" s="43"/>
      <c r="BW140" s="43"/>
      <c r="BX140" s="43"/>
      <c r="BY140" s="43"/>
      <c r="BZ140" s="43"/>
      <c r="CA140" s="43"/>
      <c r="CB140" s="43"/>
      <c r="CC140" s="43"/>
      <c r="CD140" s="43"/>
      <c r="CE140" s="43"/>
      <c r="CF140" s="43"/>
      <c r="CG140" s="43"/>
      <c r="CH140" s="43"/>
      <c r="CI140" s="43"/>
      <c r="CJ140" s="43"/>
      <c r="CK140" s="43"/>
      <c r="CL140" s="43"/>
      <c r="CM140" s="43"/>
      <c r="CN140" s="43"/>
      <c r="CO140" s="43"/>
      <c r="CP140" s="43"/>
      <c r="CQ140" s="43"/>
      <c r="CR140" s="43"/>
      <c r="CS140" s="43"/>
      <c r="CT140" s="43"/>
      <c r="CU140" s="43"/>
      <c r="CV140" s="43"/>
      <c r="CW140" s="43"/>
      <c r="CX140" s="43"/>
      <c r="CY140" s="43"/>
      <c r="CZ140" s="43"/>
      <c r="DA140" s="43"/>
      <c r="DB140" s="43"/>
      <c r="DC140" s="43"/>
      <c r="DD140" s="43"/>
      <c r="DE140" s="43"/>
      <c r="DF140" s="43"/>
      <c r="DG140" s="43"/>
      <c r="DH140" s="43"/>
      <c r="DI140" s="43"/>
      <c r="DJ140" s="43"/>
      <c r="DK140" s="43"/>
      <c r="DL140" s="43"/>
      <c r="DM140" s="43"/>
      <c r="DN140" s="43"/>
      <c r="DO140" s="43"/>
      <c r="DP140" s="43"/>
      <c r="DQ140" s="43"/>
      <c r="DR140" s="43"/>
      <c r="DS140" s="43"/>
      <c r="DT140" s="43"/>
      <c r="DU140" s="43"/>
      <c r="DV140" s="43"/>
      <c r="DW140" s="43"/>
      <c r="DX140" s="43"/>
      <c r="DY140" s="43"/>
      <c r="DZ140" s="43"/>
      <c r="EA140" s="43"/>
      <c r="EB140" s="43"/>
      <c r="EC140" s="43"/>
      <c r="ED140" s="43"/>
      <c r="EE140" s="43"/>
      <c r="EF140" s="43"/>
      <c r="EG140" s="43"/>
      <c r="EH140" s="43"/>
      <c r="EI140" s="43"/>
      <c r="EJ140" s="43"/>
      <c r="EK140" s="43"/>
      <c r="EL140" s="43"/>
      <c r="EM140" s="43"/>
      <c r="EN140" s="43"/>
      <c r="EO140" s="43"/>
      <c r="EP140" s="43"/>
      <c r="EQ140" s="43"/>
      <c r="ER140" s="43"/>
      <c r="ES140" s="43"/>
      <c r="ET140" s="43"/>
      <c r="EU140" s="43"/>
      <c r="EV140" s="43"/>
      <c r="EW140" s="43"/>
      <c r="EX140" s="43"/>
      <c r="EY140" s="43"/>
      <c r="EZ140" s="43"/>
      <c r="FA140" s="43"/>
      <c r="FB140" s="43"/>
      <c r="FC140" s="43"/>
      <c r="FD140" s="43"/>
      <c r="FE140" s="43"/>
      <c r="FF140" s="43"/>
      <c r="FG140" s="43"/>
      <c r="FH140" s="43"/>
      <c r="FI140" s="43"/>
      <c r="FJ140" s="43"/>
      <c r="FK140" s="43"/>
      <c r="FL140" s="43"/>
      <c r="FM140" s="43"/>
      <c r="FN140" s="43"/>
      <c r="FO140" s="43"/>
      <c r="FP140" s="43"/>
      <c r="FQ140" s="43"/>
      <c r="FR140" s="43"/>
      <c r="FS140" s="43"/>
      <c r="FT140" s="43"/>
      <c r="FU140" s="43"/>
      <c r="FV140" s="43"/>
      <c r="FW140" s="43"/>
      <c r="FX140" s="43"/>
      <c r="FY140" s="43"/>
      <c r="FZ140" s="43"/>
      <c r="GA140" s="43"/>
      <c r="GB140" s="43"/>
      <c r="GC140" s="43"/>
      <c r="GD140" s="43"/>
      <c r="GE140" s="43"/>
      <c r="GF140" s="43"/>
      <c r="GG140" s="43"/>
      <c r="GH140" s="43"/>
      <c r="GI140" s="43"/>
      <c r="GJ140" s="43"/>
      <c r="GK140" s="43"/>
      <c r="GL140" s="43"/>
      <c r="GM140" s="43"/>
      <c r="GN140" s="43"/>
      <c r="GO140" s="43"/>
      <c r="GP140" s="43"/>
      <c r="GQ140" s="43"/>
      <c r="GR140" s="43"/>
      <c r="GS140" s="43"/>
      <c r="GT140" s="43"/>
      <c r="GU140" s="43"/>
      <c r="GV140" s="43"/>
      <c r="GW140" s="43"/>
      <c r="GX140" s="43"/>
      <c r="GY140" s="43"/>
      <c r="GZ140" s="43"/>
      <c r="HA140" s="43"/>
      <c r="HB140" s="43"/>
      <c r="HC140" s="43"/>
      <c r="HD140" s="43"/>
      <c r="HE140" s="43"/>
      <c r="HF140" s="43"/>
      <c r="HG140" s="43"/>
      <c r="HH140" s="43"/>
      <c r="HI140" s="43"/>
      <c r="HJ140" s="43"/>
      <c r="HK140" s="43"/>
      <c r="HL140" s="43"/>
      <c r="HM140" s="43"/>
      <c r="HN140" s="43"/>
      <c r="HO140" s="43"/>
      <c r="HP140" s="43"/>
      <c r="HQ140" s="43"/>
      <c r="HR140"/>
      <c r="HS140"/>
      <c r="HT140"/>
      <c r="HU140"/>
      <c r="HV140"/>
      <c r="HW140"/>
      <c r="HX140"/>
      <c r="HY140"/>
      <c r="HZ140"/>
      <c r="IA140"/>
      <c r="IB140"/>
      <c r="IC140"/>
      <c r="ID140"/>
      <c r="IE140"/>
      <c r="IF140"/>
      <c r="IG140"/>
      <c r="IH140"/>
      <c r="II140"/>
      <c r="IJ140"/>
      <c r="IK140" s="32"/>
      <c r="IL140" s="32"/>
      <c r="IM140" s="32"/>
      <c r="IN140" s="32"/>
      <c r="IO140" s="32"/>
      <c r="IP140" s="32"/>
      <c r="IQ140" s="32"/>
    </row>
    <row r="141" spans="1:251" s="33" customFormat="1">
      <c r="A141" s="219" t="s">
        <v>587</v>
      </c>
      <c r="B141" s="215"/>
      <c r="C141" s="215"/>
      <c r="D141" s="265"/>
      <c r="E141" s="265"/>
      <c r="F141" s="265"/>
      <c r="G141" s="265"/>
      <c r="H141" s="265"/>
      <c r="I141" s="265"/>
      <c r="J141" s="266"/>
      <c r="K141" s="266"/>
      <c r="L141" s="266"/>
      <c r="M141" s="266"/>
      <c r="N141" s="266"/>
      <c r="O141" s="266"/>
      <c r="P141" s="266"/>
      <c r="Q141" s="266"/>
      <c r="R141" s="266"/>
      <c r="S141" s="266"/>
      <c r="T141" s="267"/>
      <c r="U141" s="267"/>
      <c r="V141" s="267"/>
      <c r="W141" s="267"/>
      <c r="X141" s="267"/>
      <c r="Y141" s="267"/>
      <c r="Z141" s="267"/>
      <c r="AA141" s="267"/>
      <c r="AB141" s="267"/>
      <c r="AC141" s="267"/>
      <c r="AD141" s="267"/>
      <c r="AE141" s="267"/>
      <c r="AF141" s="267"/>
      <c r="AG141" s="267"/>
      <c r="AH141" s="43"/>
      <c r="AI141" s="43"/>
      <c r="AJ141" s="43"/>
      <c r="AK141" s="43"/>
      <c r="AL141" s="43"/>
      <c r="AM141" s="43"/>
      <c r="AN141" s="43"/>
      <c r="AO141" s="43"/>
      <c r="AP141" s="43"/>
      <c r="AQ141" s="43"/>
      <c r="AR141" s="43"/>
      <c r="AS141" s="43"/>
      <c r="AT141" s="43"/>
      <c r="AU141" s="43"/>
      <c r="AV141" s="43"/>
      <c r="AW141" s="43"/>
      <c r="AX141" s="43"/>
      <c r="AY141" s="43"/>
      <c r="AZ141" s="43"/>
      <c r="BA141" s="43"/>
      <c r="BB141" s="43"/>
      <c r="BC141" s="43"/>
      <c r="BD141" s="43"/>
      <c r="BE141" s="43"/>
      <c r="BF141" s="43"/>
      <c r="BG141" s="43"/>
      <c r="BH141" s="43"/>
      <c r="BI141" s="43"/>
      <c r="BJ141" s="43"/>
      <c r="BK141" s="43"/>
      <c r="BL141" s="43"/>
      <c r="BM141" s="43"/>
      <c r="BN141" s="43"/>
      <c r="BO141" s="43"/>
      <c r="BP141" s="43"/>
      <c r="BQ141" s="43"/>
      <c r="BR141" s="43"/>
      <c r="BS141" s="43"/>
      <c r="BT141" s="43"/>
      <c r="BU141" s="43"/>
      <c r="BV141" s="43"/>
      <c r="BW141" s="43"/>
      <c r="BX141" s="43"/>
      <c r="BY141" s="43"/>
      <c r="BZ141" s="43"/>
      <c r="CA141" s="43"/>
      <c r="CB141" s="43"/>
      <c r="CC141" s="43"/>
      <c r="CD141" s="43"/>
      <c r="CE141" s="43"/>
      <c r="CF141" s="43"/>
      <c r="CG141" s="43"/>
      <c r="CH141" s="43"/>
      <c r="CI141" s="43"/>
      <c r="CJ141" s="43"/>
      <c r="CK141" s="43"/>
      <c r="CL141" s="43"/>
      <c r="CM141" s="43"/>
      <c r="CN141" s="43"/>
      <c r="CO141" s="43"/>
      <c r="CP141" s="43"/>
      <c r="CQ141" s="43"/>
      <c r="CR141" s="43"/>
      <c r="CS141" s="43"/>
      <c r="CT141" s="43"/>
      <c r="CU141" s="43"/>
      <c r="CV141" s="43"/>
      <c r="CW141" s="43"/>
      <c r="CX141" s="43"/>
      <c r="CY141" s="43"/>
      <c r="CZ141" s="43"/>
      <c r="DA141" s="43"/>
      <c r="DB141" s="43"/>
      <c r="DC141" s="43"/>
      <c r="DD141" s="43"/>
      <c r="DE141" s="43"/>
      <c r="DF141" s="43"/>
      <c r="DG141" s="43"/>
      <c r="DH141" s="43"/>
      <c r="DI141" s="43"/>
      <c r="DJ141" s="43"/>
      <c r="DK141" s="43"/>
      <c r="DL141" s="43"/>
      <c r="DM141" s="43"/>
      <c r="DN141" s="43"/>
      <c r="DO141" s="43"/>
      <c r="DP141" s="43"/>
      <c r="DQ141" s="43"/>
      <c r="DR141" s="43"/>
      <c r="DS141" s="43"/>
      <c r="DT141" s="43"/>
      <c r="DU141" s="43"/>
      <c r="DV141" s="43"/>
      <c r="DW141" s="43"/>
      <c r="DX141" s="43"/>
      <c r="DY141" s="43"/>
      <c r="DZ141" s="43"/>
      <c r="EA141" s="43"/>
      <c r="EB141" s="43"/>
      <c r="EC141" s="43"/>
      <c r="ED141" s="43"/>
      <c r="EE141" s="43"/>
      <c r="EF141" s="43"/>
      <c r="EG141" s="43"/>
      <c r="EH141" s="43"/>
      <c r="EI141" s="43"/>
      <c r="EJ141" s="43"/>
      <c r="EK141" s="43"/>
      <c r="EL141" s="43"/>
      <c r="EM141" s="43"/>
      <c r="EN141" s="43"/>
      <c r="EO141" s="43"/>
      <c r="EP141" s="43"/>
      <c r="EQ141" s="43"/>
      <c r="ER141" s="43"/>
      <c r="ES141" s="43"/>
      <c r="ET141" s="43"/>
      <c r="EU141" s="43"/>
      <c r="EV141" s="43"/>
      <c r="EW141" s="43"/>
      <c r="EX141" s="43"/>
      <c r="EY141" s="43"/>
      <c r="EZ141" s="43"/>
      <c r="FA141" s="43"/>
      <c r="FB141" s="43"/>
      <c r="FC141" s="43"/>
      <c r="FD141" s="43"/>
      <c r="FE141" s="43"/>
      <c r="FF141" s="43"/>
      <c r="FG141" s="43"/>
      <c r="FH141" s="43"/>
      <c r="FI141" s="43"/>
      <c r="FJ141" s="43"/>
      <c r="FK141" s="43"/>
      <c r="FL141" s="43"/>
      <c r="FM141" s="43"/>
      <c r="FN141" s="43"/>
      <c r="FO141" s="43"/>
      <c r="FP141" s="43"/>
      <c r="FQ141" s="43"/>
      <c r="FR141" s="43"/>
      <c r="FS141" s="43"/>
      <c r="FT141" s="43"/>
      <c r="FU141" s="43"/>
      <c r="FV141" s="43"/>
      <c r="FW141" s="43"/>
      <c r="FX141" s="43"/>
      <c r="FY141" s="43"/>
      <c r="FZ141" s="43"/>
      <c r="GA141" s="43"/>
      <c r="GB141" s="43"/>
      <c r="GC141" s="43"/>
      <c r="GD141" s="43"/>
      <c r="GE141" s="43"/>
      <c r="GF141" s="43"/>
      <c r="GG141" s="43"/>
      <c r="GH141" s="43"/>
      <c r="GI141" s="43"/>
      <c r="GJ141" s="43"/>
      <c r="GK141" s="43"/>
      <c r="GL141" s="43"/>
      <c r="GM141" s="43"/>
      <c r="GN141" s="43"/>
      <c r="GO141" s="43"/>
      <c r="GP141" s="43"/>
      <c r="GQ141" s="43"/>
      <c r="GR141" s="43"/>
      <c r="GS141" s="43"/>
      <c r="GT141" s="43"/>
      <c r="GU141" s="43"/>
      <c r="GV141" s="43"/>
      <c r="GW141" s="43"/>
      <c r="GX141" s="43"/>
      <c r="GY141" s="43"/>
      <c r="GZ141" s="43"/>
      <c r="HA141" s="43"/>
      <c r="HB141" s="43"/>
      <c r="HC141" s="43"/>
      <c r="HD141" s="43"/>
      <c r="HE141" s="43"/>
      <c r="HF141" s="43"/>
      <c r="HG141" s="43"/>
      <c r="HH141" s="43"/>
      <c r="HI141" s="43"/>
      <c r="HJ141" s="43"/>
      <c r="HK141" s="43"/>
      <c r="HL141" s="43"/>
      <c r="HM141" s="43"/>
      <c r="HN141" s="43"/>
      <c r="HO141" s="43"/>
      <c r="HP141" s="43"/>
      <c r="HQ141" s="43"/>
      <c r="HR141"/>
      <c r="HS141"/>
      <c r="HT141"/>
      <c r="HU141"/>
      <c r="HV141"/>
      <c r="HW141"/>
      <c r="HX141"/>
      <c r="HY141"/>
      <c r="HZ141"/>
      <c r="IA141"/>
      <c r="IB141"/>
      <c r="IC141"/>
      <c r="ID141"/>
      <c r="IE141"/>
      <c r="IF141"/>
      <c r="IG141"/>
      <c r="IH141"/>
      <c r="II141"/>
      <c r="IJ141"/>
      <c r="IK141" s="32"/>
      <c r="IL141" s="32"/>
      <c r="IM141" s="32"/>
      <c r="IN141" s="32"/>
      <c r="IO141" s="32"/>
      <c r="IP141" s="32"/>
      <c r="IQ141" s="32"/>
    </row>
    <row r="142" spans="1:251" s="33" customFormat="1">
      <c r="A142" s="34"/>
      <c r="B142" s="32"/>
      <c r="C142" s="32"/>
      <c r="D142" s="51"/>
      <c r="E142" s="51"/>
      <c r="F142" s="51"/>
      <c r="G142" s="51"/>
      <c r="H142" s="51"/>
      <c r="I142" s="51"/>
      <c r="J142" s="263"/>
      <c r="K142" s="263"/>
      <c r="L142" s="263"/>
      <c r="M142" s="263"/>
      <c r="N142" s="263"/>
      <c r="O142" s="263"/>
      <c r="P142" s="263"/>
      <c r="Q142" s="263"/>
      <c r="R142" s="263"/>
      <c r="S142" s="263"/>
      <c r="T142" s="118"/>
      <c r="U142" s="118"/>
      <c r="V142" s="118"/>
      <c r="W142" s="118"/>
      <c r="X142" s="118"/>
      <c r="Y142" s="118"/>
      <c r="Z142" s="118"/>
      <c r="AA142" s="118"/>
      <c r="AB142" s="118"/>
      <c r="AC142" s="118"/>
      <c r="AD142" s="118"/>
      <c r="AE142" s="118"/>
      <c r="AF142" s="118"/>
      <c r="AG142" s="118"/>
      <c r="AH142" s="43"/>
      <c r="AI142" s="43"/>
      <c r="AJ142" s="43"/>
      <c r="AK142" s="43"/>
      <c r="AL142" s="43"/>
      <c r="AM142" s="43"/>
      <c r="AN142" s="43"/>
      <c r="AO142" s="43"/>
      <c r="AP142" s="43"/>
      <c r="AQ142" s="43"/>
      <c r="AR142" s="43"/>
      <c r="AS142" s="43"/>
      <c r="AT142" s="43"/>
      <c r="AU142" s="43"/>
      <c r="AV142" s="43"/>
      <c r="AW142" s="43"/>
      <c r="AX142" s="43"/>
      <c r="AY142" s="43"/>
      <c r="AZ142" s="43"/>
      <c r="BA142" s="43"/>
      <c r="BB142" s="43"/>
      <c r="BC142" s="43"/>
      <c r="BD142" s="43"/>
      <c r="BE142" s="43"/>
      <c r="BF142" s="43"/>
      <c r="BG142" s="43"/>
      <c r="BH142" s="43"/>
      <c r="BI142" s="43"/>
      <c r="BJ142" s="43"/>
      <c r="BK142" s="43"/>
      <c r="BL142" s="43"/>
      <c r="BM142" s="43"/>
      <c r="BN142" s="43"/>
      <c r="BO142" s="43"/>
      <c r="BP142" s="43"/>
      <c r="BQ142" s="43"/>
      <c r="BR142" s="43"/>
      <c r="BS142" s="43"/>
      <c r="BT142" s="43"/>
      <c r="BU142" s="43"/>
      <c r="BV142" s="43"/>
      <c r="BW142" s="43"/>
      <c r="BX142" s="43"/>
      <c r="BY142" s="43"/>
      <c r="BZ142" s="43"/>
      <c r="CA142" s="43"/>
      <c r="CB142" s="43"/>
      <c r="CC142" s="43"/>
      <c r="CD142" s="43"/>
      <c r="CE142" s="43"/>
      <c r="CF142" s="43"/>
      <c r="CG142" s="43"/>
      <c r="CH142" s="43"/>
      <c r="CI142" s="43"/>
      <c r="CJ142" s="43"/>
      <c r="CK142" s="43"/>
      <c r="CL142" s="43"/>
      <c r="CM142" s="43"/>
      <c r="CN142" s="43"/>
      <c r="CO142" s="43"/>
      <c r="CP142" s="43"/>
      <c r="CQ142" s="43"/>
      <c r="CR142" s="43"/>
      <c r="CS142" s="43"/>
      <c r="CT142" s="43"/>
      <c r="CU142" s="43"/>
      <c r="CV142" s="43"/>
      <c r="CW142" s="43"/>
      <c r="CX142" s="43"/>
      <c r="CY142" s="43"/>
      <c r="CZ142" s="43"/>
      <c r="DA142" s="43"/>
      <c r="DB142" s="43"/>
      <c r="DC142" s="43"/>
      <c r="DD142" s="43"/>
      <c r="DE142" s="43"/>
      <c r="DF142" s="43"/>
      <c r="DG142" s="43"/>
      <c r="DH142" s="43"/>
      <c r="DI142" s="43"/>
      <c r="DJ142" s="43"/>
      <c r="DK142" s="43"/>
      <c r="DL142" s="43"/>
      <c r="DM142" s="43"/>
      <c r="DN142" s="43"/>
      <c r="DO142" s="43"/>
      <c r="DP142" s="43"/>
      <c r="DQ142" s="43"/>
      <c r="DR142" s="43"/>
      <c r="DS142" s="43"/>
      <c r="DT142" s="43"/>
      <c r="DU142" s="43"/>
      <c r="DV142" s="43"/>
      <c r="DW142" s="43"/>
      <c r="DX142" s="43"/>
      <c r="DY142" s="43"/>
      <c r="DZ142" s="43"/>
      <c r="EA142" s="43"/>
      <c r="EB142" s="43"/>
      <c r="EC142" s="43"/>
      <c r="ED142" s="43"/>
      <c r="EE142" s="43"/>
      <c r="EF142" s="43"/>
      <c r="EG142" s="43"/>
      <c r="EH142" s="43"/>
      <c r="EI142" s="43"/>
      <c r="EJ142" s="43"/>
      <c r="EK142" s="43"/>
      <c r="EL142" s="43"/>
      <c r="EM142" s="43"/>
      <c r="EN142" s="43"/>
      <c r="EO142" s="43"/>
      <c r="EP142" s="43"/>
      <c r="EQ142" s="43"/>
      <c r="ER142" s="43"/>
      <c r="ES142" s="43"/>
      <c r="ET142" s="43"/>
      <c r="EU142" s="43"/>
      <c r="EV142" s="43"/>
      <c r="EW142" s="43"/>
      <c r="EX142" s="43"/>
      <c r="EY142" s="43"/>
      <c r="EZ142" s="43"/>
      <c r="FA142" s="43"/>
      <c r="FB142" s="43"/>
      <c r="FC142" s="43"/>
      <c r="FD142" s="43"/>
      <c r="FE142" s="43"/>
      <c r="FF142" s="43"/>
      <c r="FG142" s="43"/>
      <c r="FH142" s="43"/>
      <c r="FI142" s="43"/>
      <c r="FJ142" s="43"/>
      <c r="FK142" s="43"/>
      <c r="FL142" s="43"/>
      <c r="FM142" s="43"/>
      <c r="FN142" s="43"/>
      <c r="FO142" s="43"/>
      <c r="FP142" s="43"/>
      <c r="FQ142" s="43"/>
      <c r="FR142" s="43"/>
      <c r="FS142" s="43"/>
      <c r="FT142" s="43"/>
      <c r="FU142" s="43"/>
      <c r="FV142" s="43"/>
      <c r="FW142" s="43"/>
      <c r="FX142" s="43"/>
      <c r="FY142" s="43"/>
      <c r="FZ142" s="43"/>
      <c r="GA142" s="43"/>
      <c r="GB142" s="43"/>
      <c r="GC142" s="43"/>
      <c r="GD142" s="43"/>
      <c r="GE142" s="43"/>
      <c r="GF142" s="43"/>
      <c r="GG142" s="43"/>
      <c r="GH142" s="43"/>
      <c r="GI142" s="43"/>
      <c r="GJ142" s="43"/>
      <c r="GK142" s="43"/>
      <c r="GL142" s="43"/>
      <c r="GM142" s="43"/>
      <c r="GN142" s="43"/>
      <c r="GO142" s="43"/>
      <c r="GP142" s="43"/>
      <c r="GQ142" s="43"/>
      <c r="GR142" s="43"/>
      <c r="GS142" s="43"/>
      <c r="GT142" s="43"/>
      <c r="GU142" s="43"/>
      <c r="GV142" s="43"/>
      <c r="GW142" s="43"/>
      <c r="GX142" s="43"/>
      <c r="GY142" s="43"/>
      <c r="GZ142" s="43"/>
      <c r="HA142" s="43"/>
      <c r="HB142" s="43"/>
      <c r="HC142" s="43"/>
      <c r="HD142" s="43"/>
      <c r="HE142" s="43"/>
      <c r="HF142" s="43"/>
      <c r="HG142" s="43"/>
      <c r="HH142" s="43"/>
      <c r="HI142" s="43"/>
      <c r="HJ142" s="43"/>
      <c r="HK142" s="43"/>
      <c r="HL142" s="43"/>
      <c r="HM142" s="43"/>
      <c r="HN142" s="43"/>
      <c r="HO142" s="43"/>
      <c r="HP142" s="43"/>
      <c r="HQ142" s="43"/>
      <c r="HR142"/>
      <c r="HS142"/>
      <c r="HT142"/>
      <c r="HU142"/>
      <c r="HV142"/>
      <c r="HW142"/>
      <c r="HX142"/>
      <c r="HY142"/>
      <c r="HZ142"/>
      <c r="IA142"/>
      <c r="IB142"/>
      <c r="IC142"/>
      <c r="ID142"/>
      <c r="IE142"/>
      <c r="IF142"/>
      <c r="IG142"/>
      <c r="IH142"/>
      <c r="II142"/>
      <c r="IJ142"/>
      <c r="IK142" s="32"/>
      <c r="IL142" s="32"/>
      <c r="IM142" s="32"/>
      <c r="IN142" s="32"/>
      <c r="IO142" s="32"/>
      <c r="IP142" s="32"/>
      <c r="IQ142" s="32"/>
    </row>
    <row r="143" spans="1:251" s="33" customFormat="1">
      <c r="A143" s="34" t="s">
        <v>588</v>
      </c>
      <c r="B143" s="32"/>
      <c r="C143" s="32"/>
      <c r="D143" s="51"/>
      <c r="E143" s="51"/>
      <c r="F143" s="51"/>
      <c r="G143" s="51"/>
      <c r="H143" s="51"/>
      <c r="I143" s="51"/>
      <c r="J143" s="263"/>
      <c r="K143" s="263"/>
      <c r="L143" s="263"/>
      <c r="M143" s="263"/>
      <c r="N143" s="263"/>
      <c r="O143" s="263"/>
      <c r="P143" s="263"/>
      <c r="Q143" s="263"/>
      <c r="R143" s="263"/>
      <c r="S143" s="263"/>
      <c r="T143" s="118"/>
      <c r="U143" s="118"/>
      <c r="V143" s="118"/>
      <c r="W143" s="118"/>
      <c r="X143" s="118"/>
      <c r="Y143" s="118"/>
      <c r="Z143" s="118"/>
      <c r="AA143" s="118"/>
      <c r="AB143" s="118"/>
      <c r="AC143" s="118"/>
      <c r="AD143" s="118"/>
      <c r="AE143" s="118"/>
      <c r="AF143" s="118"/>
      <c r="AG143" s="118"/>
      <c r="AH143" s="43"/>
      <c r="AI143" s="43"/>
      <c r="AJ143" s="43"/>
      <c r="AK143" s="43"/>
      <c r="AL143" s="43"/>
      <c r="AM143" s="43"/>
      <c r="AN143" s="43"/>
      <c r="AO143" s="43"/>
      <c r="AP143" s="43"/>
      <c r="AQ143" s="43"/>
      <c r="AR143" s="43"/>
      <c r="AS143" s="43"/>
      <c r="AT143" s="43"/>
      <c r="AU143" s="43"/>
      <c r="AV143" s="43"/>
      <c r="AW143" s="43"/>
      <c r="AX143" s="43"/>
      <c r="AY143" s="43"/>
      <c r="AZ143" s="43"/>
      <c r="BA143" s="43"/>
      <c r="BB143" s="43"/>
      <c r="BC143" s="43"/>
      <c r="BD143" s="43"/>
      <c r="BE143" s="43"/>
      <c r="BF143" s="43"/>
      <c r="BG143" s="43"/>
      <c r="BH143" s="43"/>
      <c r="BI143" s="43"/>
      <c r="BJ143" s="43"/>
      <c r="BK143" s="43"/>
      <c r="BL143" s="43"/>
      <c r="BM143" s="43"/>
      <c r="BN143" s="43"/>
      <c r="BO143" s="43"/>
      <c r="BP143" s="43"/>
      <c r="BQ143" s="43"/>
      <c r="BR143" s="43"/>
      <c r="BS143" s="43"/>
      <c r="BT143" s="43"/>
      <c r="BU143" s="43"/>
      <c r="BV143" s="43"/>
      <c r="BW143" s="43"/>
      <c r="BX143" s="43"/>
      <c r="BY143" s="43"/>
      <c r="BZ143" s="43"/>
      <c r="CA143" s="43"/>
      <c r="CB143" s="43"/>
      <c r="CC143" s="43"/>
      <c r="CD143" s="43"/>
      <c r="CE143" s="43"/>
      <c r="CF143" s="43"/>
      <c r="CG143" s="43"/>
      <c r="CH143" s="43"/>
      <c r="CI143" s="43"/>
      <c r="CJ143" s="43"/>
      <c r="CK143" s="43"/>
      <c r="CL143" s="43"/>
      <c r="CM143" s="43"/>
      <c r="CN143" s="43"/>
      <c r="CO143" s="43"/>
      <c r="CP143" s="43"/>
      <c r="CQ143" s="43"/>
      <c r="CR143" s="43"/>
      <c r="CS143" s="43"/>
      <c r="CT143" s="43"/>
      <c r="CU143" s="43"/>
      <c r="CV143" s="43"/>
      <c r="CW143" s="43"/>
      <c r="CX143" s="43"/>
      <c r="CY143" s="43"/>
      <c r="CZ143" s="43"/>
      <c r="DA143" s="43"/>
      <c r="DB143" s="43"/>
      <c r="DC143" s="43"/>
      <c r="DD143" s="43"/>
      <c r="DE143" s="43"/>
      <c r="DF143" s="43"/>
      <c r="DG143" s="43"/>
      <c r="DH143" s="43"/>
      <c r="DI143" s="43"/>
      <c r="DJ143" s="43"/>
      <c r="DK143" s="43"/>
      <c r="DL143" s="43"/>
      <c r="DM143" s="43"/>
      <c r="DN143" s="43"/>
      <c r="DO143" s="43"/>
      <c r="DP143" s="43"/>
      <c r="DQ143" s="43"/>
      <c r="DR143" s="43"/>
      <c r="DS143" s="43"/>
      <c r="DT143" s="43"/>
      <c r="DU143" s="43"/>
      <c r="DV143" s="43"/>
      <c r="DW143" s="43"/>
      <c r="DX143" s="43"/>
      <c r="DY143" s="43"/>
      <c r="DZ143" s="43"/>
      <c r="EA143" s="43"/>
      <c r="EB143" s="43"/>
      <c r="EC143" s="43"/>
      <c r="ED143" s="43"/>
      <c r="EE143" s="43"/>
      <c r="EF143" s="43"/>
      <c r="EG143" s="43"/>
      <c r="EH143" s="43"/>
      <c r="EI143" s="43"/>
      <c r="EJ143" s="43"/>
      <c r="EK143" s="43"/>
      <c r="EL143" s="43"/>
      <c r="EM143" s="43"/>
      <c r="EN143" s="43"/>
      <c r="EO143" s="43"/>
      <c r="EP143" s="43"/>
      <c r="EQ143" s="43"/>
      <c r="ER143" s="43"/>
      <c r="ES143" s="43"/>
      <c r="ET143" s="43"/>
      <c r="EU143" s="43"/>
      <c r="EV143" s="43"/>
      <c r="EW143" s="43"/>
      <c r="EX143" s="43"/>
      <c r="EY143" s="43"/>
      <c r="EZ143" s="43"/>
      <c r="FA143" s="43"/>
      <c r="FB143" s="43"/>
      <c r="FC143" s="43"/>
      <c r="FD143" s="43"/>
      <c r="FE143" s="43"/>
      <c r="FF143" s="43"/>
      <c r="FG143" s="43"/>
      <c r="FH143" s="43"/>
      <c r="FI143" s="43"/>
      <c r="FJ143" s="43"/>
      <c r="FK143" s="43"/>
      <c r="FL143" s="43"/>
      <c r="FM143" s="43"/>
      <c r="FN143" s="43"/>
      <c r="FO143" s="43"/>
      <c r="FP143" s="43"/>
      <c r="FQ143" s="43"/>
      <c r="FR143" s="43"/>
      <c r="FS143" s="43"/>
      <c r="FT143" s="43"/>
      <c r="FU143" s="43"/>
      <c r="FV143" s="43"/>
      <c r="FW143" s="43"/>
      <c r="FX143" s="43"/>
      <c r="FY143" s="43"/>
      <c r="FZ143" s="43"/>
      <c r="GA143" s="43"/>
      <c r="GB143" s="43"/>
      <c r="GC143" s="43"/>
      <c r="GD143" s="43"/>
      <c r="GE143" s="43"/>
      <c r="GF143" s="43"/>
      <c r="GG143" s="43"/>
      <c r="GH143" s="43"/>
      <c r="GI143" s="43"/>
      <c r="GJ143" s="43"/>
      <c r="GK143" s="43"/>
      <c r="GL143" s="43"/>
      <c r="GM143" s="43"/>
      <c r="GN143" s="43"/>
      <c r="GO143" s="43"/>
      <c r="GP143" s="43"/>
      <c r="GQ143" s="43"/>
      <c r="GR143" s="43"/>
      <c r="GS143" s="43"/>
      <c r="GT143" s="43"/>
      <c r="GU143" s="43"/>
      <c r="GV143" s="43"/>
      <c r="GW143" s="43"/>
      <c r="GX143" s="43"/>
      <c r="GY143" s="43"/>
      <c r="GZ143" s="43"/>
      <c r="HA143" s="43"/>
      <c r="HB143" s="43"/>
      <c r="HC143" s="43"/>
      <c r="HD143" s="43"/>
      <c r="HE143" s="43"/>
      <c r="HF143" s="43"/>
      <c r="HG143" s="43"/>
      <c r="HH143" s="43"/>
      <c r="HI143" s="43"/>
      <c r="HJ143" s="43"/>
      <c r="HK143" s="43"/>
      <c r="HL143" s="43"/>
      <c r="HM143" s="43"/>
      <c r="HN143" s="43"/>
      <c r="HO143" s="43"/>
      <c r="HP143" s="43"/>
      <c r="HQ143" s="43"/>
      <c r="HR143"/>
      <c r="HS143"/>
      <c r="HT143"/>
      <c r="HU143"/>
      <c r="HV143"/>
      <c r="HW143"/>
      <c r="HX143"/>
      <c r="HY143"/>
      <c r="HZ143"/>
      <c r="IA143"/>
      <c r="IB143"/>
      <c r="IC143"/>
      <c r="ID143"/>
      <c r="IE143"/>
      <c r="IF143"/>
      <c r="IG143"/>
      <c r="IH143"/>
      <c r="II143"/>
      <c r="IJ143"/>
      <c r="IK143" s="32"/>
      <c r="IL143" s="32"/>
      <c r="IM143" s="32"/>
      <c r="IN143" s="32"/>
      <c r="IO143" s="32"/>
      <c r="IP143" s="32"/>
      <c r="IQ143" s="32"/>
    </row>
    <row r="144" spans="1:251" s="33" customFormat="1">
      <c r="A144" s="211" t="s">
        <v>589</v>
      </c>
      <c r="B144" s="32"/>
      <c r="C144" s="32"/>
      <c r="D144" s="272"/>
      <c r="E144" s="272">
        <f>D148</f>
        <v>21234</v>
      </c>
      <c r="F144" s="272">
        <f t="shared" ref="F144:R144" si="134">E148</f>
        <v>21599</v>
      </c>
      <c r="G144" s="272">
        <f t="shared" si="134"/>
        <v>24906</v>
      </c>
      <c r="H144" s="272">
        <f t="shared" si="134"/>
        <v>25625</v>
      </c>
      <c r="I144" s="272">
        <f t="shared" si="134"/>
        <v>24553</v>
      </c>
      <c r="J144" s="272">
        <f t="shared" si="134"/>
        <v>27233</v>
      </c>
      <c r="K144" s="272">
        <f t="shared" si="134"/>
        <v>29087</v>
      </c>
      <c r="L144" s="272"/>
      <c r="M144" s="272">
        <f>K148</f>
        <v>29956</v>
      </c>
      <c r="N144" s="272"/>
      <c r="O144" s="272">
        <f>M148</f>
        <v>14882</v>
      </c>
      <c r="P144" s="272">
        <f t="shared" si="134"/>
        <v>5626</v>
      </c>
      <c r="Q144" s="272">
        <f t="shared" si="134"/>
        <v>5344</v>
      </c>
      <c r="R144" s="272">
        <f t="shared" si="134"/>
        <v>6144</v>
      </c>
      <c r="S144" s="272">
        <f t="shared" ref="S144:Y144" si="135">R148</f>
        <v>5150</v>
      </c>
      <c r="T144" s="272">
        <f t="shared" si="135"/>
        <v>4728</v>
      </c>
      <c r="U144" s="272">
        <f t="shared" si="135"/>
        <v>4750</v>
      </c>
      <c r="V144" s="272">
        <f t="shared" si="135"/>
        <v>4817</v>
      </c>
      <c r="W144" s="272">
        <f t="shared" si="135"/>
        <v>4755</v>
      </c>
      <c r="X144" s="272">
        <f t="shared" si="135"/>
        <v>4877</v>
      </c>
      <c r="Y144" s="272">
        <f t="shared" si="135"/>
        <v>4835</v>
      </c>
      <c r="Z144" s="272">
        <f t="shared" ref="Z144:AG144" si="136">Y148</f>
        <v>5033.45</v>
      </c>
      <c r="AA144" s="272">
        <f t="shared" si="136"/>
        <v>5241.8225000000002</v>
      </c>
      <c r="AB144" s="272">
        <f t="shared" si="136"/>
        <v>5460.613625</v>
      </c>
      <c r="AC144" s="272">
        <f t="shared" si="136"/>
        <v>5690.34430625</v>
      </c>
      <c r="AD144" s="272">
        <f t="shared" si="136"/>
        <v>5931.5615215625003</v>
      </c>
      <c r="AE144" s="272">
        <f t="shared" si="136"/>
        <v>6184.8395976406255</v>
      </c>
      <c r="AF144" s="272">
        <f t="shared" si="136"/>
        <v>6450.7815775226572</v>
      </c>
      <c r="AG144" s="272">
        <f t="shared" si="136"/>
        <v>6730.0206563987904</v>
      </c>
      <c r="AH144" s="43"/>
      <c r="AI144" s="43"/>
      <c r="AJ144" s="43"/>
      <c r="AK144" s="43"/>
      <c r="AL144" s="43"/>
      <c r="AM144" s="43"/>
      <c r="AN144" s="43"/>
      <c r="AO144" s="43"/>
      <c r="AP144" s="43"/>
      <c r="AQ144" s="43"/>
      <c r="AR144" s="43"/>
      <c r="AS144" s="43"/>
      <c r="AT144" s="43"/>
      <c r="AU144" s="43"/>
      <c r="AV144" s="43"/>
      <c r="AW144" s="43"/>
      <c r="AX144" s="43"/>
      <c r="AY144" s="43"/>
      <c r="AZ144" s="43"/>
      <c r="BA144" s="43"/>
      <c r="BB144" s="43"/>
      <c r="BC144" s="43"/>
      <c r="BD144" s="43"/>
      <c r="BE144" s="43"/>
      <c r="BF144" s="43"/>
      <c r="BG144" s="43"/>
      <c r="BH144" s="43"/>
      <c r="BI144" s="43"/>
      <c r="BJ144" s="43"/>
      <c r="BK144" s="43"/>
      <c r="BL144" s="43"/>
      <c r="BM144" s="43"/>
      <c r="BN144" s="43"/>
      <c r="BO144" s="43"/>
      <c r="BP144" s="43"/>
      <c r="BQ144" s="43"/>
      <c r="BR144" s="43"/>
      <c r="BS144" s="43"/>
      <c r="BT144" s="43"/>
      <c r="BU144" s="43"/>
      <c r="BV144" s="43"/>
      <c r="BW144" s="43"/>
      <c r="BX144" s="43"/>
      <c r="BY144" s="43"/>
      <c r="BZ144" s="43"/>
      <c r="CA144" s="43"/>
      <c r="CB144" s="43"/>
      <c r="CC144" s="43"/>
      <c r="CD144" s="43"/>
      <c r="CE144" s="43"/>
      <c r="CF144" s="43"/>
      <c r="CG144" s="43"/>
      <c r="CH144" s="43"/>
      <c r="CI144" s="43"/>
      <c r="CJ144" s="43"/>
      <c r="CK144" s="43"/>
      <c r="CL144" s="43"/>
      <c r="CM144" s="43"/>
      <c r="CN144" s="43"/>
      <c r="CO144" s="43"/>
      <c r="CP144" s="43"/>
      <c r="CQ144" s="43"/>
      <c r="CR144" s="43"/>
      <c r="CS144" s="43"/>
      <c r="CT144" s="43"/>
      <c r="CU144" s="43"/>
      <c r="CV144" s="43"/>
      <c r="CW144" s="43"/>
      <c r="CX144" s="43"/>
      <c r="CY144" s="43"/>
      <c r="CZ144" s="43"/>
      <c r="DA144" s="43"/>
      <c r="DB144" s="43"/>
      <c r="DC144" s="43"/>
      <c r="DD144" s="43"/>
      <c r="DE144" s="43"/>
      <c r="DF144" s="43"/>
      <c r="DG144" s="43"/>
      <c r="DH144" s="43"/>
      <c r="DI144" s="43"/>
      <c r="DJ144" s="43"/>
      <c r="DK144" s="43"/>
      <c r="DL144" s="43"/>
      <c r="DM144" s="43"/>
      <c r="DN144" s="43"/>
      <c r="DO144" s="43"/>
      <c r="DP144" s="43"/>
      <c r="DQ144" s="43"/>
      <c r="DR144" s="43"/>
      <c r="DS144" s="43"/>
      <c r="DT144" s="43"/>
      <c r="DU144" s="43"/>
      <c r="DV144" s="43"/>
      <c r="DW144" s="43"/>
      <c r="DX144" s="43"/>
      <c r="DY144" s="43"/>
      <c r="DZ144" s="43"/>
      <c r="EA144" s="43"/>
      <c r="EB144" s="43"/>
      <c r="EC144" s="43"/>
      <c r="ED144" s="43"/>
      <c r="EE144" s="43"/>
      <c r="EF144" s="43"/>
      <c r="EG144" s="43"/>
      <c r="EH144" s="43"/>
      <c r="EI144" s="43"/>
      <c r="EJ144" s="43"/>
      <c r="EK144" s="43"/>
      <c r="EL144" s="43"/>
      <c r="EM144" s="43"/>
      <c r="EN144" s="43"/>
      <c r="EO144" s="43"/>
      <c r="EP144" s="43"/>
      <c r="EQ144" s="43"/>
      <c r="ER144" s="43"/>
      <c r="ES144" s="43"/>
      <c r="ET144" s="43"/>
      <c r="EU144" s="43"/>
      <c r="EV144" s="43"/>
      <c r="EW144" s="43"/>
      <c r="EX144" s="43"/>
      <c r="EY144" s="43"/>
      <c r="EZ144" s="43"/>
      <c r="FA144" s="43"/>
      <c r="FB144" s="43"/>
      <c r="FC144" s="43"/>
      <c r="FD144" s="43"/>
      <c r="FE144" s="43"/>
      <c r="FF144" s="43"/>
      <c r="FG144" s="43"/>
      <c r="FH144" s="43"/>
      <c r="FI144" s="43"/>
      <c r="FJ144" s="43"/>
      <c r="FK144" s="43"/>
      <c r="FL144" s="43"/>
      <c r="FM144" s="43"/>
      <c r="FN144" s="43"/>
      <c r="FO144" s="43"/>
      <c r="FP144" s="43"/>
      <c r="FQ144" s="43"/>
      <c r="FR144" s="43"/>
      <c r="FS144" s="43"/>
      <c r="FT144" s="43"/>
      <c r="FU144" s="43"/>
      <c r="FV144" s="43"/>
      <c r="FW144" s="43"/>
      <c r="FX144" s="43"/>
      <c r="FY144" s="43"/>
      <c r="FZ144" s="43"/>
      <c r="GA144" s="43"/>
      <c r="GB144" s="43"/>
      <c r="GC144" s="43"/>
      <c r="GD144" s="43"/>
      <c r="GE144" s="43"/>
      <c r="GF144" s="43"/>
      <c r="GG144" s="43"/>
      <c r="GH144" s="43"/>
      <c r="GI144" s="43"/>
      <c r="GJ144" s="43"/>
      <c r="GK144" s="43"/>
      <c r="GL144" s="43"/>
      <c r="GM144" s="43"/>
      <c r="GN144" s="43"/>
      <c r="GO144" s="43"/>
      <c r="GP144" s="43"/>
      <c r="GQ144" s="43"/>
      <c r="GR144" s="43"/>
      <c r="GS144" s="43"/>
      <c r="GT144" s="43"/>
      <c r="GU144" s="43"/>
      <c r="GV144" s="43"/>
      <c r="GW144" s="43"/>
      <c r="GX144" s="43"/>
      <c r="GY144" s="43"/>
      <c r="GZ144" s="43"/>
      <c r="HA144" s="43"/>
      <c r="HB144" s="43"/>
      <c r="HC144" s="43"/>
      <c r="HD144" s="43"/>
      <c r="HE144" s="43"/>
      <c r="HF144" s="43"/>
      <c r="HG144" s="43"/>
      <c r="HH144" s="43"/>
      <c r="HI144" s="43"/>
      <c r="HJ144" s="43"/>
      <c r="HK144" s="43"/>
      <c r="HL144" s="43"/>
      <c r="HM144" s="43"/>
      <c r="HN144" s="43"/>
      <c r="HO144" s="43"/>
      <c r="HP144" s="43"/>
      <c r="HQ144" s="43"/>
      <c r="HR144"/>
      <c r="HS144"/>
      <c r="HT144"/>
      <c r="HU144"/>
      <c r="HV144"/>
      <c r="HW144"/>
      <c r="HX144"/>
      <c r="HY144"/>
      <c r="HZ144"/>
      <c r="IA144"/>
      <c r="IB144"/>
      <c r="IC144"/>
      <c r="ID144"/>
      <c r="IE144"/>
      <c r="IF144"/>
      <c r="IG144"/>
      <c r="IH144"/>
      <c r="II144"/>
      <c r="IJ144"/>
      <c r="IK144" s="32"/>
      <c r="IL144" s="32"/>
      <c r="IM144" s="32"/>
      <c r="IN144" s="32"/>
      <c r="IO144" s="32"/>
      <c r="IP144" s="32"/>
      <c r="IQ144" s="32"/>
    </row>
    <row r="145" spans="1:251" s="33" customFormat="1">
      <c r="A145" s="211" t="s">
        <v>590</v>
      </c>
      <c r="B145" s="32"/>
      <c r="C145" s="32"/>
      <c r="D145" s="272"/>
      <c r="E145" s="272">
        <f>-CFS!D28</f>
        <v>1749</v>
      </c>
      <c r="F145" s="272">
        <f>-CFS!E28</f>
        <v>1682</v>
      </c>
      <c r="G145" s="272">
        <f>-CFS!F28</f>
        <v>1922</v>
      </c>
      <c r="H145" s="272">
        <f>-CFS!G28</f>
        <v>2009</v>
      </c>
      <c r="I145" s="272">
        <f>-CFS!H28</f>
        <v>1974</v>
      </c>
      <c r="J145" s="272">
        <f>-CFS!I28</f>
        <v>1913</v>
      </c>
      <c r="K145" s="272">
        <f>-CFS!J28</f>
        <v>2206</v>
      </c>
      <c r="L145" s="272"/>
      <c r="M145" s="272">
        <f>-CFS!L28</f>
        <v>1285</v>
      </c>
      <c r="N145" s="272"/>
      <c r="O145" s="272">
        <f>-CFS!N28</f>
        <v>352</v>
      </c>
      <c r="P145" s="272">
        <f>-CFS!O28</f>
        <v>241</v>
      </c>
      <c r="Q145" s="272">
        <f>-CFS!P28</f>
        <v>273</v>
      </c>
      <c r="R145" s="272">
        <f>-CFS!Q28</f>
        <v>168</v>
      </c>
      <c r="S145" s="272">
        <f>-CFS!R28</f>
        <v>105</v>
      </c>
      <c r="T145" s="272">
        <f>-CFS!S28</f>
        <v>124</v>
      </c>
      <c r="U145" s="272">
        <f>-CFS!T28</f>
        <v>131</v>
      </c>
      <c r="V145" s="272">
        <f>-CFS!U28</f>
        <v>163</v>
      </c>
      <c r="W145" s="272">
        <f>-CFS!V28</f>
        <v>229</v>
      </c>
      <c r="X145" s="272">
        <f>-CFS!W28</f>
        <v>189</v>
      </c>
      <c r="Y145" s="453">
        <f t="shared" ref="Y145:AG145" si="137">X145*1.05</f>
        <v>198.45000000000002</v>
      </c>
      <c r="Z145" s="453">
        <f t="shared" si="137"/>
        <v>208.37250000000003</v>
      </c>
      <c r="AA145" s="453">
        <f t="shared" si="137"/>
        <v>218.79112500000005</v>
      </c>
      <c r="AB145" s="453">
        <f t="shared" si="137"/>
        <v>229.73068125000006</v>
      </c>
      <c r="AC145" s="453">
        <f t="shared" si="137"/>
        <v>241.21721531250009</v>
      </c>
      <c r="AD145" s="453">
        <f t="shared" si="137"/>
        <v>253.27807607812511</v>
      </c>
      <c r="AE145" s="453">
        <f t="shared" si="137"/>
        <v>265.94197988203138</v>
      </c>
      <c r="AF145" s="453">
        <f t="shared" si="137"/>
        <v>279.23907887613296</v>
      </c>
      <c r="AG145" s="453">
        <f t="shared" si="137"/>
        <v>293.2010328199396</v>
      </c>
      <c r="AH145" s="43"/>
      <c r="AI145" s="43"/>
      <c r="AJ145" s="43"/>
      <c r="AK145" s="43"/>
      <c r="AL145" s="43"/>
      <c r="AM145" s="43"/>
      <c r="AN145" s="43"/>
      <c r="AO145" s="43"/>
      <c r="AP145" s="43"/>
      <c r="AQ145" s="43"/>
      <c r="AR145" s="43"/>
      <c r="AS145" s="43"/>
      <c r="AT145" s="43"/>
      <c r="AU145" s="43"/>
      <c r="AV145" s="43"/>
      <c r="AW145" s="43"/>
      <c r="AX145" s="43"/>
      <c r="AY145" s="43"/>
      <c r="AZ145" s="43"/>
      <c r="BA145" s="43"/>
      <c r="BB145" s="43"/>
      <c r="BC145" s="43"/>
      <c r="BD145" s="43"/>
      <c r="BE145" s="43"/>
      <c r="BF145" s="43"/>
      <c r="BG145" s="43"/>
      <c r="BH145" s="43"/>
      <c r="BI145" s="43"/>
      <c r="BJ145" s="43"/>
      <c r="BK145" s="43"/>
      <c r="BL145" s="43"/>
      <c r="BM145" s="43"/>
      <c r="BN145" s="43"/>
      <c r="BO145" s="43"/>
      <c r="BP145" s="43"/>
      <c r="BQ145" s="43"/>
      <c r="BR145" s="43"/>
      <c r="BS145" s="43"/>
      <c r="BT145" s="43"/>
      <c r="BU145" s="43"/>
      <c r="BV145" s="43"/>
      <c r="BW145" s="43"/>
      <c r="BX145" s="43"/>
      <c r="BY145" s="43"/>
      <c r="BZ145" s="43"/>
      <c r="CA145" s="43"/>
      <c r="CB145" s="43"/>
      <c r="CC145" s="43"/>
      <c r="CD145" s="43"/>
      <c r="CE145" s="43"/>
      <c r="CF145" s="43"/>
      <c r="CG145" s="43"/>
      <c r="CH145" s="43"/>
      <c r="CI145" s="43"/>
      <c r="CJ145" s="43"/>
      <c r="CK145" s="43"/>
      <c r="CL145" s="43"/>
      <c r="CM145" s="43"/>
      <c r="CN145" s="43"/>
      <c r="CO145" s="43"/>
      <c r="CP145" s="43"/>
      <c r="CQ145" s="43"/>
      <c r="CR145" s="43"/>
      <c r="CS145" s="43"/>
      <c r="CT145" s="43"/>
      <c r="CU145" s="43"/>
      <c r="CV145" s="43"/>
      <c r="CW145" s="43"/>
      <c r="CX145" s="43"/>
      <c r="CY145" s="43"/>
      <c r="CZ145" s="43"/>
      <c r="DA145" s="43"/>
      <c r="DB145" s="43"/>
      <c r="DC145" s="43"/>
      <c r="DD145" s="43"/>
      <c r="DE145" s="43"/>
      <c r="DF145" s="43"/>
      <c r="DG145" s="43"/>
      <c r="DH145" s="43"/>
      <c r="DI145" s="43"/>
      <c r="DJ145" s="43"/>
      <c r="DK145" s="43"/>
      <c r="DL145" s="43"/>
      <c r="DM145" s="43"/>
      <c r="DN145" s="43"/>
      <c r="DO145" s="43"/>
      <c r="DP145" s="43"/>
      <c r="DQ145" s="43"/>
      <c r="DR145" s="43"/>
      <c r="DS145" s="43"/>
      <c r="DT145" s="43"/>
      <c r="DU145" s="43"/>
      <c r="DV145" s="43"/>
      <c r="DW145" s="43"/>
      <c r="DX145" s="43"/>
      <c r="DY145" s="43"/>
      <c r="DZ145" s="43"/>
      <c r="EA145" s="43"/>
      <c r="EB145" s="43"/>
      <c r="EC145" s="43"/>
      <c r="ED145" s="43"/>
      <c r="EE145" s="43"/>
      <c r="EF145" s="43"/>
      <c r="EG145" s="43"/>
      <c r="EH145" s="43"/>
      <c r="EI145" s="43"/>
      <c r="EJ145" s="43"/>
      <c r="EK145" s="43"/>
      <c r="EL145" s="43"/>
      <c r="EM145" s="43"/>
      <c r="EN145" s="43"/>
      <c r="EO145" s="43"/>
      <c r="EP145" s="43"/>
      <c r="EQ145" s="43"/>
      <c r="ER145" s="43"/>
      <c r="ES145" s="43"/>
      <c r="ET145" s="43"/>
      <c r="EU145" s="43"/>
      <c r="EV145" s="43"/>
      <c r="EW145" s="43"/>
      <c r="EX145" s="43"/>
      <c r="EY145" s="43"/>
      <c r="EZ145" s="43"/>
      <c r="FA145" s="43"/>
      <c r="FB145" s="43"/>
      <c r="FC145" s="43"/>
      <c r="FD145" s="43"/>
      <c r="FE145" s="43"/>
      <c r="FF145" s="43"/>
      <c r="FG145" s="43"/>
      <c r="FH145" s="43"/>
      <c r="FI145" s="43"/>
      <c r="FJ145" s="43"/>
      <c r="FK145" s="43"/>
      <c r="FL145" s="43"/>
      <c r="FM145" s="43"/>
      <c r="FN145" s="43"/>
      <c r="FO145" s="43"/>
      <c r="FP145" s="43"/>
      <c r="FQ145" s="43"/>
      <c r="FR145" s="43"/>
      <c r="FS145" s="43"/>
      <c r="FT145" s="43"/>
      <c r="FU145" s="43"/>
      <c r="FV145" s="43"/>
      <c r="FW145" s="43"/>
      <c r="FX145" s="43"/>
      <c r="FY145" s="43"/>
      <c r="FZ145" s="43"/>
      <c r="GA145" s="43"/>
      <c r="GB145" s="43"/>
      <c r="GC145" s="43"/>
      <c r="GD145" s="43"/>
      <c r="GE145" s="43"/>
      <c r="GF145" s="43"/>
      <c r="GG145" s="43"/>
      <c r="GH145" s="43"/>
      <c r="GI145" s="43"/>
      <c r="GJ145" s="43"/>
      <c r="GK145" s="43"/>
      <c r="GL145" s="43"/>
      <c r="GM145" s="43"/>
      <c r="GN145" s="43"/>
      <c r="GO145" s="43"/>
      <c r="GP145" s="43"/>
      <c r="GQ145" s="43"/>
      <c r="GR145" s="43"/>
      <c r="GS145" s="43"/>
      <c r="GT145" s="43"/>
      <c r="GU145" s="43"/>
      <c r="GV145" s="43"/>
      <c r="GW145" s="43"/>
      <c r="GX145" s="43"/>
      <c r="GY145" s="43"/>
      <c r="GZ145" s="43"/>
      <c r="HA145" s="43"/>
      <c r="HB145" s="43"/>
      <c r="HC145" s="43"/>
      <c r="HD145" s="43"/>
      <c r="HE145" s="43"/>
      <c r="HF145" s="43"/>
      <c r="HG145" s="43"/>
      <c r="HH145" s="43"/>
      <c r="HI145" s="43"/>
      <c r="HJ145" s="43"/>
      <c r="HK145" s="43"/>
      <c r="HL145" s="43"/>
      <c r="HM145" s="43"/>
      <c r="HN145" s="43"/>
      <c r="HO145" s="43"/>
      <c r="HP145" s="43"/>
      <c r="HQ145" s="43"/>
      <c r="HR145"/>
      <c r="HS145"/>
      <c r="HT145"/>
      <c r="HU145"/>
      <c r="HV145"/>
      <c r="HW145"/>
      <c r="HX145"/>
      <c r="HY145"/>
      <c r="HZ145"/>
      <c r="IA145"/>
      <c r="IB145"/>
      <c r="IC145"/>
      <c r="ID145"/>
      <c r="IE145"/>
      <c r="IF145"/>
      <c r="IG145"/>
      <c r="IH145"/>
      <c r="II145"/>
      <c r="IJ145"/>
      <c r="IK145" s="32"/>
      <c r="IL145" s="32"/>
      <c r="IM145" s="32"/>
      <c r="IN145" s="32"/>
      <c r="IO145" s="32"/>
      <c r="IP145" s="32"/>
      <c r="IQ145" s="32"/>
    </row>
    <row r="146" spans="1:251" s="33" customFormat="1">
      <c r="A146" s="211" t="s">
        <v>495</v>
      </c>
      <c r="B146" s="32"/>
      <c r="C146" s="32"/>
      <c r="D146" s="272"/>
      <c r="E146" s="272"/>
      <c r="F146" s="272"/>
      <c r="G146" s="272"/>
      <c r="H146" s="272"/>
      <c r="I146" s="272"/>
      <c r="J146" s="272"/>
      <c r="K146" s="272"/>
      <c r="L146" s="272"/>
      <c r="M146" s="272"/>
      <c r="N146" s="272"/>
      <c r="O146" s="272"/>
      <c r="P146" s="272"/>
      <c r="Q146" s="272"/>
      <c r="R146" s="272"/>
      <c r="S146" s="272"/>
      <c r="T146" s="272"/>
      <c r="U146" s="272"/>
      <c r="V146" s="272"/>
      <c r="W146" s="272"/>
      <c r="X146" s="272"/>
      <c r="Y146" s="272"/>
      <c r="Z146" s="272"/>
      <c r="AA146" s="272"/>
      <c r="AB146" s="272"/>
      <c r="AC146" s="272"/>
      <c r="AD146" s="272"/>
      <c r="AE146" s="272"/>
      <c r="AF146" s="272"/>
      <c r="AG146" s="272"/>
      <c r="AH146" s="43"/>
      <c r="AI146" s="43"/>
      <c r="AJ146" s="43"/>
      <c r="AK146" s="43"/>
      <c r="AL146" s="43"/>
      <c r="AM146" s="43"/>
      <c r="AN146" s="43"/>
      <c r="AO146" s="43"/>
      <c r="AP146" s="43"/>
      <c r="AQ146" s="43"/>
      <c r="AR146" s="43"/>
      <c r="AS146" s="43"/>
      <c r="AT146" s="43"/>
      <c r="AU146" s="43"/>
      <c r="AV146" s="43"/>
      <c r="AW146" s="43"/>
      <c r="AX146" s="43"/>
      <c r="AY146" s="43"/>
      <c r="AZ146" s="43"/>
      <c r="BA146" s="43"/>
      <c r="BB146" s="43"/>
      <c r="BC146" s="43"/>
      <c r="BD146" s="43"/>
      <c r="BE146" s="43"/>
      <c r="BF146" s="43"/>
      <c r="BG146" s="43"/>
      <c r="BH146" s="43"/>
      <c r="BI146" s="43"/>
      <c r="BJ146" s="43"/>
      <c r="BK146" s="43"/>
      <c r="BL146" s="43"/>
      <c r="BM146" s="43"/>
      <c r="BN146" s="43"/>
      <c r="BO146" s="43"/>
      <c r="BP146" s="43"/>
      <c r="BQ146" s="43"/>
      <c r="BR146" s="43"/>
      <c r="BS146" s="43"/>
      <c r="BT146" s="43"/>
      <c r="BU146" s="43"/>
      <c r="BV146" s="43"/>
      <c r="BW146" s="43"/>
      <c r="BX146" s="43"/>
      <c r="BY146" s="43"/>
      <c r="BZ146" s="43"/>
      <c r="CA146" s="43"/>
      <c r="CB146" s="43"/>
      <c r="CC146" s="43"/>
      <c r="CD146" s="43"/>
      <c r="CE146" s="43"/>
      <c r="CF146" s="43"/>
      <c r="CG146" s="43"/>
      <c r="CH146" s="43"/>
      <c r="CI146" s="43"/>
      <c r="CJ146" s="43"/>
      <c r="CK146" s="43"/>
      <c r="CL146" s="43"/>
      <c r="CM146" s="43"/>
      <c r="CN146" s="43"/>
      <c r="CO146" s="43"/>
      <c r="CP146" s="43"/>
      <c r="CQ146" s="43"/>
      <c r="CR146" s="43"/>
      <c r="CS146" s="43"/>
      <c r="CT146" s="43"/>
      <c r="CU146" s="43"/>
      <c r="CV146" s="43"/>
      <c r="CW146" s="43"/>
      <c r="CX146" s="43"/>
      <c r="CY146" s="43"/>
      <c r="CZ146" s="43"/>
      <c r="DA146" s="43"/>
      <c r="DB146" s="43"/>
      <c r="DC146" s="43"/>
      <c r="DD146" s="43"/>
      <c r="DE146" s="43"/>
      <c r="DF146" s="43"/>
      <c r="DG146" s="43"/>
      <c r="DH146" s="43"/>
      <c r="DI146" s="43"/>
      <c r="DJ146" s="43"/>
      <c r="DK146" s="43"/>
      <c r="DL146" s="43"/>
      <c r="DM146" s="43"/>
      <c r="DN146" s="43"/>
      <c r="DO146" s="43"/>
      <c r="DP146" s="43"/>
      <c r="DQ146" s="43"/>
      <c r="DR146" s="43"/>
      <c r="DS146" s="43"/>
      <c r="DT146" s="43"/>
      <c r="DU146" s="43"/>
      <c r="DV146" s="43"/>
      <c r="DW146" s="43"/>
      <c r="DX146" s="43"/>
      <c r="DY146" s="43"/>
      <c r="DZ146" s="43"/>
      <c r="EA146" s="43"/>
      <c r="EB146" s="43"/>
      <c r="EC146" s="43"/>
      <c r="ED146" s="43"/>
      <c r="EE146" s="43"/>
      <c r="EF146" s="43"/>
      <c r="EG146" s="43"/>
      <c r="EH146" s="43"/>
      <c r="EI146" s="43"/>
      <c r="EJ146" s="43"/>
      <c r="EK146" s="43"/>
      <c r="EL146" s="43"/>
      <c r="EM146" s="43"/>
      <c r="EN146" s="43"/>
      <c r="EO146" s="43"/>
      <c r="EP146" s="43"/>
      <c r="EQ146" s="43"/>
      <c r="ER146" s="43"/>
      <c r="ES146" s="43"/>
      <c r="ET146" s="43"/>
      <c r="EU146" s="43"/>
      <c r="EV146" s="43"/>
      <c r="EW146" s="43"/>
      <c r="EX146" s="43"/>
      <c r="EY146" s="43"/>
      <c r="EZ146" s="43"/>
      <c r="FA146" s="43"/>
      <c r="FB146" s="43"/>
      <c r="FC146" s="43"/>
      <c r="FD146" s="43"/>
      <c r="FE146" s="43"/>
      <c r="FF146" s="43"/>
      <c r="FG146" s="43"/>
      <c r="FH146" s="43"/>
      <c r="FI146" s="43"/>
      <c r="FJ146" s="43"/>
      <c r="FK146" s="43"/>
      <c r="FL146" s="43"/>
      <c r="FM146" s="43"/>
      <c r="FN146" s="43"/>
      <c r="FO146" s="43"/>
      <c r="FP146" s="43"/>
      <c r="FQ146" s="43"/>
      <c r="FR146" s="43"/>
      <c r="FS146" s="43"/>
      <c r="FT146" s="43"/>
      <c r="FU146" s="43"/>
      <c r="FV146" s="43"/>
      <c r="FW146" s="43"/>
      <c r="FX146" s="43"/>
      <c r="FY146" s="43"/>
      <c r="FZ146" s="43"/>
      <c r="GA146" s="43"/>
      <c r="GB146" s="43"/>
      <c r="GC146" s="43"/>
      <c r="GD146" s="43"/>
      <c r="GE146" s="43"/>
      <c r="GF146" s="43"/>
      <c r="GG146" s="43"/>
      <c r="GH146" s="43"/>
      <c r="GI146" s="43"/>
      <c r="GJ146" s="43"/>
      <c r="GK146" s="43"/>
      <c r="GL146" s="43"/>
      <c r="GM146" s="43"/>
      <c r="GN146" s="43"/>
      <c r="GO146" s="43"/>
      <c r="GP146" s="43"/>
      <c r="GQ146" s="43"/>
      <c r="GR146" s="43"/>
      <c r="GS146" s="43"/>
      <c r="GT146" s="43"/>
      <c r="GU146" s="43"/>
      <c r="GV146" s="43"/>
      <c r="GW146" s="43"/>
      <c r="GX146" s="43"/>
      <c r="GY146" s="43"/>
      <c r="GZ146" s="43"/>
      <c r="HA146" s="43"/>
      <c r="HB146" s="43"/>
      <c r="HC146" s="43"/>
      <c r="HD146" s="43"/>
      <c r="HE146" s="43"/>
      <c r="HF146" s="43"/>
      <c r="HG146" s="43"/>
      <c r="HH146" s="43"/>
      <c r="HI146" s="43"/>
      <c r="HJ146" s="43"/>
      <c r="HK146" s="43"/>
      <c r="HL146" s="43"/>
      <c r="HM146" s="43"/>
      <c r="HN146" s="43"/>
      <c r="HO146" s="43"/>
      <c r="HP146" s="43"/>
      <c r="HQ146" s="43"/>
      <c r="HR146"/>
      <c r="HS146"/>
      <c r="HT146"/>
      <c r="HU146"/>
      <c r="HV146"/>
      <c r="HW146"/>
      <c r="HX146"/>
      <c r="HY146"/>
      <c r="HZ146"/>
      <c r="IA146"/>
      <c r="IB146"/>
      <c r="IC146"/>
      <c r="ID146"/>
      <c r="IE146"/>
      <c r="IF146"/>
      <c r="IG146"/>
      <c r="IH146"/>
      <c r="II146"/>
      <c r="IJ146"/>
      <c r="IK146" s="32"/>
      <c r="IL146" s="32"/>
      <c r="IM146" s="32"/>
      <c r="IN146" s="32"/>
      <c r="IO146" s="32"/>
      <c r="IP146" s="32"/>
      <c r="IQ146" s="32"/>
    </row>
    <row r="147" spans="1:251" s="33" customFormat="1">
      <c r="A147" s="264" t="s">
        <v>496</v>
      </c>
      <c r="B147" s="32"/>
      <c r="C147" s="32"/>
      <c r="D147" s="272"/>
      <c r="E147" s="272">
        <f>E148-E144-E145</f>
        <v>-1384</v>
      </c>
      <c r="F147" s="272">
        <f t="shared" ref="F147:P147" si="138">F148-F144-F145</f>
        <v>1625</v>
      </c>
      <c r="G147" s="272">
        <f t="shared" si="138"/>
        <v>-1203</v>
      </c>
      <c r="H147" s="272">
        <f t="shared" si="138"/>
        <v>-3081</v>
      </c>
      <c r="I147" s="272">
        <f t="shared" si="138"/>
        <v>706</v>
      </c>
      <c r="J147" s="272">
        <f t="shared" si="138"/>
        <v>-59</v>
      </c>
      <c r="K147" s="272">
        <f t="shared" si="138"/>
        <v>-1337</v>
      </c>
      <c r="L147" s="272"/>
      <c r="M147" s="272">
        <f t="shared" si="138"/>
        <v>-16359</v>
      </c>
      <c r="N147" s="272"/>
      <c r="O147" s="272">
        <f t="shared" si="138"/>
        <v>-9608</v>
      </c>
      <c r="P147" s="272">
        <f t="shared" si="138"/>
        <v>-523</v>
      </c>
      <c r="Q147" s="272">
        <f t="shared" ref="Q147:W147" si="139">Q148-Q144-Q145</f>
        <v>527</v>
      </c>
      <c r="R147" s="272">
        <f t="shared" si="139"/>
        <v>-1162</v>
      </c>
      <c r="S147" s="272">
        <f t="shared" si="139"/>
        <v>-527</v>
      </c>
      <c r="T147" s="272">
        <f t="shared" si="139"/>
        <v>-102</v>
      </c>
      <c r="U147" s="272">
        <f t="shared" si="139"/>
        <v>-64</v>
      </c>
      <c r="V147" s="272">
        <f t="shared" si="139"/>
        <v>-225</v>
      </c>
      <c r="W147" s="272">
        <f t="shared" si="139"/>
        <v>-107</v>
      </c>
      <c r="X147" s="272">
        <f t="shared" ref="X147" si="140">X148-X144-X145</f>
        <v>-231</v>
      </c>
      <c r="Y147" s="272"/>
      <c r="Z147" s="272"/>
      <c r="AA147" s="272"/>
      <c r="AB147" s="272"/>
      <c r="AC147" s="272"/>
      <c r="AD147" s="272"/>
      <c r="AE147" s="272"/>
      <c r="AF147" s="272"/>
      <c r="AG147" s="272"/>
      <c r="AH147" s="272"/>
      <c r="AI147" s="272"/>
      <c r="AJ147" s="272"/>
      <c r="AK147" s="272"/>
      <c r="AL147" s="272"/>
      <c r="AM147" s="272"/>
      <c r="AN147" s="272"/>
      <c r="AO147" s="272"/>
      <c r="AP147" s="272"/>
      <c r="AQ147" s="272"/>
      <c r="AR147" s="272"/>
      <c r="AS147" s="272"/>
      <c r="AT147" s="272"/>
      <c r="AU147" s="272"/>
      <c r="AV147" s="272"/>
      <c r="AW147" s="272"/>
      <c r="AX147" s="272"/>
      <c r="AY147" s="272"/>
      <c r="AZ147" s="272"/>
      <c r="BA147" s="272"/>
      <c r="BB147" s="272"/>
      <c r="BC147" s="272"/>
      <c r="BD147" s="272"/>
      <c r="BE147" s="272"/>
      <c r="BF147" s="272"/>
      <c r="BG147" s="272"/>
      <c r="BH147" s="272"/>
      <c r="BI147" s="272"/>
      <c r="BJ147" s="272"/>
      <c r="BK147" s="272"/>
      <c r="BL147" s="272"/>
      <c r="BM147" s="272"/>
      <c r="BN147" s="272"/>
      <c r="BO147" s="272"/>
      <c r="BP147" s="272"/>
      <c r="BQ147" s="272"/>
      <c r="BR147" s="272"/>
      <c r="BS147" s="272"/>
      <c r="BT147" s="272"/>
      <c r="BU147" s="272"/>
      <c r="BV147" s="272"/>
      <c r="BW147" s="272"/>
      <c r="BX147" s="272"/>
      <c r="BY147" s="272"/>
      <c r="BZ147" s="272"/>
      <c r="CA147" s="272"/>
      <c r="CB147" s="272"/>
      <c r="CC147" s="272"/>
      <c r="CD147" s="272"/>
      <c r="CE147" s="272"/>
      <c r="CF147" s="272"/>
      <c r="CG147" s="272"/>
      <c r="CH147" s="272"/>
      <c r="CI147" s="272"/>
      <c r="CJ147" s="272"/>
      <c r="CK147" s="272"/>
      <c r="CL147" s="272"/>
      <c r="CM147" s="272"/>
      <c r="CN147" s="272"/>
      <c r="CO147" s="272"/>
      <c r="CP147" s="272"/>
      <c r="CQ147" s="272"/>
      <c r="CR147" s="272"/>
      <c r="CS147" s="272"/>
      <c r="CT147" s="272"/>
      <c r="CU147" s="272"/>
      <c r="CV147" s="272"/>
      <c r="CW147" s="272"/>
      <c r="CX147" s="272"/>
      <c r="CY147" s="272"/>
      <c r="CZ147" s="272"/>
      <c r="DA147" s="272"/>
      <c r="DB147" s="272"/>
      <c r="DC147" s="272"/>
      <c r="DD147" s="272"/>
      <c r="DE147" s="272"/>
      <c r="DF147" s="272"/>
      <c r="DG147" s="272"/>
      <c r="DH147" s="272"/>
      <c r="DI147" s="272"/>
      <c r="DJ147" s="272"/>
      <c r="DK147" s="272"/>
      <c r="DL147" s="272"/>
      <c r="DM147" s="272"/>
      <c r="DN147" s="272"/>
      <c r="DO147" s="272"/>
      <c r="DP147" s="272"/>
      <c r="DQ147" s="272"/>
      <c r="DR147" s="272"/>
      <c r="DS147" s="272"/>
      <c r="DT147" s="272"/>
      <c r="DU147" s="272"/>
      <c r="DV147" s="272"/>
      <c r="DW147" s="272"/>
      <c r="DX147" s="272"/>
      <c r="DY147" s="272"/>
      <c r="DZ147" s="272"/>
      <c r="EA147" s="272"/>
      <c r="EB147" s="272"/>
      <c r="EC147" s="272"/>
      <c r="ED147" s="272"/>
      <c r="EE147" s="272"/>
      <c r="EF147" s="272"/>
      <c r="EG147" s="272"/>
      <c r="EH147" s="272"/>
      <c r="EI147" s="272"/>
      <c r="EJ147" s="272"/>
      <c r="EK147" s="272"/>
      <c r="EL147" s="272"/>
      <c r="EM147" s="272"/>
      <c r="EN147" s="272"/>
      <c r="EO147" s="272"/>
      <c r="EP147" s="272"/>
      <c r="EQ147" s="272"/>
      <c r="ER147" s="272"/>
      <c r="ES147" s="272"/>
      <c r="ET147" s="272"/>
      <c r="EU147" s="272"/>
      <c r="EV147" s="272"/>
      <c r="EW147" s="272"/>
      <c r="EX147" s="272"/>
      <c r="EY147" s="272"/>
      <c r="EZ147" s="272"/>
      <c r="FA147" s="272"/>
      <c r="FB147" s="272"/>
      <c r="FC147" s="272"/>
      <c r="FD147" s="272"/>
      <c r="FE147" s="272"/>
      <c r="FF147" s="272"/>
      <c r="FG147" s="272"/>
      <c r="FH147" s="272"/>
      <c r="FI147" s="272"/>
      <c r="FJ147" s="272"/>
      <c r="FK147" s="272"/>
      <c r="FL147" s="272"/>
      <c r="FM147" s="272"/>
      <c r="FN147" s="272"/>
      <c r="FO147" s="272"/>
      <c r="FP147" s="272"/>
      <c r="FQ147" s="272"/>
      <c r="FR147" s="272"/>
      <c r="FS147" s="272"/>
      <c r="FT147" s="272"/>
      <c r="FU147" s="272"/>
      <c r="FV147" s="272"/>
      <c r="FW147" s="272"/>
      <c r="FX147" s="272"/>
      <c r="FY147" s="272"/>
      <c r="FZ147" s="272"/>
      <c r="GA147" s="272"/>
      <c r="GB147" s="272"/>
      <c r="GC147" s="272"/>
      <c r="GD147" s="272"/>
      <c r="GE147" s="272"/>
      <c r="GF147" s="272"/>
      <c r="GG147" s="272"/>
      <c r="GH147" s="272"/>
      <c r="GI147" s="272"/>
      <c r="GJ147" s="272"/>
      <c r="GK147" s="272"/>
      <c r="GL147" s="272"/>
      <c r="GM147" s="272"/>
      <c r="GN147" s="272"/>
      <c r="GO147" s="272"/>
      <c r="GP147" s="272"/>
      <c r="GQ147" s="272"/>
      <c r="GR147" s="272"/>
      <c r="GS147" s="272"/>
      <c r="GT147" s="272"/>
      <c r="GU147" s="272"/>
      <c r="GV147" s="272"/>
      <c r="GW147" s="272"/>
      <c r="GX147" s="272"/>
      <c r="GY147" s="272"/>
      <c r="GZ147" s="272"/>
      <c r="HA147" s="272"/>
      <c r="HB147" s="272"/>
      <c r="HC147" s="272"/>
      <c r="HD147" s="272"/>
      <c r="HE147" s="272"/>
      <c r="HF147" s="272"/>
      <c r="HG147" s="272"/>
      <c r="HH147" s="272"/>
      <c r="HI147" s="272"/>
      <c r="HJ147" s="272"/>
      <c r="HK147" s="272"/>
      <c r="HL147" s="272"/>
      <c r="HM147" s="272"/>
      <c r="HN147" s="272"/>
      <c r="HO147" s="272"/>
      <c r="HP147" s="272"/>
      <c r="HQ147" s="272"/>
      <c r="HR147"/>
      <c r="HS147"/>
      <c r="HT147"/>
      <c r="HU147"/>
      <c r="HV147"/>
      <c r="HW147"/>
      <c r="HX147" s="272"/>
      <c r="HY147" s="272"/>
      <c r="HZ147" s="272"/>
      <c r="IA147" s="272"/>
      <c r="IB147" s="272"/>
      <c r="IC147" s="272"/>
      <c r="ID147" s="272"/>
      <c r="IE147" s="272"/>
      <c r="IF147" s="272"/>
      <c r="IG147" s="272"/>
      <c r="IH147" s="272"/>
      <c r="II147" s="272"/>
      <c r="IJ147" s="272"/>
      <c r="IK147" s="272"/>
      <c r="IL147" s="272"/>
      <c r="IM147" s="272"/>
      <c r="IN147" s="272"/>
      <c r="IO147" s="272"/>
      <c r="IP147" s="272"/>
      <c r="IQ147" s="272"/>
    </row>
    <row r="148" spans="1:251" s="33" customFormat="1">
      <c r="A148" s="270" t="s">
        <v>497</v>
      </c>
      <c r="B148" s="32"/>
      <c r="C148" s="32"/>
      <c r="D148" s="272">
        <f>D18</f>
        <v>21234</v>
      </c>
      <c r="E148" s="272">
        <f>E18</f>
        <v>21599</v>
      </c>
      <c r="F148" s="272">
        <f t="shared" ref="F148:P148" si="141">F18</f>
        <v>24906</v>
      </c>
      <c r="G148" s="272">
        <f t="shared" si="141"/>
        <v>25625</v>
      </c>
      <c r="H148" s="272">
        <f t="shared" si="141"/>
        <v>24553</v>
      </c>
      <c r="I148" s="272">
        <f t="shared" si="141"/>
        <v>27233</v>
      </c>
      <c r="J148" s="272">
        <f t="shared" si="141"/>
        <v>29087</v>
      </c>
      <c r="K148" s="272">
        <f t="shared" si="141"/>
        <v>29956</v>
      </c>
      <c r="L148" s="272"/>
      <c r="M148" s="272">
        <f t="shared" si="141"/>
        <v>14882</v>
      </c>
      <c r="N148" s="272"/>
      <c r="O148" s="272">
        <f t="shared" si="141"/>
        <v>5626</v>
      </c>
      <c r="P148" s="272">
        <f t="shared" si="141"/>
        <v>5344</v>
      </c>
      <c r="Q148" s="272">
        <f t="shared" ref="Q148:W148" si="142">Q18</f>
        <v>6144</v>
      </c>
      <c r="R148" s="272">
        <f t="shared" si="142"/>
        <v>5150</v>
      </c>
      <c r="S148" s="272">
        <f t="shared" si="142"/>
        <v>4728</v>
      </c>
      <c r="T148" s="272">
        <f t="shared" si="142"/>
        <v>4750</v>
      </c>
      <c r="U148" s="272">
        <f t="shared" si="142"/>
        <v>4817</v>
      </c>
      <c r="V148" s="272">
        <f t="shared" si="142"/>
        <v>4755</v>
      </c>
      <c r="W148" s="272">
        <f t="shared" si="142"/>
        <v>4877</v>
      </c>
      <c r="X148" s="272">
        <f t="shared" ref="X148" si="143">X18</f>
        <v>4835</v>
      </c>
      <c r="Y148" s="272">
        <f t="shared" ref="Y148:AG148" si="144">Y144+Y145+Y147</f>
        <v>5033.45</v>
      </c>
      <c r="Z148" s="272">
        <f t="shared" si="144"/>
        <v>5241.8225000000002</v>
      </c>
      <c r="AA148" s="272">
        <f t="shared" si="144"/>
        <v>5460.613625</v>
      </c>
      <c r="AB148" s="272">
        <f t="shared" si="144"/>
        <v>5690.34430625</v>
      </c>
      <c r="AC148" s="272">
        <f t="shared" si="144"/>
        <v>5931.5615215625003</v>
      </c>
      <c r="AD148" s="272">
        <f t="shared" si="144"/>
        <v>6184.8395976406255</v>
      </c>
      <c r="AE148" s="272">
        <f t="shared" si="144"/>
        <v>6450.7815775226572</v>
      </c>
      <c r="AF148" s="272">
        <f t="shared" si="144"/>
        <v>6730.0206563987904</v>
      </c>
      <c r="AG148" s="272">
        <f t="shared" si="144"/>
        <v>7023.2216892187298</v>
      </c>
      <c r="AH148" s="43"/>
      <c r="AI148" s="43"/>
      <c r="AJ148" s="43"/>
      <c r="AK148" s="43"/>
      <c r="AL148" s="43"/>
      <c r="AM148" s="43"/>
      <c r="AN148" s="43"/>
      <c r="AO148" s="43"/>
      <c r="AP148" s="43"/>
      <c r="AQ148" s="43"/>
      <c r="AR148" s="43"/>
      <c r="AS148" s="43"/>
      <c r="AT148" s="43"/>
      <c r="AU148" s="43"/>
      <c r="AV148" s="43"/>
      <c r="AW148" s="43"/>
      <c r="AX148" s="43"/>
      <c r="AY148" s="43"/>
      <c r="AZ148" s="43"/>
      <c r="BA148" s="43"/>
      <c r="BB148" s="43"/>
      <c r="BC148" s="43"/>
      <c r="BD148" s="43"/>
      <c r="BE148" s="43"/>
      <c r="BF148" s="43"/>
      <c r="BG148" s="43"/>
      <c r="BH148" s="43"/>
      <c r="BI148" s="43"/>
      <c r="BJ148" s="43"/>
      <c r="BK148" s="43"/>
      <c r="BL148" s="43"/>
      <c r="BM148" s="43"/>
      <c r="BN148" s="43"/>
      <c r="BO148" s="43"/>
      <c r="BP148" s="43"/>
      <c r="BQ148" s="43"/>
      <c r="BR148" s="43"/>
      <c r="BS148" s="43"/>
      <c r="BT148" s="43"/>
      <c r="BU148" s="43"/>
      <c r="BV148" s="43"/>
      <c r="BW148" s="43"/>
      <c r="BX148" s="43"/>
      <c r="BY148" s="43"/>
      <c r="BZ148" s="43"/>
      <c r="CA148" s="43"/>
      <c r="CB148" s="43"/>
      <c r="CC148" s="43"/>
      <c r="CD148" s="43"/>
      <c r="CE148" s="43"/>
      <c r="CF148" s="43"/>
      <c r="CG148" s="43"/>
      <c r="CH148" s="43"/>
      <c r="CI148" s="43"/>
      <c r="CJ148" s="43"/>
      <c r="CK148" s="43"/>
      <c r="CL148" s="43"/>
      <c r="CM148" s="43"/>
      <c r="CN148" s="43"/>
      <c r="CO148" s="43"/>
      <c r="CP148" s="43"/>
      <c r="CQ148" s="43"/>
      <c r="CR148" s="43"/>
      <c r="CS148" s="43"/>
      <c r="CT148" s="43"/>
      <c r="CU148" s="43"/>
      <c r="CV148" s="43"/>
      <c r="CW148" s="43"/>
      <c r="CX148" s="43"/>
      <c r="CY148" s="43"/>
      <c r="CZ148" s="43"/>
      <c r="DA148" s="43"/>
      <c r="DB148" s="43"/>
      <c r="DC148" s="43"/>
      <c r="DD148" s="43"/>
      <c r="DE148" s="43"/>
      <c r="DF148" s="43"/>
      <c r="DG148" s="43"/>
      <c r="DH148" s="43"/>
      <c r="DI148" s="43"/>
      <c r="DJ148" s="43"/>
      <c r="DK148" s="43"/>
      <c r="DL148" s="43"/>
      <c r="DM148" s="43"/>
      <c r="DN148" s="43"/>
      <c r="DO148" s="43"/>
      <c r="DP148" s="43"/>
      <c r="DQ148" s="43"/>
      <c r="DR148" s="43"/>
      <c r="DS148" s="43"/>
      <c r="DT148" s="43"/>
      <c r="DU148" s="43"/>
      <c r="DV148" s="43"/>
      <c r="DW148" s="43"/>
      <c r="DX148" s="43"/>
      <c r="DY148" s="43"/>
      <c r="DZ148" s="43"/>
      <c r="EA148" s="43"/>
      <c r="EB148" s="43"/>
      <c r="EC148" s="43"/>
      <c r="ED148" s="43"/>
      <c r="EE148" s="43"/>
      <c r="EF148" s="43"/>
      <c r="EG148" s="43"/>
      <c r="EH148" s="43"/>
      <c r="EI148" s="43"/>
      <c r="EJ148" s="43"/>
      <c r="EK148" s="43"/>
      <c r="EL148" s="43"/>
      <c r="EM148" s="43"/>
      <c r="EN148" s="43"/>
      <c r="EO148" s="43"/>
      <c r="EP148" s="43"/>
      <c r="EQ148" s="43"/>
      <c r="ER148" s="43"/>
      <c r="ES148" s="43"/>
      <c r="ET148" s="43"/>
      <c r="EU148" s="43"/>
      <c r="EV148" s="43"/>
      <c r="EW148" s="43"/>
      <c r="EX148" s="43"/>
      <c r="EY148" s="43"/>
      <c r="EZ148" s="43"/>
      <c r="FA148" s="43"/>
      <c r="FB148" s="43"/>
      <c r="FC148" s="43"/>
      <c r="FD148" s="43"/>
      <c r="FE148" s="43"/>
      <c r="FF148" s="43"/>
      <c r="FG148" s="43"/>
      <c r="FH148" s="43"/>
      <c r="FI148" s="43"/>
      <c r="FJ148" s="43"/>
      <c r="FK148" s="43"/>
      <c r="FL148" s="43"/>
      <c r="FM148" s="43"/>
      <c r="FN148" s="43"/>
      <c r="FO148" s="43"/>
      <c r="FP148" s="43"/>
      <c r="FQ148" s="43"/>
      <c r="FR148" s="43"/>
      <c r="FS148" s="43"/>
      <c r="FT148" s="43"/>
      <c r="FU148" s="43"/>
      <c r="FV148" s="43"/>
      <c r="FW148" s="43"/>
      <c r="FX148" s="43"/>
      <c r="FY148" s="43"/>
      <c r="FZ148" s="43"/>
      <c r="GA148" s="43"/>
      <c r="GB148" s="43"/>
      <c r="GC148" s="43"/>
      <c r="GD148" s="43"/>
      <c r="GE148" s="43"/>
      <c r="GF148" s="43"/>
      <c r="GG148" s="43"/>
      <c r="GH148" s="43"/>
      <c r="GI148" s="43"/>
      <c r="GJ148" s="43"/>
      <c r="GK148" s="43"/>
      <c r="GL148" s="43"/>
      <c r="GM148" s="43"/>
      <c r="GN148" s="43"/>
      <c r="GO148" s="43"/>
      <c r="GP148" s="43"/>
      <c r="GQ148" s="43"/>
      <c r="GR148" s="43"/>
      <c r="GS148" s="43"/>
      <c r="GT148" s="43"/>
      <c r="GU148" s="43"/>
      <c r="GV148" s="43"/>
      <c r="GW148" s="43"/>
      <c r="GX148" s="43"/>
      <c r="GY148" s="43"/>
      <c r="GZ148" s="43"/>
      <c r="HA148" s="43"/>
      <c r="HB148" s="43"/>
      <c r="HC148" s="43"/>
      <c r="HD148" s="43"/>
      <c r="HE148" s="43"/>
      <c r="HF148" s="43"/>
      <c r="HG148" s="43"/>
      <c r="HH148" s="43"/>
      <c r="HI148" s="43"/>
      <c r="HJ148" s="43"/>
      <c r="HK148" s="43"/>
      <c r="HL148" s="43"/>
      <c r="HM148" s="43"/>
      <c r="HN148" s="43"/>
      <c r="HO148" s="43"/>
      <c r="HP148" s="43"/>
      <c r="HQ148" s="43"/>
      <c r="HR148"/>
      <c r="HS148"/>
      <c r="HT148"/>
      <c r="HU148"/>
      <c r="HV148"/>
      <c r="HW148"/>
      <c r="HX148"/>
      <c r="HY148"/>
      <c r="HZ148"/>
      <c r="IA148"/>
      <c r="IB148"/>
      <c r="IC148"/>
      <c r="ID148"/>
      <c r="IE148"/>
      <c r="IF148"/>
      <c r="IG148"/>
      <c r="IH148"/>
      <c r="II148"/>
      <c r="IJ148"/>
      <c r="IK148" s="32"/>
      <c r="IL148" s="32"/>
      <c r="IM148" s="32"/>
      <c r="IN148" s="32"/>
      <c r="IO148" s="32"/>
      <c r="IP148" s="32"/>
      <c r="IQ148" s="32"/>
    </row>
    <row r="149" spans="1:251" s="33" customFormat="1">
      <c r="A149" s="32"/>
      <c r="B149" s="32"/>
      <c r="C149" s="32"/>
      <c r="D149" s="51"/>
      <c r="E149" s="51"/>
      <c r="F149" s="51"/>
      <c r="G149" s="51"/>
      <c r="H149" s="51"/>
      <c r="I149" s="51"/>
      <c r="J149" s="263"/>
      <c r="K149" s="263"/>
      <c r="L149" s="263"/>
      <c r="M149" s="263"/>
      <c r="N149" s="263"/>
      <c r="O149" s="263"/>
      <c r="P149" s="263"/>
      <c r="Q149" s="263"/>
      <c r="R149" s="263"/>
      <c r="S149" s="263"/>
      <c r="T149" s="118"/>
      <c r="U149" s="118"/>
      <c r="V149" s="118"/>
      <c r="W149" s="118"/>
      <c r="X149" s="118"/>
      <c r="Y149" s="118"/>
      <c r="Z149" s="118"/>
      <c r="AA149" s="118"/>
      <c r="AB149" s="118"/>
      <c r="AC149" s="118"/>
      <c r="AD149" s="118"/>
      <c r="AE149" s="118"/>
      <c r="AF149" s="118"/>
      <c r="AG149" s="118"/>
      <c r="AH149" s="43"/>
      <c r="AI149" s="43"/>
      <c r="AJ149" s="43"/>
      <c r="AK149" s="43"/>
      <c r="AL149" s="43"/>
      <c r="AM149" s="43"/>
      <c r="AN149" s="43"/>
      <c r="AO149" s="43"/>
      <c r="AP149" s="43"/>
      <c r="AQ149" s="43"/>
      <c r="AR149" s="43"/>
      <c r="AS149" s="43"/>
      <c r="AT149" s="43"/>
      <c r="AU149" s="43"/>
      <c r="AV149" s="43"/>
      <c r="AW149" s="43"/>
      <c r="AX149" s="43"/>
      <c r="AY149" s="43"/>
      <c r="AZ149" s="43"/>
      <c r="BA149" s="43"/>
      <c r="BB149" s="43"/>
      <c r="BC149" s="43"/>
      <c r="BD149" s="43"/>
      <c r="BE149" s="43"/>
      <c r="BF149" s="43"/>
      <c r="BG149" s="43"/>
      <c r="BH149" s="43"/>
      <c r="BI149" s="43"/>
      <c r="BJ149" s="43"/>
      <c r="BK149" s="43"/>
      <c r="BL149" s="43"/>
      <c r="BM149" s="43"/>
      <c r="BN149" s="43"/>
      <c r="BO149" s="43"/>
      <c r="BP149" s="43"/>
      <c r="BQ149" s="43"/>
      <c r="BR149" s="43"/>
      <c r="BS149" s="43"/>
      <c r="BT149" s="43"/>
      <c r="BU149" s="43"/>
      <c r="BV149" s="43"/>
      <c r="BW149" s="43"/>
      <c r="BX149" s="43"/>
      <c r="BY149" s="43"/>
      <c r="BZ149" s="43"/>
      <c r="CA149" s="43"/>
      <c r="CB149" s="43"/>
      <c r="CC149" s="43"/>
      <c r="CD149" s="43"/>
      <c r="CE149" s="43"/>
      <c r="CF149" s="43"/>
      <c r="CG149" s="43"/>
      <c r="CH149" s="43"/>
      <c r="CI149" s="43"/>
      <c r="CJ149" s="43"/>
      <c r="CK149" s="43"/>
      <c r="CL149" s="43"/>
      <c r="CM149" s="43"/>
      <c r="CN149" s="43"/>
      <c r="CO149" s="43"/>
      <c r="CP149" s="43"/>
      <c r="CQ149" s="43"/>
      <c r="CR149" s="43"/>
      <c r="CS149" s="43"/>
      <c r="CT149" s="43"/>
      <c r="CU149" s="43"/>
      <c r="CV149" s="43"/>
      <c r="CW149" s="43"/>
      <c r="CX149" s="43"/>
      <c r="CY149" s="43"/>
      <c r="CZ149" s="43"/>
      <c r="DA149" s="43"/>
      <c r="DB149" s="43"/>
      <c r="DC149" s="43"/>
      <c r="DD149" s="43"/>
      <c r="DE149" s="43"/>
      <c r="DF149" s="43"/>
      <c r="DG149" s="43"/>
      <c r="DH149" s="43"/>
      <c r="DI149" s="43"/>
      <c r="DJ149" s="43"/>
      <c r="DK149" s="43"/>
      <c r="DL149" s="43"/>
      <c r="DM149" s="43"/>
      <c r="DN149" s="43"/>
      <c r="DO149" s="43"/>
      <c r="DP149" s="43"/>
      <c r="DQ149" s="43"/>
      <c r="DR149" s="43"/>
      <c r="DS149" s="43"/>
      <c r="DT149" s="43"/>
      <c r="DU149" s="43"/>
      <c r="DV149" s="43"/>
      <c r="DW149" s="43"/>
      <c r="DX149" s="43"/>
      <c r="DY149" s="43"/>
      <c r="DZ149" s="43"/>
      <c r="EA149" s="43"/>
      <c r="EB149" s="43"/>
      <c r="EC149" s="43"/>
      <c r="ED149" s="43"/>
      <c r="EE149" s="43"/>
      <c r="EF149" s="43"/>
      <c r="EG149" s="43"/>
      <c r="EH149" s="43"/>
      <c r="EI149" s="43"/>
      <c r="EJ149" s="43"/>
      <c r="EK149" s="43"/>
      <c r="EL149" s="43"/>
      <c r="EM149" s="43"/>
      <c r="EN149" s="43"/>
      <c r="EO149" s="43"/>
      <c r="EP149" s="43"/>
      <c r="EQ149" s="43"/>
      <c r="ER149" s="43"/>
      <c r="ES149" s="43"/>
      <c r="ET149" s="43"/>
      <c r="EU149" s="43"/>
      <c r="EV149" s="43"/>
      <c r="EW149" s="43"/>
      <c r="EX149" s="43"/>
      <c r="EY149" s="43"/>
      <c r="EZ149" s="43"/>
      <c r="FA149" s="43"/>
      <c r="FB149" s="43"/>
      <c r="FC149" s="43"/>
      <c r="FD149" s="43"/>
      <c r="FE149" s="43"/>
      <c r="FF149" s="43"/>
      <c r="FG149" s="43"/>
      <c r="FH149" s="43"/>
      <c r="FI149" s="43"/>
      <c r="FJ149" s="43"/>
      <c r="FK149" s="43"/>
      <c r="FL149" s="43"/>
      <c r="FM149" s="43"/>
      <c r="FN149" s="43"/>
      <c r="FO149" s="43"/>
      <c r="FP149" s="43"/>
      <c r="FQ149" s="43"/>
      <c r="FR149" s="43"/>
      <c r="FS149" s="43"/>
      <c r="FT149" s="43"/>
      <c r="FU149" s="43"/>
      <c r="FV149" s="43"/>
      <c r="FW149" s="43"/>
      <c r="FX149" s="43"/>
      <c r="FY149" s="43"/>
      <c r="FZ149" s="43"/>
      <c r="GA149" s="43"/>
      <c r="GB149" s="43"/>
      <c r="GC149" s="43"/>
      <c r="GD149" s="43"/>
      <c r="GE149" s="43"/>
      <c r="GF149" s="43"/>
      <c r="GG149" s="43"/>
      <c r="GH149" s="43"/>
      <c r="GI149" s="43"/>
      <c r="GJ149" s="43"/>
      <c r="GK149" s="43"/>
      <c r="GL149" s="43"/>
      <c r="GM149" s="43"/>
      <c r="GN149" s="43"/>
      <c r="GO149" s="43"/>
      <c r="GP149" s="43"/>
      <c r="GQ149" s="43"/>
      <c r="GR149" s="43"/>
      <c r="GS149" s="43"/>
      <c r="GT149" s="43"/>
      <c r="GU149" s="43"/>
      <c r="GV149" s="43"/>
      <c r="GW149" s="43"/>
      <c r="GX149" s="43"/>
      <c r="GY149" s="43"/>
      <c r="GZ149" s="43"/>
      <c r="HA149" s="43"/>
      <c r="HB149" s="43"/>
      <c r="HC149" s="43"/>
      <c r="HD149" s="43"/>
      <c r="HE149" s="43"/>
      <c r="HF149" s="43"/>
      <c r="HG149" s="43"/>
      <c r="HH149" s="43"/>
      <c r="HI149" s="43"/>
      <c r="HJ149" s="43"/>
      <c r="HK149" s="43"/>
      <c r="HL149" s="43"/>
      <c r="HM149" s="43"/>
      <c r="HN149" s="43"/>
      <c r="HO149" s="43"/>
      <c r="HP149" s="43"/>
      <c r="HQ149" s="43"/>
      <c r="HR149"/>
      <c r="HS149"/>
      <c r="HT149"/>
      <c r="HU149"/>
      <c r="HV149"/>
      <c r="HW149"/>
      <c r="HX149"/>
      <c r="HY149"/>
      <c r="HZ149"/>
      <c r="IA149"/>
      <c r="IB149"/>
      <c r="IC149"/>
      <c r="ID149"/>
      <c r="IE149"/>
      <c r="IF149"/>
      <c r="IG149"/>
      <c r="IH149"/>
      <c r="II149"/>
      <c r="IJ149"/>
      <c r="IK149" s="32"/>
      <c r="IL149" s="32"/>
      <c r="IM149" s="32"/>
      <c r="IN149" s="32"/>
      <c r="IO149" s="32"/>
      <c r="IP149" s="32"/>
      <c r="IQ149" s="32"/>
    </row>
    <row r="150" spans="1:251" s="33" customFormat="1">
      <c r="A150" s="34" t="s">
        <v>114</v>
      </c>
      <c r="B150" s="32"/>
      <c r="C150" s="32"/>
      <c r="D150" s="51"/>
      <c r="E150" s="51"/>
      <c r="F150" s="51"/>
      <c r="G150" s="51"/>
      <c r="H150" s="51"/>
      <c r="I150" s="51"/>
      <c r="J150" s="263"/>
      <c r="K150" s="263"/>
      <c r="L150" s="263"/>
      <c r="M150" s="263"/>
      <c r="N150" s="263"/>
      <c r="O150" s="263"/>
      <c r="P150" s="263"/>
      <c r="Q150" s="263"/>
      <c r="R150" s="263"/>
      <c r="S150" s="263"/>
      <c r="T150" s="118"/>
      <c r="U150" s="118"/>
      <c r="V150" s="118"/>
      <c r="W150" s="118"/>
      <c r="X150" s="118"/>
      <c r="Y150" s="118"/>
      <c r="Z150" s="118"/>
      <c r="AA150" s="118"/>
      <c r="AB150" s="118"/>
      <c r="AC150" s="118"/>
      <c r="AD150" s="118"/>
      <c r="AE150" s="118"/>
      <c r="AF150" s="118"/>
      <c r="AG150" s="118"/>
      <c r="AH150" s="43"/>
      <c r="AI150" s="43"/>
      <c r="AJ150" s="43"/>
      <c r="AK150" s="43"/>
      <c r="AL150" s="43"/>
      <c r="AM150" s="43"/>
      <c r="AN150" s="43"/>
      <c r="AO150" s="43"/>
      <c r="AP150" s="43"/>
      <c r="AQ150" s="43"/>
      <c r="AR150" s="43"/>
      <c r="AS150" s="43"/>
      <c r="AT150" s="43"/>
      <c r="AU150" s="43"/>
      <c r="AV150" s="43"/>
      <c r="AW150" s="43"/>
      <c r="AX150" s="43"/>
      <c r="AY150" s="43"/>
      <c r="AZ150" s="43"/>
      <c r="BA150" s="43"/>
      <c r="BB150" s="43"/>
      <c r="BC150" s="43"/>
      <c r="BD150" s="43"/>
      <c r="BE150" s="43"/>
      <c r="BF150" s="43"/>
      <c r="BG150" s="43"/>
      <c r="BH150" s="43"/>
      <c r="BI150" s="43"/>
      <c r="BJ150" s="43"/>
      <c r="BK150" s="43"/>
      <c r="BL150" s="43"/>
      <c r="BM150" s="43"/>
      <c r="BN150" s="43"/>
      <c r="BO150" s="43"/>
      <c r="BP150" s="43"/>
      <c r="BQ150" s="43"/>
      <c r="BR150" s="43"/>
      <c r="BS150" s="43"/>
      <c r="BT150" s="43"/>
      <c r="BU150" s="43"/>
      <c r="BV150" s="43"/>
      <c r="BW150" s="43"/>
      <c r="BX150" s="43"/>
      <c r="BY150" s="43"/>
      <c r="BZ150" s="43"/>
      <c r="CA150" s="43"/>
      <c r="CB150" s="43"/>
      <c r="CC150" s="43"/>
      <c r="CD150" s="43"/>
      <c r="CE150" s="43"/>
      <c r="CF150" s="43"/>
      <c r="CG150" s="43"/>
      <c r="CH150" s="43"/>
      <c r="CI150" s="43"/>
      <c r="CJ150" s="43"/>
      <c r="CK150" s="43"/>
      <c r="CL150" s="43"/>
      <c r="CM150" s="43"/>
      <c r="CN150" s="43"/>
      <c r="CO150" s="43"/>
      <c r="CP150" s="43"/>
      <c r="CQ150" s="43"/>
      <c r="CR150" s="43"/>
      <c r="CS150" s="43"/>
      <c r="CT150" s="43"/>
      <c r="CU150" s="43"/>
      <c r="CV150" s="43"/>
      <c r="CW150" s="43"/>
      <c r="CX150" s="43"/>
      <c r="CY150" s="43"/>
      <c r="CZ150" s="43"/>
      <c r="DA150" s="43"/>
      <c r="DB150" s="43"/>
      <c r="DC150" s="43"/>
      <c r="DD150" s="43"/>
      <c r="DE150" s="43"/>
      <c r="DF150" s="43"/>
      <c r="DG150" s="43"/>
      <c r="DH150" s="43"/>
      <c r="DI150" s="43"/>
      <c r="DJ150" s="43"/>
      <c r="DK150" s="43"/>
      <c r="DL150" s="43"/>
      <c r="DM150" s="43"/>
      <c r="DN150" s="43"/>
      <c r="DO150" s="43"/>
      <c r="DP150" s="43"/>
      <c r="DQ150" s="43"/>
      <c r="DR150" s="43"/>
      <c r="DS150" s="43"/>
      <c r="DT150" s="43"/>
      <c r="DU150" s="43"/>
      <c r="DV150" s="43"/>
      <c r="DW150" s="43"/>
      <c r="DX150" s="43"/>
      <c r="DY150" s="43"/>
      <c r="DZ150" s="43"/>
      <c r="EA150" s="43"/>
      <c r="EB150" s="43"/>
      <c r="EC150" s="43"/>
      <c r="ED150" s="43"/>
      <c r="EE150" s="43"/>
      <c r="EF150" s="43"/>
      <c r="EG150" s="43"/>
      <c r="EH150" s="43"/>
      <c r="EI150" s="43"/>
      <c r="EJ150" s="43"/>
      <c r="EK150" s="43"/>
      <c r="EL150" s="43"/>
      <c r="EM150" s="43"/>
      <c r="EN150" s="43"/>
      <c r="EO150" s="43"/>
      <c r="EP150" s="43"/>
      <c r="EQ150" s="43"/>
      <c r="ER150" s="43"/>
      <c r="ES150" s="43"/>
      <c r="ET150" s="43"/>
      <c r="EU150" s="43"/>
      <c r="EV150" s="43"/>
      <c r="EW150" s="43"/>
      <c r="EX150" s="43"/>
      <c r="EY150" s="43"/>
      <c r="EZ150" s="43"/>
      <c r="FA150" s="43"/>
      <c r="FB150" s="43"/>
      <c r="FC150" s="43"/>
      <c r="FD150" s="43"/>
      <c r="FE150" s="43"/>
      <c r="FF150" s="43"/>
      <c r="FG150" s="43"/>
      <c r="FH150" s="43"/>
      <c r="FI150" s="43"/>
      <c r="FJ150" s="43"/>
      <c r="FK150" s="43"/>
      <c r="FL150" s="43"/>
      <c r="FM150" s="43"/>
      <c r="FN150" s="43"/>
      <c r="FO150" s="43"/>
      <c r="FP150" s="43"/>
      <c r="FQ150" s="43"/>
      <c r="FR150" s="43"/>
      <c r="FS150" s="43"/>
      <c r="FT150" s="43"/>
      <c r="FU150" s="43"/>
      <c r="FV150" s="43"/>
      <c r="FW150" s="43"/>
      <c r="FX150" s="43"/>
      <c r="FY150" s="43"/>
      <c r="FZ150" s="43"/>
      <c r="GA150" s="43"/>
      <c r="GB150" s="43"/>
      <c r="GC150" s="43"/>
      <c r="GD150" s="43"/>
      <c r="GE150" s="43"/>
      <c r="GF150" s="43"/>
      <c r="GG150" s="43"/>
      <c r="GH150" s="43"/>
      <c r="GI150" s="43"/>
      <c r="GJ150" s="43"/>
      <c r="GK150" s="43"/>
      <c r="GL150" s="43"/>
      <c r="GM150" s="43"/>
      <c r="GN150" s="43"/>
      <c r="GO150" s="43"/>
      <c r="GP150" s="43"/>
      <c r="GQ150" s="43"/>
      <c r="GR150" s="43"/>
      <c r="GS150" s="43"/>
      <c r="GT150" s="43"/>
      <c r="GU150" s="43"/>
      <c r="GV150" s="43"/>
      <c r="GW150" s="43"/>
      <c r="GX150" s="43"/>
      <c r="GY150" s="43"/>
      <c r="GZ150" s="43"/>
      <c r="HA150" s="43"/>
      <c r="HB150" s="43"/>
      <c r="HC150" s="43"/>
      <c r="HD150" s="43"/>
      <c r="HE150" s="43"/>
      <c r="HF150" s="43"/>
      <c r="HG150" s="43"/>
      <c r="HH150" s="43"/>
      <c r="HI150" s="43"/>
      <c r="HJ150" s="43"/>
      <c r="HK150" s="43"/>
      <c r="HL150" s="43"/>
      <c r="HM150" s="43"/>
      <c r="HN150" s="43"/>
      <c r="HO150" s="43"/>
      <c r="HP150" s="43"/>
      <c r="HQ150" s="43"/>
      <c r="HR150"/>
      <c r="HS150"/>
      <c r="HT150"/>
      <c r="HU150"/>
      <c r="HV150"/>
      <c r="HW150"/>
      <c r="HX150"/>
      <c r="HY150"/>
      <c r="HZ150"/>
      <c r="IA150"/>
      <c r="IB150"/>
      <c r="IC150"/>
      <c r="ID150"/>
      <c r="IE150"/>
      <c r="IF150"/>
      <c r="IG150"/>
      <c r="IH150"/>
      <c r="II150"/>
      <c r="IJ150"/>
      <c r="IK150" s="32"/>
      <c r="IL150" s="32"/>
      <c r="IM150" s="32"/>
      <c r="IN150" s="32"/>
      <c r="IO150" s="32"/>
      <c r="IP150" s="32"/>
      <c r="IQ150" s="32"/>
    </row>
    <row r="151" spans="1:251" s="33" customFormat="1">
      <c r="A151" s="211" t="s">
        <v>589</v>
      </c>
      <c r="B151" s="32"/>
      <c r="C151" s="32"/>
      <c r="D151" s="272"/>
      <c r="E151" s="272">
        <f>D154</f>
        <v>8899</v>
      </c>
      <c r="F151" s="272">
        <f t="shared" ref="F151:K151" si="145">E154</f>
        <v>9328</v>
      </c>
      <c r="G151" s="272">
        <f t="shared" si="145"/>
        <v>9603</v>
      </c>
      <c r="H151" s="272">
        <f t="shared" si="145"/>
        <v>10488</v>
      </c>
      <c r="I151" s="272">
        <f t="shared" si="145"/>
        <v>9707</v>
      </c>
      <c r="J151" s="272">
        <f t="shared" si="145"/>
        <v>11166</v>
      </c>
      <c r="K151" s="272">
        <f t="shared" si="145"/>
        <v>12782</v>
      </c>
      <c r="L151" s="263"/>
      <c r="M151" s="272">
        <f>L154</f>
        <v>0</v>
      </c>
      <c r="N151" s="263"/>
      <c r="O151" s="272">
        <f t="shared" ref="O151:X151" si="146">N154</f>
        <v>0</v>
      </c>
      <c r="P151" s="272">
        <f t="shared" si="146"/>
        <v>3204</v>
      </c>
      <c r="Q151" s="272">
        <f t="shared" si="146"/>
        <v>3145</v>
      </c>
      <c r="R151" s="272">
        <f t="shared" si="146"/>
        <v>3460</v>
      </c>
      <c r="S151" s="272">
        <f t="shared" si="146"/>
        <v>2770</v>
      </c>
      <c r="T151" s="272">
        <f t="shared" si="146"/>
        <v>2512</v>
      </c>
      <c r="U151" s="272">
        <f t="shared" si="146"/>
        <v>2648</v>
      </c>
      <c r="V151" s="272">
        <f t="shared" si="146"/>
        <v>2789</v>
      </c>
      <c r="W151" s="272">
        <f t="shared" si="146"/>
        <v>2772</v>
      </c>
      <c r="X151" s="272">
        <f t="shared" si="146"/>
        <v>2895</v>
      </c>
      <c r="Y151" s="272">
        <f t="shared" ref="Y151:AG151" si="147">X154</f>
        <v>2877</v>
      </c>
      <c r="Z151" s="272">
        <f t="shared" si="147"/>
        <v>3058.4240311667008</v>
      </c>
      <c r="AA151" s="272">
        <f t="shared" si="147"/>
        <v>3247.2945150707401</v>
      </c>
      <c r="AB151" s="272">
        <f t="shared" si="147"/>
        <v>3443.9837743489848</v>
      </c>
      <c r="AC151" s="272">
        <f t="shared" si="147"/>
        <v>3648.8827477701452</v>
      </c>
      <c r="AD151" s="272">
        <f t="shared" si="147"/>
        <v>3862.4019210413671</v>
      </c>
      <c r="AE151" s="272">
        <f t="shared" si="147"/>
        <v>4084.9723041551538</v>
      </c>
      <c r="AF151" s="272">
        <f t="shared" si="147"/>
        <v>4317.0464576036329</v>
      </c>
      <c r="AG151" s="272">
        <f t="shared" si="147"/>
        <v>4559.0995699035402</v>
      </c>
      <c r="AH151" s="43"/>
      <c r="AI151" s="43"/>
      <c r="AJ151" s="43"/>
      <c r="AK151" s="43"/>
      <c r="AL151" s="43"/>
      <c r="AM151" s="43"/>
      <c r="AN151" s="43"/>
      <c r="AO151" s="43"/>
      <c r="AP151" s="43"/>
      <c r="AQ151" s="43"/>
      <c r="AR151" s="43"/>
      <c r="AS151" s="43"/>
      <c r="AT151" s="43"/>
      <c r="AU151" s="43"/>
      <c r="AV151" s="43"/>
      <c r="AW151" s="43"/>
      <c r="AX151" s="43"/>
      <c r="AY151" s="43"/>
      <c r="AZ151" s="43"/>
      <c r="BA151" s="43"/>
      <c r="BB151" s="43"/>
      <c r="BC151" s="43"/>
      <c r="BD151" s="43"/>
      <c r="BE151" s="43"/>
      <c r="BF151" s="43"/>
      <c r="BG151" s="43"/>
      <c r="BH151" s="43"/>
      <c r="BI151" s="43"/>
      <c r="BJ151" s="43"/>
      <c r="BK151" s="43"/>
      <c r="BL151" s="43"/>
      <c r="BM151" s="43"/>
      <c r="BN151" s="43"/>
      <c r="BO151" s="43"/>
      <c r="BP151" s="43"/>
      <c r="BQ151" s="43"/>
      <c r="BR151" s="43"/>
      <c r="BS151" s="43"/>
      <c r="BT151" s="43"/>
      <c r="BU151" s="43"/>
      <c r="BV151" s="43"/>
      <c r="BW151" s="43"/>
      <c r="BX151" s="43"/>
      <c r="BY151" s="43"/>
      <c r="BZ151" s="43"/>
      <c r="CA151" s="43"/>
      <c r="CB151" s="43"/>
      <c r="CC151" s="43"/>
      <c r="CD151" s="43"/>
      <c r="CE151" s="43"/>
      <c r="CF151" s="43"/>
      <c r="CG151" s="43"/>
      <c r="CH151" s="43"/>
      <c r="CI151" s="43"/>
      <c r="CJ151" s="43"/>
      <c r="CK151" s="43"/>
      <c r="CL151" s="43"/>
      <c r="CM151" s="43"/>
      <c r="CN151" s="43"/>
      <c r="CO151" s="43"/>
      <c r="CP151" s="43"/>
      <c r="CQ151" s="43"/>
      <c r="CR151" s="43"/>
      <c r="CS151" s="43"/>
      <c r="CT151" s="43"/>
      <c r="CU151" s="43"/>
      <c r="CV151" s="43"/>
      <c r="CW151" s="43"/>
      <c r="CX151" s="43"/>
      <c r="CY151" s="43"/>
      <c r="CZ151" s="43"/>
      <c r="DA151" s="43"/>
      <c r="DB151" s="43"/>
      <c r="DC151" s="43"/>
      <c r="DD151" s="43"/>
      <c r="DE151" s="43"/>
      <c r="DF151" s="43"/>
      <c r="DG151" s="43"/>
      <c r="DH151" s="43"/>
      <c r="DI151" s="43"/>
      <c r="DJ151" s="43"/>
      <c r="DK151" s="43"/>
      <c r="DL151" s="43"/>
      <c r="DM151" s="43"/>
      <c r="DN151" s="43"/>
      <c r="DO151" s="43"/>
      <c r="DP151" s="43"/>
      <c r="DQ151" s="43"/>
      <c r="DR151" s="43"/>
      <c r="DS151" s="43"/>
      <c r="DT151" s="43"/>
      <c r="DU151" s="43"/>
      <c r="DV151" s="43"/>
      <c r="DW151" s="43"/>
      <c r="DX151" s="43"/>
      <c r="DY151" s="43"/>
      <c r="DZ151" s="43"/>
      <c r="EA151" s="43"/>
      <c r="EB151" s="43"/>
      <c r="EC151" s="43"/>
      <c r="ED151" s="43"/>
      <c r="EE151" s="43"/>
      <c r="EF151" s="43"/>
      <c r="EG151" s="43"/>
      <c r="EH151" s="43"/>
      <c r="EI151" s="43"/>
      <c r="EJ151" s="43"/>
      <c r="EK151" s="43"/>
      <c r="EL151" s="43"/>
      <c r="EM151" s="43"/>
      <c r="EN151" s="43"/>
      <c r="EO151" s="43"/>
      <c r="EP151" s="43"/>
      <c r="EQ151" s="43"/>
      <c r="ER151" s="43"/>
      <c r="ES151" s="43"/>
      <c r="ET151" s="43"/>
      <c r="EU151" s="43"/>
      <c r="EV151" s="43"/>
      <c r="EW151" s="43"/>
      <c r="EX151" s="43"/>
      <c r="EY151" s="43"/>
      <c r="EZ151" s="43"/>
      <c r="FA151" s="43"/>
      <c r="FB151" s="43"/>
      <c r="FC151" s="43"/>
      <c r="FD151" s="43"/>
      <c r="FE151" s="43"/>
      <c r="FF151" s="43"/>
      <c r="FG151" s="43"/>
      <c r="FH151" s="43"/>
      <c r="FI151" s="43"/>
      <c r="FJ151" s="43"/>
      <c r="FK151" s="43"/>
      <c r="FL151" s="43"/>
      <c r="FM151" s="43"/>
      <c r="FN151" s="43"/>
      <c r="FO151" s="43"/>
      <c r="FP151" s="43"/>
      <c r="FQ151" s="43"/>
      <c r="FR151" s="43"/>
      <c r="FS151" s="43"/>
      <c r="FT151" s="43"/>
      <c r="FU151" s="43"/>
      <c r="FV151" s="43"/>
      <c r="FW151" s="43"/>
      <c r="FX151" s="43"/>
      <c r="FY151" s="43"/>
      <c r="FZ151" s="43"/>
      <c r="GA151" s="43"/>
      <c r="GB151" s="43"/>
      <c r="GC151" s="43"/>
      <c r="GD151" s="43"/>
      <c r="GE151" s="43"/>
      <c r="GF151" s="43"/>
      <c r="GG151" s="43"/>
      <c r="GH151" s="43"/>
      <c r="GI151" s="43"/>
      <c r="GJ151" s="43"/>
      <c r="GK151" s="43"/>
      <c r="GL151" s="43"/>
      <c r="GM151" s="43"/>
      <c r="GN151" s="43"/>
      <c r="GO151" s="43"/>
      <c r="GP151" s="43"/>
      <c r="GQ151" s="43"/>
      <c r="GR151" s="43"/>
      <c r="GS151" s="43"/>
      <c r="GT151" s="43"/>
      <c r="GU151" s="43"/>
      <c r="GV151" s="43"/>
      <c r="GW151" s="43"/>
      <c r="GX151" s="43"/>
      <c r="GY151" s="43"/>
      <c r="GZ151" s="43"/>
      <c r="HA151" s="43"/>
      <c r="HB151" s="43"/>
      <c r="HC151" s="43"/>
      <c r="HD151" s="43"/>
      <c r="HE151" s="43"/>
      <c r="HF151" s="43"/>
      <c r="HG151" s="43"/>
      <c r="HH151" s="43"/>
      <c r="HI151" s="43"/>
      <c r="HJ151" s="43"/>
      <c r="HK151" s="43"/>
      <c r="HL151" s="43"/>
      <c r="HM151" s="43"/>
      <c r="HN151" s="43"/>
      <c r="HO151" s="43"/>
      <c r="HP151" s="43"/>
      <c r="HQ151" s="43"/>
      <c r="HR151"/>
      <c r="HS151"/>
      <c r="HT151"/>
      <c r="HU151"/>
      <c r="HV151"/>
      <c r="HW151"/>
      <c r="HX151"/>
      <c r="HY151"/>
      <c r="HZ151"/>
      <c r="IA151"/>
      <c r="IB151"/>
      <c r="IC151"/>
      <c r="ID151"/>
      <c r="IE151"/>
      <c r="IF151"/>
      <c r="IG151"/>
      <c r="IH151"/>
      <c r="II151"/>
      <c r="IJ151"/>
      <c r="IK151" s="32"/>
      <c r="IL151" s="32"/>
      <c r="IM151" s="32"/>
      <c r="IN151" s="32"/>
      <c r="IO151" s="32"/>
      <c r="IP151" s="32"/>
      <c r="IQ151" s="32"/>
    </row>
    <row r="152" spans="1:251" s="33" customFormat="1">
      <c r="A152" s="211" t="s">
        <v>498</v>
      </c>
      <c r="B152" s="32"/>
      <c r="C152" s="32"/>
      <c r="D152" s="272"/>
      <c r="E152" s="272">
        <f>CFS!D10</f>
        <v>1120</v>
      </c>
      <c r="F152" s="272">
        <f>CFS!E10</f>
        <v>1126</v>
      </c>
      <c r="G152" s="272">
        <f>CFS!F10</f>
        <v>1323</v>
      </c>
      <c r="H152" s="272">
        <f>CFS!G10</f>
        <v>1324</v>
      </c>
      <c r="I152" s="272">
        <f>CFS!H10</f>
        <v>1432</v>
      </c>
      <c r="J152" s="272">
        <f>CFS!I10</f>
        <v>1590</v>
      </c>
      <c r="K152" s="272">
        <f>CFS!J10</f>
        <v>1647</v>
      </c>
      <c r="L152" s="263"/>
      <c r="M152" s="272">
        <f>CFS!L10</f>
        <v>890</v>
      </c>
      <c r="N152" s="263"/>
      <c r="O152" s="272">
        <f>CFS!N10</f>
        <v>210</v>
      </c>
      <c r="P152" s="272">
        <f>CFS!O10</f>
        <v>215</v>
      </c>
      <c r="Q152" s="272">
        <f>CFS!P10</f>
        <v>291</v>
      </c>
      <c r="R152" s="272">
        <f>CFS!Q10</f>
        <v>256</v>
      </c>
      <c r="S152" s="272">
        <f>CFS!R10</f>
        <v>233</v>
      </c>
      <c r="T152" s="272">
        <f>CFS!S10</f>
        <v>205</v>
      </c>
      <c r="U152" s="272">
        <f>CFS!T10</f>
        <v>192</v>
      </c>
      <c r="V152" s="272">
        <f>CFS!U10</f>
        <v>188</v>
      </c>
      <c r="W152" s="272">
        <f>CFS!V10</f>
        <v>204</v>
      </c>
      <c r="X152" s="272">
        <f>CFS!W10</f>
        <v>183</v>
      </c>
      <c r="Y152" s="272">
        <f t="shared" ref="Y152:AG152" si="148">Y144/Y156</f>
        <v>181.42403116670084</v>
      </c>
      <c r="Z152" s="272">
        <f t="shared" si="148"/>
        <v>188.87048390403936</v>
      </c>
      <c r="AA152" s="272">
        <f t="shared" si="148"/>
        <v>196.68925927824483</v>
      </c>
      <c r="AB152" s="272">
        <f t="shared" si="148"/>
        <v>204.89897342116055</v>
      </c>
      <c r="AC152" s="272">
        <f t="shared" si="148"/>
        <v>213.51917327122206</v>
      </c>
      <c r="AD152" s="272">
        <f t="shared" si="148"/>
        <v>222.57038311378668</v>
      </c>
      <c r="AE152" s="272">
        <f t="shared" si="148"/>
        <v>232.07415344847948</v>
      </c>
      <c r="AF152" s="272">
        <f t="shared" si="148"/>
        <v>242.05311229990696</v>
      </c>
      <c r="AG152" s="272">
        <f t="shared" si="148"/>
        <v>252.53101909390583</v>
      </c>
      <c r="AH152" s="43"/>
      <c r="AI152" s="43"/>
      <c r="AJ152" s="43"/>
      <c r="AK152" s="43"/>
      <c r="AL152" s="43"/>
      <c r="AM152" s="43"/>
      <c r="AN152" s="43"/>
      <c r="AO152" s="43"/>
      <c r="AP152" s="43"/>
      <c r="AQ152" s="43"/>
      <c r="AR152" s="43"/>
      <c r="AS152" s="43"/>
      <c r="AT152" s="43"/>
      <c r="AU152" s="43"/>
      <c r="AV152" s="43"/>
      <c r="AW152" s="43"/>
      <c r="AX152" s="43"/>
      <c r="AY152" s="43"/>
      <c r="AZ152" s="43"/>
      <c r="BA152" s="43"/>
      <c r="BB152" s="43"/>
      <c r="BC152" s="43"/>
      <c r="BD152" s="43"/>
      <c r="BE152" s="43"/>
      <c r="BF152" s="43"/>
      <c r="BG152" s="43"/>
      <c r="BH152" s="43"/>
      <c r="BI152" s="43"/>
      <c r="BJ152" s="43"/>
      <c r="BK152" s="43"/>
      <c r="BL152" s="43"/>
      <c r="BM152" s="43"/>
      <c r="BN152" s="43"/>
      <c r="BO152" s="43"/>
      <c r="BP152" s="43"/>
      <c r="BQ152" s="43"/>
      <c r="BR152" s="43"/>
      <c r="BS152" s="43"/>
      <c r="BT152" s="43"/>
      <c r="BU152" s="43"/>
      <c r="BV152" s="43"/>
      <c r="BW152" s="43"/>
      <c r="BX152" s="43"/>
      <c r="BY152" s="43"/>
      <c r="BZ152" s="43"/>
      <c r="CA152" s="43"/>
      <c r="CB152" s="43"/>
      <c r="CC152" s="43"/>
      <c r="CD152" s="43"/>
      <c r="CE152" s="43"/>
      <c r="CF152" s="43"/>
      <c r="CG152" s="43"/>
      <c r="CH152" s="43"/>
      <c r="CI152" s="43"/>
      <c r="CJ152" s="43"/>
      <c r="CK152" s="43"/>
      <c r="CL152" s="43"/>
      <c r="CM152" s="43"/>
      <c r="CN152" s="43"/>
      <c r="CO152" s="43"/>
      <c r="CP152" s="43"/>
      <c r="CQ152" s="43"/>
      <c r="CR152" s="43"/>
      <c r="CS152" s="43"/>
      <c r="CT152" s="43"/>
      <c r="CU152" s="43"/>
      <c r="CV152" s="43"/>
      <c r="CW152" s="43"/>
      <c r="CX152" s="43"/>
      <c r="CY152" s="43"/>
      <c r="CZ152" s="43"/>
      <c r="DA152" s="43"/>
      <c r="DB152" s="43"/>
      <c r="DC152" s="43"/>
      <c r="DD152" s="43"/>
      <c r="DE152" s="43"/>
      <c r="DF152" s="43"/>
      <c r="DG152" s="43"/>
      <c r="DH152" s="43"/>
      <c r="DI152" s="43"/>
      <c r="DJ152" s="43"/>
      <c r="DK152" s="43"/>
      <c r="DL152" s="43"/>
      <c r="DM152" s="43"/>
      <c r="DN152" s="43"/>
      <c r="DO152" s="43"/>
      <c r="DP152" s="43"/>
      <c r="DQ152" s="43"/>
      <c r="DR152" s="43"/>
      <c r="DS152" s="43"/>
      <c r="DT152" s="43"/>
      <c r="DU152" s="43"/>
      <c r="DV152" s="43"/>
      <c r="DW152" s="43"/>
      <c r="DX152" s="43"/>
      <c r="DY152" s="43"/>
      <c r="DZ152" s="43"/>
      <c r="EA152" s="43"/>
      <c r="EB152" s="43"/>
      <c r="EC152" s="43"/>
      <c r="ED152" s="43"/>
      <c r="EE152" s="43"/>
      <c r="EF152" s="43"/>
      <c r="EG152" s="43"/>
      <c r="EH152" s="43"/>
      <c r="EI152" s="43"/>
      <c r="EJ152" s="43"/>
      <c r="EK152" s="43"/>
      <c r="EL152" s="43"/>
      <c r="EM152" s="43"/>
      <c r="EN152" s="43"/>
      <c r="EO152" s="43"/>
      <c r="EP152" s="43"/>
      <c r="EQ152" s="43"/>
      <c r="ER152" s="43"/>
      <c r="ES152" s="43"/>
      <c r="ET152" s="43"/>
      <c r="EU152" s="43"/>
      <c r="EV152" s="43"/>
      <c r="EW152" s="43"/>
      <c r="EX152" s="43"/>
      <c r="EY152" s="43"/>
      <c r="EZ152" s="43"/>
      <c r="FA152" s="43"/>
      <c r="FB152" s="43"/>
      <c r="FC152" s="43"/>
      <c r="FD152" s="43"/>
      <c r="FE152" s="43"/>
      <c r="FF152" s="43"/>
      <c r="FG152" s="43"/>
      <c r="FH152" s="43"/>
      <c r="FI152" s="43"/>
      <c r="FJ152" s="43"/>
      <c r="FK152" s="43"/>
      <c r="FL152" s="43"/>
      <c r="FM152" s="43"/>
      <c r="FN152" s="43"/>
      <c r="FO152" s="43"/>
      <c r="FP152" s="43"/>
      <c r="FQ152" s="43"/>
      <c r="FR152" s="43"/>
      <c r="FS152" s="43"/>
      <c r="FT152" s="43"/>
      <c r="FU152" s="43"/>
      <c r="FV152" s="43"/>
      <c r="FW152" s="43"/>
      <c r="FX152" s="43"/>
      <c r="FY152" s="43"/>
      <c r="FZ152" s="43"/>
      <c r="GA152" s="43"/>
      <c r="GB152" s="43"/>
      <c r="GC152" s="43"/>
      <c r="GD152" s="43"/>
      <c r="GE152" s="43"/>
      <c r="GF152" s="43"/>
      <c r="GG152" s="43"/>
      <c r="GH152" s="43"/>
      <c r="GI152" s="43"/>
      <c r="GJ152" s="43"/>
      <c r="GK152" s="43"/>
      <c r="GL152" s="43"/>
      <c r="GM152" s="43"/>
      <c r="GN152" s="43"/>
      <c r="GO152" s="43"/>
      <c r="GP152" s="43"/>
      <c r="GQ152" s="43"/>
      <c r="GR152" s="43"/>
      <c r="GS152" s="43"/>
      <c r="GT152" s="43"/>
      <c r="GU152" s="43"/>
      <c r="GV152" s="43"/>
      <c r="GW152" s="43"/>
      <c r="GX152" s="43"/>
      <c r="GY152" s="43"/>
      <c r="GZ152" s="43"/>
      <c r="HA152" s="43"/>
      <c r="HB152" s="43"/>
      <c r="HC152" s="43"/>
      <c r="HD152" s="43"/>
      <c r="HE152" s="43"/>
      <c r="HF152" s="43"/>
      <c r="HG152" s="43"/>
      <c r="HH152" s="43"/>
      <c r="HI152" s="43"/>
      <c r="HJ152" s="43"/>
      <c r="HK152" s="43"/>
      <c r="HL152" s="43"/>
      <c r="HM152" s="43"/>
      <c r="HN152" s="43"/>
      <c r="HO152" s="43"/>
      <c r="HP152" s="43"/>
      <c r="HQ152" s="43"/>
      <c r="HR152"/>
      <c r="HS152"/>
      <c r="HT152"/>
      <c r="HU152"/>
      <c r="HV152"/>
      <c r="HW152"/>
      <c r="HX152"/>
      <c r="HY152"/>
      <c r="HZ152"/>
      <c r="IA152"/>
      <c r="IB152"/>
      <c r="IC152"/>
      <c r="ID152"/>
      <c r="IE152"/>
      <c r="IF152"/>
      <c r="IG152"/>
      <c r="IH152"/>
      <c r="II152"/>
      <c r="IJ152"/>
      <c r="IK152" s="32"/>
      <c r="IL152" s="32"/>
      <c r="IM152" s="32"/>
      <c r="IN152" s="32"/>
      <c r="IO152" s="32"/>
      <c r="IP152" s="32"/>
      <c r="IQ152" s="32"/>
    </row>
    <row r="153" spans="1:251" s="33" customFormat="1">
      <c r="A153" s="211" t="s">
        <v>495</v>
      </c>
      <c r="B153" s="32"/>
      <c r="C153" s="32"/>
      <c r="D153" s="272"/>
      <c r="E153" s="272">
        <f>E154-E151-E152</f>
        <v>-691</v>
      </c>
      <c r="F153" s="272">
        <f t="shared" ref="F153:O153" si="149">F154-F151-F152</f>
        <v>-851</v>
      </c>
      <c r="G153" s="272">
        <f t="shared" si="149"/>
        <v>-438</v>
      </c>
      <c r="H153" s="272">
        <f t="shared" si="149"/>
        <v>-2105</v>
      </c>
      <c r="I153" s="272">
        <f t="shared" si="149"/>
        <v>27</v>
      </c>
      <c r="J153" s="272">
        <f t="shared" si="149"/>
        <v>26</v>
      </c>
      <c r="K153" s="272">
        <f t="shared" si="149"/>
        <v>-1151</v>
      </c>
      <c r="L153" s="263"/>
      <c r="M153" s="272">
        <f t="shared" si="149"/>
        <v>6411</v>
      </c>
      <c r="N153" s="263"/>
      <c r="O153" s="272">
        <f t="shared" si="149"/>
        <v>2994</v>
      </c>
      <c r="P153" s="272">
        <f t="shared" ref="P153:U153" si="150">P154-P151-P152</f>
        <v>-274</v>
      </c>
      <c r="Q153" s="272">
        <f t="shared" si="150"/>
        <v>24</v>
      </c>
      <c r="R153" s="272">
        <f t="shared" si="150"/>
        <v>-946</v>
      </c>
      <c r="S153" s="272">
        <f t="shared" si="150"/>
        <v>-491</v>
      </c>
      <c r="T153" s="272">
        <f t="shared" si="150"/>
        <v>-69</v>
      </c>
      <c r="U153" s="272">
        <f t="shared" si="150"/>
        <v>-51</v>
      </c>
      <c r="V153" s="272">
        <v>0</v>
      </c>
      <c r="W153" s="272">
        <v>0</v>
      </c>
      <c r="X153" s="272">
        <v>0</v>
      </c>
      <c r="Y153" s="272">
        <v>0</v>
      </c>
      <c r="Z153" s="272">
        <v>0</v>
      </c>
      <c r="AA153" s="272">
        <v>0</v>
      </c>
      <c r="AB153" s="272">
        <v>0</v>
      </c>
      <c r="AC153" s="272">
        <v>0</v>
      </c>
      <c r="AD153" s="272">
        <v>0</v>
      </c>
      <c r="AE153" s="272">
        <v>0</v>
      </c>
      <c r="AF153" s="272">
        <v>0</v>
      </c>
      <c r="AG153" s="272">
        <v>0</v>
      </c>
      <c r="AH153" s="43"/>
      <c r="AI153" s="43"/>
      <c r="AJ153" s="43"/>
      <c r="AK153" s="43"/>
      <c r="AL153" s="43"/>
      <c r="AM153" s="43"/>
      <c r="AN153" s="43"/>
      <c r="AO153" s="43"/>
      <c r="AP153" s="43"/>
      <c r="AQ153" s="43"/>
      <c r="AR153" s="43"/>
      <c r="AS153" s="43"/>
      <c r="AT153" s="43"/>
      <c r="AU153" s="43"/>
      <c r="AV153" s="43"/>
      <c r="AW153" s="43"/>
      <c r="AX153" s="43"/>
      <c r="AY153" s="43"/>
      <c r="AZ153" s="43"/>
      <c r="BA153" s="43"/>
      <c r="BB153" s="43"/>
      <c r="BC153" s="43"/>
      <c r="BD153" s="43"/>
      <c r="BE153" s="43"/>
      <c r="BF153" s="43"/>
      <c r="BG153" s="43"/>
      <c r="BH153" s="43"/>
      <c r="BI153" s="43"/>
      <c r="BJ153" s="43"/>
      <c r="BK153" s="43"/>
      <c r="BL153" s="43"/>
      <c r="BM153" s="43"/>
      <c r="BN153" s="43"/>
      <c r="BO153" s="43"/>
      <c r="BP153" s="43"/>
      <c r="BQ153" s="43"/>
      <c r="BR153" s="43"/>
      <c r="BS153" s="43"/>
      <c r="BT153" s="43"/>
      <c r="BU153" s="43"/>
      <c r="BV153" s="43"/>
      <c r="BW153" s="43"/>
      <c r="BX153" s="43"/>
      <c r="BY153" s="43"/>
      <c r="BZ153" s="43"/>
      <c r="CA153" s="43"/>
      <c r="CB153" s="43"/>
      <c r="CC153" s="43"/>
      <c r="CD153" s="43"/>
      <c r="CE153" s="43"/>
      <c r="CF153" s="43"/>
      <c r="CG153" s="43"/>
      <c r="CH153" s="43"/>
      <c r="CI153" s="43"/>
      <c r="CJ153" s="43"/>
      <c r="CK153" s="43"/>
      <c r="CL153" s="43"/>
      <c r="CM153" s="43"/>
      <c r="CN153" s="43"/>
      <c r="CO153" s="43"/>
      <c r="CP153" s="43"/>
      <c r="CQ153" s="43"/>
      <c r="CR153" s="43"/>
      <c r="CS153" s="43"/>
      <c r="CT153" s="43"/>
      <c r="CU153" s="43"/>
      <c r="CV153" s="43"/>
      <c r="CW153" s="43"/>
      <c r="CX153" s="43"/>
      <c r="CY153" s="43"/>
      <c r="CZ153" s="43"/>
      <c r="DA153" s="43"/>
      <c r="DB153" s="43"/>
      <c r="DC153" s="43"/>
      <c r="DD153" s="43"/>
      <c r="DE153" s="43"/>
      <c r="DF153" s="43"/>
      <c r="DG153" s="43"/>
      <c r="DH153" s="43"/>
      <c r="DI153" s="43"/>
      <c r="DJ153" s="43"/>
      <c r="DK153" s="43"/>
      <c r="DL153" s="43"/>
      <c r="DM153" s="43"/>
      <c r="DN153" s="43"/>
      <c r="DO153" s="43"/>
      <c r="DP153" s="43"/>
      <c r="DQ153" s="43"/>
      <c r="DR153" s="43"/>
      <c r="DS153" s="43"/>
      <c r="DT153" s="43"/>
      <c r="DU153" s="43"/>
      <c r="DV153" s="43"/>
      <c r="DW153" s="43"/>
      <c r="DX153" s="43"/>
      <c r="DY153" s="43"/>
      <c r="DZ153" s="43"/>
      <c r="EA153" s="43"/>
      <c r="EB153" s="43"/>
      <c r="EC153" s="43"/>
      <c r="ED153" s="43"/>
      <c r="EE153" s="43"/>
      <c r="EF153" s="43"/>
      <c r="EG153" s="43"/>
      <c r="EH153" s="43"/>
      <c r="EI153" s="43"/>
      <c r="EJ153" s="43"/>
      <c r="EK153" s="43"/>
      <c r="EL153" s="43"/>
      <c r="EM153" s="43"/>
      <c r="EN153" s="43"/>
      <c r="EO153" s="43"/>
      <c r="EP153" s="43"/>
      <c r="EQ153" s="43"/>
      <c r="ER153" s="43"/>
      <c r="ES153" s="43"/>
      <c r="ET153" s="43"/>
      <c r="EU153" s="43"/>
      <c r="EV153" s="43"/>
      <c r="EW153" s="43"/>
      <c r="EX153" s="43"/>
      <c r="EY153" s="43"/>
      <c r="EZ153" s="43"/>
      <c r="FA153" s="43"/>
      <c r="FB153" s="43"/>
      <c r="FC153" s="43"/>
      <c r="FD153" s="43"/>
      <c r="FE153" s="43"/>
      <c r="FF153" s="43"/>
      <c r="FG153" s="43"/>
      <c r="FH153" s="43"/>
      <c r="FI153" s="43"/>
      <c r="FJ153" s="43"/>
      <c r="FK153" s="43"/>
      <c r="FL153" s="43"/>
      <c r="FM153" s="43"/>
      <c r="FN153" s="43"/>
      <c r="FO153" s="43"/>
      <c r="FP153" s="43"/>
      <c r="FQ153" s="43"/>
      <c r="FR153" s="43"/>
      <c r="FS153" s="43"/>
      <c r="FT153" s="43"/>
      <c r="FU153" s="43"/>
      <c r="FV153" s="43"/>
      <c r="FW153" s="43"/>
      <c r="FX153" s="43"/>
      <c r="FY153" s="43"/>
      <c r="FZ153" s="43"/>
      <c r="GA153" s="43"/>
      <c r="GB153" s="43"/>
      <c r="GC153" s="43"/>
      <c r="GD153" s="43"/>
      <c r="GE153" s="43"/>
      <c r="GF153" s="43"/>
      <c r="GG153" s="43"/>
      <c r="GH153" s="43"/>
      <c r="GI153" s="43"/>
      <c r="GJ153" s="43"/>
      <c r="GK153" s="43"/>
      <c r="GL153" s="43"/>
      <c r="GM153" s="43"/>
      <c r="GN153" s="43"/>
      <c r="GO153" s="43"/>
      <c r="GP153" s="43"/>
      <c r="GQ153" s="43"/>
      <c r="GR153" s="43"/>
      <c r="GS153" s="43"/>
      <c r="GT153" s="43"/>
      <c r="GU153" s="43"/>
      <c r="GV153" s="43"/>
      <c r="GW153" s="43"/>
      <c r="GX153" s="43"/>
      <c r="GY153" s="43"/>
      <c r="GZ153" s="43"/>
      <c r="HA153" s="43"/>
      <c r="HB153" s="43"/>
      <c r="HC153" s="43"/>
      <c r="HD153" s="43"/>
      <c r="HE153" s="43"/>
      <c r="HF153" s="43"/>
      <c r="HG153" s="43"/>
      <c r="HH153" s="43"/>
      <c r="HI153" s="43"/>
      <c r="HJ153" s="43"/>
      <c r="HK153" s="43"/>
      <c r="HL153" s="43"/>
      <c r="HM153" s="43"/>
      <c r="HN153" s="43"/>
      <c r="HO153" s="43"/>
      <c r="HP153" s="43"/>
      <c r="HQ153" s="43"/>
      <c r="HR153"/>
      <c r="HS153"/>
      <c r="HT153"/>
      <c r="HU153"/>
      <c r="HV153"/>
      <c r="HW153"/>
      <c r="HX153"/>
      <c r="HY153"/>
      <c r="HZ153"/>
      <c r="IA153"/>
      <c r="IB153"/>
      <c r="IC153"/>
      <c r="ID153"/>
      <c r="IE153"/>
      <c r="IF153"/>
      <c r="IG153"/>
      <c r="IH153"/>
      <c r="II153"/>
      <c r="IJ153"/>
      <c r="IK153" s="32"/>
      <c r="IL153" s="32"/>
      <c r="IM153" s="32"/>
      <c r="IN153" s="32"/>
      <c r="IO153" s="32"/>
      <c r="IP153" s="32"/>
      <c r="IQ153" s="32"/>
    </row>
    <row r="154" spans="1:251" s="33" customFormat="1">
      <c r="A154" s="270" t="s">
        <v>497</v>
      </c>
      <c r="B154" s="32"/>
      <c r="C154" s="32"/>
      <c r="D154" s="272">
        <f>D19</f>
        <v>8899</v>
      </c>
      <c r="E154" s="272">
        <f>E19</f>
        <v>9328</v>
      </c>
      <c r="F154" s="272">
        <f t="shared" ref="F154:K154" si="151">F19</f>
        <v>9603</v>
      </c>
      <c r="G154" s="272">
        <f t="shared" si="151"/>
        <v>10488</v>
      </c>
      <c r="H154" s="272">
        <f t="shared" si="151"/>
        <v>9707</v>
      </c>
      <c r="I154" s="272">
        <f t="shared" si="151"/>
        <v>11166</v>
      </c>
      <c r="J154" s="272">
        <f t="shared" si="151"/>
        <v>12782</v>
      </c>
      <c r="K154" s="272">
        <f t="shared" si="151"/>
        <v>13278</v>
      </c>
      <c r="L154" s="263"/>
      <c r="M154" s="272">
        <f>M19</f>
        <v>7301</v>
      </c>
      <c r="N154" s="263"/>
      <c r="O154" s="272">
        <f t="shared" ref="O154:W154" si="152">O19</f>
        <v>3204</v>
      </c>
      <c r="P154" s="272">
        <f t="shared" si="152"/>
        <v>3145</v>
      </c>
      <c r="Q154" s="272">
        <f t="shared" si="152"/>
        <v>3460</v>
      </c>
      <c r="R154" s="272">
        <f t="shared" si="152"/>
        <v>2770</v>
      </c>
      <c r="S154" s="272">
        <f t="shared" si="152"/>
        <v>2512</v>
      </c>
      <c r="T154" s="272">
        <f t="shared" si="152"/>
        <v>2648</v>
      </c>
      <c r="U154" s="272">
        <f t="shared" si="152"/>
        <v>2789</v>
      </c>
      <c r="V154" s="272">
        <f t="shared" si="152"/>
        <v>2772</v>
      </c>
      <c r="W154" s="272">
        <f t="shared" si="152"/>
        <v>2895</v>
      </c>
      <c r="X154" s="272">
        <f t="shared" ref="X154" si="153">X19</f>
        <v>2877</v>
      </c>
      <c r="Y154" s="272">
        <f t="shared" ref="Y154:AG154" si="154">Y151+Y152+Y153</f>
        <v>3058.4240311667008</v>
      </c>
      <c r="Z154" s="272">
        <f t="shared" si="154"/>
        <v>3247.2945150707401</v>
      </c>
      <c r="AA154" s="272">
        <f t="shared" si="154"/>
        <v>3443.9837743489848</v>
      </c>
      <c r="AB154" s="272">
        <f t="shared" si="154"/>
        <v>3648.8827477701452</v>
      </c>
      <c r="AC154" s="272">
        <f t="shared" si="154"/>
        <v>3862.4019210413671</v>
      </c>
      <c r="AD154" s="272">
        <f t="shared" si="154"/>
        <v>4084.9723041551538</v>
      </c>
      <c r="AE154" s="272">
        <f t="shared" si="154"/>
        <v>4317.0464576036329</v>
      </c>
      <c r="AF154" s="272">
        <f t="shared" si="154"/>
        <v>4559.0995699035402</v>
      </c>
      <c r="AG154" s="272">
        <f t="shared" si="154"/>
        <v>4811.6305889974465</v>
      </c>
      <c r="AH154" s="43"/>
      <c r="AI154" s="43"/>
      <c r="AJ154" s="43"/>
      <c r="AK154" s="43"/>
      <c r="AL154" s="43"/>
      <c r="AM154" s="43"/>
      <c r="AN154" s="43"/>
      <c r="AO154" s="43"/>
      <c r="AP154" s="43"/>
      <c r="AQ154" s="43"/>
      <c r="AR154" s="43"/>
      <c r="AS154" s="43"/>
      <c r="AT154" s="43"/>
      <c r="AU154" s="43"/>
      <c r="AV154" s="43"/>
      <c r="AW154" s="43"/>
      <c r="AX154" s="43"/>
      <c r="AY154" s="43"/>
      <c r="AZ154" s="43"/>
      <c r="BA154" s="43"/>
      <c r="BB154" s="43"/>
      <c r="BC154" s="43"/>
      <c r="BD154" s="43"/>
      <c r="BE154" s="43"/>
      <c r="BF154" s="43"/>
      <c r="BG154" s="43"/>
      <c r="BH154" s="43"/>
      <c r="BI154" s="43"/>
      <c r="BJ154" s="43"/>
      <c r="BK154" s="43"/>
      <c r="BL154" s="43"/>
      <c r="BM154" s="43"/>
      <c r="BN154" s="43"/>
      <c r="BO154" s="43"/>
      <c r="BP154" s="43"/>
      <c r="BQ154" s="43"/>
      <c r="BR154" s="43"/>
      <c r="BS154" s="43"/>
      <c r="BT154" s="43"/>
      <c r="BU154" s="43"/>
      <c r="BV154" s="43"/>
      <c r="BW154" s="43"/>
      <c r="BX154" s="43"/>
      <c r="BY154" s="43"/>
      <c r="BZ154" s="43"/>
      <c r="CA154" s="43"/>
      <c r="CB154" s="43"/>
      <c r="CC154" s="43"/>
      <c r="CD154" s="43"/>
      <c r="CE154" s="43"/>
      <c r="CF154" s="43"/>
      <c r="CG154" s="43"/>
      <c r="CH154" s="43"/>
      <c r="CI154" s="43"/>
      <c r="CJ154" s="43"/>
      <c r="CK154" s="43"/>
      <c r="CL154" s="43"/>
      <c r="CM154" s="43"/>
      <c r="CN154" s="43"/>
      <c r="CO154" s="43"/>
      <c r="CP154" s="43"/>
      <c r="CQ154" s="43"/>
      <c r="CR154" s="43"/>
      <c r="CS154" s="43"/>
      <c r="CT154" s="43"/>
      <c r="CU154" s="43"/>
      <c r="CV154" s="43"/>
      <c r="CW154" s="43"/>
      <c r="CX154" s="43"/>
      <c r="CY154" s="43"/>
      <c r="CZ154" s="43"/>
      <c r="DA154" s="43"/>
      <c r="DB154" s="43"/>
      <c r="DC154" s="43"/>
      <c r="DD154" s="43"/>
      <c r="DE154" s="43"/>
      <c r="DF154" s="43"/>
      <c r="DG154" s="43"/>
      <c r="DH154" s="43"/>
      <c r="DI154" s="43"/>
      <c r="DJ154" s="43"/>
      <c r="DK154" s="43"/>
      <c r="DL154" s="43"/>
      <c r="DM154" s="43"/>
      <c r="DN154" s="43"/>
      <c r="DO154" s="43"/>
      <c r="DP154" s="43"/>
      <c r="DQ154" s="43"/>
      <c r="DR154" s="43"/>
      <c r="DS154" s="43"/>
      <c r="DT154" s="43"/>
      <c r="DU154" s="43"/>
      <c r="DV154" s="43"/>
      <c r="DW154" s="43"/>
      <c r="DX154" s="43"/>
      <c r="DY154" s="43"/>
      <c r="DZ154" s="43"/>
      <c r="EA154" s="43"/>
      <c r="EB154" s="43"/>
      <c r="EC154" s="43"/>
      <c r="ED154" s="43"/>
      <c r="EE154" s="43"/>
      <c r="EF154" s="43"/>
      <c r="EG154" s="43"/>
      <c r="EH154" s="43"/>
      <c r="EI154" s="43"/>
      <c r="EJ154" s="43"/>
      <c r="EK154" s="43"/>
      <c r="EL154" s="43"/>
      <c r="EM154" s="43"/>
      <c r="EN154" s="43"/>
      <c r="EO154" s="43"/>
      <c r="EP154" s="43"/>
      <c r="EQ154" s="43"/>
      <c r="ER154" s="43"/>
      <c r="ES154" s="43"/>
      <c r="ET154" s="43"/>
      <c r="EU154" s="43"/>
      <c r="EV154" s="43"/>
      <c r="EW154" s="43"/>
      <c r="EX154" s="43"/>
      <c r="EY154" s="43"/>
      <c r="EZ154" s="43"/>
      <c r="FA154" s="43"/>
      <c r="FB154" s="43"/>
      <c r="FC154" s="43"/>
      <c r="FD154" s="43"/>
      <c r="FE154" s="43"/>
      <c r="FF154" s="43"/>
      <c r="FG154" s="43"/>
      <c r="FH154" s="43"/>
      <c r="FI154" s="43"/>
      <c r="FJ154" s="43"/>
      <c r="FK154" s="43"/>
      <c r="FL154" s="43"/>
      <c r="FM154" s="43"/>
      <c r="FN154" s="43"/>
      <c r="FO154" s="43"/>
      <c r="FP154" s="43"/>
      <c r="FQ154" s="43"/>
      <c r="FR154" s="43"/>
      <c r="FS154" s="43"/>
      <c r="FT154" s="43"/>
      <c r="FU154" s="43"/>
      <c r="FV154" s="43"/>
      <c r="FW154" s="43"/>
      <c r="FX154" s="43"/>
      <c r="FY154" s="43"/>
      <c r="FZ154" s="43"/>
      <c r="GA154" s="43"/>
      <c r="GB154" s="43"/>
      <c r="GC154" s="43"/>
      <c r="GD154" s="43"/>
      <c r="GE154" s="43"/>
      <c r="GF154" s="43"/>
      <c r="GG154" s="43"/>
      <c r="GH154" s="43"/>
      <c r="GI154" s="43"/>
      <c r="GJ154" s="43"/>
      <c r="GK154" s="43"/>
      <c r="GL154" s="43"/>
      <c r="GM154" s="43"/>
      <c r="GN154" s="43"/>
      <c r="GO154" s="43"/>
      <c r="GP154" s="43"/>
      <c r="GQ154" s="43"/>
      <c r="GR154" s="43"/>
      <c r="GS154" s="43"/>
      <c r="GT154" s="43"/>
      <c r="GU154" s="43"/>
      <c r="GV154" s="43"/>
      <c r="GW154" s="43"/>
      <c r="GX154" s="43"/>
      <c r="GY154" s="43"/>
      <c r="GZ154" s="43"/>
      <c r="HA154" s="43"/>
      <c r="HB154" s="43"/>
      <c r="HC154" s="43"/>
      <c r="HD154" s="43"/>
      <c r="HE154" s="43"/>
      <c r="HF154" s="43"/>
      <c r="HG154" s="43"/>
      <c r="HH154" s="43"/>
      <c r="HI154" s="43"/>
      <c r="HJ154" s="43"/>
      <c r="HK154" s="43"/>
      <c r="HL154" s="43"/>
      <c r="HM154" s="43"/>
      <c r="HN154" s="43"/>
      <c r="HO154" s="43"/>
      <c r="HP154" s="43"/>
      <c r="HQ154" s="43"/>
      <c r="HR154"/>
      <c r="HS154"/>
      <c r="HT154"/>
      <c r="HU154"/>
      <c r="HV154"/>
      <c r="HW154"/>
      <c r="HX154"/>
      <c r="HY154"/>
      <c r="HZ154"/>
      <c r="IA154"/>
      <c r="IB154"/>
      <c r="IC154"/>
      <c r="ID154"/>
      <c r="IE154"/>
      <c r="IF154"/>
      <c r="IG154"/>
      <c r="IH154"/>
      <c r="II154"/>
      <c r="IJ154"/>
      <c r="IK154" s="32"/>
      <c r="IL154" s="32"/>
      <c r="IM154" s="32"/>
      <c r="IN154" s="32"/>
      <c r="IO154" s="32"/>
      <c r="IP154" s="32"/>
      <c r="IQ154" s="32"/>
    </row>
    <row r="155" spans="1:251" s="33" customFormat="1">
      <c r="A155" s="32"/>
      <c r="B155" s="32"/>
      <c r="C155" s="32"/>
      <c r="D155" s="51"/>
      <c r="E155" s="51"/>
      <c r="F155" s="51"/>
      <c r="G155" s="51"/>
      <c r="H155" s="51"/>
      <c r="I155" s="51"/>
      <c r="J155" s="51"/>
      <c r="K155" s="51"/>
      <c r="L155" s="263"/>
      <c r="M155" s="51"/>
      <c r="N155" s="263"/>
      <c r="O155" s="51"/>
      <c r="P155" s="51"/>
      <c r="Q155" s="51"/>
      <c r="R155" s="51"/>
      <c r="S155" s="51"/>
      <c r="T155" s="51"/>
      <c r="U155" s="51"/>
      <c r="V155" s="51"/>
      <c r="W155" s="51"/>
      <c r="X155" s="51"/>
      <c r="Y155" s="51"/>
      <c r="Z155" s="51"/>
      <c r="AA155" s="51"/>
      <c r="AB155" s="51"/>
      <c r="AC155" s="51"/>
      <c r="AD155" s="51"/>
      <c r="AE155" s="51"/>
      <c r="AF155" s="51"/>
      <c r="AG155" s="51"/>
      <c r="AH155" s="43"/>
      <c r="AI155" s="43"/>
      <c r="AJ155" s="43"/>
      <c r="AK155" s="43"/>
      <c r="AL155" s="43"/>
      <c r="AM155" s="43"/>
      <c r="AN155" s="43"/>
      <c r="AO155" s="43"/>
      <c r="AP155" s="43"/>
      <c r="AQ155" s="43"/>
      <c r="AR155" s="43"/>
      <c r="AS155" s="43"/>
      <c r="AT155" s="43"/>
      <c r="AU155" s="43"/>
      <c r="AV155" s="43"/>
      <c r="AW155" s="43"/>
      <c r="AX155" s="43"/>
      <c r="AY155" s="43"/>
      <c r="AZ155" s="43"/>
      <c r="BA155" s="43"/>
      <c r="BB155" s="43"/>
      <c r="BC155" s="43"/>
      <c r="BD155" s="43"/>
      <c r="BE155" s="43"/>
      <c r="BF155" s="43"/>
      <c r="BG155" s="43"/>
      <c r="BH155" s="43"/>
      <c r="BI155" s="43"/>
      <c r="BJ155" s="43"/>
      <c r="BK155" s="43"/>
      <c r="BL155" s="43"/>
      <c r="BM155" s="43"/>
      <c r="BN155" s="43"/>
      <c r="BO155" s="43"/>
      <c r="BP155" s="43"/>
      <c r="BQ155" s="43"/>
      <c r="BR155" s="43"/>
      <c r="BS155" s="43"/>
      <c r="BT155" s="43"/>
      <c r="BU155" s="43"/>
      <c r="BV155" s="43"/>
      <c r="BW155" s="43"/>
      <c r="BX155" s="43"/>
      <c r="BY155" s="43"/>
      <c r="BZ155" s="43"/>
      <c r="CA155" s="43"/>
      <c r="CB155" s="43"/>
      <c r="CC155" s="43"/>
      <c r="CD155" s="43"/>
      <c r="CE155" s="43"/>
      <c r="CF155" s="43"/>
      <c r="CG155" s="43"/>
      <c r="CH155" s="43"/>
      <c r="CI155" s="43"/>
      <c r="CJ155" s="43"/>
      <c r="CK155" s="43"/>
      <c r="CL155" s="43"/>
      <c r="CM155" s="43"/>
      <c r="CN155" s="43"/>
      <c r="CO155" s="43"/>
      <c r="CP155" s="43"/>
      <c r="CQ155" s="43"/>
      <c r="CR155" s="43"/>
      <c r="CS155" s="43"/>
      <c r="CT155" s="43"/>
      <c r="CU155" s="43"/>
      <c r="CV155" s="43"/>
      <c r="CW155" s="43"/>
      <c r="CX155" s="43"/>
      <c r="CY155" s="43"/>
      <c r="CZ155" s="43"/>
      <c r="DA155" s="43"/>
      <c r="DB155" s="43"/>
      <c r="DC155" s="43"/>
      <c r="DD155" s="43"/>
      <c r="DE155" s="43"/>
      <c r="DF155" s="43"/>
      <c r="DG155" s="43"/>
      <c r="DH155" s="43"/>
      <c r="DI155" s="43"/>
      <c r="DJ155" s="43"/>
      <c r="DK155" s="43"/>
      <c r="DL155" s="43"/>
      <c r="DM155" s="43"/>
      <c r="DN155" s="43"/>
      <c r="DO155" s="43"/>
      <c r="DP155" s="43"/>
      <c r="DQ155" s="43"/>
      <c r="DR155" s="43"/>
      <c r="DS155" s="43"/>
      <c r="DT155" s="43"/>
      <c r="DU155" s="43"/>
      <c r="DV155" s="43"/>
      <c r="DW155" s="43"/>
      <c r="DX155" s="43"/>
      <c r="DY155" s="43"/>
      <c r="DZ155" s="43"/>
      <c r="EA155" s="43"/>
      <c r="EB155" s="43"/>
      <c r="EC155" s="43"/>
      <c r="ED155" s="43"/>
      <c r="EE155" s="43"/>
      <c r="EF155" s="43"/>
      <c r="EG155" s="43"/>
      <c r="EH155" s="43"/>
      <c r="EI155" s="43"/>
      <c r="EJ155" s="43"/>
      <c r="EK155" s="43"/>
      <c r="EL155" s="43"/>
      <c r="EM155" s="43"/>
      <c r="EN155" s="43"/>
      <c r="EO155" s="43"/>
      <c r="EP155" s="43"/>
      <c r="EQ155" s="43"/>
      <c r="ER155" s="43"/>
      <c r="ES155" s="43"/>
      <c r="ET155" s="43"/>
      <c r="EU155" s="43"/>
      <c r="EV155" s="43"/>
      <c r="EW155" s="43"/>
      <c r="EX155" s="43"/>
      <c r="EY155" s="43"/>
      <c r="EZ155" s="43"/>
      <c r="FA155" s="43"/>
      <c r="FB155" s="43"/>
      <c r="FC155" s="43"/>
      <c r="FD155" s="43"/>
      <c r="FE155" s="43"/>
      <c r="FF155" s="43"/>
      <c r="FG155" s="43"/>
      <c r="FH155" s="43"/>
      <c r="FI155" s="43"/>
      <c r="FJ155" s="43"/>
      <c r="FK155" s="43"/>
      <c r="FL155" s="43"/>
      <c r="FM155" s="43"/>
      <c r="FN155" s="43"/>
      <c r="FO155" s="43"/>
      <c r="FP155" s="43"/>
      <c r="FQ155" s="43"/>
      <c r="FR155" s="43"/>
      <c r="FS155" s="43"/>
      <c r="FT155" s="43"/>
      <c r="FU155" s="43"/>
      <c r="FV155" s="43"/>
      <c r="FW155" s="43"/>
      <c r="FX155" s="43"/>
      <c r="FY155" s="43"/>
      <c r="FZ155" s="43"/>
      <c r="GA155" s="43"/>
      <c r="GB155" s="43"/>
      <c r="GC155" s="43"/>
      <c r="GD155" s="43"/>
      <c r="GE155" s="43"/>
      <c r="GF155" s="43"/>
      <c r="GG155" s="43"/>
      <c r="GH155" s="43"/>
      <c r="GI155" s="43"/>
      <c r="GJ155" s="43"/>
      <c r="GK155" s="43"/>
      <c r="GL155" s="43"/>
      <c r="GM155" s="43"/>
      <c r="GN155" s="43"/>
      <c r="GO155" s="43"/>
      <c r="GP155" s="43"/>
      <c r="GQ155" s="43"/>
      <c r="GR155" s="43"/>
      <c r="GS155" s="43"/>
      <c r="GT155" s="43"/>
      <c r="GU155" s="43"/>
      <c r="GV155" s="43"/>
      <c r="GW155" s="43"/>
      <c r="GX155" s="43"/>
      <c r="GY155" s="43"/>
      <c r="GZ155" s="43"/>
      <c r="HA155" s="43"/>
      <c r="HB155" s="43"/>
      <c r="HC155" s="43"/>
      <c r="HD155" s="43"/>
      <c r="HE155" s="43"/>
      <c r="HF155" s="43"/>
      <c r="HG155" s="43"/>
      <c r="HH155" s="43"/>
      <c r="HI155" s="43"/>
      <c r="HJ155" s="43"/>
      <c r="HK155" s="43"/>
      <c r="HL155" s="43"/>
      <c r="HM155" s="43"/>
      <c r="HN155" s="43"/>
      <c r="HO155" s="43"/>
      <c r="HP155" s="43"/>
      <c r="HQ155" s="43"/>
      <c r="HR155"/>
      <c r="HS155"/>
      <c r="HT155"/>
      <c r="HU155"/>
      <c r="HV155"/>
      <c r="HW155"/>
      <c r="HX155"/>
      <c r="HY155"/>
      <c r="HZ155"/>
      <c r="IA155"/>
      <c r="IB155"/>
      <c r="IC155"/>
      <c r="ID155"/>
      <c r="IE155"/>
      <c r="IF155"/>
      <c r="IG155"/>
      <c r="IH155"/>
      <c r="II155"/>
      <c r="IJ155"/>
      <c r="IK155" s="32"/>
      <c r="IL155" s="32"/>
      <c r="IM155" s="32"/>
      <c r="IN155" s="32"/>
      <c r="IO155" s="32"/>
      <c r="IP155" s="32"/>
      <c r="IQ155" s="32"/>
    </row>
    <row r="156" spans="1:251" s="33" customFormat="1">
      <c r="A156" s="32" t="s">
        <v>499</v>
      </c>
      <c r="B156" s="32"/>
      <c r="C156" s="32"/>
      <c r="D156" s="51"/>
      <c r="E156" s="273">
        <f>E144/E152</f>
        <v>18.958928571428572</v>
      </c>
      <c r="F156" s="273">
        <f t="shared" ref="F156:K156" si="155">F144/F152</f>
        <v>19.182060390763766</v>
      </c>
      <c r="G156" s="273">
        <f t="shared" si="155"/>
        <v>18.825396825396826</v>
      </c>
      <c r="H156" s="273">
        <f t="shared" si="155"/>
        <v>19.354229607250755</v>
      </c>
      <c r="I156" s="273">
        <f t="shared" si="155"/>
        <v>17.145949720670391</v>
      </c>
      <c r="J156" s="273">
        <f t="shared" si="155"/>
        <v>17.127672955974841</v>
      </c>
      <c r="K156" s="273">
        <f t="shared" si="155"/>
        <v>17.66059502125076</v>
      </c>
      <c r="L156" s="263"/>
      <c r="M156" s="273">
        <f>M144/M152</f>
        <v>33.658426966292133</v>
      </c>
      <c r="N156" s="263"/>
      <c r="O156" s="273">
        <f t="shared" ref="O156:W156" si="156">O144/O152</f>
        <v>70.86666666666666</v>
      </c>
      <c r="P156" s="273">
        <f t="shared" si="156"/>
        <v>26.167441860465118</v>
      </c>
      <c r="Q156" s="273">
        <f t="shared" si="156"/>
        <v>18.364261168384878</v>
      </c>
      <c r="R156" s="273">
        <f t="shared" si="156"/>
        <v>24</v>
      </c>
      <c r="S156" s="273">
        <f t="shared" si="156"/>
        <v>22.103004291845494</v>
      </c>
      <c r="T156" s="273">
        <f t="shared" si="156"/>
        <v>23.063414634146341</v>
      </c>
      <c r="U156" s="273">
        <f t="shared" si="156"/>
        <v>24.739583333333332</v>
      </c>
      <c r="V156" s="273">
        <f t="shared" si="156"/>
        <v>25.622340425531913</v>
      </c>
      <c r="W156" s="273">
        <f t="shared" si="156"/>
        <v>23.308823529411764</v>
      </c>
      <c r="X156" s="273">
        <f t="shared" ref="X156" si="157">X144/X152</f>
        <v>26.650273224043715</v>
      </c>
      <c r="Y156" s="454">
        <f t="shared" ref="Y156:AG156" si="158">X156</f>
        <v>26.650273224043715</v>
      </c>
      <c r="Z156" s="454">
        <f t="shared" si="158"/>
        <v>26.650273224043715</v>
      </c>
      <c r="AA156" s="454">
        <f t="shared" si="158"/>
        <v>26.650273224043715</v>
      </c>
      <c r="AB156" s="454">
        <f t="shared" si="158"/>
        <v>26.650273224043715</v>
      </c>
      <c r="AC156" s="454">
        <f t="shared" si="158"/>
        <v>26.650273224043715</v>
      </c>
      <c r="AD156" s="454">
        <f t="shared" si="158"/>
        <v>26.650273224043715</v>
      </c>
      <c r="AE156" s="454">
        <f t="shared" si="158"/>
        <v>26.650273224043715</v>
      </c>
      <c r="AF156" s="454">
        <f t="shared" si="158"/>
        <v>26.650273224043715</v>
      </c>
      <c r="AG156" s="454">
        <f t="shared" si="158"/>
        <v>26.650273224043715</v>
      </c>
      <c r="AH156" s="43"/>
      <c r="AI156" s="43"/>
      <c r="AJ156" s="43"/>
      <c r="AK156" s="43"/>
      <c r="AL156" s="43"/>
      <c r="AM156" s="43"/>
      <c r="AN156" s="43"/>
      <c r="AO156" s="43"/>
      <c r="AP156" s="43"/>
      <c r="AQ156" s="43"/>
      <c r="AR156" s="43"/>
      <c r="AS156" s="43"/>
      <c r="AT156" s="43"/>
      <c r="AU156" s="43"/>
      <c r="AV156" s="43"/>
      <c r="AW156" s="43"/>
      <c r="AX156" s="43"/>
      <c r="AY156" s="43"/>
      <c r="AZ156" s="43"/>
      <c r="BA156" s="43"/>
      <c r="BB156" s="43"/>
      <c r="BC156" s="43"/>
      <c r="BD156" s="43"/>
      <c r="BE156" s="43"/>
      <c r="BF156" s="43"/>
      <c r="BG156" s="43"/>
      <c r="BH156" s="43"/>
      <c r="BI156" s="43"/>
      <c r="BJ156" s="43"/>
      <c r="BK156" s="43"/>
      <c r="BL156" s="43"/>
      <c r="BM156" s="43"/>
      <c r="BN156" s="43"/>
      <c r="BO156" s="43"/>
      <c r="BP156" s="43"/>
      <c r="BQ156" s="43"/>
      <c r="BR156" s="43"/>
      <c r="BS156" s="43"/>
      <c r="BT156" s="43"/>
      <c r="BU156" s="43"/>
      <c r="BV156" s="43"/>
      <c r="BW156" s="43"/>
      <c r="BX156" s="43"/>
      <c r="BY156" s="43"/>
      <c r="BZ156" s="43"/>
      <c r="CA156" s="43"/>
      <c r="CB156" s="43"/>
      <c r="CC156" s="43"/>
      <c r="CD156" s="43"/>
      <c r="CE156" s="43"/>
      <c r="CF156" s="43"/>
      <c r="CG156" s="43"/>
      <c r="CH156" s="43"/>
      <c r="CI156" s="43"/>
      <c r="CJ156" s="43"/>
      <c r="CK156" s="43"/>
      <c r="CL156" s="43"/>
      <c r="CM156" s="43"/>
      <c r="CN156" s="43"/>
      <c r="CO156" s="43"/>
      <c r="CP156" s="43"/>
      <c r="CQ156" s="43"/>
      <c r="CR156" s="43"/>
      <c r="CS156" s="43"/>
      <c r="CT156" s="43"/>
      <c r="CU156" s="43"/>
      <c r="CV156" s="43"/>
      <c r="CW156" s="43"/>
      <c r="CX156" s="43"/>
      <c r="CY156" s="43"/>
      <c r="CZ156" s="43"/>
      <c r="DA156" s="43"/>
      <c r="DB156" s="43"/>
      <c r="DC156" s="43"/>
      <c r="DD156" s="43"/>
      <c r="DE156" s="43"/>
      <c r="DF156" s="43"/>
      <c r="DG156" s="43"/>
      <c r="DH156" s="43"/>
      <c r="DI156" s="43"/>
      <c r="DJ156" s="43"/>
      <c r="DK156" s="43"/>
      <c r="DL156" s="43"/>
      <c r="DM156" s="43"/>
      <c r="DN156" s="43"/>
      <c r="DO156" s="43"/>
      <c r="DP156" s="43"/>
      <c r="DQ156" s="43"/>
      <c r="DR156" s="43"/>
      <c r="DS156" s="43"/>
      <c r="DT156" s="43"/>
      <c r="DU156" s="43"/>
      <c r="DV156" s="43"/>
      <c r="DW156" s="43"/>
      <c r="DX156" s="43"/>
      <c r="DY156" s="43"/>
      <c r="DZ156" s="43"/>
      <c r="EA156" s="43"/>
      <c r="EB156" s="43"/>
      <c r="EC156" s="43"/>
      <c r="ED156" s="43"/>
      <c r="EE156" s="43"/>
      <c r="EF156" s="43"/>
      <c r="EG156" s="43"/>
      <c r="EH156" s="43"/>
      <c r="EI156" s="43"/>
      <c r="EJ156" s="43"/>
      <c r="EK156" s="43"/>
      <c r="EL156" s="43"/>
      <c r="EM156" s="43"/>
      <c r="EN156" s="43"/>
      <c r="EO156" s="43"/>
      <c r="EP156" s="43"/>
      <c r="EQ156" s="43"/>
      <c r="ER156" s="43"/>
      <c r="ES156" s="43"/>
      <c r="ET156" s="43"/>
      <c r="EU156" s="43"/>
      <c r="EV156" s="43"/>
      <c r="EW156" s="43"/>
      <c r="EX156" s="43"/>
      <c r="EY156" s="43"/>
      <c r="EZ156" s="43"/>
      <c r="FA156" s="43"/>
      <c r="FB156" s="43"/>
      <c r="FC156" s="43"/>
      <c r="FD156" s="43"/>
      <c r="FE156" s="43"/>
      <c r="FF156" s="43"/>
      <c r="FG156" s="43"/>
      <c r="FH156" s="43"/>
      <c r="FI156" s="43"/>
      <c r="FJ156" s="43"/>
      <c r="FK156" s="43"/>
      <c r="FL156" s="43"/>
      <c r="FM156" s="43"/>
      <c r="FN156" s="43"/>
      <c r="FO156" s="43"/>
      <c r="FP156" s="43"/>
      <c r="FQ156" s="43"/>
      <c r="FR156" s="43"/>
      <c r="FS156" s="43"/>
      <c r="FT156" s="43"/>
      <c r="FU156" s="43"/>
      <c r="FV156" s="43"/>
      <c r="FW156" s="43"/>
      <c r="FX156" s="43"/>
      <c r="FY156" s="43"/>
      <c r="FZ156" s="43"/>
      <c r="GA156" s="43"/>
      <c r="GB156" s="43"/>
      <c r="GC156" s="43"/>
      <c r="GD156" s="43"/>
      <c r="GE156" s="43"/>
      <c r="GF156" s="43"/>
      <c r="GG156" s="43"/>
      <c r="GH156" s="43"/>
      <c r="GI156" s="43"/>
      <c r="GJ156" s="43"/>
      <c r="GK156" s="43"/>
      <c r="GL156" s="43"/>
      <c r="GM156" s="43"/>
      <c r="GN156" s="43"/>
      <c r="GO156" s="43"/>
      <c r="GP156" s="43"/>
      <c r="GQ156" s="43"/>
      <c r="GR156" s="43"/>
      <c r="GS156" s="43"/>
      <c r="GT156" s="43"/>
      <c r="GU156" s="43"/>
      <c r="GV156" s="43"/>
      <c r="GW156" s="43"/>
      <c r="GX156" s="43"/>
      <c r="GY156" s="43"/>
      <c r="GZ156" s="43"/>
      <c r="HA156" s="43"/>
      <c r="HB156" s="43"/>
      <c r="HC156" s="43"/>
      <c r="HD156" s="43"/>
      <c r="HE156" s="43"/>
      <c r="HF156" s="43"/>
      <c r="HG156" s="43"/>
      <c r="HH156" s="43"/>
      <c r="HI156" s="43"/>
      <c r="HJ156" s="43"/>
      <c r="HK156" s="43"/>
      <c r="HL156" s="43"/>
      <c r="HM156" s="43"/>
      <c r="HN156" s="43"/>
      <c r="HO156" s="43"/>
      <c r="HP156" s="43"/>
      <c r="HQ156" s="43"/>
      <c r="HR156"/>
      <c r="HS156"/>
      <c r="HT156"/>
      <c r="HU156"/>
      <c r="HV156"/>
      <c r="HW156"/>
      <c r="HX156"/>
      <c r="HY156"/>
      <c r="HZ156"/>
      <c r="IA156"/>
      <c r="IB156"/>
      <c r="IC156"/>
      <c r="ID156"/>
      <c r="IE156"/>
      <c r="IF156"/>
      <c r="IG156"/>
      <c r="IH156"/>
      <c r="II156"/>
      <c r="IJ156"/>
      <c r="IK156" s="32"/>
      <c r="IL156" s="32"/>
      <c r="IM156" s="32"/>
      <c r="IN156" s="32"/>
      <c r="IO156" s="32"/>
      <c r="IP156" s="32"/>
      <c r="IQ156" s="32"/>
    </row>
    <row r="157" spans="1:251" s="33" customFormat="1">
      <c r="A157" s="32" t="s">
        <v>500</v>
      </c>
      <c r="B157" s="32"/>
      <c r="C157" s="32"/>
      <c r="D157" s="51"/>
      <c r="E157" s="50">
        <f>E152/E145</f>
        <v>0.64036592338479126</v>
      </c>
      <c r="F157" s="50">
        <f t="shared" ref="F157:K157" si="159">F152/F145</f>
        <v>0.66944114149821643</v>
      </c>
      <c r="G157" s="50">
        <f t="shared" si="159"/>
        <v>0.68834547346514052</v>
      </c>
      <c r="H157" s="50">
        <f t="shared" si="159"/>
        <v>0.65903434544549522</v>
      </c>
      <c r="I157" s="50">
        <f t="shared" si="159"/>
        <v>0.72543059777102326</v>
      </c>
      <c r="J157" s="50">
        <f t="shared" si="159"/>
        <v>0.83115525352848929</v>
      </c>
      <c r="K157" s="50">
        <f t="shared" si="159"/>
        <v>0.74660018132366279</v>
      </c>
      <c r="L157" s="263"/>
      <c r="M157" s="50">
        <f>M152/M145</f>
        <v>0.69260700389105057</v>
      </c>
      <c r="N157" s="263"/>
      <c r="O157" s="50">
        <f t="shared" ref="O157:U157" si="160">O152/O145</f>
        <v>0.59659090909090906</v>
      </c>
      <c r="P157" s="50">
        <f t="shared" si="160"/>
        <v>0.89211618257261416</v>
      </c>
      <c r="Q157" s="50">
        <f t="shared" si="160"/>
        <v>1.0659340659340659</v>
      </c>
      <c r="R157" s="50">
        <f t="shared" si="160"/>
        <v>1.5238095238095237</v>
      </c>
      <c r="S157" s="50">
        <f>S152/S145</f>
        <v>2.2190476190476192</v>
      </c>
      <c r="T157" s="50">
        <f t="shared" si="160"/>
        <v>1.653225806451613</v>
      </c>
      <c r="U157" s="50">
        <f t="shared" si="160"/>
        <v>1.4656488549618321</v>
      </c>
      <c r="V157" s="50">
        <f t="shared" ref="V157:AB157" si="161">V152/V145</f>
        <v>1.1533742331288344</v>
      </c>
      <c r="W157" s="50">
        <f t="shared" si="161"/>
        <v>0.89082969432314407</v>
      </c>
      <c r="X157" s="50">
        <f t="shared" ref="X157" si="162">X152/X145</f>
        <v>0.96825396825396826</v>
      </c>
      <c r="Y157" s="50">
        <f t="shared" si="161"/>
        <v>0.91420524649383128</v>
      </c>
      <c r="Z157" s="50">
        <f t="shared" si="161"/>
        <v>0.90640791805079524</v>
      </c>
      <c r="AA157" s="50">
        <f t="shared" si="161"/>
        <v>0.89898189096218961</v>
      </c>
      <c r="AB157" s="50">
        <f t="shared" si="161"/>
        <v>0.89190948421113647</v>
      </c>
      <c r="AC157" s="50">
        <f>AC152/AC145</f>
        <v>0.88517385873394294</v>
      </c>
      <c r="AD157" s="50">
        <f>AD152/AD145</f>
        <v>0.87875897732709218</v>
      </c>
      <c r="AE157" s="50">
        <f>AE152/AE145</f>
        <v>0.87264956646342462</v>
      </c>
      <c r="AF157" s="50">
        <f>AF152/AF145</f>
        <v>0.86683107992659847</v>
      </c>
      <c r="AG157" s="50">
        <f>AG152/AG145</f>
        <v>0.8612896641772404</v>
      </c>
      <c r="AH157" s="43"/>
      <c r="AI157" s="43"/>
      <c r="AJ157" s="43"/>
      <c r="AK157" s="43"/>
      <c r="AL157" s="43"/>
      <c r="AM157" s="43"/>
      <c r="AN157" s="43"/>
      <c r="AO157" s="43"/>
      <c r="AP157" s="43"/>
      <c r="AQ157" s="43"/>
      <c r="AR157" s="43"/>
      <c r="AS157" s="43"/>
      <c r="AT157" s="43"/>
      <c r="AU157" s="43"/>
      <c r="AV157" s="43"/>
      <c r="AW157" s="43"/>
      <c r="AX157" s="43"/>
      <c r="AY157" s="43"/>
      <c r="AZ157" s="43"/>
      <c r="BA157" s="43"/>
      <c r="BB157" s="43"/>
      <c r="BC157" s="43"/>
      <c r="BD157" s="43"/>
      <c r="BE157" s="43"/>
      <c r="BF157" s="43"/>
      <c r="BG157" s="43"/>
      <c r="BH157" s="43"/>
      <c r="BI157" s="43"/>
      <c r="BJ157" s="43"/>
      <c r="BK157" s="43"/>
      <c r="BL157" s="43"/>
      <c r="BM157" s="43"/>
      <c r="BN157" s="43"/>
      <c r="BO157" s="43"/>
      <c r="BP157" s="43"/>
      <c r="BQ157" s="43"/>
      <c r="BR157" s="43"/>
      <c r="BS157" s="43"/>
      <c r="BT157" s="43"/>
      <c r="BU157" s="43"/>
      <c r="BV157" s="43"/>
      <c r="BW157" s="43"/>
      <c r="BX157" s="43"/>
      <c r="BY157" s="43"/>
      <c r="BZ157" s="43"/>
      <c r="CA157" s="43"/>
      <c r="CB157" s="43"/>
      <c r="CC157" s="43"/>
      <c r="CD157" s="43"/>
      <c r="CE157" s="43"/>
      <c r="CF157" s="43"/>
      <c r="CG157" s="43"/>
      <c r="CH157" s="43"/>
      <c r="CI157" s="43"/>
      <c r="CJ157" s="43"/>
      <c r="CK157" s="43"/>
      <c r="CL157" s="43"/>
      <c r="CM157" s="43"/>
      <c r="CN157" s="43"/>
      <c r="CO157" s="43"/>
      <c r="CP157" s="43"/>
      <c r="CQ157" s="43"/>
      <c r="CR157" s="43"/>
      <c r="CS157" s="43"/>
      <c r="CT157" s="43"/>
      <c r="CU157" s="43"/>
      <c r="CV157" s="43"/>
      <c r="CW157" s="43"/>
      <c r="CX157" s="43"/>
      <c r="CY157" s="43"/>
      <c r="CZ157" s="43"/>
      <c r="DA157" s="43"/>
      <c r="DB157" s="43"/>
      <c r="DC157" s="43"/>
      <c r="DD157" s="43"/>
      <c r="DE157" s="43"/>
      <c r="DF157" s="43"/>
      <c r="DG157" s="43"/>
      <c r="DH157" s="43"/>
      <c r="DI157" s="43"/>
      <c r="DJ157" s="43"/>
      <c r="DK157" s="43"/>
      <c r="DL157" s="43"/>
      <c r="DM157" s="43"/>
      <c r="DN157" s="43"/>
      <c r="DO157" s="43"/>
      <c r="DP157" s="43"/>
      <c r="DQ157" s="43"/>
      <c r="DR157" s="43"/>
      <c r="DS157" s="43"/>
      <c r="DT157" s="43"/>
      <c r="DU157" s="43"/>
      <c r="DV157" s="43"/>
      <c r="DW157" s="43"/>
      <c r="DX157" s="43"/>
      <c r="DY157" s="43"/>
      <c r="DZ157" s="43"/>
      <c r="EA157" s="43"/>
      <c r="EB157" s="43"/>
      <c r="EC157" s="43"/>
      <c r="ED157" s="43"/>
      <c r="EE157" s="43"/>
      <c r="EF157" s="43"/>
      <c r="EG157" s="43"/>
      <c r="EH157" s="43"/>
      <c r="EI157" s="43"/>
      <c r="EJ157" s="43"/>
      <c r="EK157" s="43"/>
      <c r="EL157" s="43"/>
      <c r="EM157" s="43"/>
      <c r="EN157" s="43"/>
      <c r="EO157" s="43"/>
      <c r="EP157" s="43"/>
      <c r="EQ157" s="43"/>
      <c r="ER157" s="43"/>
      <c r="ES157" s="43"/>
      <c r="ET157" s="43"/>
      <c r="EU157" s="43"/>
      <c r="EV157" s="43"/>
      <c r="EW157" s="43"/>
      <c r="EX157" s="43"/>
      <c r="EY157" s="43"/>
      <c r="EZ157" s="43"/>
      <c r="FA157" s="43"/>
      <c r="FB157" s="43"/>
      <c r="FC157" s="43"/>
      <c r="FD157" s="43"/>
      <c r="FE157" s="43"/>
      <c r="FF157" s="43"/>
      <c r="FG157" s="43"/>
      <c r="FH157" s="43"/>
      <c r="FI157" s="43"/>
      <c r="FJ157" s="43"/>
      <c r="FK157" s="43"/>
      <c r="FL157" s="43"/>
      <c r="FM157" s="43"/>
      <c r="FN157" s="43"/>
      <c r="FO157" s="43"/>
      <c r="FP157" s="43"/>
      <c r="FQ157" s="43"/>
      <c r="FR157" s="43"/>
      <c r="FS157" s="43"/>
      <c r="FT157" s="43"/>
      <c r="FU157" s="43"/>
      <c r="FV157" s="43"/>
      <c r="FW157" s="43"/>
      <c r="FX157" s="43"/>
      <c r="FY157" s="43"/>
      <c r="FZ157" s="43"/>
      <c r="GA157" s="43"/>
      <c r="GB157" s="43"/>
      <c r="GC157" s="43"/>
      <c r="GD157" s="43"/>
      <c r="GE157" s="43"/>
      <c r="GF157" s="43"/>
      <c r="GG157" s="43"/>
      <c r="GH157" s="43"/>
      <c r="GI157" s="43"/>
      <c r="GJ157" s="43"/>
      <c r="GK157" s="43"/>
      <c r="GL157" s="43"/>
      <c r="GM157" s="43"/>
      <c r="GN157" s="43"/>
      <c r="GO157" s="43"/>
      <c r="GP157" s="43"/>
      <c r="GQ157" s="43"/>
      <c r="GR157" s="43"/>
      <c r="GS157" s="43"/>
      <c r="GT157" s="43"/>
      <c r="GU157" s="43"/>
      <c r="GV157" s="43"/>
      <c r="GW157" s="43"/>
      <c r="GX157" s="43"/>
      <c r="GY157" s="43"/>
      <c r="GZ157" s="43"/>
      <c r="HA157" s="43"/>
      <c r="HB157" s="43"/>
      <c r="HC157" s="43"/>
      <c r="HD157" s="43"/>
      <c r="HE157" s="43"/>
      <c r="HF157" s="43"/>
      <c r="HG157" s="43"/>
      <c r="HH157" s="43"/>
      <c r="HI157" s="43"/>
      <c r="HJ157" s="43"/>
      <c r="HK157" s="43"/>
      <c r="HL157" s="43"/>
      <c r="HM157" s="43"/>
      <c r="HN157" s="43"/>
      <c r="HO157" s="43"/>
      <c r="HP157" s="43"/>
      <c r="HQ157" s="43"/>
      <c r="HR157"/>
      <c r="HS157"/>
      <c r="HT157"/>
      <c r="HU157"/>
      <c r="HV157"/>
      <c r="HW157"/>
      <c r="HX157"/>
      <c r="HY157"/>
      <c r="HZ157"/>
      <c r="IA157"/>
      <c r="IB157"/>
      <c r="IC157"/>
      <c r="ID157"/>
      <c r="IE157"/>
      <c r="IF157"/>
      <c r="IG157"/>
      <c r="IH157"/>
      <c r="II157"/>
      <c r="IJ157"/>
      <c r="IK157" s="32"/>
      <c r="IL157" s="32"/>
      <c r="IM157" s="32"/>
      <c r="IN157" s="32"/>
      <c r="IO157" s="32"/>
      <c r="IP157" s="32"/>
      <c r="IQ157" s="32"/>
    </row>
    <row r="158" spans="1:251" s="33" customFormat="1">
      <c r="A158" s="32"/>
      <c r="B158" s="32"/>
      <c r="C158" s="32"/>
      <c r="D158" s="51"/>
      <c r="E158" s="51"/>
      <c r="F158" s="51"/>
      <c r="G158" s="51"/>
      <c r="H158" s="51"/>
      <c r="I158" s="51"/>
      <c r="J158" s="51"/>
      <c r="K158" s="51"/>
      <c r="L158" s="263"/>
      <c r="M158" s="51"/>
      <c r="N158" s="263"/>
      <c r="O158" s="51"/>
      <c r="P158" s="51"/>
      <c r="Q158" s="51"/>
      <c r="R158" s="51"/>
      <c r="S158" s="51"/>
      <c r="T158" s="51"/>
      <c r="U158" s="51"/>
      <c r="V158" s="51"/>
      <c r="W158" s="51"/>
      <c r="X158" s="51"/>
      <c r="Y158" s="51"/>
      <c r="Z158" s="51"/>
      <c r="AA158" s="51"/>
      <c r="AB158" s="51"/>
      <c r="AC158" s="51"/>
      <c r="AD158" s="51"/>
      <c r="AE158" s="51"/>
      <c r="AF158" s="51"/>
      <c r="AG158" s="51"/>
      <c r="AH158" s="43"/>
      <c r="AI158" s="43"/>
      <c r="AJ158" s="43"/>
      <c r="AK158" s="43"/>
      <c r="AL158" s="43"/>
      <c r="AM158" s="43"/>
      <c r="AN158" s="43"/>
      <c r="AO158" s="43"/>
      <c r="AP158" s="43"/>
      <c r="AQ158" s="43"/>
      <c r="AR158" s="43"/>
      <c r="AS158" s="43"/>
      <c r="AT158" s="43"/>
      <c r="AU158" s="43"/>
      <c r="AV158" s="43"/>
      <c r="AW158" s="43"/>
      <c r="AX158" s="43"/>
      <c r="AY158" s="43"/>
      <c r="AZ158" s="43"/>
      <c r="BA158" s="43"/>
      <c r="BB158" s="43"/>
      <c r="BC158" s="43"/>
      <c r="BD158" s="43"/>
      <c r="BE158" s="43"/>
      <c r="BF158" s="43"/>
      <c r="BG158" s="43"/>
      <c r="BH158" s="43"/>
      <c r="BI158" s="43"/>
      <c r="BJ158" s="43"/>
      <c r="BK158" s="43"/>
      <c r="BL158" s="43"/>
      <c r="BM158" s="43"/>
      <c r="BN158" s="43"/>
      <c r="BO158" s="43"/>
      <c r="BP158" s="43"/>
      <c r="BQ158" s="43"/>
      <c r="BR158" s="43"/>
      <c r="BS158" s="43"/>
      <c r="BT158" s="43"/>
      <c r="BU158" s="43"/>
      <c r="BV158" s="43"/>
      <c r="BW158" s="43"/>
      <c r="BX158" s="43"/>
      <c r="BY158" s="43"/>
      <c r="BZ158" s="43"/>
      <c r="CA158" s="43"/>
      <c r="CB158" s="43"/>
      <c r="CC158" s="43"/>
      <c r="CD158" s="43"/>
      <c r="CE158" s="43"/>
      <c r="CF158" s="43"/>
      <c r="CG158" s="43"/>
      <c r="CH158" s="43"/>
      <c r="CI158" s="43"/>
      <c r="CJ158" s="43"/>
      <c r="CK158" s="43"/>
      <c r="CL158" s="43"/>
      <c r="CM158" s="43"/>
      <c r="CN158" s="43"/>
      <c r="CO158" s="43"/>
      <c r="CP158" s="43"/>
      <c r="CQ158" s="43"/>
      <c r="CR158" s="43"/>
      <c r="CS158" s="43"/>
      <c r="CT158" s="43"/>
      <c r="CU158" s="43"/>
      <c r="CV158" s="43"/>
      <c r="CW158" s="43"/>
      <c r="CX158" s="43"/>
      <c r="CY158" s="43"/>
      <c r="CZ158" s="43"/>
      <c r="DA158" s="43"/>
      <c r="DB158" s="43"/>
      <c r="DC158" s="43"/>
      <c r="DD158" s="43"/>
      <c r="DE158" s="43"/>
      <c r="DF158" s="43"/>
      <c r="DG158" s="43"/>
      <c r="DH158" s="43"/>
      <c r="DI158" s="43"/>
      <c r="DJ158" s="43"/>
      <c r="DK158" s="43"/>
      <c r="DL158" s="43"/>
      <c r="DM158" s="43"/>
      <c r="DN158" s="43"/>
      <c r="DO158" s="43"/>
      <c r="DP158" s="43"/>
      <c r="DQ158" s="43"/>
      <c r="DR158" s="43"/>
      <c r="DS158" s="43"/>
      <c r="DT158" s="43"/>
      <c r="DU158" s="43"/>
      <c r="DV158" s="43"/>
      <c r="DW158" s="43"/>
      <c r="DX158" s="43"/>
      <c r="DY158" s="43"/>
      <c r="DZ158" s="43"/>
      <c r="EA158" s="43"/>
      <c r="EB158" s="43"/>
      <c r="EC158" s="43"/>
      <c r="ED158" s="43"/>
      <c r="EE158" s="43"/>
      <c r="EF158" s="43"/>
      <c r="EG158" s="43"/>
      <c r="EH158" s="43"/>
      <c r="EI158" s="43"/>
      <c r="EJ158" s="43"/>
      <c r="EK158" s="43"/>
      <c r="EL158" s="43"/>
      <c r="EM158" s="43"/>
      <c r="EN158" s="43"/>
      <c r="EO158" s="43"/>
      <c r="EP158" s="43"/>
      <c r="EQ158" s="43"/>
      <c r="ER158" s="43"/>
      <c r="ES158" s="43"/>
      <c r="ET158" s="43"/>
      <c r="EU158" s="43"/>
      <c r="EV158" s="43"/>
      <c r="EW158" s="43"/>
      <c r="EX158" s="43"/>
      <c r="EY158" s="43"/>
      <c r="EZ158" s="43"/>
      <c r="FA158" s="43"/>
      <c r="FB158" s="43"/>
      <c r="FC158" s="43"/>
      <c r="FD158" s="43"/>
      <c r="FE158" s="43"/>
      <c r="FF158" s="43"/>
      <c r="FG158" s="43"/>
      <c r="FH158" s="43"/>
      <c r="FI158" s="43"/>
      <c r="FJ158" s="43"/>
      <c r="FK158" s="43"/>
      <c r="FL158" s="43"/>
      <c r="FM158" s="43"/>
      <c r="FN158" s="43"/>
      <c r="FO158" s="43"/>
      <c r="FP158" s="43"/>
      <c r="FQ158" s="43"/>
      <c r="FR158" s="43"/>
      <c r="FS158" s="43"/>
      <c r="FT158" s="43"/>
      <c r="FU158" s="43"/>
      <c r="FV158" s="43"/>
      <c r="FW158" s="43"/>
      <c r="FX158" s="43"/>
      <c r="FY158" s="43"/>
      <c r="FZ158" s="43"/>
      <c r="GA158" s="43"/>
      <c r="GB158" s="43"/>
      <c r="GC158" s="43"/>
      <c r="GD158" s="43"/>
      <c r="GE158" s="43"/>
      <c r="GF158" s="43"/>
      <c r="GG158" s="43"/>
      <c r="GH158" s="43"/>
      <c r="GI158" s="43"/>
      <c r="GJ158" s="43"/>
      <c r="GK158" s="43"/>
      <c r="GL158" s="43"/>
      <c r="GM158" s="43"/>
      <c r="GN158" s="43"/>
      <c r="GO158" s="43"/>
      <c r="GP158" s="43"/>
      <c r="GQ158" s="43"/>
      <c r="GR158" s="43"/>
      <c r="GS158" s="43"/>
      <c r="GT158" s="43"/>
      <c r="GU158" s="43"/>
      <c r="GV158" s="43"/>
      <c r="GW158" s="43"/>
      <c r="GX158" s="43"/>
      <c r="GY158" s="43"/>
      <c r="GZ158" s="43"/>
      <c r="HA158" s="43"/>
      <c r="HB158" s="43"/>
      <c r="HC158" s="43"/>
      <c r="HD158" s="43"/>
      <c r="HE158" s="43"/>
      <c r="HF158" s="43"/>
      <c r="HG158" s="43"/>
      <c r="HH158" s="43"/>
      <c r="HI158" s="43"/>
      <c r="HJ158" s="43"/>
      <c r="HK158" s="43"/>
      <c r="HL158" s="43"/>
      <c r="HM158" s="43"/>
      <c r="HN158" s="43"/>
      <c r="HO158" s="43"/>
      <c r="HP158" s="43"/>
      <c r="HQ158" s="43"/>
      <c r="HR158"/>
      <c r="HS158"/>
      <c r="HT158"/>
      <c r="HU158"/>
      <c r="HV158"/>
      <c r="HW158"/>
      <c r="HX158"/>
      <c r="HY158"/>
      <c r="HZ158"/>
      <c r="IA158"/>
      <c r="IB158"/>
      <c r="IC158"/>
      <c r="ID158"/>
      <c r="IE158"/>
      <c r="IF158"/>
      <c r="IG158"/>
      <c r="IH158"/>
      <c r="II158"/>
      <c r="IJ158"/>
      <c r="IK158" s="32"/>
      <c r="IL158" s="32"/>
      <c r="IM158" s="32"/>
      <c r="IN158" s="32"/>
      <c r="IO158" s="32"/>
      <c r="IP158" s="32"/>
      <c r="IQ158" s="32"/>
    </row>
    <row r="159" spans="1:251" s="33" customFormat="1">
      <c r="A159" s="170" t="s">
        <v>135</v>
      </c>
      <c r="B159" s="32"/>
      <c r="C159" s="32"/>
      <c r="D159" s="272">
        <f>D148-D154</f>
        <v>12335</v>
      </c>
      <c r="E159" s="272">
        <f>E148-E154</f>
        <v>12271</v>
      </c>
      <c r="F159" s="272">
        <f t="shared" ref="F159:K159" si="163">F148-F154</f>
        <v>15303</v>
      </c>
      <c r="G159" s="272">
        <f t="shared" si="163"/>
        <v>15137</v>
      </c>
      <c r="H159" s="272">
        <f t="shared" si="163"/>
        <v>14846</v>
      </c>
      <c r="I159" s="272">
        <f t="shared" si="163"/>
        <v>16067</v>
      </c>
      <c r="J159" s="272">
        <f t="shared" si="163"/>
        <v>16305</v>
      </c>
      <c r="K159" s="272">
        <f t="shared" si="163"/>
        <v>16678</v>
      </c>
      <c r="L159" s="263"/>
      <c r="M159" s="272">
        <f>M148-M154</f>
        <v>7581</v>
      </c>
      <c r="N159" s="263"/>
      <c r="O159" s="272">
        <f t="shared" ref="O159:U159" si="164">O148-O154</f>
        <v>2422</v>
      </c>
      <c r="P159" s="272">
        <f t="shared" si="164"/>
        <v>2199</v>
      </c>
      <c r="Q159" s="272">
        <f t="shared" si="164"/>
        <v>2684</v>
      </c>
      <c r="R159" s="272">
        <f t="shared" si="164"/>
        <v>2380</v>
      </c>
      <c r="S159" s="272">
        <f>S148-S154</f>
        <v>2216</v>
      </c>
      <c r="T159" s="272">
        <f t="shared" si="164"/>
        <v>2102</v>
      </c>
      <c r="U159" s="272">
        <f t="shared" si="164"/>
        <v>2028</v>
      </c>
      <c r="V159" s="272">
        <f t="shared" ref="V159:AB159" si="165">V148-V154</f>
        <v>1983</v>
      </c>
      <c r="W159" s="272">
        <f t="shared" si="165"/>
        <v>1982</v>
      </c>
      <c r="X159" s="272">
        <f t="shared" ref="X159" si="166">X148-X154</f>
        <v>1958</v>
      </c>
      <c r="Y159" s="272">
        <f t="shared" si="165"/>
        <v>1975.025968833299</v>
      </c>
      <c r="Z159" s="272">
        <f t="shared" si="165"/>
        <v>1994.5279849292601</v>
      </c>
      <c r="AA159" s="272">
        <f t="shared" si="165"/>
        <v>2016.6298506510152</v>
      </c>
      <c r="AB159" s="272">
        <f t="shared" si="165"/>
        <v>2041.4615584798548</v>
      </c>
      <c r="AC159" s="272">
        <f>AC148-AC154</f>
        <v>2069.1596005211331</v>
      </c>
      <c r="AD159" s="272">
        <f>AD148-AD154</f>
        <v>2099.8672934854717</v>
      </c>
      <c r="AE159" s="272">
        <f>AE148-AE154</f>
        <v>2133.7351199190243</v>
      </c>
      <c r="AF159" s="272">
        <f>AF148-AF154</f>
        <v>2170.9210864952502</v>
      </c>
      <c r="AG159" s="272">
        <f>AG148-AG154</f>
        <v>2211.5911002212833</v>
      </c>
      <c r="AH159" s="43"/>
      <c r="AI159" s="43"/>
      <c r="AJ159" s="43"/>
      <c r="AK159" s="43"/>
      <c r="AL159" s="43"/>
      <c r="AM159" s="43"/>
      <c r="AN159" s="43"/>
      <c r="AO159" s="43"/>
      <c r="AP159" s="43"/>
      <c r="AQ159" s="43"/>
      <c r="AR159" s="43"/>
      <c r="AS159" s="43"/>
      <c r="AT159" s="43"/>
      <c r="AU159" s="43"/>
      <c r="AV159" s="43"/>
      <c r="AW159" s="43"/>
      <c r="AX159" s="43"/>
      <c r="AY159" s="43"/>
      <c r="AZ159" s="43"/>
      <c r="BA159" s="43"/>
      <c r="BB159" s="43"/>
      <c r="BC159" s="43"/>
      <c r="BD159" s="43"/>
      <c r="BE159" s="43"/>
      <c r="BF159" s="43"/>
      <c r="BG159" s="43"/>
      <c r="BH159" s="43"/>
      <c r="BI159" s="43"/>
      <c r="BJ159" s="43"/>
      <c r="BK159" s="43"/>
      <c r="BL159" s="43"/>
      <c r="BM159" s="43"/>
      <c r="BN159" s="43"/>
      <c r="BO159" s="43"/>
      <c r="BP159" s="43"/>
      <c r="BQ159" s="43"/>
      <c r="BR159" s="43"/>
      <c r="BS159" s="43"/>
      <c r="BT159" s="43"/>
      <c r="BU159" s="43"/>
      <c r="BV159" s="43"/>
      <c r="BW159" s="43"/>
      <c r="BX159" s="43"/>
      <c r="BY159" s="43"/>
      <c r="BZ159" s="43"/>
      <c r="CA159" s="43"/>
      <c r="CB159" s="43"/>
      <c r="CC159" s="43"/>
      <c r="CD159" s="43"/>
      <c r="CE159" s="43"/>
      <c r="CF159" s="43"/>
      <c r="CG159" s="43"/>
      <c r="CH159" s="43"/>
      <c r="CI159" s="43"/>
      <c r="CJ159" s="43"/>
      <c r="CK159" s="43"/>
      <c r="CL159" s="43"/>
      <c r="CM159" s="43"/>
      <c r="CN159" s="43"/>
      <c r="CO159" s="43"/>
      <c r="CP159" s="43"/>
      <c r="CQ159" s="43"/>
      <c r="CR159" s="43"/>
      <c r="CS159" s="43"/>
      <c r="CT159" s="43"/>
      <c r="CU159" s="43"/>
      <c r="CV159" s="43"/>
      <c r="CW159" s="43"/>
      <c r="CX159" s="43"/>
      <c r="CY159" s="43"/>
      <c r="CZ159" s="43"/>
      <c r="DA159" s="43"/>
      <c r="DB159" s="43"/>
      <c r="DC159" s="43"/>
      <c r="DD159" s="43"/>
      <c r="DE159" s="43"/>
      <c r="DF159" s="43"/>
      <c r="DG159" s="43"/>
      <c r="DH159" s="43"/>
      <c r="DI159" s="43"/>
      <c r="DJ159" s="43"/>
      <c r="DK159" s="43"/>
      <c r="DL159" s="43"/>
      <c r="DM159" s="43"/>
      <c r="DN159" s="43"/>
      <c r="DO159" s="43"/>
      <c r="DP159" s="43"/>
      <c r="DQ159" s="43"/>
      <c r="DR159" s="43"/>
      <c r="DS159" s="43"/>
      <c r="DT159" s="43"/>
      <c r="DU159" s="43"/>
      <c r="DV159" s="43"/>
      <c r="DW159" s="43"/>
      <c r="DX159" s="43"/>
      <c r="DY159" s="43"/>
      <c r="DZ159" s="43"/>
      <c r="EA159" s="43"/>
      <c r="EB159" s="43"/>
      <c r="EC159" s="43"/>
      <c r="ED159" s="43"/>
      <c r="EE159" s="43"/>
      <c r="EF159" s="43"/>
      <c r="EG159" s="43"/>
      <c r="EH159" s="43"/>
      <c r="EI159" s="43"/>
      <c r="EJ159" s="43"/>
      <c r="EK159" s="43"/>
      <c r="EL159" s="43"/>
      <c r="EM159" s="43"/>
      <c r="EN159" s="43"/>
      <c r="EO159" s="43"/>
      <c r="EP159" s="43"/>
      <c r="EQ159" s="43"/>
      <c r="ER159" s="43"/>
      <c r="ES159" s="43"/>
      <c r="ET159" s="43"/>
      <c r="EU159" s="43"/>
      <c r="EV159" s="43"/>
      <c r="EW159" s="43"/>
      <c r="EX159" s="43"/>
      <c r="EY159" s="43"/>
      <c r="EZ159" s="43"/>
      <c r="FA159" s="43"/>
      <c r="FB159" s="43"/>
      <c r="FC159" s="43"/>
      <c r="FD159" s="43"/>
      <c r="FE159" s="43"/>
      <c r="FF159" s="43"/>
      <c r="FG159" s="43"/>
      <c r="FH159" s="43"/>
      <c r="FI159" s="43"/>
      <c r="FJ159" s="43"/>
      <c r="FK159" s="43"/>
      <c r="FL159" s="43"/>
      <c r="FM159" s="43"/>
      <c r="FN159" s="43"/>
      <c r="FO159" s="43"/>
      <c r="FP159" s="43"/>
      <c r="FQ159" s="43"/>
      <c r="FR159" s="43"/>
      <c r="FS159" s="43"/>
      <c r="FT159" s="43"/>
      <c r="FU159" s="43"/>
      <c r="FV159" s="43"/>
      <c r="FW159" s="43"/>
      <c r="FX159" s="43"/>
      <c r="FY159" s="43"/>
      <c r="FZ159" s="43"/>
      <c r="GA159" s="43"/>
      <c r="GB159" s="43"/>
      <c r="GC159" s="43"/>
      <c r="GD159" s="43"/>
      <c r="GE159" s="43"/>
      <c r="GF159" s="43"/>
      <c r="GG159" s="43"/>
      <c r="GH159" s="43"/>
      <c r="GI159" s="43"/>
      <c r="GJ159" s="43"/>
      <c r="GK159" s="43"/>
      <c r="GL159" s="43"/>
      <c r="GM159" s="43"/>
      <c r="GN159" s="43"/>
      <c r="GO159" s="43"/>
      <c r="GP159" s="43"/>
      <c r="GQ159" s="43"/>
      <c r="GR159" s="43"/>
      <c r="GS159" s="43"/>
      <c r="GT159" s="43"/>
      <c r="GU159" s="43"/>
      <c r="GV159" s="43"/>
      <c r="GW159" s="43"/>
      <c r="GX159" s="43"/>
      <c r="GY159" s="43"/>
      <c r="GZ159" s="43"/>
      <c r="HA159" s="43"/>
      <c r="HB159" s="43"/>
      <c r="HC159" s="43"/>
      <c r="HD159" s="43"/>
      <c r="HE159" s="43"/>
      <c r="HF159" s="43"/>
      <c r="HG159" s="43"/>
      <c r="HH159" s="43"/>
      <c r="HI159" s="43"/>
      <c r="HJ159" s="43"/>
      <c r="HK159" s="43"/>
      <c r="HL159" s="43"/>
      <c r="HM159" s="43"/>
      <c r="HN159" s="43"/>
      <c r="HO159" s="43"/>
      <c r="HP159" s="43"/>
      <c r="HQ159" s="43"/>
      <c r="HR159"/>
      <c r="HS159"/>
      <c r="HT159"/>
      <c r="HU159"/>
      <c r="HV159"/>
      <c r="HW159"/>
      <c r="HX159"/>
      <c r="HY159"/>
      <c r="HZ159"/>
      <c r="IA159"/>
      <c r="IB159"/>
      <c r="IC159"/>
      <c r="ID159"/>
      <c r="IE159"/>
      <c r="IF159"/>
      <c r="IG159"/>
      <c r="IH159"/>
      <c r="II159"/>
      <c r="IJ159"/>
      <c r="IK159" s="32"/>
      <c r="IL159" s="32"/>
      <c r="IM159" s="32"/>
      <c r="IN159" s="32"/>
      <c r="IO159" s="32"/>
      <c r="IP159" s="32"/>
      <c r="IQ159" s="32"/>
    </row>
    <row r="160" spans="1:251" s="33" customFormat="1">
      <c r="A160" s="32" t="s">
        <v>501</v>
      </c>
      <c r="B160" s="32"/>
      <c r="C160" s="32"/>
      <c r="D160" s="51"/>
      <c r="E160" s="50">
        <f>E159/IS!B11</f>
        <v>0.19930160792593796</v>
      </c>
      <c r="F160" s="50">
        <f>F159/IS!C11</f>
        <v>0.26774560405913744</v>
      </c>
      <c r="G160" s="50">
        <f>G159/IS!D11</f>
        <v>0.23480958659737841</v>
      </c>
      <c r="H160" s="50">
        <f>H159/IS!E11</f>
        <v>0.23604044772322563</v>
      </c>
      <c r="I160" s="50">
        <f>I159/IS!F11</f>
        <v>0.26467778070637848</v>
      </c>
      <c r="J160" s="50">
        <f>J159/IS!G11</f>
        <v>0.25354543758163839</v>
      </c>
      <c r="K160" s="50">
        <f>K159/IS!H11</f>
        <v>0.24196964860865275</v>
      </c>
      <c r="L160" s="263"/>
      <c r="M160" s="50">
        <f>M159/IS!I11</f>
        <v>0.10780103520846368</v>
      </c>
      <c r="N160" s="263"/>
      <c r="O160" s="50">
        <f>O159/IS!J11</f>
        <v>0.15921640809886931</v>
      </c>
      <c r="P160" s="50">
        <f>P159/IS!K11</f>
        <v>0.14043042339868447</v>
      </c>
      <c r="Q160" s="50">
        <f>Q159/IS!L11</f>
        <v>0.15953399904897764</v>
      </c>
      <c r="R160" s="50">
        <f>R159/IS!M11</f>
        <v>0.14089509827137106</v>
      </c>
      <c r="S160" s="50">
        <f>S159/IS!N11</f>
        <v>0.12979558367012242</v>
      </c>
      <c r="T160" s="50">
        <f>T159/IS!O11</f>
        <v>0.12011428571428572</v>
      </c>
      <c r="U160" s="50">
        <f>U159/IS!P11</f>
        <v>0.11481628262469569</v>
      </c>
      <c r="V160" s="50">
        <f>V159/IS!Q11</f>
        <v>0.11050224152914849</v>
      </c>
      <c r="W160" s="50">
        <f>W159/IS!R11</f>
        <v>0.10529692223378739</v>
      </c>
      <c r="X160" s="50">
        <f>X159/IS!S11</f>
        <v>0.10125665821999276</v>
      </c>
      <c r="Y160" s="50">
        <f>Y159/IS!T11</f>
        <v>0.10131455672685437</v>
      </c>
      <c r="Z160" s="50">
        <f>Z159/IS!U11</f>
        <v>0.10181128932892203</v>
      </c>
      <c r="AA160" s="50">
        <f>AA159/IS!V11</f>
        <v>0.10149368319996649</v>
      </c>
      <c r="AB160" s="50">
        <f>AB159/IS!W11</f>
        <v>0.10099156272265197</v>
      </c>
      <c r="AC160" s="50">
        <f>AC159/IS!X11</f>
        <v>0.10048070685571203</v>
      </c>
      <c r="AD160" s="50">
        <f>AD159/IS!Y11</f>
        <v>0.100059964726374</v>
      </c>
      <c r="AE160" s="50">
        <f>AE159/IS!Z11</f>
        <v>9.9728483708603127E-2</v>
      </c>
      <c r="AF160" s="50">
        <f>AF159/IS!AA11</f>
        <v>9.9485270417654523E-2</v>
      </c>
      <c r="AG160" s="50">
        <f>AG159/IS!AB11</f>
        <v>9.9329184615031596E-2</v>
      </c>
      <c r="AH160" s="43"/>
      <c r="AI160" s="43"/>
      <c r="AJ160" s="43"/>
      <c r="AK160" s="43"/>
      <c r="AL160" s="43"/>
      <c r="AM160" s="43"/>
      <c r="AN160" s="43"/>
      <c r="AO160" s="43"/>
      <c r="AP160" s="43"/>
      <c r="AQ160" s="43"/>
      <c r="AR160" s="43"/>
      <c r="AS160" s="43"/>
      <c r="AT160" s="43"/>
      <c r="AU160" s="43"/>
      <c r="AV160" s="43"/>
      <c r="AW160" s="43"/>
      <c r="AX160" s="43"/>
      <c r="AY160" s="43"/>
      <c r="AZ160" s="43"/>
      <c r="BA160" s="43"/>
      <c r="BB160" s="43"/>
      <c r="BC160" s="43"/>
      <c r="BD160" s="43"/>
      <c r="BE160" s="43"/>
      <c r="BF160" s="43"/>
      <c r="BG160" s="43"/>
      <c r="BH160" s="43"/>
      <c r="BI160" s="43"/>
      <c r="BJ160" s="43"/>
      <c r="BK160" s="43"/>
      <c r="BL160" s="43"/>
      <c r="BM160" s="43"/>
      <c r="BN160" s="43"/>
      <c r="BO160" s="43"/>
      <c r="BP160" s="43"/>
      <c r="BQ160" s="43"/>
      <c r="BR160" s="43"/>
      <c r="BS160" s="43"/>
      <c r="BT160" s="43"/>
      <c r="BU160" s="43"/>
      <c r="BV160" s="43"/>
      <c r="BW160" s="43"/>
      <c r="BX160" s="43"/>
      <c r="BY160" s="43"/>
      <c r="BZ160" s="43"/>
      <c r="CA160" s="43"/>
      <c r="CB160" s="43"/>
      <c r="CC160" s="43"/>
      <c r="CD160" s="43"/>
      <c r="CE160" s="43"/>
      <c r="CF160" s="43"/>
      <c r="CG160" s="43"/>
      <c r="CH160" s="43"/>
      <c r="CI160" s="43"/>
      <c r="CJ160" s="43"/>
      <c r="CK160" s="43"/>
      <c r="CL160" s="43"/>
      <c r="CM160" s="43"/>
      <c r="CN160" s="43"/>
      <c r="CO160" s="43"/>
      <c r="CP160" s="43"/>
      <c r="CQ160" s="43"/>
      <c r="CR160" s="43"/>
      <c r="CS160" s="43"/>
      <c r="CT160" s="43"/>
      <c r="CU160" s="43"/>
      <c r="CV160" s="43"/>
      <c r="CW160" s="43"/>
      <c r="CX160" s="43"/>
      <c r="CY160" s="43"/>
      <c r="CZ160" s="43"/>
      <c r="DA160" s="43"/>
      <c r="DB160" s="43"/>
      <c r="DC160" s="43"/>
      <c r="DD160" s="43"/>
      <c r="DE160" s="43"/>
      <c r="DF160" s="43"/>
      <c r="DG160" s="43"/>
      <c r="DH160" s="43"/>
      <c r="DI160" s="43"/>
      <c r="DJ160" s="43"/>
      <c r="DK160" s="43"/>
      <c r="DL160" s="43"/>
      <c r="DM160" s="43"/>
      <c r="DN160" s="43"/>
      <c r="DO160" s="43"/>
      <c r="DP160" s="43"/>
      <c r="DQ160" s="43"/>
      <c r="DR160" s="43"/>
      <c r="DS160" s="43"/>
      <c r="DT160" s="43"/>
      <c r="DU160" s="43"/>
      <c r="DV160" s="43"/>
      <c r="DW160" s="43"/>
      <c r="DX160" s="43"/>
      <c r="DY160" s="43"/>
      <c r="DZ160" s="43"/>
      <c r="EA160" s="43"/>
      <c r="EB160" s="43"/>
      <c r="EC160" s="43"/>
      <c r="ED160" s="43"/>
      <c r="EE160" s="43"/>
      <c r="EF160" s="43"/>
      <c r="EG160" s="43"/>
      <c r="EH160" s="43"/>
      <c r="EI160" s="43"/>
      <c r="EJ160" s="43"/>
      <c r="EK160" s="43"/>
      <c r="EL160" s="43"/>
      <c r="EM160" s="43"/>
      <c r="EN160" s="43"/>
      <c r="EO160" s="43"/>
      <c r="EP160" s="43"/>
      <c r="EQ160" s="43"/>
      <c r="ER160" s="43"/>
      <c r="ES160" s="43"/>
      <c r="ET160" s="43"/>
      <c r="EU160" s="43"/>
      <c r="EV160" s="43"/>
      <c r="EW160" s="43"/>
      <c r="EX160" s="43"/>
      <c r="EY160" s="43"/>
      <c r="EZ160" s="43"/>
      <c r="FA160" s="43"/>
      <c r="FB160" s="43"/>
      <c r="FC160" s="43"/>
      <c r="FD160" s="43"/>
      <c r="FE160" s="43"/>
      <c r="FF160" s="43"/>
      <c r="FG160" s="43"/>
      <c r="FH160" s="43"/>
      <c r="FI160" s="43"/>
      <c r="FJ160" s="43"/>
      <c r="FK160" s="43"/>
      <c r="FL160" s="43"/>
      <c r="FM160" s="43"/>
      <c r="FN160" s="43"/>
      <c r="FO160" s="43"/>
      <c r="FP160" s="43"/>
      <c r="FQ160" s="43"/>
      <c r="FR160" s="43"/>
      <c r="FS160" s="43"/>
      <c r="FT160" s="43"/>
      <c r="FU160" s="43"/>
      <c r="FV160" s="43"/>
      <c r="FW160" s="43"/>
      <c r="FX160" s="43"/>
      <c r="FY160" s="43"/>
      <c r="FZ160" s="43"/>
      <c r="GA160" s="43"/>
      <c r="GB160" s="43"/>
      <c r="GC160" s="43"/>
      <c r="GD160" s="43"/>
      <c r="GE160" s="43"/>
      <c r="GF160" s="43"/>
      <c r="GG160" s="43"/>
      <c r="GH160" s="43"/>
      <c r="GI160" s="43"/>
      <c r="GJ160" s="43"/>
      <c r="GK160" s="43"/>
      <c r="GL160" s="43"/>
      <c r="GM160" s="43"/>
      <c r="GN160" s="43"/>
      <c r="GO160" s="43"/>
      <c r="GP160" s="43"/>
      <c r="GQ160" s="43"/>
      <c r="GR160" s="43"/>
      <c r="GS160" s="43"/>
      <c r="GT160" s="43"/>
      <c r="GU160" s="43"/>
      <c r="GV160" s="43"/>
      <c r="GW160" s="43"/>
      <c r="GX160" s="43"/>
      <c r="GY160" s="43"/>
      <c r="GZ160" s="43"/>
      <c r="HA160" s="43"/>
      <c r="HB160" s="43"/>
      <c r="HC160" s="43"/>
      <c r="HD160" s="43"/>
      <c r="HE160" s="43"/>
      <c r="HF160" s="43"/>
      <c r="HG160" s="43"/>
      <c r="HH160" s="43"/>
      <c r="HI160" s="43"/>
      <c r="HJ160" s="43"/>
      <c r="HK160" s="43"/>
      <c r="HL160" s="43"/>
      <c r="HM160" s="43"/>
      <c r="HN160" s="43"/>
      <c r="HO160" s="43"/>
      <c r="HP160" s="43"/>
      <c r="HQ160" s="43"/>
      <c r="HR160"/>
      <c r="HS160"/>
      <c r="HT160"/>
      <c r="HU160"/>
      <c r="HV160"/>
      <c r="HW160"/>
      <c r="HX160"/>
      <c r="HY160"/>
      <c r="HZ160"/>
      <c r="IA160"/>
      <c r="IB160"/>
      <c r="IC160"/>
      <c r="ID160"/>
      <c r="IE160"/>
      <c r="IF160"/>
      <c r="IG160"/>
      <c r="IH160"/>
      <c r="II160"/>
      <c r="IJ160"/>
      <c r="IK160" s="32"/>
      <c r="IL160" s="32"/>
      <c r="IM160" s="32"/>
      <c r="IN160" s="32"/>
      <c r="IO160" s="32"/>
      <c r="IP160" s="32"/>
      <c r="IQ160" s="32"/>
    </row>
    <row r="161" spans="1:251" s="33" customFormat="1">
      <c r="A161" s="80"/>
      <c r="B161" s="32"/>
      <c r="C161" s="32"/>
      <c r="D161" s="51"/>
      <c r="E161" s="51"/>
      <c r="F161" s="51"/>
      <c r="G161" s="51"/>
      <c r="H161" s="51"/>
      <c r="I161" s="51"/>
      <c r="J161" s="263"/>
      <c r="K161" s="263"/>
      <c r="L161" s="263"/>
      <c r="M161" s="263"/>
      <c r="N161" s="263"/>
      <c r="O161" s="263"/>
      <c r="P161" s="263"/>
      <c r="Q161" s="263"/>
      <c r="R161" s="263"/>
      <c r="S161" s="263"/>
      <c r="T161" s="118"/>
      <c r="U161" s="118"/>
      <c r="V161" s="118"/>
      <c r="W161" s="118"/>
      <c r="X161" s="118"/>
      <c r="Y161" s="118"/>
      <c r="Z161" s="118"/>
      <c r="AA161" s="118"/>
      <c r="AB161" s="118"/>
      <c r="AC161" s="118"/>
      <c r="AD161" s="118"/>
      <c r="AE161" s="118"/>
      <c r="AF161" s="118"/>
      <c r="AG161" s="118"/>
      <c r="AH161" s="43"/>
      <c r="AI161" s="43"/>
      <c r="AJ161" s="43"/>
      <c r="AK161" s="43"/>
      <c r="AL161" s="43"/>
      <c r="AM161" s="43"/>
      <c r="AN161" s="43"/>
      <c r="AO161" s="43"/>
      <c r="AP161" s="43"/>
      <c r="AQ161" s="43"/>
      <c r="AR161" s="43"/>
      <c r="AS161" s="43"/>
      <c r="AT161" s="43"/>
      <c r="AU161" s="43"/>
      <c r="AV161" s="43"/>
      <c r="AW161" s="43"/>
      <c r="AX161" s="43"/>
      <c r="AY161" s="43"/>
      <c r="AZ161" s="43"/>
      <c r="BA161" s="43"/>
      <c r="BB161" s="43"/>
      <c r="BC161" s="43"/>
      <c r="BD161" s="43"/>
      <c r="BE161" s="43"/>
      <c r="BF161" s="43"/>
      <c r="BG161" s="43"/>
      <c r="BH161" s="43"/>
      <c r="BI161" s="43"/>
      <c r="BJ161" s="43"/>
      <c r="BK161" s="43"/>
      <c r="BL161" s="43"/>
      <c r="BM161" s="43"/>
      <c r="BN161" s="43"/>
      <c r="BO161" s="43"/>
      <c r="BP161" s="43"/>
      <c r="BQ161" s="43"/>
      <c r="BR161" s="43"/>
      <c r="BS161" s="43"/>
      <c r="BT161" s="43"/>
      <c r="BU161" s="43"/>
      <c r="BV161" s="43"/>
      <c r="BW161" s="43"/>
      <c r="BX161" s="43"/>
      <c r="BY161" s="43"/>
      <c r="BZ161" s="43"/>
      <c r="CA161" s="43"/>
      <c r="CB161" s="43"/>
      <c r="CC161" s="43"/>
      <c r="CD161" s="43"/>
      <c r="CE161" s="43"/>
      <c r="CF161" s="43"/>
      <c r="CG161" s="43"/>
      <c r="CH161" s="43"/>
      <c r="CI161" s="43"/>
      <c r="CJ161" s="43"/>
      <c r="CK161" s="43"/>
      <c r="CL161" s="43"/>
      <c r="CM161" s="43"/>
      <c r="CN161" s="43"/>
      <c r="CO161" s="43"/>
      <c r="CP161" s="43"/>
      <c r="CQ161" s="43"/>
      <c r="CR161" s="43"/>
      <c r="CS161" s="43"/>
      <c r="CT161" s="43"/>
      <c r="CU161" s="43"/>
      <c r="CV161" s="43"/>
      <c r="CW161" s="43"/>
      <c r="CX161" s="43"/>
      <c r="CY161" s="43"/>
      <c r="CZ161" s="43"/>
      <c r="DA161" s="43"/>
      <c r="DB161" s="43"/>
      <c r="DC161" s="43"/>
      <c r="DD161" s="43"/>
      <c r="DE161" s="43"/>
      <c r="DF161" s="43"/>
      <c r="DG161" s="43"/>
      <c r="DH161" s="43"/>
      <c r="DI161" s="43"/>
      <c r="DJ161" s="43"/>
      <c r="DK161" s="43"/>
      <c r="DL161" s="43"/>
      <c r="DM161" s="43"/>
      <c r="DN161" s="43"/>
      <c r="DO161" s="43"/>
      <c r="DP161" s="43"/>
      <c r="DQ161" s="43"/>
      <c r="DR161" s="43"/>
      <c r="DS161" s="43"/>
      <c r="DT161" s="43"/>
      <c r="DU161" s="43"/>
      <c r="DV161" s="43"/>
      <c r="DW161" s="43"/>
      <c r="DX161" s="43"/>
      <c r="DY161" s="43"/>
      <c r="DZ161" s="43"/>
      <c r="EA161" s="43"/>
      <c r="EB161" s="43"/>
      <c r="EC161" s="43"/>
      <c r="ED161" s="43"/>
      <c r="EE161" s="43"/>
      <c r="EF161" s="43"/>
      <c r="EG161" s="43"/>
      <c r="EH161" s="43"/>
      <c r="EI161" s="43"/>
      <c r="EJ161" s="43"/>
      <c r="EK161" s="43"/>
      <c r="EL161" s="43"/>
      <c r="EM161" s="43"/>
      <c r="EN161" s="43"/>
      <c r="EO161" s="43"/>
      <c r="EP161" s="43"/>
      <c r="EQ161" s="43"/>
      <c r="ER161" s="43"/>
      <c r="ES161" s="43"/>
      <c r="ET161" s="43"/>
      <c r="EU161" s="43"/>
      <c r="EV161" s="43"/>
      <c r="EW161" s="43"/>
      <c r="EX161" s="43"/>
      <c r="EY161" s="43"/>
      <c r="EZ161" s="43"/>
      <c r="FA161" s="43"/>
      <c r="FB161" s="43"/>
      <c r="FC161" s="43"/>
      <c r="FD161" s="43"/>
      <c r="FE161" s="43"/>
      <c r="FF161" s="43"/>
      <c r="FG161" s="43"/>
      <c r="FH161" s="43"/>
      <c r="FI161" s="43"/>
      <c r="FJ161" s="43"/>
      <c r="FK161" s="43"/>
      <c r="FL161" s="43"/>
      <c r="FM161" s="43"/>
      <c r="FN161" s="43"/>
      <c r="FO161" s="43"/>
      <c r="FP161" s="43"/>
      <c r="FQ161" s="43"/>
      <c r="FR161" s="43"/>
      <c r="FS161" s="43"/>
      <c r="FT161" s="43"/>
      <c r="FU161" s="43"/>
      <c r="FV161" s="43"/>
      <c r="FW161" s="43"/>
      <c r="FX161" s="43"/>
      <c r="FY161" s="43"/>
      <c r="FZ161" s="43"/>
      <c r="GA161" s="43"/>
      <c r="GB161" s="43"/>
      <c r="GC161" s="43"/>
      <c r="GD161" s="43"/>
      <c r="GE161" s="43"/>
      <c r="GF161" s="43"/>
      <c r="GG161" s="43"/>
      <c r="GH161" s="43"/>
      <c r="GI161" s="43"/>
      <c r="GJ161" s="43"/>
      <c r="GK161" s="43"/>
      <c r="GL161" s="43"/>
      <c r="GM161" s="43"/>
      <c r="GN161" s="43"/>
      <c r="GO161" s="43"/>
      <c r="GP161" s="43"/>
      <c r="GQ161" s="43"/>
      <c r="GR161" s="43"/>
      <c r="GS161" s="43"/>
      <c r="GT161" s="43"/>
      <c r="GU161" s="43"/>
      <c r="GV161" s="43"/>
      <c r="GW161" s="43"/>
      <c r="GX161" s="43"/>
      <c r="GY161" s="43"/>
      <c r="GZ161" s="43"/>
      <c r="HA161" s="43"/>
      <c r="HB161" s="43"/>
      <c r="HC161" s="43"/>
      <c r="HD161" s="43"/>
      <c r="HE161" s="43"/>
      <c r="HF161" s="43"/>
      <c r="HG161" s="43"/>
      <c r="HH161" s="43"/>
      <c r="HI161" s="43"/>
      <c r="HJ161" s="43"/>
      <c r="HK161" s="43"/>
      <c r="HL161" s="43"/>
      <c r="HM161" s="43"/>
      <c r="HN161" s="43"/>
      <c r="HO161" s="43"/>
      <c r="HP161" s="43"/>
      <c r="HQ161" s="43"/>
      <c r="HR161"/>
      <c r="HS161"/>
      <c r="HT161"/>
      <c r="HU161"/>
      <c r="HV161"/>
      <c r="HW161"/>
      <c r="HX161"/>
      <c r="HY161"/>
      <c r="HZ161"/>
      <c r="IA161"/>
      <c r="IB161"/>
      <c r="IC161"/>
      <c r="ID161"/>
      <c r="IE161"/>
      <c r="IF161"/>
      <c r="IG161"/>
      <c r="IH161"/>
      <c r="II161"/>
      <c r="IJ161"/>
      <c r="IK161" s="32"/>
      <c r="IL161" s="32"/>
      <c r="IM161" s="32"/>
      <c r="IN161" s="32"/>
      <c r="IO161" s="32"/>
      <c r="IP161" s="32"/>
      <c r="IQ161" s="32"/>
    </row>
    <row r="162" spans="1:251" s="33" customFormat="1">
      <c r="A162" s="168"/>
      <c r="B162" s="35"/>
      <c r="C162" s="35"/>
      <c r="D162" s="165"/>
      <c r="E162" s="165"/>
      <c r="F162" s="165"/>
      <c r="G162" s="165"/>
      <c r="H162" s="166"/>
      <c r="I162" s="166"/>
      <c r="J162" s="82"/>
      <c r="K162" s="82"/>
      <c r="L162" s="82"/>
      <c r="M162" s="82"/>
      <c r="N162" s="82"/>
      <c r="O162" s="82"/>
      <c r="P162" s="82"/>
      <c r="Q162" s="82"/>
      <c r="R162" s="82"/>
      <c r="S162" s="82"/>
      <c r="T162" s="144"/>
      <c r="U162" s="144"/>
      <c r="V162" s="144"/>
      <c r="W162" s="144"/>
      <c r="X162" s="144"/>
      <c r="Y162" s="144"/>
      <c r="Z162" s="144"/>
      <c r="AA162" s="144"/>
      <c r="AB162" s="144"/>
      <c r="AC162" s="144"/>
      <c r="AD162" s="144"/>
      <c r="AE162" s="144"/>
      <c r="AF162" s="144"/>
      <c r="AG162" s="144"/>
      <c r="AH162" s="43"/>
      <c r="AI162" s="43"/>
      <c r="AJ162" s="43"/>
      <c r="AK162" s="43"/>
      <c r="AL162" s="43"/>
      <c r="AM162" s="43"/>
      <c r="AN162" s="43"/>
      <c r="AO162" s="43"/>
      <c r="AP162" s="43"/>
      <c r="AQ162" s="43"/>
      <c r="AR162" s="43"/>
      <c r="AS162" s="43"/>
      <c r="AT162" s="43"/>
      <c r="AU162" s="43"/>
      <c r="AV162" s="43"/>
      <c r="AW162" s="43"/>
      <c r="AX162" s="43"/>
      <c r="AY162" s="43"/>
      <c r="AZ162" s="43"/>
      <c r="BA162" s="43"/>
      <c r="BB162" s="43"/>
      <c r="BC162" s="43"/>
      <c r="BD162" s="43"/>
      <c r="BE162" s="43"/>
      <c r="BF162" s="43"/>
      <c r="BG162" s="43"/>
      <c r="BH162" s="43"/>
      <c r="BI162" s="43"/>
      <c r="BJ162" s="43"/>
      <c r="BK162" s="43"/>
      <c r="BL162" s="43"/>
      <c r="BM162" s="43"/>
      <c r="BN162" s="43"/>
      <c r="BO162" s="43"/>
      <c r="BP162" s="43"/>
      <c r="BQ162" s="43"/>
      <c r="BR162" s="43"/>
      <c r="BS162" s="43"/>
      <c r="BT162" s="43"/>
      <c r="BU162" s="43"/>
      <c r="BV162" s="43"/>
      <c r="BW162" s="43"/>
      <c r="BX162" s="43"/>
      <c r="BY162" s="43"/>
      <c r="BZ162" s="43"/>
      <c r="CA162" s="43"/>
      <c r="CB162" s="43"/>
      <c r="CC162" s="43"/>
      <c r="CD162" s="43"/>
      <c r="CE162" s="43"/>
      <c r="CF162" s="43"/>
      <c r="CG162" s="43"/>
      <c r="CH162" s="43"/>
      <c r="CI162" s="43"/>
      <c r="CJ162" s="43"/>
      <c r="CK162" s="43"/>
      <c r="CL162" s="43"/>
      <c r="CM162" s="43"/>
      <c r="CN162" s="43"/>
      <c r="CO162" s="43"/>
      <c r="CP162" s="43"/>
      <c r="CQ162" s="43"/>
      <c r="CR162" s="43"/>
      <c r="CS162" s="43"/>
      <c r="CT162" s="43"/>
      <c r="CU162" s="43"/>
      <c r="CV162" s="43"/>
      <c r="CW162" s="43"/>
      <c r="CX162" s="43"/>
      <c r="CY162" s="43"/>
      <c r="CZ162" s="43"/>
      <c r="DA162" s="43"/>
      <c r="DB162" s="43"/>
      <c r="DC162" s="43"/>
      <c r="DD162" s="43"/>
      <c r="DE162" s="43"/>
      <c r="DF162" s="43"/>
      <c r="DG162" s="43"/>
      <c r="DH162" s="43"/>
      <c r="DI162" s="43"/>
      <c r="DJ162" s="43"/>
      <c r="DK162" s="43"/>
      <c r="DL162" s="43"/>
      <c r="DM162" s="43"/>
      <c r="DN162" s="43"/>
      <c r="DO162" s="43"/>
      <c r="DP162" s="43"/>
      <c r="DQ162" s="43"/>
      <c r="DR162" s="43"/>
      <c r="DS162" s="43"/>
      <c r="DT162" s="43"/>
      <c r="DU162" s="43"/>
      <c r="DV162" s="43"/>
      <c r="DW162" s="43"/>
      <c r="DX162" s="43"/>
      <c r="DY162" s="43"/>
      <c r="DZ162" s="43"/>
      <c r="EA162" s="43"/>
      <c r="EB162" s="43"/>
      <c r="EC162" s="43"/>
      <c r="ED162" s="43"/>
      <c r="EE162" s="43"/>
      <c r="EF162" s="43"/>
      <c r="EG162" s="43"/>
      <c r="EH162" s="43"/>
      <c r="EI162" s="43"/>
      <c r="EJ162" s="43"/>
      <c r="EK162" s="43"/>
      <c r="EL162" s="43"/>
      <c r="EM162" s="43"/>
      <c r="EN162" s="43"/>
      <c r="EO162" s="43"/>
      <c r="EP162" s="43"/>
      <c r="EQ162" s="43"/>
      <c r="ER162" s="43"/>
      <c r="ES162" s="43"/>
      <c r="ET162" s="43"/>
      <c r="EU162" s="43"/>
      <c r="EV162" s="43"/>
      <c r="EW162" s="43"/>
      <c r="EX162" s="43"/>
      <c r="EY162" s="43"/>
      <c r="EZ162" s="43"/>
      <c r="FA162" s="43"/>
      <c r="FB162" s="43"/>
      <c r="FC162" s="43"/>
      <c r="FD162" s="43"/>
      <c r="FE162" s="43"/>
      <c r="FF162" s="43"/>
      <c r="FG162" s="43"/>
      <c r="FH162" s="43"/>
      <c r="FI162" s="43"/>
      <c r="FJ162" s="43"/>
      <c r="FK162" s="43"/>
      <c r="FL162" s="43"/>
      <c r="FM162" s="43"/>
      <c r="FN162" s="43"/>
      <c r="FO162" s="43"/>
      <c r="FP162" s="43"/>
      <c r="FQ162" s="43"/>
      <c r="FR162" s="43"/>
      <c r="FS162" s="43"/>
      <c r="FT162" s="43"/>
      <c r="FU162" s="43"/>
      <c r="FV162" s="43"/>
      <c r="FW162" s="43"/>
      <c r="FX162" s="43"/>
      <c r="FY162" s="43"/>
      <c r="FZ162" s="43"/>
      <c r="GA162" s="43"/>
      <c r="GB162" s="43"/>
      <c r="GC162" s="43"/>
      <c r="GD162" s="43"/>
      <c r="GE162" s="43"/>
      <c r="GF162" s="43"/>
      <c r="GG162" s="43"/>
      <c r="GH162" s="43"/>
      <c r="GI162" s="43"/>
      <c r="GJ162" s="43"/>
      <c r="GK162" s="43"/>
      <c r="GL162" s="43"/>
      <c r="GM162" s="43"/>
      <c r="GN162" s="43"/>
      <c r="GO162" s="43"/>
      <c r="GP162" s="43"/>
      <c r="GQ162" s="43"/>
      <c r="GR162" s="43"/>
      <c r="GS162" s="43"/>
      <c r="GT162" s="43"/>
      <c r="GU162" s="43"/>
      <c r="GV162" s="43"/>
      <c r="GW162" s="43"/>
      <c r="GX162" s="43"/>
      <c r="GY162" s="43"/>
      <c r="GZ162" s="43"/>
      <c r="HA162" s="43"/>
      <c r="HB162" s="43"/>
      <c r="HC162" s="43"/>
      <c r="HD162" s="43"/>
      <c r="HE162" s="43"/>
      <c r="HF162" s="43"/>
      <c r="HG162" s="43"/>
      <c r="HH162" s="43"/>
      <c r="HI162" s="43"/>
      <c r="HJ162" s="43"/>
      <c r="HK162" s="43"/>
      <c r="HL162" s="43"/>
      <c r="HM162" s="43"/>
      <c r="HN162" s="43"/>
      <c r="HO162" s="43"/>
      <c r="HP162" s="43"/>
      <c r="HQ162" s="43"/>
      <c r="HR162"/>
      <c r="HS162"/>
      <c r="HT162"/>
      <c r="HU162"/>
      <c r="HV162"/>
      <c r="HW162"/>
      <c r="HX162"/>
      <c r="HY162"/>
      <c r="HZ162"/>
      <c r="IA162"/>
      <c r="IB162"/>
      <c r="IC162"/>
      <c r="ID162"/>
      <c r="IE162"/>
      <c r="IF162"/>
      <c r="IG162"/>
      <c r="IH162"/>
      <c r="II162"/>
      <c r="IJ162"/>
      <c r="IK162" s="32"/>
      <c r="IL162" s="32"/>
      <c r="IM162" s="32"/>
      <c r="IN162" s="32"/>
      <c r="IO162" s="32"/>
      <c r="IP162" s="32"/>
      <c r="IQ162" s="32"/>
    </row>
    <row r="163" spans="1:251" s="33" customFormat="1">
      <c r="A163" s="219" t="s">
        <v>521</v>
      </c>
      <c r="B163" s="215"/>
      <c r="C163" s="215"/>
      <c r="D163" s="265"/>
      <c r="E163" s="265"/>
      <c r="F163" s="265"/>
      <c r="G163" s="265"/>
      <c r="H163" s="265"/>
      <c r="I163" s="265"/>
      <c r="J163" s="266"/>
      <c r="K163" s="266"/>
      <c r="L163" s="266"/>
      <c r="M163" s="266"/>
      <c r="N163" s="266"/>
      <c r="O163" s="266"/>
      <c r="P163" s="266"/>
      <c r="Q163" s="266"/>
      <c r="R163" s="266"/>
      <c r="S163" s="266"/>
      <c r="T163" s="267"/>
      <c r="U163" s="267"/>
      <c r="V163" s="267"/>
      <c r="W163" s="267"/>
      <c r="X163" s="267"/>
      <c r="Y163" s="267"/>
      <c r="Z163" s="267"/>
      <c r="AA163" s="267"/>
      <c r="AB163" s="267"/>
      <c r="AC163" s="267"/>
      <c r="AD163" s="267"/>
      <c r="AE163" s="267"/>
      <c r="AF163" s="267"/>
      <c r="AG163" s="267"/>
      <c r="AH163" s="43"/>
      <c r="AI163" s="43"/>
      <c r="AJ163" s="43"/>
      <c r="AK163" s="43"/>
      <c r="AL163" s="43"/>
      <c r="AM163" s="43"/>
      <c r="AN163" s="43"/>
      <c r="AO163" s="43"/>
      <c r="AP163" s="43"/>
      <c r="AQ163" s="43"/>
      <c r="AR163" s="43"/>
      <c r="AS163" s="43"/>
      <c r="AT163" s="43"/>
      <c r="AU163" s="43"/>
      <c r="AV163" s="43"/>
      <c r="AW163" s="43"/>
      <c r="AX163" s="43"/>
      <c r="AY163" s="43"/>
      <c r="AZ163" s="43"/>
      <c r="BA163" s="43"/>
      <c r="BB163" s="43"/>
      <c r="BC163" s="43"/>
      <c r="BD163" s="43"/>
      <c r="BE163" s="43"/>
      <c r="BF163" s="43"/>
      <c r="BG163" s="43"/>
      <c r="BH163" s="43"/>
      <c r="BI163" s="43"/>
      <c r="BJ163" s="43"/>
      <c r="BK163" s="43"/>
      <c r="BL163" s="43"/>
      <c r="BM163" s="43"/>
      <c r="BN163" s="43"/>
      <c r="BO163" s="43"/>
      <c r="BP163" s="43"/>
      <c r="BQ163" s="43"/>
      <c r="BR163" s="43"/>
      <c r="BS163" s="43"/>
      <c r="BT163" s="43"/>
      <c r="BU163" s="43"/>
      <c r="BV163" s="43"/>
      <c r="BW163" s="43"/>
      <c r="BX163" s="43"/>
      <c r="BY163" s="43"/>
      <c r="BZ163" s="43"/>
      <c r="CA163" s="43"/>
      <c r="CB163" s="43"/>
      <c r="CC163" s="43"/>
      <c r="CD163" s="43"/>
      <c r="CE163" s="43"/>
      <c r="CF163" s="43"/>
      <c r="CG163" s="43"/>
      <c r="CH163" s="43"/>
      <c r="CI163" s="43"/>
      <c r="CJ163" s="43"/>
      <c r="CK163" s="43"/>
      <c r="CL163" s="43"/>
      <c r="CM163" s="43"/>
      <c r="CN163" s="43"/>
      <c r="CO163" s="43"/>
      <c r="CP163" s="43"/>
      <c r="CQ163" s="43"/>
      <c r="CR163" s="43"/>
      <c r="CS163" s="43"/>
      <c r="CT163" s="43"/>
      <c r="CU163" s="43"/>
      <c r="CV163" s="43"/>
      <c r="CW163" s="43"/>
      <c r="CX163" s="43"/>
      <c r="CY163" s="43"/>
      <c r="CZ163" s="43"/>
      <c r="DA163" s="43"/>
      <c r="DB163" s="43"/>
      <c r="DC163" s="43"/>
      <c r="DD163" s="43"/>
      <c r="DE163" s="43"/>
      <c r="DF163" s="43"/>
      <c r="DG163" s="43"/>
      <c r="DH163" s="43"/>
      <c r="DI163" s="43"/>
      <c r="DJ163" s="43"/>
      <c r="DK163" s="43"/>
      <c r="DL163" s="43"/>
      <c r="DM163" s="43"/>
      <c r="DN163" s="43"/>
      <c r="DO163" s="43"/>
      <c r="DP163" s="43"/>
      <c r="DQ163" s="43"/>
      <c r="DR163" s="43"/>
      <c r="DS163" s="43"/>
      <c r="DT163" s="43"/>
      <c r="DU163" s="43"/>
      <c r="DV163" s="43"/>
      <c r="DW163" s="43"/>
      <c r="DX163" s="43"/>
      <c r="DY163" s="43"/>
      <c r="DZ163" s="43"/>
      <c r="EA163" s="43"/>
      <c r="EB163" s="43"/>
      <c r="EC163" s="43"/>
      <c r="ED163" s="43"/>
      <c r="EE163" s="43"/>
      <c r="EF163" s="43"/>
      <c r="EG163" s="43"/>
      <c r="EH163" s="43"/>
      <c r="EI163" s="43"/>
      <c r="EJ163" s="43"/>
      <c r="EK163" s="43"/>
      <c r="EL163" s="43"/>
      <c r="EM163" s="43"/>
      <c r="EN163" s="43"/>
      <c r="EO163" s="43"/>
      <c r="EP163" s="43"/>
      <c r="EQ163" s="43"/>
      <c r="ER163" s="43"/>
      <c r="ES163" s="43"/>
      <c r="ET163" s="43"/>
      <c r="EU163" s="43"/>
      <c r="EV163" s="43"/>
      <c r="EW163" s="43"/>
      <c r="EX163" s="43"/>
      <c r="EY163" s="43"/>
      <c r="EZ163" s="43"/>
      <c r="FA163" s="43"/>
      <c r="FB163" s="43"/>
      <c r="FC163" s="43"/>
      <c r="FD163" s="43"/>
      <c r="FE163" s="43"/>
      <c r="FF163" s="43"/>
      <c r="FG163" s="43"/>
      <c r="FH163" s="43"/>
      <c r="FI163" s="43"/>
      <c r="FJ163" s="43"/>
      <c r="FK163" s="43"/>
      <c r="FL163" s="43"/>
      <c r="FM163" s="43"/>
      <c r="FN163" s="43"/>
      <c r="FO163" s="43"/>
      <c r="FP163" s="43"/>
      <c r="FQ163" s="43"/>
      <c r="FR163" s="43"/>
      <c r="FS163" s="43"/>
      <c r="FT163" s="43"/>
      <c r="FU163" s="43"/>
      <c r="FV163" s="43"/>
      <c r="FW163" s="43"/>
      <c r="FX163" s="43"/>
      <c r="FY163" s="43"/>
      <c r="FZ163" s="43"/>
      <c r="GA163" s="43"/>
      <c r="GB163" s="43"/>
      <c r="GC163" s="43"/>
      <c r="GD163" s="43"/>
      <c r="GE163" s="43"/>
      <c r="GF163" s="43"/>
      <c r="GG163" s="43"/>
      <c r="GH163" s="43"/>
      <c r="GI163" s="43"/>
      <c r="GJ163" s="43"/>
      <c r="GK163" s="43"/>
      <c r="GL163" s="43"/>
      <c r="GM163" s="43"/>
      <c r="GN163" s="43"/>
      <c r="GO163" s="43"/>
      <c r="GP163" s="43"/>
      <c r="GQ163" s="43"/>
      <c r="GR163" s="43"/>
      <c r="GS163" s="43"/>
      <c r="GT163" s="43"/>
      <c r="GU163" s="43"/>
      <c r="GV163" s="43"/>
      <c r="GW163" s="43"/>
      <c r="GX163" s="43"/>
      <c r="GY163" s="43"/>
      <c r="GZ163" s="43"/>
      <c r="HA163" s="43"/>
      <c r="HB163" s="43"/>
      <c r="HC163" s="43"/>
      <c r="HD163" s="43"/>
      <c r="HE163" s="43"/>
      <c r="HF163" s="43"/>
      <c r="HG163" s="43"/>
      <c r="HH163" s="43"/>
      <c r="HI163" s="43"/>
      <c r="HJ163" s="43"/>
      <c r="HK163" s="43"/>
      <c r="HL163" s="43"/>
      <c r="HM163" s="43"/>
      <c r="HN163" s="43"/>
      <c r="HO163" s="43"/>
      <c r="HP163" s="43"/>
      <c r="HQ163" s="43"/>
      <c r="HR163"/>
      <c r="HS163"/>
      <c r="HT163"/>
      <c r="HU163"/>
      <c r="HV163"/>
      <c r="HW163"/>
      <c r="HX163"/>
      <c r="HY163"/>
      <c r="HZ163"/>
      <c r="IA163"/>
      <c r="IB163"/>
      <c r="IC163"/>
      <c r="ID163"/>
      <c r="IE163"/>
      <c r="IF163"/>
      <c r="IG163"/>
      <c r="IH163"/>
      <c r="II163"/>
      <c r="IJ163"/>
      <c r="IK163" s="32"/>
      <c r="IL163" s="32"/>
      <c r="IM163" s="32"/>
      <c r="IN163" s="32"/>
      <c r="IO163" s="32"/>
      <c r="IP163" s="32"/>
      <c r="IQ163" s="32"/>
    </row>
    <row r="164" spans="1:251" s="33" customFormat="1">
      <c r="A164" s="79"/>
      <c r="B164" s="43"/>
      <c r="C164" s="43"/>
      <c r="D164" s="43"/>
      <c r="E164" s="100"/>
      <c r="F164" s="163"/>
      <c r="G164" s="163"/>
      <c r="H164" s="163"/>
      <c r="I164" s="164"/>
      <c r="J164" s="163"/>
      <c r="K164" s="163"/>
      <c r="L164" s="163"/>
      <c r="M164" s="163"/>
      <c r="N164" s="163"/>
      <c r="O164" s="163"/>
      <c r="P164" s="163"/>
      <c r="Q164" s="163"/>
      <c r="R164" s="163"/>
      <c r="S164" s="163"/>
      <c r="T164" s="163"/>
      <c r="U164" s="163"/>
      <c r="V164" s="163"/>
      <c r="W164" s="163"/>
      <c r="X164" s="163"/>
      <c r="Y164" s="163"/>
      <c r="Z164" s="163"/>
      <c r="AA164" s="163"/>
      <c r="AB164" s="163"/>
      <c r="AC164" s="163"/>
      <c r="AD164" s="163"/>
      <c r="AE164" s="163"/>
      <c r="AF164" s="163"/>
      <c r="AG164" s="163"/>
      <c r="AH164" s="87"/>
      <c r="AI164" s="241"/>
      <c r="AJ164" s="43"/>
      <c r="AK164" s="43"/>
      <c r="AL164" s="43"/>
      <c r="AM164" s="43"/>
      <c r="AN164" s="43"/>
      <c r="AO164" s="43"/>
      <c r="AP164" s="43"/>
      <c r="AQ164" s="43"/>
      <c r="AR164" s="43"/>
      <c r="AS164" s="43"/>
      <c r="AT164" s="43"/>
      <c r="AU164" s="43"/>
      <c r="AV164" s="43"/>
      <c r="AW164" s="43"/>
      <c r="AX164" s="43"/>
      <c r="AY164" s="43"/>
      <c r="AZ164" s="43"/>
      <c r="BA164" s="43"/>
      <c r="BB164" s="43"/>
      <c r="BC164" s="43"/>
      <c r="BD164" s="43"/>
      <c r="BE164" s="43"/>
      <c r="BF164" s="43"/>
      <c r="BG164" s="43"/>
      <c r="BH164" s="43"/>
      <c r="BI164" s="43"/>
      <c r="BJ164" s="43"/>
      <c r="BK164" s="43"/>
      <c r="BL164" s="43"/>
      <c r="BM164" s="43"/>
      <c r="BN164" s="43"/>
      <c r="BO164" s="43"/>
      <c r="BP164" s="43"/>
      <c r="BQ164" s="43"/>
      <c r="BR164" s="43"/>
      <c r="BS164" s="43"/>
      <c r="BT164" s="43"/>
      <c r="BU164" s="43"/>
      <c r="BV164" s="43"/>
      <c r="BW164" s="43"/>
      <c r="BX164" s="43"/>
      <c r="BY164" s="43"/>
      <c r="BZ164" s="43"/>
      <c r="CA164" s="43"/>
      <c r="CB164" s="43"/>
      <c r="CC164" s="43"/>
      <c r="CD164" s="43"/>
      <c r="CE164" s="43"/>
      <c r="CF164" s="43"/>
      <c r="CG164" s="43"/>
      <c r="CH164" s="43"/>
      <c r="CI164" s="43"/>
      <c r="CJ164" s="43"/>
      <c r="CK164" s="43"/>
      <c r="CL164" s="43"/>
      <c r="CM164" s="43"/>
      <c r="CN164" s="43"/>
      <c r="CO164" s="43"/>
      <c r="CP164" s="43"/>
      <c r="CQ164" s="43"/>
      <c r="CR164" s="43"/>
      <c r="CS164" s="43"/>
      <c r="CT164" s="43"/>
      <c r="CU164" s="43"/>
      <c r="CV164" s="43"/>
      <c r="CW164" s="43"/>
      <c r="CX164" s="43"/>
      <c r="CY164" s="43"/>
      <c r="CZ164" s="43"/>
      <c r="DA164" s="43"/>
      <c r="DB164" s="43"/>
      <c r="DC164" s="43"/>
      <c r="DD164" s="43"/>
      <c r="DE164" s="43"/>
      <c r="DF164" s="43"/>
      <c r="DG164" s="43"/>
      <c r="DH164" s="43"/>
      <c r="DI164" s="43"/>
      <c r="DJ164" s="43"/>
      <c r="DK164" s="43"/>
      <c r="DL164" s="43"/>
      <c r="DM164" s="43"/>
      <c r="DN164" s="43"/>
      <c r="DO164" s="43"/>
      <c r="DP164" s="43"/>
      <c r="DQ164" s="43"/>
      <c r="DR164" s="43"/>
      <c r="DS164" s="43"/>
      <c r="DT164" s="43"/>
      <c r="DU164" s="43"/>
      <c r="DV164" s="43"/>
      <c r="DW164" s="43"/>
      <c r="DX164" s="43"/>
      <c r="DY164" s="43"/>
      <c r="DZ164" s="43"/>
      <c r="EA164" s="43"/>
      <c r="EB164" s="43"/>
      <c r="EC164" s="43"/>
      <c r="ED164" s="43"/>
      <c r="EE164" s="43"/>
      <c r="EF164" s="43"/>
      <c r="EG164" s="43"/>
      <c r="EH164" s="43"/>
      <c r="EI164" s="43"/>
      <c r="EJ164" s="43"/>
      <c r="EK164" s="43"/>
      <c r="EL164" s="43"/>
      <c r="EM164" s="43"/>
      <c r="EN164" s="43"/>
      <c r="EO164" s="43"/>
      <c r="EP164" s="43"/>
      <c r="EQ164" s="43"/>
      <c r="ER164" s="43"/>
      <c r="ES164" s="43"/>
      <c r="ET164" s="43"/>
      <c r="EU164" s="43"/>
      <c r="EV164" s="43"/>
      <c r="EW164" s="43"/>
      <c r="EX164" s="43"/>
      <c r="EY164" s="43"/>
      <c r="EZ164" s="43"/>
      <c r="FA164" s="43"/>
      <c r="FB164" s="43"/>
      <c r="FC164" s="43"/>
      <c r="FD164" s="43"/>
      <c r="FE164" s="43"/>
      <c r="FF164" s="43"/>
      <c r="FG164" s="43"/>
      <c r="FH164" s="43"/>
      <c r="FI164" s="43"/>
      <c r="FJ164" s="43"/>
      <c r="FK164" s="43"/>
      <c r="FL164" s="43"/>
      <c r="FM164" s="43"/>
      <c r="FN164" s="43"/>
      <c r="FO164" s="43"/>
      <c r="FP164" s="43"/>
      <c r="FQ164" s="43"/>
      <c r="FR164" s="43"/>
      <c r="FS164" s="43"/>
      <c r="FT164" s="43"/>
      <c r="FU164" s="43"/>
      <c r="FV164" s="43"/>
      <c r="FW164" s="43"/>
      <c r="FX164" s="43"/>
      <c r="FY164" s="43"/>
      <c r="FZ164" s="43"/>
      <c r="GA164" s="43"/>
      <c r="GB164" s="43"/>
      <c r="GC164" s="43"/>
      <c r="GD164" s="43"/>
      <c r="GE164" s="43"/>
      <c r="GF164" s="43"/>
      <c r="GG164" s="43"/>
      <c r="GH164" s="43"/>
      <c r="GI164" s="43"/>
      <c r="GJ164" s="43"/>
      <c r="GK164" s="43"/>
      <c r="GL164" s="43"/>
      <c r="GM164" s="43"/>
      <c r="GN164" s="43"/>
      <c r="GO164" s="43"/>
      <c r="GP164" s="43"/>
      <c r="GQ164" s="43"/>
      <c r="GR164" s="43"/>
      <c r="GS164" s="43"/>
      <c r="GT164" s="43"/>
      <c r="GU164" s="43"/>
      <c r="GV164" s="43"/>
      <c r="GW164" s="43"/>
      <c r="GX164" s="43"/>
      <c r="GY164" s="43"/>
      <c r="GZ164" s="43"/>
      <c r="HA164" s="43"/>
      <c r="HB164" s="43"/>
      <c r="HC164" s="43"/>
      <c r="HD164" s="43"/>
      <c r="HE164" s="43"/>
      <c r="HF164" s="43"/>
      <c r="HG164" s="43"/>
      <c r="HH164" s="43"/>
      <c r="HI164" s="43"/>
      <c r="HJ164" s="43"/>
      <c r="HK164" s="43"/>
      <c r="HL164" s="43"/>
      <c r="HM164" s="43"/>
      <c r="HN164" s="43"/>
      <c r="HO164" s="43"/>
      <c r="HP164" s="43"/>
      <c r="HQ164" s="43"/>
      <c r="HR164"/>
      <c r="HS164"/>
      <c r="HT164"/>
      <c r="HU164"/>
      <c r="HV164"/>
      <c r="HW164"/>
      <c r="HX164"/>
      <c r="HY164"/>
      <c r="HZ164"/>
      <c r="IA164"/>
      <c r="IB164"/>
      <c r="IC164"/>
      <c r="ID164"/>
      <c r="IE164"/>
      <c r="IF164"/>
      <c r="IG164"/>
      <c r="IH164"/>
      <c r="II164"/>
      <c r="IJ164"/>
      <c r="IK164" s="32"/>
      <c r="IL164" s="32"/>
      <c r="IM164" s="32"/>
      <c r="IN164" s="32"/>
      <c r="IO164" s="32"/>
      <c r="IP164" s="32"/>
      <c r="IQ164" s="32"/>
    </row>
    <row r="165" spans="1:251" s="33" customFormat="1">
      <c r="A165" s="129" t="s">
        <v>581</v>
      </c>
      <c r="B165" s="43"/>
      <c r="C165" s="43"/>
      <c r="D165" s="43"/>
      <c r="E165" s="43"/>
      <c r="F165" s="43"/>
      <c r="G165" s="43"/>
      <c r="H165" s="43"/>
      <c r="I165" s="43"/>
      <c r="J165" s="43"/>
      <c r="K165" s="43"/>
      <c r="L165" s="43"/>
      <c r="M165" s="43"/>
      <c r="N165" s="43"/>
      <c r="O165" s="43"/>
      <c r="P165" s="43"/>
      <c r="Q165" s="43"/>
      <c r="R165" s="43"/>
      <c r="S165" s="43"/>
      <c r="T165" s="43"/>
      <c r="U165" s="43"/>
      <c r="V165" s="43"/>
      <c r="W165" s="43"/>
      <c r="X165" s="43"/>
      <c r="Y165" s="43"/>
      <c r="Z165" s="43"/>
      <c r="AA165" s="43"/>
      <c r="AB165" s="43"/>
      <c r="AC165" s="43"/>
      <c r="AD165" s="43"/>
      <c r="AE165" s="43"/>
      <c r="AF165" s="43"/>
      <c r="AG165" s="43"/>
      <c r="AH165" s="43"/>
      <c r="AI165" s="43"/>
      <c r="AJ165" s="43"/>
      <c r="AK165" s="43"/>
      <c r="AL165" s="43"/>
      <c r="AM165" s="43"/>
      <c r="AN165" s="43"/>
      <c r="AO165" s="43"/>
      <c r="AP165" s="43"/>
      <c r="AQ165" s="43"/>
      <c r="AR165" s="43"/>
      <c r="AS165" s="43"/>
      <c r="AT165" s="43"/>
      <c r="AU165" s="43"/>
      <c r="AV165" s="43"/>
      <c r="AW165" s="43"/>
      <c r="AX165" s="43"/>
      <c r="AY165" s="43"/>
      <c r="AZ165" s="43"/>
      <c r="BA165" s="43"/>
      <c r="BB165" s="43"/>
      <c r="BC165" s="43"/>
      <c r="BD165" s="43"/>
      <c r="BE165" s="43"/>
      <c r="BF165" s="43"/>
      <c r="BG165" s="43"/>
      <c r="BH165" s="43"/>
      <c r="BI165" s="43"/>
      <c r="BJ165" s="43"/>
      <c r="BK165" s="43"/>
      <c r="BL165" s="43"/>
      <c r="BM165" s="43"/>
      <c r="BN165" s="43"/>
      <c r="BO165" s="43"/>
      <c r="BP165" s="43"/>
      <c r="BQ165" s="43"/>
      <c r="BR165" s="43"/>
      <c r="BS165" s="43"/>
      <c r="BT165" s="43"/>
      <c r="BU165" s="43"/>
      <c r="BV165" s="43"/>
      <c r="BW165" s="43"/>
      <c r="BX165" s="43"/>
      <c r="BY165" s="43"/>
      <c r="BZ165" s="43"/>
      <c r="CA165" s="43"/>
      <c r="CB165" s="43"/>
      <c r="CC165" s="43"/>
      <c r="CD165" s="43"/>
      <c r="CE165" s="43"/>
      <c r="CF165" s="43"/>
      <c r="CG165" s="43"/>
      <c r="CH165" s="43"/>
      <c r="CI165" s="43"/>
      <c r="CJ165" s="43"/>
      <c r="CK165" s="43"/>
      <c r="CL165" s="43"/>
      <c r="CM165" s="43"/>
      <c r="CN165" s="43"/>
      <c r="CO165" s="43"/>
      <c r="CP165" s="43"/>
      <c r="CQ165" s="43"/>
      <c r="CR165" s="43"/>
      <c r="CS165" s="43"/>
      <c r="CT165" s="43"/>
      <c r="CU165" s="43"/>
      <c r="CV165" s="43"/>
      <c r="CW165" s="43"/>
      <c r="CX165" s="43"/>
      <c r="CY165" s="43"/>
      <c r="CZ165" s="43"/>
      <c r="DA165" s="43"/>
      <c r="DB165" s="43"/>
      <c r="DC165" s="43"/>
      <c r="DD165" s="43"/>
      <c r="DE165" s="43"/>
      <c r="DF165" s="43"/>
      <c r="DG165" s="43"/>
      <c r="DH165" s="43"/>
      <c r="DI165" s="43"/>
      <c r="DJ165" s="43"/>
      <c r="DK165" s="43"/>
      <c r="DL165" s="43"/>
      <c r="DM165" s="43"/>
      <c r="DN165" s="43"/>
      <c r="DO165" s="43"/>
      <c r="DP165" s="43"/>
      <c r="DQ165" s="43"/>
      <c r="DR165" s="43"/>
      <c r="DS165" s="43"/>
      <c r="DT165" s="43"/>
      <c r="DU165" s="43"/>
      <c r="DV165" s="43"/>
      <c r="DW165" s="43"/>
      <c r="DX165" s="43"/>
      <c r="DY165" s="43"/>
      <c r="DZ165" s="43"/>
      <c r="EA165" s="43"/>
      <c r="EB165" s="43"/>
      <c r="EC165" s="43"/>
      <c r="ED165" s="43"/>
      <c r="EE165" s="43"/>
      <c r="EF165" s="43"/>
      <c r="EG165" s="43"/>
      <c r="EH165" s="43"/>
      <c r="EI165" s="43"/>
      <c r="EJ165" s="43"/>
      <c r="EK165" s="43"/>
      <c r="EL165" s="43"/>
      <c r="EM165" s="43"/>
      <c r="EN165" s="43"/>
      <c r="EO165" s="43"/>
      <c r="EP165" s="43"/>
      <c r="EQ165" s="43"/>
      <c r="ER165" s="43"/>
      <c r="ES165" s="43"/>
      <c r="ET165" s="43"/>
      <c r="EU165" s="43"/>
      <c r="EV165" s="43"/>
      <c r="EW165" s="43"/>
      <c r="EX165" s="43"/>
      <c r="EY165" s="43"/>
      <c r="EZ165" s="43"/>
      <c r="FA165" s="43"/>
      <c r="FB165" s="43"/>
      <c r="FC165" s="43"/>
      <c r="FD165" s="43"/>
      <c r="FE165" s="43"/>
      <c r="FF165" s="43"/>
      <c r="FG165" s="43"/>
      <c r="FH165" s="43"/>
      <c r="FI165" s="43"/>
      <c r="FJ165" s="43"/>
      <c r="FK165" s="43"/>
      <c r="FL165" s="43"/>
      <c r="FM165" s="43"/>
      <c r="FN165" s="43"/>
      <c r="FO165" s="43"/>
      <c r="FP165" s="43"/>
      <c r="FQ165" s="43"/>
      <c r="FR165" s="43"/>
      <c r="FS165" s="43"/>
      <c r="FT165" s="43"/>
      <c r="FU165" s="43"/>
      <c r="FV165" s="43"/>
      <c r="FW165" s="43"/>
      <c r="FX165" s="43"/>
      <c r="FY165" s="43"/>
      <c r="FZ165" s="43"/>
      <c r="GA165" s="43"/>
      <c r="GB165" s="43"/>
      <c r="GC165" s="43"/>
      <c r="GD165" s="43"/>
      <c r="GE165" s="43"/>
      <c r="GF165" s="43"/>
      <c r="GG165" s="43"/>
      <c r="GH165" s="43"/>
      <c r="GI165" s="43"/>
      <c r="GJ165" s="43"/>
      <c r="GK165" s="43"/>
      <c r="GL165" s="43"/>
      <c r="GM165" s="43"/>
      <c r="GN165" s="43"/>
      <c r="GO165" s="43"/>
      <c r="GP165" s="43"/>
      <c r="GQ165" s="43"/>
      <c r="GR165" s="43"/>
      <c r="GS165" s="43"/>
      <c r="GT165" s="43"/>
      <c r="GU165" s="43"/>
      <c r="GV165" s="43"/>
      <c r="GW165" s="43"/>
      <c r="GX165" s="43"/>
      <c r="GY165" s="43"/>
      <c r="GZ165" s="43"/>
      <c r="HA165" s="43"/>
      <c r="HB165" s="43"/>
      <c r="HC165" s="43"/>
      <c r="HD165" s="43"/>
      <c r="HE165" s="43"/>
      <c r="HF165" s="43"/>
      <c r="HG165" s="43"/>
      <c r="HH165" s="43"/>
      <c r="HI165" s="43"/>
      <c r="HJ165" s="43"/>
      <c r="HK165" s="43"/>
      <c r="HL165" s="43"/>
      <c r="HM165" s="43"/>
      <c r="HN165" s="43"/>
      <c r="HO165" s="43"/>
      <c r="HP165" s="43"/>
      <c r="HQ165" s="43"/>
      <c r="HR165"/>
      <c r="HS165"/>
      <c r="HT165"/>
      <c r="HU165"/>
      <c r="HV165"/>
      <c r="HW165"/>
      <c r="HX165"/>
      <c r="HY165"/>
      <c r="HZ165"/>
      <c r="IA165"/>
      <c r="IB165"/>
      <c r="IC165"/>
      <c r="ID165"/>
      <c r="IE165"/>
      <c r="IF165"/>
      <c r="IG165"/>
      <c r="IH165"/>
      <c r="II165"/>
      <c r="IJ165"/>
      <c r="IK165" s="32"/>
      <c r="IL165" s="32"/>
      <c r="IM165" s="32"/>
      <c r="IN165" s="32"/>
      <c r="IO165" s="32"/>
      <c r="IP165" s="32"/>
      <c r="IQ165" s="32"/>
    </row>
    <row r="166" spans="1:251" s="33" customFormat="1">
      <c r="A166" s="43" t="s">
        <v>420</v>
      </c>
      <c r="B166" s="43"/>
      <c r="C166" s="43"/>
      <c r="D166" s="177">
        <v>6324</v>
      </c>
      <c r="E166" s="177">
        <v>7527</v>
      </c>
      <c r="F166" s="177">
        <v>8118</v>
      </c>
      <c r="G166" s="177">
        <v>8691</v>
      </c>
      <c r="H166" s="177">
        <v>9075</v>
      </c>
      <c r="I166" s="177">
        <v>8393</v>
      </c>
      <c r="J166" s="177">
        <f t="shared" ref="J166:O166" si="167">+J28</f>
        <v>7827</v>
      </c>
      <c r="K166" s="177">
        <f t="shared" si="167"/>
        <v>7189</v>
      </c>
      <c r="L166" s="177">
        <f t="shared" si="167"/>
        <v>6740</v>
      </c>
      <c r="M166" s="177">
        <f t="shared" si="167"/>
        <v>6740</v>
      </c>
      <c r="N166" s="177">
        <f t="shared" si="167"/>
        <v>6029</v>
      </c>
      <c r="O166" s="177">
        <f t="shared" si="167"/>
        <v>6029</v>
      </c>
      <c r="P166" s="177">
        <f t="shared" ref="P166:W166" si="168">P30</f>
        <v>5483</v>
      </c>
      <c r="Q166" s="177">
        <f t="shared" si="168"/>
        <v>4831</v>
      </c>
      <c r="R166" s="177">
        <f t="shared" si="168"/>
        <v>4531</v>
      </c>
      <c r="S166" s="177">
        <f t="shared" si="168"/>
        <v>3577</v>
      </c>
      <c r="T166" s="177">
        <f t="shared" si="168"/>
        <v>2598</v>
      </c>
      <c r="U166" s="177">
        <f t="shared" si="168"/>
        <v>1997</v>
      </c>
      <c r="V166" s="177">
        <f t="shared" si="168"/>
        <v>1614</v>
      </c>
      <c r="W166" s="177">
        <f t="shared" si="168"/>
        <v>1239</v>
      </c>
      <c r="X166" s="177">
        <f t="shared" ref="X166" si="169">X30</f>
        <v>1028</v>
      </c>
      <c r="Y166" s="177">
        <f t="shared" ref="Y166:AG166" si="170">X166*(1+Y167)</f>
        <v>852.93301049233253</v>
      </c>
      <c r="Z166" s="177">
        <f t="shared" si="170"/>
        <v>707.67968909291187</v>
      </c>
      <c r="AA166" s="177">
        <f t="shared" si="170"/>
        <v>587.16280902947005</v>
      </c>
      <c r="AB166" s="177">
        <f t="shared" si="170"/>
        <v>487.16978828272414</v>
      </c>
      <c r="AC166" s="177">
        <f t="shared" si="170"/>
        <v>404.20544177129977</v>
      </c>
      <c r="AD166" s="177">
        <f t="shared" si="170"/>
        <v>335.36980963752717</v>
      </c>
      <c r="AE166" s="177">
        <f t="shared" si="170"/>
        <v>278.25679120853749</v>
      </c>
      <c r="AF166" s="177">
        <f t="shared" si="170"/>
        <v>230.87004145470263</v>
      </c>
      <c r="AG166" s="177">
        <f t="shared" si="170"/>
        <v>191.55319016580654</v>
      </c>
      <c r="AH166" s="43"/>
      <c r="AI166" s="43"/>
      <c r="AJ166" s="43"/>
      <c r="AK166" s="43"/>
      <c r="AL166" s="43"/>
      <c r="AM166" s="43"/>
      <c r="AN166" s="43"/>
      <c r="AO166" s="43"/>
      <c r="AP166" s="43"/>
      <c r="AQ166" s="43"/>
      <c r="AR166" s="43"/>
      <c r="AS166" s="43"/>
      <c r="AT166" s="43"/>
      <c r="AU166" s="43"/>
      <c r="AV166" s="43"/>
      <c r="AW166" s="43"/>
      <c r="AX166" s="43"/>
      <c r="AY166" s="43"/>
      <c r="AZ166" s="43"/>
      <c r="BA166" s="43"/>
      <c r="BB166" s="43"/>
      <c r="BC166" s="43"/>
      <c r="BD166" s="43"/>
      <c r="BE166" s="43"/>
      <c r="BF166" s="43"/>
      <c r="BG166" s="43"/>
      <c r="BH166" s="43"/>
      <c r="BI166" s="43"/>
      <c r="BJ166" s="43"/>
      <c r="BK166" s="43"/>
      <c r="BL166" s="43"/>
      <c r="BM166" s="43"/>
      <c r="BN166" s="43"/>
      <c r="BO166" s="43"/>
      <c r="BP166" s="43"/>
      <c r="BQ166" s="43"/>
      <c r="BR166" s="43"/>
      <c r="BS166" s="43"/>
      <c r="BT166" s="43"/>
      <c r="BU166" s="43"/>
      <c r="BV166" s="43"/>
      <c r="BW166" s="43"/>
      <c r="BX166" s="43"/>
      <c r="BY166" s="43"/>
      <c r="BZ166" s="43"/>
      <c r="CA166" s="43"/>
      <c r="CB166" s="43"/>
      <c r="CC166" s="43"/>
      <c r="CD166" s="43"/>
      <c r="CE166" s="43"/>
      <c r="CF166" s="43"/>
      <c r="CG166" s="43"/>
      <c r="CH166" s="43"/>
      <c r="CI166" s="43"/>
      <c r="CJ166" s="43"/>
      <c r="CK166" s="43"/>
      <c r="CL166" s="43"/>
      <c r="CM166" s="43"/>
      <c r="CN166" s="43"/>
      <c r="CO166" s="43"/>
      <c r="CP166" s="43"/>
      <c r="CQ166" s="43"/>
      <c r="CR166" s="43"/>
      <c r="CS166" s="43"/>
      <c r="CT166" s="43"/>
      <c r="CU166" s="43"/>
      <c r="CV166" s="43"/>
      <c r="CW166" s="43"/>
      <c r="CX166" s="43"/>
      <c r="CY166" s="43"/>
      <c r="CZ166" s="43"/>
      <c r="DA166" s="43"/>
      <c r="DB166" s="43"/>
      <c r="DC166" s="43"/>
      <c r="DD166" s="43"/>
      <c r="DE166" s="43"/>
      <c r="DF166" s="43"/>
      <c r="DG166" s="43"/>
      <c r="DH166" s="43"/>
      <c r="DI166" s="43"/>
      <c r="DJ166" s="43"/>
      <c r="DK166" s="43"/>
      <c r="DL166" s="43"/>
      <c r="DM166" s="43"/>
      <c r="DN166" s="43"/>
      <c r="DO166" s="43"/>
      <c r="DP166" s="43"/>
      <c r="DQ166" s="43"/>
      <c r="DR166" s="43"/>
      <c r="DS166" s="43"/>
      <c r="DT166" s="43"/>
      <c r="DU166" s="43"/>
      <c r="DV166" s="43"/>
      <c r="DW166" s="43"/>
      <c r="DX166" s="43"/>
      <c r="DY166" s="43"/>
      <c r="DZ166" s="43"/>
      <c r="EA166" s="43"/>
      <c r="EB166" s="43"/>
      <c r="EC166" s="43"/>
      <c r="ED166" s="43"/>
      <c r="EE166" s="43"/>
      <c r="EF166" s="43"/>
      <c r="EG166" s="43"/>
      <c r="EH166" s="43"/>
      <c r="EI166" s="43"/>
      <c r="EJ166" s="43"/>
      <c r="EK166" s="43"/>
      <c r="EL166" s="43"/>
      <c r="EM166" s="43"/>
      <c r="EN166" s="43"/>
      <c r="EO166" s="43"/>
      <c r="EP166" s="43"/>
      <c r="EQ166" s="43"/>
      <c r="ER166" s="43"/>
      <c r="ES166" s="43"/>
      <c r="ET166" s="43"/>
      <c r="EU166" s="43"/>
      <c r="EV166" s="43"/>
      <c r="EW166" s="43"/>
      <c r="EX166" s="43"/>
      <c r="EY166" s="43"/>
      <c r="EZ166" s="43"/>
      <c r="FA166" s="43"/>
      <c r="FB166" s="43"/>
      <c r="FC166" s="43"/>
      <c r="FD166" s="43"/>
      <c r="FE166" s="43"/>
      <c r="FF166" s="43"/>
      <c r="FG166" s="43"/>
      <c r="FH166" s="43"/>
      <c r="FI166" s="43"/>
      <c r="FJ166" s="43"/>
      <c r="FK166" s="43"/>
      <c r="FL166" s="43"/>
      <c r="FM166" s="43"/>
      <c r="FN166" s="43"/>
      <c r="FO166" s="43"/>
      <c r="FP166" s="43"/>
      <c r="FQ166" s="43"/>
      <c r="FR166" s="43"/>
      <c r="FS166" s="43"/>
      <c r="FT166" s="43"/>
      <c r="FU166" s="43"/>
      <c r="FV166" s="43"/>
      <c r="FW166" s="43"/>
      <c r="FX166" s="43"/>
      <c r="FY166" s="43"/>
      <c r="FZ166" s="43"/>
      <c r="GA166" s="43"/>
      <c r="GB166" s="43"/>
      <c r="GC166" s="43"/>
      <c r="GD166" s="43"/>
      <c r="GE166" s="43"/>
      <c r="GF166" s="43"/>
      <c r="GG166" s="43"/>
      <c r="GH166" s="43"/>
      <c r="GI166" s="43"/>
      <c r="GJ166" s="43"/>
      <c r="GK166" s="43"/>
      <c r="GL166" s="43"/>
      <c r="GM166" s="43"/>
      <c r="GN166" s="43"/>
      <c r="GO166" s="43"/>
      <c r="GP166" s="43"/>
      <c r="GQ166" s="43"/>
      <c r="GR166" s="43"/>
      <c r="GS166" s="43"/>
      <c r="GT166" s="43"/>
      <c r="GU166" s="43"/>
      <c r="GV166" s="43"/>
      <c r="GW166" s="43"/>
      <c r="GX166" s="43"/>
      <c r="GY166" s="43"/>
      <c r="GZ166" s="43"/>
      <c r="HA166" s="43"/>
      <c r="HB166" s="43"/>
      <c r="HC166" s="43"/>
      <c r="HD166" s="43"/>
      <c r="HE166" s="43"/>
      <c r="HF166" s="43"/>
      <c r="HG166" s="43"/>
      <c r="HH166" s="43"/>
      <c r="HI166" s="43"/>
      <c r="HJ166" s="43"/>
      <c r="HK166" s="43"/>
      <c r="HL166" s="43"/>
      <c r="HM166" s="43"/>
      <c r="HN166" s="43"/>
      <c r="HO166" s="43"/>
      <c r="HP166" s="43"/>
      <c r="HQ166" s="43"/>
      <c r="HR166"/>
      <c r="HS166"/>
      <c r="HT166"/>
      <c r="HU166"/>
      <c r="HV166"/>
      <c r="HW166"/>
      <c r="HX166"/>
      <c r="HY166"/>
      <c r="HZ166"/>
      <c r="IA166"/>
      <c r="IB166"/>
      <c r="IC166"/>
      <c r="ID166"/>
      <c r="IE166"/>
      <c r="IF166"/>
      <c r="IG166"/>
      <c r="IH166"/>
      <c r="II166"/>
      <c r="IJ166"/>
      <c r="IK166" s="32"/>
      <c r="IL166" s="32"/>
      <c r="IM166" s="32"/>
      <c r="IN166" s="32"/>
      <c r="IO166" s="32"/>
      <c r="IP166" s="32"/>
      <c r="IQ166" s="32"/>
    </row>
    <row r="167" spans="1:251" s="403" customFormat="1">
      <c r="A167" s="300" t="s">
        <v>523</v>
      </c>
      <c r="B167" s="300"/>
      <c r="C167" s="300"/>
      <c r="D167" s="891"/>
      <c r="E167" s="891">
        <f t="shared" ref="E167:V167" si="171">+E166/D166-1</f>
        <v>0.1902277039848197</v>
      </c>
      <c r="F167" s="891">
        <f t="shared" si="171"/>
        <v>7.8517337584695035E-2</v>
      </c>
      <c r="G167" s="891">
        <f t="shared" si="171"/>
        <v>7.0583887657058364E-2</v>
      </c>
      <c r="H167" s="891">
        <f t="shared" si="171"/>
        <v>4.4183638246461765E-2</v>
      </c>
      <c r="I167" s="891">
        <f t="shared" si="171"/>
        <v>-7.5151515151515191E-2</v>
      </c>
      <c r="J167" s="891">
        <f t="shared" si="171"/>
        <v>-6.7437150005957291E-2</v>
      </c>
      <c r="K167" s="891">
        <f t="shared" si="171"/>
        <v>-8.1512712405774845E-2</v>
      </c>
      <c r="L167" s="891">
        <f t="shared" si="171"/>
        <v>-6.2456530810961142E-2</v>
      </c>
      <c r="M167" s="891">
        <f t="shared" si="171"/>
        <v>0</v>
      </c>
      <c r="N167" s="891">
        <f t="shared" si="171"/>
        <v>-0.10548961424332348</v>
      </c>
      <c r="O167" s="891">
        <f t="shared" si="171"/>
        <v>0</v>
      </c>
      <c r="P167" s="891">
        <f t="shared" si="171"/>
        <v>-9.0562282302205976E-2</v>
      </c>
      <c r="Q167" s="891">
        <f t="shared" si="171"/>
        <v>-0.11891300383002001</v>
      </c>
      <c r="R167" s="891">
        <f t="shared" si="171"/>
        <v>-6.2098944317946603E-2</v>
      </c>
      <c r="S167" s="891">
        <f t="shared" si="171"/>
        <v>-0.21054954756124478</v>
      </c>
      <c r="T167" s="891">
        <f t="shared" si="171"/>
        <v>-0.27369303885937935</v>
      </c>
      <c r="U167" s="891">
        <f t="shared" si="171"/>
        <v>-0.23133179368745194</v>
      </c>
      <c r="V167" s="891">
        <f t="shared" si="171"/>
        <v>-0.19178768152228343</v>
      </c>
      <c r="W167" s="891">
        <f>+W166/V166-1</f>
        <v>-0.23234200743494426</v>
      </c>
      <c r="X167" s="891">
        <f>+X166/W166-1</f>
        <v>-0.17029862792574657</v>
      </c>
      <c r="Y167" s="1068">
        <f t="shared" ref="Y167:AB168" si="172">X167</f>
        <v>-0.17029862792574657</v>
      </c>
      <c r="Z167" s="892">
        <f t="shared" si="172"/>
        <v>-0.17029862792574657</v>
      </c>
      <c r="AA167" s="892">
        <f t="shared" si="172"/>
        <v>-0.17029862792574657</v>
      </c>
      <c r="AB167" s="892">
        <f t="shared" si="172"/>
        <v>-0.17029862792574657</v>
      </c>
      <c r="AC167" s="892">
        <f t="shared" ref="AC167:AG168" si="173">AB167</f>
        <v>-0.17029862792574657</v>
      </c>
      <c r="AD167" s="892">
        <f t="shared" si="173"/>
        <v>-0.17029862792574657</v>
      </c>
      <c r="AE167" s="892">
        <f t="shared" si="173"/>
        <v>-0.17029862792574657</v>
      </c>
      <c r="AF167" s="892">
        <f t="shared" si="173"/>
        <v>-0.17029862792574657</v>
      </c>
      <c r="AG167" s="892">
        <f t="shared" si="173"/>
        <v>-0.17029862792574657</v>
      </c>
      <c r="AH167" s="300"/>
      <c r="AI167" s="300"/>
      <c r="AJ167" s="300"/>
      <c r="AK167" s="300"/>
      <c r="AL167" s="300"/>
      <c r="AM167" s="300"/>
      <c r="AN167" s="300"/>
      <c r="AO167" s="300"/>
      <c r="AP167" s="300"/>
      <c r="AQ167" s="300"/>
      <c r="AR167" s="300"/>
      <c r="AS167" s="300"/>
      <c r="AT167" s="300"/>
      <c r="AU167" s="300"/>
      <c r="AV167" s="300"/>
      <c r="AW167" s="300"/>
      <c r="AX167" s="300"/>
      <c r="AY167" s="300"/>
      <c r="AZ167" s="300"/>
      <c r="BA167" s="300"/>
      <c r="BB167" s="300"/>
      <c r="BC167" s="300"/>
      <c r="BD167" s="300"/>
      <c r="BE167" s="300"/>
      <c r="BF167" s="300"/>
      <c r="BG167" s="300"/>
      <c r="BH167" s="300"/>
      <c r="BI167" s="300"/>
      <c r="BJ167" s="300"/>
      <c r="BK167" s="300"/>
      <c r="BL167" s="300"/>
      <c r="BM167" s="300"/>
      <c r="BN167" s="300"/>
      <c r="BO167" s="300"/>
      <c r="BP167" s="300"/>
      <c r="BQ167" s="300"/>
      <c r="BR167" s="300"/>
      <c r="BS167" s="300"/>
      <c r="BT167" s="300"/>
      <c r="BU167" s="300"/>
      <c r="BV167" s="300"/>
      <c r="BW167" s="300"/>
      <c r="BX167" s="300"/>
      <c r="BY167" s="300"/>
      <c r="BZ167" s="300"/>
      <c r="CA167" s="300"/>
      <c r="CB167" s="300"/>
      <c r="CC167" s="300"/>
      <c r="CD167" s="300"/>
      <c r="CE167" s="300"/>
      <c r="CF167" s="300"/>
      <c r="CG167" s="300"/>
      <c r="CH167" s="300"/>
      <c r="CI167" s="300"/>
      <c r="CJ167" s="300"/>
      <c r="CK167" s="300"/>
      <c r="CL167" s="300"/>
      <c r="CM167" s="300"/>
      <c r="CN167" s="300"/>
      <c r="CO167" s="300"/>
      <c r="CP167" s="300"/>
      <c r="CQ167" s="300"/>
      <c r="CR167" s="300"/>
      <c r="CS167" s="300"/>
      <c r="CT167" s="300"/>
      <c r="CU167" s="300"/>
      <c r="CV167" s="300"/>
      <c r="CW167" s="300"/>
      <c r="CX167" s="300"/>
      <c r="CY167" s="300"/>
      <c r="CZ167" s="300"/>
      <c r="DA167" s="300"/>
      <c r="DB167" s="300"/>
      <c r="DC167" s="300"/>
      <c r="DD167" s="300"/>
      <c r="DE167" s="300"/>
      <c r="DF167" s="300"/>
      <c r="DG167" s="300"/>
      <c r="DH167" s="300"/>
      <c r="DI167" s="300"/>
      <c r="DJ167" s="300"/>
      <c r="DK167" s="300"/>
      <c r="DL167" s="300"/>
      <c r="DM167" s="300"/>
      <c r="DN167" s="300"/>
      <c r="DO167" s="300"/>
      <c r="DP167" s="300"/>
      <c r="DQ167" s="300"/>
      <c r="DR167" s="300"/>
      <c r="DS167" s="300"/>
      <c r="DT167" s="300"/>
      <c r="DU167" s="300"/>
      <c r="DV167" s="300"/>
      <c r="DW167" s="300"/>
      <c r="DX167" s="300"/>
      <c r="DY167" s="300"/>
      <c r="DZ167" s="300"/>
      <c r="EA167" s="300"/>
      <c r="EB167" s="300"/>
      <c r="EC167" s="300"/>
      <c r="ED167" s="300"/>
      <c r="EE167" s="300"/>
      <c r="EF167" s="300"/>
      <c r="EG167" s="300"/>
      <c r="EH167" s="300"/>
      <c r="EI167" s="300"/>
      <c r="EJ167" s="300"/>
      <c r="EK167" s="300"/>
      <c r="EL167" s="300"/>
      <c r="EM167" s="300"/>
      <c r="EN167" s="300"/>
      <c r="EO167" s="300"/>
      <c r="EP167" s="300"/>
      <c r="EQ167" s="300"/>
      <c r="ER167" s="300"/>
      <c r="ES167" s="300"/>
      <c r="ET167" s="300"/>
      <c r="EU167" s="300"/>
      <c r="EV167" s="300"/>
      <c r="EW167" s="300"/>
      <c r="EX167" s="300"/>
      <c r="EY167" s="300"/>
      <c r="EZ167" s="300"/>
      <c r="FA167" s="300"/>
      <c r="FB167" s="300"/>
      <c r="FC167" s="300"/>
      <c r="FD167" s="300"/>
      <c r="FE167" s="300"/>
      <c r="FF167" s="300"/>
      <c r="FG167" s="300"/>
      <c r="FH167" s="300"/>
      <c r="FI167" s="300"/>
      <c r="FJ167" s="300"/>
      <c r="FK167" s="300"/>
      <c r="FL167" s="300"/>
      <c r="FM167" s="300"/>
      <c r="FN167" s="300"/>
      <c r="FO167" s="300"/>
      <c r="FP167" s="300"/>
      <c r="FQ167" s="300"/>
      <c r="FR167" s="300"/>
      <c r="FS167" s="300"/>
      <c r="FT167" s="300"/>
      <c r="FU167" s="300"/>
      <c r="FV167" s="300"/>
      <c r="FW167" s="300"/>
      <c r="FX167" s="300"/>
      <c r="FY167" s="300"/>
      <c r="FZ167" s="300"/>
      <c r="GA167" s="300"/>
      <c r="GB167" s="300"/>
      <c r="GC167" s="300"/>
      <c r="GD167" s="300"/>
      <c r="GE167" s="300"/>
      <c r="GF167" s="300"/>
      <c r="GG167" s="300"/>
      <c r="GH167" s="300"/>
      <c r="GI167" s="300"/>
      <c r="GJ167" s="300"/>
      <c r="GK167" s="300"/>
      <c r="GL167" s="300"/>
      <c r="GM167" s="300"/>
      <c r="GN167" s="300"/>
      <c r="GO167" s="300"/>
      <c r="GP167" s="300"/>
      <c r="GQ167" s="300"/>
      <c r="GR167" s="300"/>
      <c r="GS167" s="300"/>
      <c r="GT167" s="300"/>
      <c r="GU167" s="300"/>
      <c r="GV167" s="300"/>
      <c r="GW167" s="300"/>
      <c r="GX167" s="300"/>
      <c r="GY167" s="300"/>
      <c r="GZ167" s="300"/>
      <c r="HA167" s="300"/>
      <c r="HB167" s="300"/>
      <c r="HC167" s="300"/>
      <c r="HD167" s="300"/>
      <c r="HE167" s="300"/>
      <c r="HF167" s="300"/>
      <c r="HG167" s="300"/>
      <c r="HH167" s="300"/>
      <c r="HI167" s="300"/>
      <c r="HJ167" s="300"/>
      <c r="HK167" s="300"/>
      <c r="HL167" s="300"/>
      <c r="HM167" s="300"/>
      <c r="HN167" s="300"/>
      <c r="HO167" s="300"/>
      <c r="HP167" s="300"/>
      <c r="HQ167" s="300"/>
      <c r="HR167"/>
      <c r="HS167"/>
      <c r="HT167"/>
      <c r="HU167"/>
      <c r="HV167"/>
      <c r="HW167"/>
      <c r="HX167" s="3"/>
      <c r="HY167" s="3"/>
      <c r="HZ167" s="3"/>
      <c r="IA167" s="3"/>
      <c r="IB167" s="3"/>
      <c r="IC167" s="3"/>
      <c r="ID167" s="3"/>
      <c r="IE167" s="3"/>
      <c r="IF167" s="3"/>
      <c r="IG167" s="3"/>
      <c r="IH167" s="3"/>
      <c r="II167" s="3"/>
      <c r="IJ167" s="3"/>
      <c r="IK167" s="301"/>
      <c r="IL167" s="301"/>
      <c r="IM167" s="301"/>
      <c r="IN167" s="301"/>
      <c r="IO167" s="301"/>
      <c r="IP167" s="301"/>
      <c r="IQ167" s="301"/>
    </row>
    <row r="168" spans="1:251" s="33" customFormat="1">
      <c r="A168" s="43" t="s">
        <v>421</v>
      </c>
      <c r="B168" s="43"/>
      <c r="C168" s="43"/>
      <c r="D168" s="177">
        <v>156</v>
      </c>
      <c r="E168" s="177">
        <v>184</v>
      </c>
      <c r="F168" s="177">
        <v>284</v>
      </c>
      <c r="G168" s="177">
        <v>173</v>
      </c>
      <c r="H168" s="177">
        <v>156</v>
      </c>
      <c r="I168" s="177">
        <v>147</v>
      </c>
      <c r="J168" s="177">
        <f t="shared" ref="J168:P168" si="174">+J29</f>
        <v>18</v>
      </c>
      <c r="K168" s="177">
        <f t="shared" si="174"/>
        <v>219</v>
      </c>
      <c r="L168" s="177">
        <f t="shared" si="174"/>
        <v>50</v>
      </c>
      <c r="M168" s="177">
        <f t="shared" si="174"/>
        <v>50</v>
      </c>
      <c r="N168" s="177">
        <f t="shared" si="174"/>
        <v>34</v>
      </c>
      <c r="O168" s="177">
        <f t="shared" si="174"/>
        <v>34</v>
      </c>
      <c r="P168" s="177">
        <f t="shared" si="174"/>
        <v>32</v>
      </c>
      <c r="Q168" s="177">
        <f t="shared" ref="Q168:W168" si="175">+Q29</f>
        <v>28</v>
      </c>
      <c r="R168" s="177">
        <f t="shared" si="175"/>
        <v>29</v>
      </c>
      <c r="S168" s="177">
        <f t="shared" si="175"/>
        <v>18</v>
      </c>
      <c r="T168" s="177">
        <f t="shared" si="175"/>
        <v>17</v>
      </c>
      <c r="U168" s="177">
        <f t="shared" si="175"/>
        <v>0</v>
      </c>
      <c r="V168" s="177">
        <f t="shared" si="175"/>
        <v>0</v>
      </c>
      <c r="W168" s="177">
        <f t="shared" si="175"/>
        <v>0</v>
      </c>
      <c r="X168" s="177">
        <f t="shared" ref="X168" si="176">+X29</f>
        <v>0</v>
      </c>
      <c r="Y168" s="274">
        <f t="shared" si="172"/>
        <v>0</v>
      </c>
      <c r="Z168" s="274">
        <f t="shared" si="172"/>
        <v>0</v>
      </c>
      <c r="AA168" s="274">
        <f t="shared" si="172"/>
        <v>0</v>
      </c>
      <c r="AB168" s="274">
        <f t="shared" si="172"/>
        <v>0</v>
      </c>
      <c r="AC168" s="274">
        <f t="shared" si="173"/>
        <v>0</v>
      </c>
      <c r="AD168" s="274">
        <f t="shared" si="173"/>
        <v>0</v>
      </c>
      <c r="AE168" s="274">
        <f t="shared" si="173"/>
        <v>0</v>
      </c>
      <c r="AF168" s="274">
        <f t="shared" si="173"/>
        <v>0</v>
      </c>
      <c r="AG168" s="274">
        <f t="shared" si="173"/>
        <v>0</v>
      </c>
      <c r="AH168" s="43"/>
      <c r="AI168" s="43"/>
      <c r="AJ168" s="43"/>
      <c r="AK168" s="43"/>
      <c r="AL168" s="43"/>
      <c r="AM168" s="43"/>
      <c r="AN168" s="43"/>
      <c r="AO168" s="43"/>
      <c r="AP168" s="43"/>
      <c r="AQ168" s="43"/>
      <c r="AR168" s="43"/>
      <c r="AS168" s="43"/>
      <c r="AT168" s="43"/>
      <c r="AU168" s="43"/>
      <c r="AV168" s="43"/>
      <c r="AW168" s="43"/>
      <c r="AX168" s="43"/>
      <c r="AY168" s="43"/>
      <c r="AZ168" s="43"/>
      <c r="BA168" s="43"/>
      <c r="BB168" s="43"/>
      <c r="BC168" s="43"/>
      <c r="BD168" s="43"/>
      <c r="BE168" s="43"/>
      <c r="BF168" s="43"/>
      <c r="BG168" s="43"/>
      <c r="BH168" s="43"/>
      <c r="BI168" s="43"/>
      <c r="BJ168" s="43"/>
      <c r="BK168" s="43"/>
      <c r="BL168" s="43"/>
      <c r="BM168" s="43"/>
      <c r="BN168" s="43"/>
      <c r="BO168" s="43"/>
      <c r="BP168" s="43"/>
      <c r="BQ168" s="43"/>
      <c r="BR168" s="43"/>
      <c r="BS168" s="43"/>
      <c r="BT168" s="43"/>
      <c r="BU168" s="43"/>
      <c r="BV168" s="43"/>
      <c r="BW168" s="43"/>
      <c r="BX168" s="43"/>
      <c r="BY168" s="43"/>
      <c r="BZ168" s="43"/>
      <c r="CA168" s="43"/>
      <c r="CB168" s="43"/>
      <c r="CC168" s="43"/>
      <c r="CD168" s="43"/>
      <c r="CE168" s="43"/>
      <c r="CF168" s="43"/>
      <c r="CG168" s="43"/>
      <c r="CH168" s="43"/>
      <c r="CI168" s="43"/>
      <c r="CJ168" s="43"/>
      <c r="CK168" s="43"/>
      <c r="CL168" s="43"/>
      <c r="CM168" s="43"/>
      <c r="CN168" s="43"/>
      <c r="CO168" s="43"/>
      <c r="CP168" s="43"/>
      <c r="CQ168" s="43"/>
      <c r="CR168" s="43"/>
      <c r="CS168" s="43"/>
      <c r="CT168" s="43"/>
      <c r="CU168" s="43"/>
      <c r="CV168" s="43"/>
      <c r="CW168" s="43"/>
      <c r="CX168" s="43"/>
      <c r="CY168" s="43"/>
      <c r="CZ168" s="43"/>
      <c r="DA168" s="43"/>
      <c r="DB168" s="43"/>
      <c r="DC168" s="43"/>
      <c r="DD168" s="43"/>
      <c r="DE168" s="43"/>
      <c r="DF168" s="43"/>
      <c r="DG168" s="43"/>
      <c r="DH168" s="43"/>
      <c r="DI168" s="43"/>
      <c r="DJ168" s="43"/>
      <c r="DK168" s="43"/>
      <c r="DL168" s="43"/>
      <c r="DM168" s="43"/>
      <c r="DN168" s="43"/>
      <c r="DO168" s="43"/>
      <c r="DP168" s="43"/>
      <c r="DQ168" s="43"/>
      <c r="DR168" s="43"/>
      <c r="DS168" s="43"/>
      <c r="DT168" s="43"/>
      <c r="DU168" s="43"/>
      <c r="DV168" s="43"/>
      <c r="DW168" s="43"/>
      <c r="DX168" s="43"/>
      <c r="DY168" s="43"/>
      <c r="DZ168" s="43"/>
      <c r="EA168" s="43"/>
      <c r="EB168" s="43"/>
      <c r="EC168" s="43"/>
      <c r="ED168" s="43"/>
      <c r="EE168" s="43"/>
      <c r="EF168" s="43"/>
      <c r="EG168" s="43"/>
      <c r="EH168" s="43"/>
      <c r="EI168" s="43"/>
      <c r="EJ168" s="43"/>
      <c r="EK168" s="43"/>
      <c r="EL168" s="43"/>
      <c r="EM168" s="43"/>
      <c r="EN168" s="43"/>
      <c r="EO168" s="43"/>
      <c r="EP168" s="43"/>
      <c r="EQ168" s="43"/>
      <c r="ER168" s="43"/>
      <c r="ES168" s="43"/>
      <c r="ET168" s="43"/>
      <c r="EU168" s="43"/>
      <c r="EV168" s="43"/>
      <c r="EW168" s="43"/>
      <c r="EX168" s="43"/>
      <c r="EY168" s="43"/>
      <c r="EZ168" s="43"/>
      <c r="FA168" s="43"/>
      <c r="FB168" s="43"/>
      <c r="FC168" s="43"/>
      <c r="FD168" s="43"/>
      <c r="FE168" s="43"/>
      <c r="FF168" s="43"/>
      <c r="FG168" s="43"/>
      <c r="FH168" s="43"/>
      <c r="FI168" s="43"/>
      <c r="FJ168" s="43"/>
      <c r="FK168" s="43"/>
      <c r="FL168" s="43"/>
      <c r="FM168" s="43"/>
      <c r="FN168" s="43"/>
      <c r="FO168" s="43"/>
      <c r="FP168" s="43"/>
      <c r="FQ168" s="43"/>
      <c r="FR168" s="43"/>
      <c r="FS168" s="43"/>
      <c r="FT168" s="43"/>
      <c r="FU168" s="43"/>
      <c r="FV168" s="43"/>
      <c r="FW168" s="43"/>
      <c r="FX168" s="43"/>
      <c r="FY168" s="43"/>
      <c r="FZ168" s="43"/>
      <c r="GA168" s="43"/>
      <c r="GB168" s="43"/>
      <c r="GC168" s="43"/>
      <c r="GD168" s="43"/>
      <c r="GE168" s="43"/>
      <c r="GF168" s="43"/>
      <c r="GG168" s="43"/>
      <c r="GH168" s="43"/>
      <c r="GI168" s="43"/>
      <c r="GJ168" s="43"/>
      <c r="GK168" s="43"/>
      <c r="GL168" s="43"/>
      <c r="GM168" s="43"/>
      <c r="GN168" s="43"/>
      <c r="GO168" s="43"/>
      <c r="GP168" s="43"/>
      <c r="GQ168" s="43"/>
      <c r="GR168" s="43"/>
      <c r="GS168" s="43"/>
      <c r="GT168" s="43"/>
      <c r="GU168" s="43"/>
      <c r="GV168" s="43"/>
      <c r="GW168" s="43"/>
      <c r="GX168" s="43"/>
      <c r="GY168" s="43"/>
      <c r="GZ168" s="43"/>
      <c r="HA168" s="43"/>
      <c r="HB168" s="43"/>
      <c r="HC168" s="43"/>
      <c r="HD168" s="43"/>
      <c r="HE168" s="43"/>
      <c r="HF168" s="43"/>
      <c r="HG168" s="43"/>
      <c r="HH168" s="43"/>
      <c r="HI168" s="43"/>
      <c r="HJ168" s="43"/>
      <c r="HK168" s="43"/>
      <c r="HL168" s="43"/>
      <c r="HM168" s="43"/>
      <c r="HN168" s="43"/>
      <c r="HO168" s="43"/>
      <c r="HP168" s="43"/>
      <c r="HQ168" s="43"/>
      <c r="HR168"/>
      <c r="HS168"/>
      <c r="HT168"/>
      <c r="HU168"/>
      <c r="HV168"/>
      <c r="HW168"/>
      <c r="HX168"/>
      <c r="HY168"/>
      <c r="HZ168"/>
      <c r="IA168"/>
      <c r="IB168"/>
      <c r="IC168"/>
      <c r="ID168"/>
      <c r="IE168"/>
      <c r="IF168"/>
      <c r="IG168"/>
      <c r="IH168"/>
      <c r="II168"/>
      <c r="IJ168"/>
      <c r="IK168" s="32"/>
      <c r="IL168" s="32"/>
      <c r="IM168" s="32"/>
      <c r="IN168" s="32"/>
      <c r="IO168" s="32"/>
      <c r="IP168" s="32"/>
      <c r="IQ168" s="32"/>
    </row>
    <row r="169" spans="1:251" s="33" customFormat="1">
      <c r="A169" s="129" t="s">
        <v>243</v>
      </c>
      <c r="B169" s="129"/>
      <c r="C169" s="129"/>
      <c r="D169" s="275">
        <f t="shared" ref="D169:W169" si="177">D166+D168</f>
        <v>6480</v>
      </c>
      <c r="E169" s="275">
        <f t="shared" si="177"/>
        <v>7711</v>
      </c>
      <c r="F169" s="275">
        <f t="shared" si="177"/>
        <v>8402</v>
      </c>
      <c r="G169" s="275">
        <f t="shared" si="177"/>
        <v>8864</v>
      </c>
      <c r="H169" s="275">
        <f t="shared" si="177"/>
        <v>9231</v>
      </c>
      <c r="I169" s="275">
        <f t="shared" si="177"/>
        <v>8540</v>
      </c>
      <c r="J169" s="275">
        <f t="shared" si="177"/>
        <v>7845</v>
      </c>
      <c r="K169" s="275">
        <f t="shared" si="177"/>
        <v>7408</v>
      </c>
      <c r="L169" s="275">
        <f t="shared" si="177"/>
        <v>6790</v>
      </c>
      <c r="M169" s="275">
        <f t="shared" si="177"/>
        <v>6790</v>
      </c>
      <c r="N169" s="275">
        <f t="shared" si="177"/>
        <v>6063</v>
      </c>
      <c r="O169" s="275">
        <f t="shared" si="177"/>
        <v>6063</v>
      </c>
      <c r="P169" s="275">
        <f t="shared" si="177"/>
        <v>5515</v>
      </c>
      <c r="Q169" s="275">
        <f t="shared" si="177"/>
        <v>4859</v>
      </c>
      <c r="R169" s="275">
        <f>R166+R168</f>
        <v>4560</v>
      </c>
      <c r="S169" s="275">
        <f>S166+S168</f>
        <v>3595</v>
      </c>
      <c r="T169" s="275">
        <f t="shared" si="177"/>
        <v>2615</v>
      </c>
      <c r="U169" s="275">
        <f t="shared" si="177"/>
        <v>1997</v>
      </c>
      <c r="V169" s="275">
        <f t="shared" si="177"/>
        <v>1614</v>
      </c>
      <c r="W169" s="275">
        <f t="shared" si="177"/>
        <v>1239</v>
      </c>
      <c r="X169" s="275">
        <f t="shared" ref="X169" si="178">X166+X168</f>
        <v>1028</v>
      </c>
      <c r="Y169" s="275">
        <f t="shared" ref="Y169:AG169" si="179">Y166+Y168</f>
        <v>852.93301049233253</v>
      </c>
      <c r="Z169" s="275">
        <f t="shared" si="179"/>
        <v>707.67968909291187</v>
      </c>
      <c r="AA169" s="275">
        <f t="shared" si="179"/>
        <v>587.16280902947005</v>
      </c>
      <c r="AB169" s="275">
        <f t="shared" si="179"/>
        <v>487.16978828272414</v>
      </c>
      <c r="AC169" s="275">
        <f t="shared" si="179"/>
        <v>404.20544177129977</v>
      </c>
      <c r="AD169" s="275">
        <f t="shared" si="179"/>
        <v>335.36980963752717</v>
      </c>
      <c r="AE169" s="275">
        <f t="shared" si="179"/>
        <v>278.25679120853749</v>
      </c>
      <c r="AF169" s="275">
        <f t="shared" si="179"/>
        <v>230.87004145470263</v>
      </c>
      <c r="AG169" s="275">
        <f t="shared" si="179"/>
        <v>191.55319016580654</v>
      </c>
      <c r="AH169" s="43"/>
      <c r="AI169" s="43"/>
      <c r="AJ169" s="43"/>
      <c r="AK169" s="43"/>
      <c r="AL169" s="43"/>
      <c r="AM169" s="43"/>
      <c r="AN169" s="43"/>
      <c r="AO169" s="43"/>
      <c r="AP169" s="43"/>
      <c r="AQ169" s="43"/>
      <c r="AR169" s="43"/>
      <c r="AS169" s="43"/>
      <c r="AT169" s="43"/>
      <c r="AU169" s="43"/>
      <c r="AV169" s="43"/>
      <c r="AW169" s="43"/>
      <c r="AX169" s="43"/>
      <c r="AY169" s="43"/>
      <c r="AZ169" s="43"/>
      <c r="BA169" s="43"/>
      <c r="BB169" s="43"/>
      <c r="BC169" s="43"/>
      <c r="BD169" s="43"/>
      <c r="BE169" s="43"/>
      <c r="BF169" s="43"/>
      <c r="BG169" s="43"/>
      <c r="BH169" s="43"/>
      <c r="BI169" s="43"/>
      <c r="BJ169" s="43"/>
      <c r="BK169" s="43"/>
      <c r="BL169" s="43"/>
      <c r="BM169" s="43"/>
      <c r="BN169" s="43"/>
      <c r="BO169" s="43"/>
      <c r="BP169" s="43"/>
      <c r="BQ169" s="43"/>
      <c r="BR169" s="43"/>
      <c r="BS169" s="43"/>
      <c r="BT169" s="43"/>
      <c r="BU169" s="43"/>
      <c r="BV169" s="43"/>
      <c r="BW169" s="43"/>
      <c r="BX169" s="43"/>
      <c r="BY169" s="43"/>
      <c r="BZ169" s="43"/>
      <c r="CA169" s="43"/>
      <c r="CB169" s="43"/>
      <c r="CC169" s="43"/>
      <c r="CD169" s="43"/>
      <c r="CE169" s="43"/>
      <c r="CF169" s="43"/>
      <c r="CG169" s="43"/>
      <c r="CH169" s="43"/>
      <c r="CI169" s="43"/>
      <c r="CJ169" s="43"/>
      <c r="CK169" s="43"/>
      <c r="CL169" s="43"/>
      <c r="CM169" s="43"/>
      <c r="CN169" s="43"/>
      <c r="CO169" s="43"/>
      <c r="CP169" s="43"/>
      <c r="CQ169" s="43"/>
      <c r="CR169" s="43"/>
      <c r="CS169" s="43"/>
      <c r="CT169" s="43"/>
      <c r="CU169" s="43"/>
      <c r="CV169" s="43"/>
      <c r="CW169" s="43"/>
      <c r="CX169" s="43"/>
      <c r="CY169" s="43"/>
      <c r="CZ169" s="43"/>
      <c r="DA169" s="43"/>
      <c r="DB169" s="43"/>
      <c r="DC169" s="43"/>
      <c r="DD169" s="43"/>
      <c r="DE169" s="43"/>
      <c r="DF169" s="43"/>
      <c r="DG169" s="43"/>
      <c r="DH169" s="43"/>
      <c r="DI169" s="43"/>
      <c r="DJ169" s="43"/>
      <c r="DK169" s="43"/>
      <c r="DL169" s="43"/>
      <c r="DM169" s="43"/>
      <c r="DN169" s="43"/>
      <c r="DO169" s="43"/>
      <c r="DP169" s="43"/>
      <c r="DQ169" s="43"/>
      <c r="DR169" s="43"/>
      <c r="DS169" s="43"/>
      <c r="DT169" s="43"/>
      <c r="DU169" s="43"/>
      <c r="DV169" s="43"/>
      <c r="DW169" s="43"/>
      <c r="DX169" s="43"/>
      <c r="DY169" s="43"/>
      <c r="DZ169" s="43"/>
      <c r="EA169" s="43"/>
      <c r="EB169" s="43"/>
      <c r="EC169" s="43"/>
      <c r="ED169" s="43"/>
      <c r="EE169" s="43"/>
      <c r="EF169" s="43"/>
      <c r="EG169" s="43"/>
      <c r="EH169" s="43"/>
      <c r="EI169" s="43"/>
      <c r="EJ169" s="43"/>
      <c r="EK169" s="43"/>
      <c r="EL169" s="43"/>
      <c r="EM169" s="43"/>
      <c r="EN169" s="43"/>
      <c r="EO169" s="43"/>
      <c r="EP169" s="43"/>
      <c r="EQ169" s="43"/>
      <c r="ER169" s="43"/>
      <c r="ES169" s="43"/>
      <c r="ET169" s="43"/>
      <c r="EU169" s="43"/>
      <c r="EV169" s="43"/>
      <c r="EW169" s="43"/>
      <c r="EX169" s="43"/>
      <c r="EY169" s="43"/>
      <c r="EZ169" s="43"/>
      <c r="FA169" s="43"/>
      <c r="FB169" s="43"/>
      <c r="FC169" s="43"/>
      <c r="FD169" s="43"/>
      <c r="FE169" s="43"/>
      <c r="FF169" s="43"/>
      <c r="FG169" s="43"/>
      <c r="FH169" s="43"/>
      <c r="FI169" s="43"/>
      <c r="FJ169" s="43"/>
      <c r="FK169" s="43"/>
      <c r="FL169" s="43"/>
      <c r="FM169" s="43"/>
      <c r="FN169" s="43"/>
      <c r="FO169" s="43"/>
      <c r="FP169" s="43"/>
      <c r="FQ169" s="43"/>
      <c r="FR169" s="43"/>
      <c r="FS169" s="43"/>
      <c r="FT169" s="43"/>
      <c r="FU169" s="43"/>
      <c r="FV169" s="43"/>
      <c r="FW169" s="43"/>
      <c r="FX169" s="43"/>
      <c r="FY169" s="43"/>
      <c r="FZ169" s="43"/>
      <c r="GA169" s="43"/>
      <c r="GB169" s="43"/>
      <c r="GC169" s="43"/>
      <c r="GD169" s="43"/>
      <c r="GE169" s="43"/>
      <c r="GF169" s="43"/>
      <c r="GG169" s="43"/>
      <c r="GH169" s="43"/>
      <c r="GI169" s="43"/>
      <c r="GJ169" s="43"/>
      <c r="GK169" s="43"/>
      <c r="GL169" s="43"/>
      <c r="GM169" s="43"/>
      <c r="GN169" s="43"/>
      <c r="GO169" s="43"/>
      <c r="GP169" s="43"/>
      <c r="GQ169" s="43"/>
      <c r="GR169" s="43"/>
      <c r="GS169" s="43"/>
      <c r="GT169" s="43"/>
      <c r="GU169" s="43"/>
      <c r="GV169" s="43"/>
      <c r="GW169" s="43"/>
      <c r="GX169" s="43"/>
      <c r="GY169" s="43"/>
      <c r="GZ169" s="43"/>
      <c r="HA169" s="43"/>
      <c r="HB169" s="43"/>
      <c r="HC169" s="43"/>
      <c r="HD169" s="43"/>
      <c r="HE169" s="43"/>
      <c r="HF169" s="43"/>
      <c r="HG169" s="43"/>
      <c r="HH169" s="43"/>
      <c r="HI169" s="43"/>
      <c r="HJ169" s="43"/>
      <c r="HK169" s="43"/>
      <c r="HL169" s="43"/>
      <c r="HM169" s="43"/>
      <c r="HN169" s="43"/>
      <c r="HO169" s="43"/>
      <c r="HP169" s="43"/>
      <c r="HQ169" s="43"/>
      <c r="HR169"/>
      <c r="HS169"/>
      <c r="HT169"/>
      <c r="HU169"/>
      <c r="HV169"/>
      <c r="HW169"/>
      <c r="HX169"/>
      <c r="HY169"/>
      <c r="HZ169"/>
      <c r="IA169"/>
      <c r="IB169"/>
      <c r="IC169"/>
      <c r="ID169"/>
      <c r="IE169"/>
      <c r="IF169"/>
      <c r="IG169"/>
      <c r="IH169"/>
      <c r="II169"/>
      <c r="IJ169"/>
      <c r="IK169" s="32"/>
      <c r="IL169" s="32"/>
      <c r="IM169" s="32"/>
      <c r="IN169" s="32"/>
      <c r="IO169" s="32"/>
      <c r="IP169" s="32"/>
      <c r="IQ169" s="32"/>
    </row>
    <row r="170" spans="1:251" s="33" customFormat="1">
      <c r="A170" s="169" t="s">
        <v>522</v>
      </c>
      <c r="B170" s="169"/>
      <c r="C170" s="43"/>
      <c r="D170" s="177"/>
      <c r="E170" s="276">
        <f t="shared" ref="E170:O170" si="180">E169-D169</f>
        <v>1231</v>
      </c>
      <c r="F170" s="276">
        <f t="shared" si="180"/>
        <v>691</v>
      </c>
      <c r="G170" s="276">
        <f t="shared" si="180"/>
        <v>462</v>
      </c>
      <c r="H170" s="276">
        <f t="shared" si="180"/>
        <v>367</v>
      </c>
      <c r="I170" s="276">
        <f t="shared" si="180"/>
        <v>-691</v>
      </c>
      <c r="J170" s="276">
        <f t="shared" si="180"/>
        <v>-695</v>
      </c>
      <c r="K170" s="276">
        <f t="shared" si="180"/>
        <v>-437</v>
      </c>
      <c r="L170" s="276">
        <f t="shared" si="180"/>
        <v>-618</v>
      </c>
      <c r="M170" s="276">
        <f t="shared" si="180"/>
        <v>0</v>
      </c>
      <c r="N170" s="276">
        <f t="shared" si="180"/>
        <v>-727</v>
      </c>
      <c r="O170" s="276">
        <f t="shared" si="180"/>
        <v>0</v>
      </c>
      <c r="P170" s="276">
        <f>P169-N169</f>
        <v>-548</v>
      </c>
      <c r="Q170" s="276">
        <f>Q169-O169</f>
        <v>-1204</v>
      </c>
      <c r="R170" s="276">
        <f>R169-P169</f>
        <v>-955</v>
      </c>
      <c r="S170" s="276">
        <f t="shared" ref="S170:Y170" si="181">S169-R169</f>
        <v>-965</v>
      </c>
      <c r="T170" s="276">
        <f t="shared" si="181"/>
        <v>-980</v>
      </c>
      <c r="U170" s="276">
        <f t="shared" si="181"/>
        <v>-618</v>
      </c>
      <c r="V170" s="276">
        <f t="shared" si="181"/>
        <v>-383</v>
      </c>
      <c r="W170" s="276">
        <f t="shared" si="181"/>
        <v>-375</v>
      </c>
      <c r="X170" s="276">
        <f t="shared" si="181"/>
        <v>-211</v>
      </c>
      <c r="Y170" s="276">
        <f t="shared" si="181"/>
        <v>-175.06698950766747</v>
      </c>
      <c r="Z170" s="276">
        <f t="shared" ref="Z170:AG170" si="182">Z169-Y169</f>
        <v>-145.25332139942066</v>
      </c>
      <c r="AA170" s="276">
        <f t="shared" si="182"/>
        <v>-120.51688006344182</v>
      </c>
      <c r="AB170" s="276">
        <f t="shared" si="182"/>
        <v>-99.993020746745913</v>
      </c>
      <c r="AC170" s="276">
        <f t="shared" si="182"/>
        <v>-82.964346511424367</v>
      </c>
      <c r="AD170" s="276">
        <f t="shared" si="182"/>
        <v>-68.835632133772606</v>
      </c>
      <c r="AE170" s="276">
        <f t="shared" si="182"/>
        <v>-57.113018428989676</v>
      </c>
      <c r="AF170" s="276">
        <f t="shared" si="182"/>
        <v>-47.386749753834863</v>
      </c>
      <c r="AG170" s="276">
        <f t="shared" si="182"/>
        <v>-39.316851288896089</v>
      </c>
      <c r="AH170" s="43"/>
      <c r="AI170" s="43"/>
      <c r="AJ170" s="43"/>
      <c r="AK170" s="43"/>
      <c r="AL170" s="43"/>
      <c r="AM170" s="43"/>
      <c r="AN170" s="43"/>
      <c r="AO170" s="43"/>
      <c r="AP170" s="43"/>
      <c r="AQ170" s="43"/>
      <c r="AR170" s="43"/>
      <c r="AS170" s="43"/>
      <c r="AT170" s="43"/>
      <c r="AU170" s="43"/>
      <c r="AV170" s="43"/>
      <c r="AW170" s="43"/>
      <c r="AX170" s="43"/>
      <c r="AY170" s="43"/>
      <c r="AZ170" s="43"/>
      <c r="BA170" s="43"/>
      <c r="BB170" s="43"/>
      <c r="BC170" s="43"/>
      <c r="BD170" s="43"/>
      <c r="BE170" s="43"/>
      <c r="BF170" s="43"/>
      <c r="BG170" s="43"/>
      <c r="BH170" s="43"/>
      <c r="BI170" s="43"/>
      <c r="BJ170" s="43"/>
      <c r="BK170" s="43"/>
      <c r="BL170" s="43"/>
      <c r="BM170" s="43"/>
      <c r="BN170" s="43"/>
      <c r="BO170" s="43"/>
      <c r="BP170" s="43"/>
      <c r="BQ170" s="43"/>
      <c r="BR170" s="43"/>
      <c r="BS170" s="43"/>
      <c r="BT170" s="43"/>
      <c r="BU170" s="43"/>
      <c r="BV170" s="43"/>
      <c r="BW170" s="43"/>
      <c r="BX170" s="43"/>
      <c r="BY170" s="43"/>
      <c r="BZ170" s="43"/>
      <c r="CA170" s="43"/>
      <c r="CB170" s="43"/>
      <c r="CC170" s="43"/>
      <c r="CD170" s="43"/>
      <c r="CE170" s="43"/>
      <c r="CF170" s="43"/>
      <c r="CG170" s="43"/>
      <c r="CH170" s="43"/>
      <c r="CI170" s="43"/>
      <c r="CJ170" s="43"/>
      <c r="CK170" s="43"/>
      <c r="CL170" s="43"/>
      <c r="CM170" s="43"/>
      <c r="CN170" s="43"/>
      <c r="CO170" s="43"/>
      <c r="CP170" s="43"/>
      <c r="CQ170" s="43"/>
      <c r="CR170" s="43"/>
      <c r="CS170" s="43"/>
      <c r="CT170" s="43"/>
      <c r="CU170" s="43"/>
      <c r="CV170" s="43"/>
      <c r="CW170" s="43"/>
      <c r="CX170" s="43"/>
      <c r="CY170" s="43"/>
      <c r="CZ170" s="43"/>
      <c r="DA170" s="43"/>
      <c r="DB170" s="43"/>
      <c r="DC170" s="43"/>
      <c r="DD170" s="43"/>
      <c r="DE170" s="43"/>
      <c r="DF170" s="43"/>
      <c r="DG170" s="43"/>
      <c r="DH170" s="43"/>
      <c r="DI170" s="43"/>
      <c r="DJ170" s="43"/>
      <c r="DK170" s="43"/>
      <c r="DL170" s="43"/>
      <c r="DM170" s="43"/>
      <c r="DN170" s="43"/>
      <c r="DO170" s="43"/>
      <c r="DP170" s="43"/>
      <c r="DQ170" s="43"/>
      <c r="DR170" s="43"/>
      <c r="DS170" s="43"/>
      <c r="DT170" s="43"/>
      <c r="DU170" s="43"/>
      <c r="DV170" s="43"/>
      <c r="DW170" s="43"/>
      <c r="DX170" s="43"/>
      <c r="DY170" s="43"/>
      <c r="DZ170" s="43"/>
      <c r="EA170" s="43"/>
      <c r="EB170" s="43"/>
      <c r="EC170" s="43"/>
      <c r="ED170" s="43"/>
      <c r="EE170" s="43"/>
      <c r="EF170" s="43"/>
      <c r="EG170" s="43"/>
      <c r="EH170" s="43"/>
      <c r="EI170" s="43"/>
      <c r="EJ170" s="43"/>
      <c r="EK170" s="43"/>
      <c r="EL170" s="43"/>
      <c r="EM170" s="43"/>
      <c r="EN170" s="43"/>
      <c r="EO170" s="43"/>
      <c r="EP170" s="43"/>
      <c r="EQ170" s="43"/>
      <c r="ER170" s="43"/>
      <c r="ES170" s="43"/>
      <c r="ET170" s="43"/>
      <c r="EU170" s="43"/>
      <c r="EV170" s="43"/>
      <c r="EW170" s="43"/>
      <c r="EX170" s="43"/>
      <c r="EY170" s="43"/>
      <c r="EZ170" s="43"/>
      <c r="FA170" s="43"/>
      <c r="FB170" s="43"/>
      <c r="FC170" s="43"/>
      <c r="FD170" s="43"/>
      <c r="FE170" s="43"/>
      <c r="FF170" s="43"/>
      <c r="FG170" s="43"/>
      <c r="FH170" s="43"/>
      <c r="FI170" s="43"/>
      <c r="FJ170" s="43"/>
      <c r="FK170" s="43"/>
      <c r="FL170" s="43"/>
      <c r="FM170" s="43"/>
      <c r="FN170" s="43"/>
      <c r="FO170" s="43"/>
      <c r="FP170" s="43"/>
      <c r="FQ170" s="43"/>
      <c r="FR170" s="43"/>
      <c r="FS170" s="43"/>
      <c r="FT170" s="43"/>
      <c r="FU170" s="43"/>
      <c r="FV170" s="43"/>
      <c r="FW170" s="43"/>
      <c r="FX170" s="43"/>
      <c r="FY170" s="43"/>
      <c r="FZ170" s="43"/>
      <c r="GA170" s="43"/>
      <c r="GB170" s="43"/>
      <c r="GC170" s="43"/>
      <c r="GD170" s="43"/>
      <c r="GE170" s="43"/>
      <c r="GF170" s="43"/>
      <c r="GG170" s="43"/>
      <c r="GH170" s="43"/>
      <c r="GI170" s="43"/>
      <c r="GJ170" s="43"/>
      <c r="GK170" s="43"/>
      <c r="GL170" s="43"/>
      <c r="GM170" s="43"/>
      <c r="GN170" s="43"/>
      <c r="GO170" s="43"/>
      <c r="GP170" s="43"/>
      <c r="GQ170" s="43"/>
      <c r="GR170" s="43"/>
      <c r="GS170" s="43"/>
      <c r="GT170" s="43"/>
      <c r="GU170" s="43"/>
      <c r="GV170" s="43"/>
      <c r="GW170" s="43"/>
      <c r="GX170" s="43"/>
      <c r="GY170" s="43"/>
      <c r="GZ170" s="43"/>
      <c r="HA170" s="43"/>
      <c r="HB170" s="43"/>
      <c r="HC170" s="43"/>
      <c r="HD170" s="43"/>
      <c r="HE170" s="43"/>
      <c r="HF170" s="43"/>
      <c r="HG170" s="43"/>
      <c r="HH170" s="43"/>
      <c r="HI170" s="43"/>
      <c r="HJ170" s="43"/>
      <c r="HK170" s="43"/>
      <c r="HL170" s="43"/>
      <c r="HM170" s="43"/>
      <c r="HN170" s="43"/>
      <c r="HO170" s="43"/>
      <c r="HP170" s="43"/>
      <c r="HQ170" s="43"/>
      <c r="HR170"/>
      <c r="HS170"/>
      <c r="HT170"/>
      <c r="HU170"/>
      <c r="HV170"/>
      <c r="HW170"/>
      <c r="HX170"/>
      <c r="HY170"/>
      <c r="HZ170"/>
      <c r="IA170"/>
      <c r="IB170"/>
      <c r="IC170"/>
      <c r="ID170"/>
      <c r="IE170"/>
      <c r="IF170"/>
      <c r="IG170"/>
      <c r="IH170"/>
      <c r="II170"/>
      <c r="IJ170"/>
      <c r="IK170" s="32"/>
      <c r="IL170" s="32"/>
      <c r="IM170" s="32"/>
      <c r="IN170" s="32"/>
      <c r="IO170" s="32"/>
      <c r="IP170" s="32"/>
      <c r="IQ170" s="32"/>
    </row>
    <row r="171" spans="1:251" s="33" customFormat="1">
      <c r="A171" s="43"/>
      <c r="B171" s="43"/>
      <c r="C171" s="43"/>
      <c r="D171" s="43"/>
      <c r="E171" s="43"/>
      <c r="F171" s="43"/>
      <c r="G171" s="43"/>
      <c r="H171" s="43"/>
      <c r="I171" s="43"/>
      <c r="J171" s="43"/>
      <c r="K171" s="43"/>
      <c r="L171" s="43"/>
      <c r="M171" s="43"/>
      <c r="N171" s="43"/>
      <c r="O171" s="43"/>
      <c r="P171" s="43"/>
      <c r="Q171" s="43"/>
      <c r="R171" s="43"/>
      <c r="S171" s="43"/>
      <c r="T171" s="43"/>
      <c r="U171" s="43"/>
      <c r="V171" s="43"/>
      <c r="W171" s="43"/>
      <c r="X171" s="43"/>
      <c r="Y171" s="43"/>
      <c r="Z171" s="43"/>
      <c r="AA171" s="43"/>
      <c r="AB171" s="43"/>
      <c r="AC171" s="43"/>
      <c r="AD171" s="43"/>
      <c r="AE171" s="43"/>
      <c r="AF171" s="43"/>
      <c r="AG171" s="43"/>
      <c r="AH171" s="43"/>
      <c r="AI171" s="43"/>
      <c r="AJ171" s="43"/>
      <c r="AK171" s="43"/>
      <c r="AL171" s="43"/>
      <c r="AM171" s="43"/>
      <c r="AN171" s="43"/>
      <c r="AO171" s="43"/>
      <c r="AP171" s="43"/>
      <c r="AQ171" s="43"/>
      <c r="AR171" s="43"/>
      <c r="AS171" s="43"/>
      <c r="AT171" s="43"/>
      <c r="AU171" s="43"/>
      <c r="AV171" s="43"/>
      <c r="AW171" s="43"/>
      <c r="AX171" s="43"/>
      <c r="AY171" s="43"/>
      <c r="AZ171" s="43"/>
      <c r="BA171" s="43"/>
      <c r="BB171" s="43"/>
      <c r="BC171" s="43"/>
      <c r="BD171" s="43"/>
      <c r="BE171" s="43"/>
      <c r="BF171" s="43"/>
      <c r="BG171" s="43"/>
      <c r="BH171" s="43"/>
      <c r="BI171" s="43"/>
      <c r="BJ171" s="43"/>
      <c r="BK171" s="43"/>
      <c r="BL171" s="43"/>
      <c r="BM171" s="43"/>
      <c r="BN171" s="43"/>
      <c r="BO171" s="43"/>
      <c r="BP171" s="43"/>
      <c r="BQ171" s="43"/>
      <c r="BR171" s="43"/>
      <c r="BS171" s="43"/>
      <c r="BT171" s="43"/>
      <c r="BU171" s="43"/>
      <c r="BV171" s="43"/>
      <c r="BW171" s="43"/>
      <c r="BX171" s="43"/>
      <c r="BY171" s="43"/>
      <c r="BZ171" s="43"/>
      <c r="CA171" s="43"/>
      <c r="CB171" s="43"/>
      <c r="CC171" s="43"/>
      <c r="CD171" s="43"/>
      <c r="CE171" s="43"/>
      <c r="CF171" s="43"/>
      <c r="CG171" s="43"/>
      <c r="CH171" s="43"/>
      <c r="CI171" s="43"/>
      <c r="CJ171" s="43"/>
      <c r="CK171" s="43"/>
      <c r="CL171" s="43"/>
      <c r="CM171" s="43"/>
      <c r="CN171" s="43"/>
      <c r="CO171" s="43"/>
      <c r="CP171" s="43"/>
      <c r="CQ171" s="43"/>
      <c r="CR171" s="43"/>
      <c r="CS171" s="43"/>
      <c r="CT171" s="43"/>
      <c r="CU171" s="43"/>
      <c r="CV171" s="43"/>
      <c r="CW171" s="43"/>
      <c r="CX171" s="43"/>
      <c r="CY171" s="43"/>
      <c r="CZ171" s="43"/>
      <c r="DA171" s="43"/>
      <c r="DB171" s="43"/>
      <c r="DC171" s="43"/>
      <c r="DD171" s="43"/>
      <c r="DE171" s="43"/>
      <c r="DF171" s="43"/>
      <c r="DG171" s="43"/>
      <c r="DH171" s="43"/>
      <c r="DI171" s="43"/>
      <c r="DJ171" s="43"/>
      <c r="DK171" s="43"/>
      <c r="DL171" s="43"/>
      <c r="DM171" s="43"/>
      <c r="DN171" s="43"/>
      <c r="DO171" s="43"/>
      <c r="DP171" s="43"/>
      <c r="DQ171" s="43"/>
      <c r="DR171" s="43"/>
      <c r="DS171" s="43"/>
      <c r="DT171" s="43"/>
      <c r="DU171" s="43"/>
      <c r="DV171" s="43"/>
      <c r="DW171" s="43"/>
      <c r="DX171" s="43"/>
      <c r="DY171" s="43"/>
      <c r="DZ171" s="43"/>
      <c r="EA171" s="43"/>
      <c r="EB171" s="43"/>
      <c r="EC171" s="43"/>
      <c r="ED171" s="43"/>
      <c r="EE171" s="43"/>
      <c r="EF171" s="43"/>
      <c r="EG171" s="43"/>
      <c r="EH171" s="43"/>
      <c r="EI171" s="43"/>
      <c r="EJ171" s="43"/>
      <c r="EK171" s="43"/>
      <c r="EL171" s="43"/>
      <c r="EM171" s="43"/>
      <c r="EN171" s="43"/>
      <c r="EO171" s="43"/>
      <c r="EP171" s="43"/>
      <c r="EQ171" s="43"/>
      <c r="ER171" s="43"/>
      <c r="ES171" s="43"/>
      <c r="ET171" s="43"/>
      <c r="EU171" s="43"/>
      <c r="EV171" s="43"/>
      <c r="EW171" s="43"/>
      <c r="EX171" s="43"/>
      <c r="EY171" s="43"/>
      <c r="EZ171" s="43"/>
      <c r="FA171" s="43"/>
      <c r="FB171" s="43"/>
      <c r="FC171" s="43"/>
      <c r="FD171" s="43"/>
      <c r="FE171" s="43"/>
      <c r="FF171" s="43"/>
      <c r="FG171" s="43"/>
      <c r="FH171" s="43"/>
      <c r="FI171" s="43"/>
      <c r="FJ171" s="43"/>
      <c r="FK171" s="43"/>
      <c r="FL171" s="43"/>
      <c r="FM171" s="43"/>
      <c r="FN171" s="43"/>
      <c r="FO171" s="43"/>
      <c r="FP171" s="43"/>
      <c r="FQ171" s="43"/>
      <c r="FR171" s="43"/>
      <c r="FS171" s="43"/>
      <c r="FT171" s="43"/>
      <c r="FU171" s="43"/>
      <c r="FV171" s="43"/>
      <c r="FW171" s="43"/>
      <c r="FX171" s="43"/>
      <c r="FY171" s="43"/>
      <c r="FZ171" s="43"/>
      <c r="GA171" s="43"/>
      <c r="GB171" s="43"/>
      <c r="GC171" s="43"/>
      <c r="GD171" s="43"/>
      <c r="GE171" s="43"/>
      <c r="GF171" s="43"/>
      <c r="GG171" s="43"/>
      <c r="GH171" s="43"/>
      <c r="GI171" s="43"/>
      <c r="GJ171" s="43"/>
      <c r="GK171" s="43"/>
      <c r="GL171" s="43"/>
      <c r="GM171" s="43"/>
      <c r="GN171" s="43"/>
      <c r="GO171" s="43"/>
      <c r="GP171" s="43"/>
      <c r="GQ171" s="43"/>
      <c r="GR171" s="43"/>
      <c r="GS171" s="43"/>
      <c r="GT171" s="43"/>
      <c r="GU171" s="43"/>
      <c r="GV171" s="43"/>
      <c r="GW171" s="43"/>
      <c r="GX171" s="43"/>
      <c r="GY171" s="43"/>
      <c r="GZ171" s="43"/>
      <c r="HA171" s="43"/>
      <c r="HB171" s="43"/>
      <c r="HC171" s="43"/>
      <c r="HD171" s="43"/>
      <c r="HE171" s="43"/>
      <c r="HF171" s="43"/>
      <c r="HG171" s="43"/>
      <c r="HH171" s="43"/>
      <c r="HI171" s="43"/>
      <c r="HJ171" s="43"/>
      <c r="HK171" s="43"/>
      <c r="HL171" s="43"/>
      <c r="HM171" s="43"/>
      <c r="HN171" s="43"/>
      <c r="HO171" s="43"/>
      <c r="HP171" s="43"/>
      <c r="HQ171" s="43"/>
      <c r="HR171"/>
      <c r="HS171"/>
      <c r="HT171"/>
      <c r="HU171"/>
      <c r="HV171"/>
      <c r="HW171"/>
      <c r="HX171"/>
      <c r="HY171"/>
      <c r="HZ171"/>
      <c r="IA171"/>
      <c r="IB171"/>
      <c r="IC171"/>
      <c r="ID171"/>
      <c r="IE171"/>
      <c r="IF171"/>
      <c r="IG171"/>
      <c r="IH171"/>
      <c r="II171"/>
      <c r="IJ171"/>
      <c r="IK171" s="32"/>
      <c r="IL171" s="32"/>
      <c r="IM171" s="32"/>
      <c r="IN171" s="32"/>
      <c r="IO171" s="32"/>
      <c r="IP171" s="32"/>
      <c r="IQ171" s="32"/>
    </row>
    <row r="172" spans="1:251" s="33" customFormat="1">
      <c r="A172" s="45" t="s">
        <v>359</v>
      </c>
      <c r="B172" s="32"/>
      <c r="C172" s="32"/>
      <c r="D172" s="51"/>
      <c r="E172" s="51"/>
      <c r="F172" s="51"/>
      <c r="G172" s="51"/>
      <c r="H172" s="51"/>
      <c r="I172" s="110"/>
      <c r="J172" s="58"/>
      <c r="K172" s="43"/>
      <c r="L172" s="43"/>
      <c r="M172" s="43"/>
      <c r="N172" s="43"/>
      <c r="O172" s="43"/>
      <c r="P172" s="58"/>
      <c r="Q172" s="58"/>
      <c r="R172" s="58"/>
      <c r="S172" s="43"/>
      <c r="T172" s="43"/>
      <c r="U172" s="43"/>
      <c r="V172" s="43"/>
      <c r="W172" s="43"/>
      <c r="X172" s="43"/>
      <c r="Y172" s="43"/>
      <c r="Z172" s="43"/>
      <c r="AA172" s="43"/>
      <c r="AB172" s="43"/>
      <c r="AC172" s="43"/>
      <c r="AD172" s="43"/>
      <c r="AE172" s="43"/>
      <c r="AF172" s="43"/>
      <c r="AG172" s="43"/>
      <c r="AH172" s="43"/>
      <c r="AI172" s="43"/>
      <c r="AJ172" s="43"/>
      <c r="AK172" s="43"/>
      <c r="AL172" s="43"/>
      <c r="AM172" s="43"/>
      <c r="AN172" s="43"/>
      <c r="AO172" s="43"/>
      <c r="AP172" s="43"/>
      <c r="AQ172" s="43"/>
      <c r="AR172" s="43"/>
      <c r="AS172" s="43"/>
      <c r="AT172" s="43"/>
      <c r="AU172" s="43"/>
      <c r="AV172" s="43"/>
      <c r="AW172" s="43"/>
      <c r="AX172" s="43"/>
      <c r="AY172" s="43"/>
      <c r="AZ172" s="43"/>
      <c r="BA172" s="43"/>
      <c r="BB172" s="43"/>
      <c r="BC172" s="43"/>
      <c r="BD172" s="43"/>
      <c r="BE172" s="43"/>
      <c r="BF172" s="43"/>
      <c r="BG172" s="43"/>
      <c r="BH172" s="43"/>
      <c r="BI172" s="43"/>
      <c r="BJ172" s="43"/>
      <c r="BK172" s="43"/>
      <c r="BL172" s="43"/>
      <c r="BM172" s="43"/>
      <c r="BN172" s="43"/>
      <c r="BO172" s="43"/>
      <c r="BP172" s="43"/>
      <c r="BQ172" s="43"/>
      <c r="BR172" s="43"/>
      <c r="BS172" s="43"/>
      <c r="BT172" s="43"/>
      <c r="BU172" s="43"/>
      <c r="BV172" s="43"/>
      <c r="BW172" s="43"/>
      <c r="BX172" s="43"/>
      <c r="BY172" s="43"/>
      <c r="BZ172" s="43"/>
      <c r="CA172" s="43"/>
      <c r="CB172" s="43"/>
      <c r="CC172" s="43"/>
      <c r="CD172" s="43"/>
      <c r="CE172" s="43"/>
      <c r="CF172" s="43"/>
      <c r="CG172" s="43"/>
      <c r="CH172" s="43"/>
      <c r="CI172" s="43"/>
      <c r="CJ172" s="43"/>
      <c r="CK172" s="43"/>
      <c r="CL172" s="43"/>
      <c r="CM172" s="43"/>
      <c r="CN172" s="43"/>
      <c r="CO172" s="43"/>
      <c r="CP172" s="43"/>
      <c r="CQ172" s="43"/>
      <c r="CR172" s="43"/>
      <c r="CS172" s="43"/>
      <c r="CT172" s="43"/>
      <c r="CU172" s="43"/>
      <c r="CV172" s="43"/>
      <c r="CW172" s="43"/>
      <c r="CX172" s="43"/>
      <c r="CY172" s="43"/>
      <c r="CZ172" s="43"/>
      <c r="DA172" s="43"/>
      <c r="DB172" s="43"/>
      <c r="DC172" s="43"/>
      <c r="DD172" s="43"/>
      <c r="DE172" s="43"/>
      <c r="DF172" s="43"/>
      <c r="DG172" s="43"/>
      <c r="DH172" s="43"/>
      <c r="DI172" s="43"/>
      <c r="DJ172" s="43"/>
      <c r="DK172" s="43"/>
      <c r="DL172" s="43"/>
      <c r="DM172" s="43"/>
      <c r="DN172" s="43"/>
      <c r="DO172" s="43"/>
      <c r="DP172" s="43"/>
      <c r="DQ172" s="43"/>
      <c r="DR172" s="43"/>
      <c r="DS172" s="43"/>
      <c r="DT172" s="43"/>
      <c r="DU172" s="43"/>
      <c r="DV172" s="43"/>
      <c r="DW172" s="43"/>
      <c r="DX172" s="43"/>
      <c r="DY172" s="43"/>
      <c r="DZ172" s="43"/>
      <c r="EA172" s="43"/>
      <c r="EB172" s="43"/>
      <c r="EC172" s="43"/>
      <c r="ED172" s="43"/>
      <c r="EE172" s="43"/>
      <c r="EF172" s="43"/>
      <c r="EG172" s="43"/>
      <c r="EH172" s="43"/>
      <c r="EI172" s="43"/>
      <c r="EJ172" s="43"/>
      <c r="EK172" s="43"/>
      <c r="EL172" s="43"/>
      <c r="EM172" s="43"/>
      <c r="EN172" s="43"/>
      <c r="EO172" s="43"/>
      <c r="EP172" s="43"/>
      <c r="EQ172" s="43"/>
      <c r="ER172" s="43"/>
      <c r="ES172" s="43"/>
      <c r="ET172" s="43"/>
      <c r="EU172" s="43"/>
      <c r="EV172" s="43"/>
      <c r="EW172" s="43"/>
      <c r="EX172" s="43"/>
      <c r="EY172" s="43"/>
      <c r="EZ172" s="43"/>
      <c r="FA172" s="43"/>
      <c r="FB172" s="43"/>
      <c r="FC172" s="43"/>
      <c r="FD172" s="43"/>
      <c r="FE172" s="43"/>
      <c r="FF172" s="43"/>
      <c r="FG172" s="43"/>
      <c r="FH172" s="43"/>
      <c r="FI172" s="43"/>
      <c r="FJ172" s="43"/>
      <c r="FK172" s="43"/>
      <c r="FL172" s="43"/>
      <c r="FM172" s="43"/>
      <c r="FN172" s="43"/>
      <c r="FO172" s="43"/>
      <c r="FP172" s="43"/>
      <c r="FQ172" s="43"/>
      <c r="FR172" s="43"/>
      <c r="FS172" s="43"/>
      <c r="FT172" s="43"/>
      <c r="FU172" s="43"/>
      <c r="FV172" s="43"/>
      <c r="FW172" s="43"/>
      <c r="FX172" s="43"/>
      <c r="FY172" s="43"/>
      <c r="FZ172" s="43"/>
      <c r="GA172" s="43"/>
      <c r="GB172" s="43"/>
      <c r="GC172" s="43"/>
      <c r="GD172" s="43"/>
      <c r="GE172" s="43"/>
      <c r="GF172" s="43"/>
      <c r="GG172" s="43"/>
      <c r="GH172" s="43"/>
      <c r="GI172" s="43"/>
      <c r="GJ172" s="43"/>
      <c r="GK172" s="43"/>
      <c r="GL172" s="43"/>
      <c r="GM172" s="43"/>
      <c r="GN172" s="43"/>
      <c r="GO172" s="43"/>
      <c r="GP172" s="43"/>
      <c r="GQ172" s="43"/>
      <c r="GR172" s="43"/>
      <c r="GS172" s="43"/>
      <c r="GT172" s="43"/>
      <c r="GU172" s="43"/>
      <c r="GV172" s="43"/>
      <c r="GW172" s="43"/>
      <c r="GX172" s="43"/>
      <c r="GY172" s="43"/>
      <c r="GZ172" s="43"/>
      <c r="HA172" s="43"/>
      <c r="HB172" s="43"/>
      <c r="HC172" s="43"/>
      <c r="HD172" s="43"/>
      <c r="HE172" s="43"/>
      <c r="HF172" s="43"/>
      <c r="HG172" s="43"/>
      <c r="HH172" s="43"/>
      <c r="HI172" s="43"/>
      <c r="HJ172" s="43"/>
      <c r="HK172" s="43"/>
      <c r="HL172" s="43"/>
      <c r="HM172" s="43"/>
      <c r="HN172" s="43"/>
      <c r="HO172" s="43"/>
      <c r="HP172" s="43"/>
      <c r="HQ172" s="43"/>
      <c r="HR172"/>
      <c r="HS172"/>
      <c r="HT172"/>
      <c r="HU172"/>
      <c r="HV172"/>
      <c r="HW172"/>
      <c r="HX172"/>
      <c r="HY172"/>
      <c r="HZ172"/>
      <c r="IA172"/>
      <c r="IB172"/>
      <c r="IC172"/>
      <c r="ID172"/>
      <c r="IE172"/>
      <c r="IF172"/>
      <c r="IG172"/>
      <c r="IH172"/>
      <c r="II172"/>
      <c r="IJ172"/>
      <c r="IK172" s="32"/>
      <c r="IL172" s="32"/>
      <c r="IM172" s="32"/>
      <c r="IN172" s="32"/>
      <c r="IO172" s="32"/>
      <c r="IP172" s="32"/>
      <c r="IQ172" s="32"/>
    </row>
    <row r="173" spans="1:251" s="33" customFormat="1">
      <c r="A173" s="80" t="s">
        <v>149</v>
      </c>
      <c r="B173" s="32"/>
      <c r="C173" s="32"/>
      <c r="D173" s="272">
        <v>0</v>
      </c>
      <c r="E173" s="272">
        <v>0</v>
      </c>
      <c r="F173" s="156">
        <v>1027</v>
      </c>
      <c r="G173" s="156">
        <f t="shared" ref="G173:O173" si="183">+G54</f>
        <v>512</v>
      </c>
      <c r="H173" s="156">
        <f t="shared" si="183"/>
        <v>0</v>
      </c>
      <c r="I173" s="156">
        <f t="shared" si="183"/>
        <v>0</v>
      </c>
      <c r="J173" s="156">
        <f t="shared" si="183"/>
        <v>0</v>
      </c>
      <c r="K173" s="156">
        <f t="shared" si="183"/>
        <v>0</v>
      </c>
      <c r="L173" s="156">
        <f t="shared" si="183"/>
        <v>0</v>
      </c>
      <c r="M173" s="156">
        <f t="shared" si="183"/>
        <v>0</v>
      </c>
      <c r="N173" s="156">
        <f t="shared" si="183"/>
        <v>0</v>
      </c>
      <c r="O173" s="156">
        <f t="shared" si="183"/>
        <v>0</v>
      </c>
      <c r="P173" s="200">
        <f t="shared" ref="P173:U174" si="184">O173</f>
        <v>0</v>
      </c>
      <c r="Q173" s="200">
        <f>P173</f>
        <v>0</v>
      </c>
      <c r="R173" s="200">
        <f>Q173</f>
        <v>0</v>
      </c>
      <c r="S173" s="200">
        <f t="shared" si="184"/>
        <v>0</v>
      </c>
      <c r="T173" s="200">
        <f t="shared" si="184"/>
        <v>0</v>
      </c>
      <c r="U173" s="200">
        <f t="shared" si="184"/>
        <v>0</v>
      </c>
      <c r="V173" s="200">
        <f t="shared" ref="V173:X174" si="185">U173</f>
        <v>0</v>
      </c>
      <c r="W173" s="200">
        <f t="shared" si="185"/>
        <v>0</v>
      </c>
      <c r="X173" s="200">
        <f t="shared" si="185"/>
        <v>0</v>
      </c>
      <c r="Y173" s="200">
        <f t="shared" ref="Y173:Y175" si="186">X173</f>
        <v>0</v>
      </c>
      <c r="Z173" s="200">
        <f t="shared" ref="Z173:AB175" si="187">Y173</f>
        <v>0</v>
      </c>
      <c r="AA173" s="200">
        <f t="shared" si="187"/>
        <v>0</v>
      </c>
      <c r="AB173" s="200">
        <f t="shared" si="187"/>
        <v>0</v>
      </c>
      <c r="AC173" s="200">
        <f t="shared" ref="AC173:AG175" si="188">AB173</f>
        <v>0</v>
      </c>
      <c r="AD173" s="200">
        <f t="shared" si="188"/>
        <v>0</v>
      </c>
      <c r="AE173" s="200">
        <f t="shared" si="188"/>
        <v>0</v>
      </c>
      <c r="AF173" s="200">
        <f t="shared" si="188"/>
        <v>0</v>
      </c>
      <c r="AG173" s="200">
        <f t="shared" si="188"/>
        <v>0</v>
      </c>
      <c r="AH173" s="43"/>
      <c r="AI173" s="43"/>
      <c r="AJ173" s="43"/>
      <c r="AK173" s="43"/>
      <c r="AL173" s="43"/>
      <c r="AM173" s="43"/>
      <c r="AN173" s="43"/>
      <c r="AO173" s="43"/>
      <c r="AP173" s="43"/>
      <c r="AQ173" s="43"/>
      <c r="AR173" s="43"/>
      <c r="AS173" s="43"/>
      <c r="AT173" s="43"/>
      <c r="AU173" s="43"/>
      <c r="AV173" s="43"/>
      <c r="AW173" s="43"/>
      <c r="AX173" s="43"/>
      <c r="AY173" s="43"/>
      <c r="AZ173" s="43"/>
      <c r="BA173" s="43"/>
      <c r="BB173" s="43"/>
      <c r="BC173" s="43"/>
      <c r="BD173" s="43"/>
      <c r="BE173" s="43"/>
      <c r="BF173" s="43"/>
      <c r="BG173" s="43"/>
      <c r="BH173" s="43"/>
      <c r="BI173" s="43"/>
      <c r="BJ173" s="43"/>
      <c r="BK173" s="43"/>
      <c r="BL173" s="43"/>
      <c r="BM173" s="43"/>
      <c r="BN173" s="43"/>
      <c r="BO173" s="43"/>
      <c r="BP173" s="43"/>
      <c r="BQ173" s="43"/>
      <c r="BR173" s="43"/>
      <c r="BS173" s="43"/>
      <c r="BT173" s="43"/>
      <c r="BU173" s="43"/>
      <c r="BV173" s="43"/>
      <c r="BW173" s="43"/>
      <c r="BX173" s="43"/>
      <c r="BY173" s="43"/>
      <c r="BZ173" s="43"/>
      <c r="CA173" s="43"/>
      <c r="CB173" s="43"/>
      <c r="CC173" s="43"/>
      <c r="CD173" s="43"/>
      <c r="CE173" s="43"/>
      <c r="CF173" s="43"/>
      <c r="CG173" s="43"/>
      <c r="CH173" s="43"/>
      <c r="CI173" s="43"/>
      <c r="CJ173" s="43"/>
      <c r="CK173" s="43"/>
      <c r="CL173" s="43"/>
      <c r="CM173" s="43"/>
      <c r="CN173" s="43"/>
      <c r="CO173" s="43"/>
      <c r="CP173" s="43"/>
      <c r="CQ173" s="43"/>
      <c r="CR173" s="43"/>
      <c r="CS173" s="43"/>
      <c r="CT173" s="43"/>
      <c r="CU173" s="43"/>
      <c r="CV173" s="43"/>
      <c r="CW173" s="43"/>
      <c r="CX173" s="43"/>
      <c r="CY173" s="43"/>
      <c r="CZ173" s="43"/>
      <c r="DA173" s="43"/>
      <c r="DB173" s="43"/>
      <c r="DC173" s="43"/>
      <c r="DD173" s="43"/>
      <c r="DE173" s="43"/>
      <c r="DF173" s="43"/>
      <c r="DG173" s="43"/>
      <c r="DH173" s="43"/>
      <c r="DI173" s="43"/>
      <c r="DJ173" s="43"/>
      <c r="DK173" s="43"/>
      <c r="DL173" s="43"/>
      <c r="DM173" s="43"/>
      <c r="DN173" s="43"/>
      <c r="DO173" s="43"/>
      <c r="DP173" s="43"/>
      <c r="DQ173" s="43"/>
      <c r="DR173" s="43"/>
      <c r="DS173" s="43"/>
      <c r="DT173" s="43"/>
      <c r="DU173" s="43"/>
      <c r="DV173" s="43"/>
      <c r="DW173" s="43"/>
      <c r="DX173" s="43"/>
      <c r="DY173" s="43"/>
      <c r="DZ173" s="43"/>
      <c r="EA173" s="43"/>
      <c r="EB173" s="43"/>
      <c r="EC173" s="43"/>
      <c r="ED173" s="43"/>
      <c r="EE173" s="43"/>
      <c r="EF173" s="43"/>
      <c r="EG173" s="43"/>
      <c r="EH173" s="43"/>
      <c r="EI173" s="43"/>
      <c r="EJ173" s="43"/>
      <c r="EK173" s="43"/>
      <c r="EL173" s="43"/>
      <c r="EM173" s="43"/>
      <c r="EN173" s="43"/>
      <c r="EO173" s="43"/>
      <c r="EP173" s="43"/>
      <c r="EQ173" s="43"/>
      <c r="ER173" s="43"/>
      <c r="ES173" s="43"/>
      <c r="ET173" s="43"/>
      <c r="EU173" s="43"/>
      <c r="EV173" s="43"/>
      <c r="EW173" s="43"/>
      <c r="EX173" s="43"/>
      <c r="EY173" s="43"/>
      <c r="EZ173" s="43"/>
      <c r="FA173" s="43"/>
      <c r="FB173" s="43"/>
      <c r="FC173" s="43"/>
      <c r="FD173" s="43"/>
      <c r="FE173" s="43"/>
      <c r="FF173" s="43"/>
      <c r="FG173" s="43"/>
      <c r="FH173" s="43"/>
      <c r="FI173" s="43"/>
      <c r="FJ173" s="43"/>
      <c r="FK173" s="43"/>
      <c r="FL173" s="43"/>
      <c r="FM173" s="43"/>
      <c r="FN173" s="43"/>
      <c r="FO173" s="43"/>
      <c r="FP173" s="43"/>
      <c r="FQ173" s="43"/>
      <c r="FR173" s="43"/>
      <c r="FS173" s="43"/>
      <c r="FT173" s="43"/>
      <c r="FU173" s="43"/>
      <c r="FV173" s="43"/>
      <c r="FW173" s="43"/>
      <c r="FX173" s="43"/>
      <c r="FY173" s="43"/>
      <c r="FZ173" s="43"/>
      <c r="GA173" s="43"/>
      <c r="GB173" s="43"/>
      <c r="GC173" s="43"/>
      <c r="GD173" s="43"/>
      <c r="GE173" s="43"/>
      <c r="GF173" s="43"/>
      <c r="GG173" s="43"/>
      <c r="GH173" s="43"/>
      <c r="GI173" s="43"/>
      <c r="GJ173" s="43"/>
      <c r="GK173" s="43"/>
      <c r="GL173" s="43"/>
      <c r="GM173" s="43"/>
      <c r="GN173" s="43"/>
      <c r="GO173" s="43"/>
      <c r="GP173" s="43"/>
      <c r="GQ173" s="43"/>
      <c r="GR173" s="43"/>
      <c r="GS173" s="43"/>
      <c r="GT173" s="43"/>
      <c r="GU173" s="43"/>
      <c r="GV173" s="43"/>
      <c r="GW173" s="43"/>
      <c r="GX173" s="43"/>
      <c r="GY173" s="43"/>
      <c r="GZ173" s="43"/>
      <c r="HA173" s="43"/>
      <c r="HB173" s="43"/>
      <c r="HC173" s="43"/>
      <c r="HD173" s="43"/>
      <c r="HE173" s="43"/>
      <c r="HF173" s="43"/>
      <c r="HG173" s="43"/>
      <c r="HH173" s="43"/>
      <c r="HI173" s="43"/>
      <c r="HJ173" s="43"/>
      <c r="HK173" s="43"/>
      <c r="HL173" s="43"/>
      <c r="HM173" s="43"/>
      <c r="HN173" s="43"/>
      <c r="HO173" s="43"/>
      <c r="HP173" s="43"/>
      <c r="HQ173" s="43"/>
      <c r="HR173"/>
      <c r="HS173"/>
      <c r="HT173"/>
      <c r="HU173"/>
      <c r="HV173"/>
      <c r="HW173"/>
      <c r="HX173"/>
      <c r="HY173"/>
      <c r="HZ173"/>
      <c r="IA173"/>
      <c r="IB173"/>
      <c r="IC173"/>
      <c r="ID173"/>
      <c r="IE173"/>
      <c r="IF173"/>
      <c r="IG173"/>
      <c r="IH173"/>
      <c r="II173"/>
      <c r="IJ173"/>
      <c r="IK173" s="32"/>
      <c r="IL173" s="32"/>
      <c r="IM173" s="32"/>
      <c r="IN173" s="32"/>
      <c r="IO173" s="32"/>
      <c r="IP173" s="32"/>
      <c r="IQ173" s="32"/>
    </row>
    <row r="174" spans="1:251" s="33" customFormat="1">
      <c r="A174" s="80" t="s">
        <v>150</v>
      </c>
      <c r="B174" s="32"/>
      <c r="C174" s="32"/>
      <c r="D174" s="272">
        <v>709</v>
      </c>
      <c r="E174" s="272">
        <v>946</v>
      </c>
      <c r="F174" s="156">
        <v>899</v>
      </c>
      <c r="G174" s="156">
        <f t="shared" ref="G174:O174" si="189">+G55</f>
        <v>1492</v>
      </c>
      <c r="H174" s="156">
        <f t="shared" si="189"/>
        <v>2166</v>
      </c>
      <c r="I174" s="156">
        <f t="shared" si="189"/>
        <v>2210</v>
      </c>
      <c r="J174" s="156">
        <f t="shared" si="189"/>
        <v>2221</v>
      </c>
      <c r="K174" s="156">
        <f t="shared" si="189"/>
        <v>2014</v>
      </c>
      <c r="L174" s="156">
        <f t="shared" si="189"/>
        <v>1119</v>
      </c>
      <c r="M174" s="156">
        <f t="shared" si="189"/>
        <v>1119</v>
      </c>
      <c r="N174" s="156">
        <f t="shared" si="189"/>
        <v>500</v>
      </c>
      <c r="O174" s="156">
        <f t="shared" si="189"/>
        <v>500</v>
      </c>
      <c r="P174" s="156">
        <f t="shared" ref="P174:S176" si="190">+P55</f>
        <v>500</v>
      </c>
      <c r="Q174" s="156">
        <f t="shared" si="190"/>
        <v>0</v>
      </c>
      <c r="R174" s="156">
        <f t="shared" si="190"/>
        <v>0</v>
      </c>
      <c r="S174" s="156">
        <f t="shared" si="190"/>
        <v>0</v>
      </c>
      <c r="T174" s="222">
        <f t="shared" si="184"/>
        <v>0</v>
      </c>
      <c r="U174" s="222">
        <f t="shared" si="184"/>
        <v>0</v>
      </c>
      <c r="V174" s="222">
        <f t="shared" si="185"/>
        <v>0</v>
      </c>
      <c r="W174" s="222">
        <f t="shared" si="185"/>
        <v>0</v>
      </c>
      <c r="X174" s="222">
        <f t="shared" si="185"/>
        <v>0</v>
      </c>
      <c r="Y174" s="222">
        <f t="shared" si="186"/>
        <v>0</v>
      </c>
      <c r="Z174" s="222">
        <f t="shared" si="187"/>
        <v>0</v>
      </c>
      <c r="AA174" s="222">
        <f t="shared" si="187"/>
        <v>0</v>
      </c>
      <c r="AB174" s="222">
        <f t="shared" si="187"/>
        <v>0</v>
      </c>
      <c r="AC174" s="222">
        <f t="shared" si="188"/>
        <v>0</v>
      </c>
      <c r="AD174" s="222">
        <f t="shared" si="188"/>
        <v>0</v>
      </c>
      <c r="AE174" s="222">
        <f t="shared" si="188"/>
        <v>0</v>
      </c>
      <c r="AF174" s="222">
        <f t="shared" si="188"/>
        <v>0</v>
      </c>
      <c r="AG174" s="222">
        <f t="shared" si="188"/>
        <v>0</v>
      </c>
      <c r="AH174" s="43"/>
      <c r="AI174" s="43"/>
      <c r="AJ174" s="43"/>
      <c r="AK174" s="43"/>
      <c r="AL174" s="43"/>
      <c r="AM174" s="43"/>
      <c r="AN174" s="43"/>
      <c r="AO174" s="43"/>
      <c r="AP174" s="43"/>
      <c r="AQ174" s="43"/>
      <c r="AR174" s="43"/>
      <c r="AS174" s="43"/>
      <c r="AT174" s="43"/>
      <c r="AU174" s="43"/>
      <c r="AV174" s="43"/>
      <c r="AW174" s="43"/>
      <c r="AX174" s="43"/>
      <c r="AY174" s="43"/>
      <c r="AZ174" s="43"/>
      <c r="BA174" s="43"/>
      <c r="BB174" s="43"/>
      <c r="BC174" s="43"/>
      <c r="BD174" s="43"/>
      <c r="BE174" s="43"/>
      <c r="BF174" s="43"/>
      <c r="BG174" s="43"/>
      <c r="BH174" s="43"/>
      <c r="BI174" s="43"/>
      <c r="BJ174" s="43"/>
      <c r="BK174" s="43"/>
      <c r="BL174" s="43"/>
      <c r="BM174" s="43"/>
      <c r="BN174" s="43"/>
      <c r="BO174" s="43"/>
      <c r="BP174" s="43"/>
      <c r="BQ174" s="43"/>
      <c r="BR174" s="43"/>
      <c r="BS174" s="43"/>
      <c r="BT174" s="43"/>
      <c r="BU174" s="43"/>
      <c r="BV174" s="43"/>
      <c r="BW174" s="43"/>
      <c r="BX174" s="43"/>
      <c r="BY174" s="43"/>
      <c r="BZ174" s="43"/>
      <c r="CA174" s="43"/>
      <c r="CB174" s="43"/>
      <c r="CC174" s="43"/>
      <c r="CD174" s="43"/>
      <c r="CE174" s="43"/>
      <c r="CF174" s="43"/>
      <c r="CG174" s="43"/>
      <c r="CH174" s="43"/>
      <c r="CI174" s="43"/>
      <c r="CJ174" s="43"/>
      <c r="CK174" s="43"/>
      <c r="CL174" s="43"/>
      <c r="CM174" s="43"/>
      <c r="CN174" s="43"/>
      <c r="CO174" s="43"/>
      <c r="CP174" s="43"/>
      <c r="CQ174" s="43"/>
      <c r="CR174" s="43"/>
      <c r="CS174" s="43"/>
      <c r="CT174" s="43"/>
      <c r="CU174" s="43"/>
      <c r="CV174" s="43"/>
      <c r="CW174" s="43"/>
      <c r="CX174" s="43"/>
      <c r="CY174" s="43"/>
      <c r="CZ174" s="43"/>
      <c r="DA174" s="43"/>
      <c r="DB174" s="43"/>
      <c r="DC174" s="43"/>
      <c r="DD174" s="43"/>
      <c r="DE174" s="43"/>
      <c r="DF174" s="43"/>
      <c r="DG174" s="43"/>
      <c r="DH174" s="43"/>
      <c r="DI174" s="43"/>
      <c r="DJ174" s="43"/>
      <c r="DK174" s="43"/>
      <c r="DL174" s="43"/>
      <c r="DM174" s="43"/>
      <c r="DN174" s="43"/>
      <c r="DO174" s="43"/>
      <c r="DP174" s="43"/>
      <c r="DQ174" s="43"/>
      <c r="DR174" s="43"/>
      <c r="DS174" s="43"/>
      <c r="DT174" s="43"/>
      <c r="DU174" s="43"/>
      <c r="DV174" s="43"/>
      <c r="DW174" s="43"/>
      <c r="DX174" s="43"/>
      <c r="DY174" s="43"/>
      <c r="DZ174" s="43"/>
      <c r="EA174" s="43"/>
      <c r="EB174" s="43"/>
      <c r="EC174" s="43"/>
      <c r="ED174" s="43"/>
      <c r="EE174" s="43"/>
      <c r="EF174" s="43"/>
      <c r="EG174" s="43"/>
      <c r="EH174" s="43"/>
      <c r="EI174" s="43"/>
      <c r="EJ174" s="43"/>
      <c r="EK174" s="43"/>
      <c r="EL174" s="43"/>
      <c r="EM174" s="43"/>
      <c r="EN174" s="43"/>
      <c r="EO174" s="43"/>
      <c r="EP174" s="43"/>
      <c r="EQ174" s="43"/>
      <c r="ER174" s="43"/>
      <c r="ES174" s="43"/>
      <c r="ET174" s="43"/>
      <c r="EU174" s="43"/>
      <c r="EV174" s="43"/>
      <c r="EW174" s="43"/>
      <c r="EX174" s="43"/>
      <c r="EY174" s="43"/>
      <c r="EZ174" s="43"/>
      <c r="FA174" s="43"/>
      <c r="FB174" s="43"/>
      <c r="FC174" s="43"/>
      <c r="FD174" s="43"/>
      <c r="FE174" s="43"/>
      <c r="FF174" s="43"/>
      <c r="FG174" s="43"/>
      <c r="FH174" s="43"/>
      <c r="FI174" s="43"/>
      <c r="FJ174" s="43"/>
      <c r="FK174" s="43"/>
      <c r="FL174" s="43"/>
      <c r="FM174" s="43"/>
      <c r="FN174" s="43"/>
      <c r="FO174" s="43"/>
      <c r="FP174" s="43"/>
      <c r="FQ174" s="43"/>
      <c r="FR174" s="43"/>
      <c r="FS174" s="43"/>
      <c r="FT174" s="43"/>
      <c r="FU174" s="43"/>
      <c r="FV174" s="43"/>
      <c r="FW174" s="43"/>
      <c r="FX174" s="43"/>
      <c r="FY174" s="43"/>
      <c r="FZ174" s="43"/>
      <c r="GA174" s="43"/>
      <c r="GB174" s="43"/>
      <c r="GC174" s="43"/>
      <c r="GD174" s="43"/>
      <c r="GE174" s="43"/>
      <c r="GF174" s="43"/>
      <c r="GG174" s="43"/>
      <c r="GH174" s="43"/>
      <c r="GI174" s="43"/>
      <c r="GJ174" s="43"/>
      <c r="GK174" s="43"/>
      <c r="GL174" s="43"/>
      <c r="GM174" s="43"/>
      <c r="GN174" s="43"/>
      <c r="GO174" s="43"/>
      <c r="GP174" s="43"/>
      <c r="GQ174" s="43"/>
      <c r="GR174" s="43"/>
      <c r="GS174" s="43"/>
      <c r="GT174" s="43"/>
      <c r="GU174" s="43"/>
      <c r="GV174" s="43"/>
      <c r="GW174" s="43"/>
      <c r="GX174" s="43"/>
      <c r="GY174" s="43"/>
      <c r="GZ174" s="43"/>
      <c r="HA174" s="43"/>
      <c r="HB174" s="43"/>
      <c r="HC174" s="43"/>
      <c r="HD174" s="43"/>
      <c r="HE174" s="43"/>
      <c r="HF174" s="43"/>
      <c r="HG174" s="43"/>
      <c r="HH174" s="43"/>
      <c r="HI174" s="43"/>
      <c r="HJ174" s="43"/>
      <c r="HK174" s="43"/>
      <c r="HL174" s="43"/>
      <c r="HM174" s="43"/>
      <c r="HN174" s="43"/>
      <c r="HO174" s="43"/>
      <c r="HP174" s="43"/>
      <c r="HQ174" s="43"/>
      <c r="HR174"/>
      <c r="HS174"/>
      <c r="HT174"/>
      <c r="HU174"/>
      <c r="HV174"/>
      <c r="HW174"/>
      <c r="HX174"/>
      <c r="HY174"/>
      <c r="HZ174"/>
      <c r="IA174"/>
      <c r="IB174"/>
      <c r="IC174"/>
      <c r="ID174"/>
      <c r="IE174"/>
      <c r="IF174"/>
      <c r="IG174"/>
      <c r="IH174"/>
      <c r="II174"/>
      <c r="IJ174"/>
      <c r="IK174" s="32"/>
      <c r="IL174" s="32"/>
      <c r="IM174" s="32"/>
      <c r="IN174" s="32"/>
      <c r="IO174" s="32"/>
      <c r="IP174" s="32"/>
      <c r="IQ174" s="32"/>
    </row>
    <row r="175" spans="1:251" s="33" customFormat="1">
      <c r="A175" s="80" t="s">
        <v>162</v>
      </c>
      <c r="B175" s="32"/>
      <c r="C175" s="32"/>
      <c r="D175" s="272">
        <v>4151</v>
      </c>
      <c r="E175" s="272">
        <v>4466</v>
      </c>
      <c r="F175" s="156">
        <v>4838</v>
      </c>
      <c r="G175" s="156">
        <f t="shared" ref="G175:O175" si="191">+G56</f>
        <v>5246</v>
      </c>
      <c r="H175" s="156">
        <f t="shared" si="191"/>
        <v>5521</v>
      </c>
      <c r="I175" s="156">
        <f t="shared" si="191"/>
        <v>5815</v>
      </c>
      <c r="J175" s="156">
        <f t="shared" si="191"/>
        <v>5876</v>
      </c>
      <c r="K175" s="156">
        <f t="shared" si="191"/>
        <v>5737</v>
      </c>
      <c r="L175" s="156">
        <f t="shared" si="191"/>
        <v>5530</v>
      </c>
      <c r="M175" s="156">
        <f t="shared" si="191"/>
        <v>5530</v>
      </c>
      <c r="N175" s="156">
        <f t="shared" si="191"/>
        <v>4911</v>
      </c>
      <c r="O175" s="156">
        <f t="shared" si="191"/>
        <v>4911</v>
      </c>
      <c r="P175" s="156">
        <f t="shared" si="190"/>
        <v>4644</v>
      </c>
      <c r="Q175" s="156">
        <f t="shared" si="190"/>
        <v>4180</v>
      </c>
      <c r="R175" s="156">
        <f t="shared" si="190"/>
        <v>3880</v>
      </c>
      <c r="S175" s="156">
        <f t="shared" ref="S175:W176" si="192">+S56</f>
        <v>2811</v>
      </c>
      <c r="T175" s="156">
        <f t="shared" si="192"/>
        <v>1699</v>
      </c>
      <c r="U175" s="156">
        <f t="shared" si="192"/>
        <v>0</v>
      </c>
      <c r="V175" s="156">
        <f t="shared" si="192"/>
        <v>0</v>
      </c>
      <c r="W175" s="156">
        <f t="shared" si="192"/>
        <v>0</v>
      </c>
      <c r="X175" s="156">
        <f t="shared" ref="X175" si="193">+X56</f>
        <v>0</v>
      </c>
      <c r="Y175" s="200">
        <f t="shared" si="186"/>
        <v>0</v>
      </c>
      <c r="Z175" s="200">
        <f t="shared" si="187"/>
        <v>0</v>
      </c>
      <c r="AA175" s="200">
        <f t="shared" si="187"/>
        <v>0</v>
      </c>
      <c r="AB175" s="200">
        <f t="shared" si="187"/>
        <v>0</v>
      </c>
      <c r="AC175" s="200">
        <f t="shared" si="188"/>
        <v>0</v>
      </c>
      <c r="AD175" s="200">
        <f t="shared" si="188"/>
        <v>0</v>
      </c>
      <c r="AE175" s="200">
        <f t="shared" si="188"/>
        <v>0</v>
      </c>
      <c r="AF175" s="200">
        <f t="shared" si="188"/>
        <v>0</v>
      </c>
      <c r="AG175" s="200">
        <f t="shared" si="188"/>
        <v>0</v>
      </c>
      <c r="AH175" s="43"/>
      <c r="AI175" s="43"/>
      <c r="AJ175" s="43"/>
      <c r="AK175" s="43"/>
      <c r="AL175" s="43"/>
      <c r="AM175" s="43"/>
      <c r="AN175" s="43"/>
      <c r="AO175" s="43"/>
      <c r="AP175" s="43"/>
      <c r="AQ175" s="43"/>
      <c r="AR175" s="43"/>
      <c r="AS175" s="43"/>
      <c r="AT175" s="43"/>
      <c r="AU175" s="43"/>
      <c r="AV175" s="43"/>
      <c r="AW175" s="43"/>
      <c r="AX175" s="43"/>
      <c r="AY175" s="43"/>
      <c r="AZ175" s="43"/>
      <c r="BA175" s="43"/>
      <c r="BB175" s="43"/>
      <c r="BC175" s="43"/>
      <c r="BD175" s="43"/>
      <c r="BE175" s="43"/>
      <c r="BF175" s="43"/>
      <c r="BG175" s="43"/>
      <c r="BH175" s="43"/>
      <c r="BI175" s="43"/>
      <c r="BJ175" s="43"/>
      <c r="BK175" s="43"/>
      <c r="BL175" s="43"/>
      <c r="BM175" s="43"/>
      <c r="BN175" s="43"/>
      <c r="BO175" s="43"/>
      <c r="BP175" s="43"/>
      <c r="BQ175" s="43"/>
      <c r="BR175" s="43"/>
      <c r="BS175" s="43"/>
      <c r="BT175" s="43"/>
      <c r="BU175" s="43"/>
      <c r="BV175" s="43"/>
      <c r="BW175" s="43"/>
      <c r="BX175" s="43"/>
      <c r="BY175" s="43"/>
      <c r="BZ175" s="43"/>
      <c r="CA175" s="43"/>
      <c r="CB175" s="43"/>
      <c r="CC175" s="43"/>
      <c r="CD175" s="43"/>
      <c r="CE175" s="43"/>
      <c r="CF175" s="43"/>
      <c r="CG175" s="43"/>
      <c r="CH175" s="43"/>
      <c r="CI175" s="43"/>
      <c r="CJ175" s="43"/>
      <c r="CK175" s="43"/>
      <c r="CL175" s="43"/>
      <c r="CM175" s="43"/>
      <c r="CN175" s="43"/>
      <c r="CO175" s="43"/>
      <c r="CP175" s="43"/>
      <c r="CQ175" s="43"/>
      <c r="CR175" s="43"/>
      <c r="CS175" s="43"/>
      <c r="CT175" s="43"/>
      <c r="CU175" s="43"/>
      <c r="CV175" s="43"/>
      <c r="CW175" s="43"/>
      <c r="CX175" s="43"/>
      <c r="CY175" s="43"/>
      <c r="CZ175" s="43"/>
      <c r="DA175" s="43"/>
      <c r="DB175" s="43"/>
      <c r="DC175" s="43"/>
      <c r="DD175" s="43"/>
      <c r="DE175" s="43"/>
      <c r="DF175" s="43"/>
      <c r="DG175" s="43"/>
      <c r="DH175" s="43"/>
      <c r="DI175" s="43"/>
      <c r="DJ175" s="43"/>
      <c r="DK175" s="43"/>
      <c r="DL175" s="43"/>
      <c r="DM175" s="43"/>
      <c r="DN175" s="43"/>
      <c r="DO175" s="43"/>
      <c r="DP175" s="43"/>
      <c r="DQ175" s="43"/>
      <c r="DR175" s="43"/>
      <c r="DS175" s="43"/>
      <c r="DT175" s="43"/>
      <c r="DU175" s="43"/>
      <c r="DV175" s="43"/>
      <c r="DW175" s="43"/>
      <c r="DX175" s="43"/>
      <c r="DY175" s="43"/>
      <c r="DZ175" s="43"/>
      <c r="EA175" s="43"/>
      <c r="EB175" s="43"/>
      <c r="EC175" s="43"/>
      <c r="ED175" s="43"/>
      <c r="EE175" s="43"/>
      <c r="EF175" s="43"/>
      <c r="EG175" s="43"/>
      <c r="EH175" s="43"/>
      <c r="EI175" s="43"/>
      <c r="EJ175" s="43"/>
      <c r="EK175" s="43"/>
      <c r="EL175" s="43"/>
      <c r="EM175" s="43"/>
      <c r="EN175" s="43"/>
      <c r="EO175" s="43"/>
      <c r="EP175" s="43"/>
      <c r="EQ175" s="43"/>
      <c r="ER175" s="43"/>
      <c r="ES175" s="43"/>
      <c r="ET175" s="43"/>
      <c r="EU175" s="43"/>
      <c r="EV175" s="43"/>
      <c r="EW175" s="43"/>
      <c r="EX175" s="43"/>
      <c r="EY175" s="43"/>
      <c r="EZ175" s="43"/>
      <c r="FA175" s="43"/>
      <c r="FB175" s="43"/>
      <c r="FC175" s="43"/>
      <c r="FD175" s="43"/>
      <c r="FE175" s="43"/>
      <c r="FF175" s="43"/>
      <c r="FG175" s="43"/>
      <c r="FH175" s="43"/>
      <c r="FI175" s="43"/>
      <c r="FJ175" s="43"/>
      <c r="FK175" s="43"/>
      <c r="FL175" s="43"/>
      <c r="FM175" s="43"/>
      <c r="FN175" s="43"/>
      <c r="FO175" s="43"/>
      <c r="FP175" s="43"/>
      <c r="FQ175" s="43"/>
      <c r="FR175" s="43"/>
      <c r="FS175" s="43"/>
      <c r="FT175" s="43"/>
      <c r="FU175" s="43"/>
      <c r="FV175" s="43"/>
      <c r="FW175" s="43"/>
      <c r="FX175" s="43"/>
      <c r="FY175" s="43"/>
      <c r="FZ175" s="43"/>
      <c r="GA175" s="43"/>
      <c r="GB175" s="43"/>
      <c r="GC175" s="43"/>
      <c r="GD175" s="43"/>
      <c r="GE175" s="43"/>
      <c r="GF175" s="43"/>
      <c r="GG175" s="43"/>
      <c r="GH175" s="43"/>
      <c r="GI175" s="43"/>
      <c r="GJ175" s="43"/>
      <c r="GK175" s="43"/>
      <c r="GL175" s="43"/>
      <c r="GM175" s="43"/>
      <c r="GN175" s="43"/>
      <c r="GO175" s="43"/>
      <c r="GP175" s="43"/>
      <c r="GQ175" s="43"/>
      <c r="GR175" s="43"/>
      <c r="GS175" s="43"/>
      <c r="GT175" s="43"/>
      <c r="GU175" s="43"/>
      <c r="GV175" s="43"/>
      <c r="GW175" s="43"/>
      <c r="GX175" s="43"/>
      <c r="GY175" s="43"/>
      <c r="GZ175" s="43"/>
      <c r="HA175" s="43"/>
      <c r="HB175" s="43"/>
      <c r="HC175" s="43"/>
      <c r="HD175" s="43"/>
      <c r="HE175" s="43"/>
      <c r="HF175" s="43"/>
      <c r="HG175" s="43"/>
      <c r="HH175" s="43"/>
      <c r="HI175" s="43"/>
      <c r="HJ175" s="43"/>
      <c r="HK175" s="43"/>
      <c r="HL175" s="43"/>
      <c r="HM175" s="43"/>
      <c r="HN175" s="43"/>
      <c r="HO175" s="43"/>
      <c r="HP175" s="43"/>
      <c r="HQ175" s="43"/>
      <c r="HR175"/>
      <c r="HS175"/>
      <c r="HT175"/>
      <c r="HU175"/>
      <c r="HV175"/>
      <c r="HW175"/>
      <c r="HX175"/>
      <c r="HY175"/>
      <c r="HZ175"/>
      <c r="IA175"/>
      <c r="IB175"/>
      <c r="IC175"/>
      <c r="ID175"/>
      <c r="IE175"/>
      <c r="IF175"/>
      <c r="IG175"/>
      <c r="IH175"/>
      <c r="II175"/>
      <c r="IJ175"/>
      <c r="IK175" s="32"/>
      <c r="IL175" s="32"/>
      <c r="IM175" s="32"/>
      <c r="IN175" s="32"/>
      <c r="IO175" s="32"/>
      <c r="IP175" s="32"/>
      <c r="IQ175" s="32"/>
    </row>
    <row r="176" spans="1:251" s="33" customFormat="1">
      <c r="A176" s="80" t="s">
        <v>155</v>
      </c>
      <c r="B176" s="32"/>
      <c r="C176" s="32"/>
      <c r="D176" s="272">
        <v>87</v>
      </c>
      <c r="E176" s="272">
        <v>694</v>
      </c>
      <c r="F176" s="156">
        <v>663</v>
      </c>
      <c r="G176" s="156">
        <f t="shared" ref="G176:O176" si="194">+G57</f>
        <v>436</v>
      </c>
      <c r="H176" s="156">
        <f t="shared" si="194"/>
        <v>494</v>
      </c>
      <c r="I176" s="156">
        <f t="shared" si="194"/>
        <v>295</v>
      </c>
      <c r="J176" s="156">
        <f t="shared" si="194"/>
        <v>219</v>
      </c>
      <c r="K176" s="156">
        <f t="shared" si="194"/>
        <v>375</v>
      </c>
      <c r="L176" s="156">
        <f t="shared" si="194"/>
        <v>49</v>
      </c>
      <c r="M176" s="156">
        <f t="shared" si="194"/>
        <v>49</v>
      </c>
      <c r="N176" s="156">
        <f t="shared" si="194"/>
        <v>192</v>
      </c>
      <c r="O176" s="156">
        <f t="shared" si="194"/>
        <v>192</v>
      </c>
      <c r="P176" s="156">
        <f t="shared" si="190"/>
        <v>102</v>
      </c>
      <c r="Q176" s="156">
        <f t="shared" si="190"/>
        <v>102</v>
      </c>
      <c r="R176" s="156">
        <f t="shared" si="190"/>
        <v>101</v>
      </c>
      <c r="S176" s="156">
        <f t="shared" si="192"/>
        <v>330</v>
      </c>
      <c r="T176" s="156">
        <f t="shared" si="192"/>
        <v>8</v>
      </c>
      <c r="U176" s="156">
        <f t="shared" si="192"/>
        <v>0</v>
      </c>
      <c r="V176" s="156">
        <f t="shared" si="192"/>
        <v>0</v>
      </c>
      <c r="W176" s="156">
        <f t="shared" si="192"/>
        <v>0</v>
      </c>
      <c r="X176" s="156">
        <f t="shared" ref="X176" si="195">+X57</f>
        <v>0</v>
      </c>
      <c r="Y176" s="156">
        <v>0</v>
      </c>
      <c r="Z176" s="156">
        <v>0</v>
      </c>
      <c r="AA176" s="156">
        <v>0</v>
      </c>
      <c r="AB176" s="156">
        <v>0</v>
      </c>
      <c r="AC176" s="156">
        <v>0</v>
      </c>
      <c r="AD176" s="156">
        <v>0</v>
      </c>
      <c r="AE176" s="156">
        <v>0</v>
      </c>
      <c r="AF176" s="156">
        <v>0</v>
      </c>
      <c r="AG176" s="156">
        <v>0</v>
      </c>
      <c r="AH176" s="43"/>
      <c r="AI176" s="43"/>
      <c r="AJ176" s="43"/>
      <c r="AK176" s="43"/>
      <c r="AL176" s="43"/>
      <c r="AM176" s="43"/>
      <c r="AN176" s="43"/>
      <c r="AO176" s="43"/>
      <c r="AP176" s="43"/>
      <c r="AQ176" s="43"/>
      <c r="AR176" s="43"/>
      <c r="AS176" s="43"/>
      <c r="AT176" s="43"/>
      <c r="AU176" s="43"/>
      <c r="AV176" s="43"/>
      <c r="AW176" s="43"/>
      <c r="AX176" s="43"/>
      <c r="AY176" s="43"/>
      <c r="AZ176" s="43"/>
      <c r="BA176" s="43"/>
      <c r="BB176" s="43"/>
      <c r="BC176" s="43"/>
      <c r="BD176" s="43"/>
      <c r="BE176" s="43"/>
      <c r="BF176" s="43"/>
      <c r="BG176" s="43"/>
      <c r="BH176" s="43"/>
      <c r="BI176" s="43"/>
      <c r="BJ176" s="43"/>
      <c r="BK176" s="43"/>
      <c r="BL176" s="43"/>
      <c r="BM176" s="43"/>
      <c r="BN176" s="43"/>
      <c r="BO176" s="43"/>
      <c r="BP176" s="43"/>
      <c r="BQ176" s="43"/>
      <c r="BR176" s="43"/>
      <c r="BS176" s="43"/>
      <c r="BT176" s="43"/>
      <c r="BU176" s="43"/>
      <c r="BV176" s="43"/>
      <c r="BW176" s="43"/>
      <c r="BX176" s="43"/>
      <c r="BY176" s="43"/>
      <c r="BZ176" s="43"/>
      <c r="CA176" s="43"/>
      <c r="CB176" s="43"/>
      <c r="CC176" s="43"/>
      <c r="CD176" s="43"/>
      <c r="CE176" s="43"/>
      <c r="CF176" s="43"/>
      <c r="CG176" s="43"/>
      <c r="CH176" s="43"/>
      <c r="CI176" s="43"/>
      <c r="CJ176" s="43"/>
      <c r="CK176" s="43"/>
      <c r="CL176" s="43"/>
      <c r="CM176" s="43"/>
      <c r="CN176" s="43"/>
      <c r="CO176" s="43"/>
      <c r="CP176" s="43"/>
      <c r="CQ176" s="43"/>
      <c r="CR176" s="43"/>
      <c r="CS176" s="43"/>
      <c r="CT176" s="43"/>
      <c r="CU176" s="43"/>
      <c r="CV176" s="43"/>
      <c r="CW176" s="43"/>
      <c r="CX176" s="43"/>
      <c r="CY176" s="43"/>
      <c r="CZ176" s="43"/>
      <c r="DA176" s="43"/>
      <c r="DB176" s="43"/>
      <c r="DC176" s="43"/>
      <c r="DD176" s="43"/>
      <c r="DE176" s="43"/>
      <c r="DF176" s="43"/>
      <c r="DG176" s="43"/>
      <c r="DH176" s="43"/>
      <c r="DI176" s="43"/>
      <c r="DJ176" s="43"/>
      <c r="DK176" s="43"/>
      <c r="DL176" s="43"/>
      <c r="DM176" s="43"/>
      <c r="DN176" s="43"/>
      <c r="DO176" s="43"/>
      <c r="DP176" s="43"/>
      <c r="DQ176" s="43"/>
      <c r="DR176" s="43"/>
      <c r="DS176" s="43"/>
      <c r="DT176" s="43"/>
      <c r="DU176" s="43"/>
      <c r="DV176" s="43"/>
      <c r="DW176" s="43"/>
      <c r="DX176" s="43"/>
      <c r="DY176" s="43"/>
      <c r="DZ176" s="43"/>
      <c r="EA176" s="43"/>
      <c r="EB176" s="43"/>
      <c r="EC176" s="43"/>
      <c r="ED176" s="43"/>
      <c r="EE176" s="43"/>
      <c r="EF176" s="43"/>
      <c r="EG176" s="43"/>
      <c r="EH176" s="43"/>
      <c r="EI176" s="43"/>
      <c r="EJ176" s="43"/>
      <c r="EK176" s="43"/>
      <c r="EL176" s="43"/>
      <c r="EM176" s="43"/>
      <c r="EN176" s="43"/>
      <c r="EO176" s="43"/>
      <c r="EP176" s="43"/>
      <c r="EQ176" s="43"/>
      <c r="ER176" s="43"/>
      <c r="ES176" s="43"/>
      <c r="ET176" s="43"/>
      <c r="EU176" s="43"/>
      <c r="EV176" s="43"/>
      <c r="EW176" s="43"/>
      <c r="EX176" s="43"/>
      <c r="EY176" s="43"/>
      <c r="EZ176" s="43"/>
      <c r="FA176" s="43"/>
      <c r="FB176" s="43"/>
      <c r="FC176" s="43"/>
      <c r="FD176" s="43"/>
      <c r="FE176" s="43"/>
      <c r="FF176" s="43"/>
      <c r="FG176" s="43"/>
      <c r="FH176" s="43"/>
      <c r="FI176" s="43"/>
      <c r="FJ176" s="43"/>
      <c r="FK176" s="43"/>
      <c r="FL176" s="43"/>
      <c r="FM176" s="43"/>
      <c r="FN176" s="43"/>
      <c r="FO176" s="43"/>
      <c r="FP176" s="43"/>
      <c r="FQ176" s="43"/>
      <c r="FR176" s="43"/>
      <c r="FS176" s="43"/>
      <c r="FT176" s="43"/>
      <c r="FU176" s="43"/>
      <c r="FV176" s="43"/>
      <c r="FW176" s="43"/>
      <c r="FX176" s="43"/>
      <c r="FY176" s="43"/>
      <c r="FZ176" s="43"/>
      <c r="GA176" s="43"/>
      <c r="GB176" s="43"/>
      <c r="GC176" s="43"/>
      <c r="GD176" s="43"/>
      <c r="GE176" s="43"/>
      <c r="GF176" s="43"/>
      <c r="GG176" s="43"/>
      <c r="GH176" s="43"/>
      <c r="GI176" s="43"/>
      <c r="GJ176" s="43"/>
      <c r="GK176" s="43"/>
      <c r="GL176" s="43"/>
      <c r="GM176" s="43"/>
      <c r="GN176" s="43"/>
      <c r="GO176" s="43"/>
      <c r="GP176" s="43"/>
      <c r="GQ176" s="43"/>
      <c r="GR176" s="43"/>
      <c r="GS176" s="43"/>
      <c r="GT176" s="43"/>
      <c r="GU176" s="43"/>
      <c r="GV176" s="43"/>
      <c r="GW176" s="43"/>
      <c r="GX176" s="43"/>
      <c r="GY176" s="43"/>
      <c r="GZ176" s="43"/>
      <c r="HA176" s="43"/>
      <c r="HB176" s="43"/>
      <c r="HC176" s="43"/>
      <c r="HD176" s="43"/>
      <c r="HE176" s="43"/>
      <c r="HF176" s="43"/>
      <c r="HG176" s="43"/>
      <c r="HH176" s="43"/>
      <c r="HI176" s="43"/>
      <c r="HJ176" s="43"/>
      <c r="HK176" s="43"/>
      <c r="HL176" s="43"/>
      <c r="HM176" s="43"/>
      <c r="HN176" s="43"/>
      <c r="HO176" s="43"/>
      <c r="HP176" s="43"/>
      <c r="HQ176" s="43"/>
      <c r="HR176"/>
      <c r="HS176"/>
      <c r="HT176"/>
      <c r="HU176"/>
      <c r="HV176"/>
      <c r="HW176"/>
      <c r="HX176"/>
      <c r="HY176"/>
      <c r="HZ176"/>
      <c r="IA176"/>
      <c r="IB176"/>
      <c r="IC176"/>
      <c r="ID176"/>
      <c r="IE176"/>
      <c r="IF176"/>
      <c r="IG176"/>
      <c r="IH176"/>
      <c r="II176"/>
      <c r="IJ176"/>
      <c r="IK176" s="32"/>
      <c r="IL176" s="32"/>
      <c r="IM176" s="32"/>
      <c r="IN176" s="32"/>
      <c r="IO176" s="32"/>
      <c r="IP176" s="32"/>
      <c r="IQ176" s="32"/>
    </row>
    <row r="177" spans="1:251" s="33" customFormat="1">
      <c r="A177" s="242" t="s">
        <v>298</v>
      </c>
      <c r="B177" s="243"/>
      <c r="C177" s="243"/>
      <c r="D177" s="196">
        <v>4947</v>
      </c>
      <c r="E177" s="196">
        <v>6106</v>
      </c>
      <c r="F177" s="196">
        <v>7427</v>
      </c>
      <c r="G177" s="196">
        <v>7686</v>
      </c>
      <c r="H177" s="196">
        <v>8181</v>
      </c>
      <c r="I177" s="196">
        <f t="shared" ref="I177:R177" si="196">I174+I175+I176</f>
        <v>8320</v>
      </c>
      <c r="J177" s="196">
        <f t="shared" si="196"/>
        <v>8316</v>
      </c>
      <c r="K177" s="196">
        <f t="shared" si="196"/>
        <v>8126</v>
      </c>
      <c r="L177" s="196">
        <f t="shared" si="196"/>
        <v>6698</v>
      </c>
      <c r="M177" s="196">
        <f t="shared" si="196"/>
        <v>6698</v>
      </c>
      <c r="N177" s="196">
        <f t="shared" si="196"/>
        <v>5603</v>
      </c>
      <c r="O177" s="196">
        <f t="shared" si="196"/>
        <v>5603</v>
      </c>
      <c r="P177" s="196">
        <f t="shared" si="196"/>
        <v>5246</v>
      </c>
      <c r="Q177" s="196">
        <f t="shared" si="196"/>
        <v>4282</v>
      </c>
      <c r="R177" s="196">
        <f t="shared" si="196"/>
        <v>3981</v>
      </c>
      <c r="S177" s="196">
        <f t="shared" ref="S177:AB177" si="197">S174+S175+S176</f>
        <v>3141</v>
      </c>
      <c r="T177" s="196">
        <f t="shared" si="197"/>
        <v>1707</v>
      </c>
      <c r="U177" s="196">
        <f t="shared" si="197"/>
        <v>0</v>
      </c>
      <c r="V177" s="196">
        <f t="shared" si="197"/>
        <v>0</v>
      </c>
      <c r="W177" s="196">
        <f t="shared" si="197"/>
        <v>0</v>
      </c>
      <c r="X177" s="196">
        <f t="shared" ref="X177" si="198">X174+X175+X176</f>
        <v>0</v>
      </c>
      <c r="Y177" s="196">
        <f t="shared" si="197"/>
        <v>0</v>
      </c>
      <c r="Z177" s="196">
        <f t="shared" si="197"/>
        <v>0</v>
      </c>
      <c r="AA177" s="196">
        <f t="shared" si="197"/>
        <v>0</v>
      </c>
      <c r="AB177" s="196">
        <f t="shared" si="197"/>
        <v>0</v>
      </c>
      <c r="AC177" s="196">
        <f>AC174+AC175+AC176</f>
        <v>0</v>
      </c>
      <c r="AD177" s="196">
        <f>AD174+AD175+AD176</f>
        <v>0</v>
      </c>
      <c r="AE177" s="196">
        <f>AE174+AE175+AE176</f>
        <v>0</v>
      </c>
      <c r="AF177" s="196">
        <f>AF174+AF175+AF176</f>
        <v>0</v>
      </c>
      <c r="AG177" s="196">
        <f>AG174+AG175+AG176</f>
        <v>0</v>
      </c>
      <c r="AH177" s="43"/>
      <c r="AI177" s="43"/>
      <c r="AJ177" s="43"/>
      <c r="AK177" s="43"/>
      <c r="AL177" s="43"/>
      <c r="AM177" s="43"/>
      <c r="AN177" s="43"/>
      <c r="AO177" s="43"/>
      <c r="AP177" s="43"/>
      <c r="AQ177" s="43"/>
      <c r="AR177" s="43"/>
      <c r="AS177" s="43"/>
      <c r="AT177" s="43"/>
      <c r="AU177" s="43"/>
      <c r="AV177" s="43"/>
      <c r="AW177" s="43"/>
      <c r="AX177" s="43"/>
      <c r="AY177" s="43"/>
      <c r="AZ177" s="43"/>
      <c r="BA177" s="43"/>
      <c r="BB177" s="43"/>
      <c r="BC177" s="43"/>
      <c r="BD177" s="43"/>
      <c r="BE177" s="43"/>
      <c r="BF177" s="43"/>
      <c r="BG177" s="43"/>
      <c r="BH177" s="43"/>
      <c r="BI177" s="43"/>
      <c r="BJ177" s="43"/>
      <c r="BK177" s="43"/>
      <c r="BL177" s="43"/>
      <c r="BM177" s="43"/>
      <c r="BN177" s="43"/>
      <c r="BO177" s="43"/>
      <c r="BP177" s="43"/>
      <c r="BQ177" s="43"/>
      <c r="BR177" s="43"/>
      <c r="BS177" s="43"/>
      <c r="BT177" s="43"/>
      <c r="BU177" s="43"/>
      <c r="BV177" s="43"/>
      <c r="BW177" s="43"/>
      <c r="BX177" s="43"/>
      <c r="BY177" s="43"/>
      <c r="BZ177" s="43"/>
      <c r="CA177" s="43"/>
      <c r="CB177" s="43"/>
      <c r="CC177" s="43"/>
      <c r="CD177" s="43"/>
      <c r="CE177" s="43"/>
      <c r="CF177" s="43"/>
      <c r="CG177" s="43"/>
      <c r="CH177" s="43"/>
      <c r="CI177" s="43"/>
      <c r="CJ177" s="43"/>
      <c r="CK177" s="43"/>
      <c r="CL177" s="43"/>
      <c r="CM177" s="43"/>
      <c r="CN177" s="43"/>
      <c r="CO177" s="43"/>
      <c r="CP177" s="43"/>
      <c r="CQ177" s="43"/>
      <c r="CR177" s="43"/>
      <c r="CS177" s="43"/>
      <c r="CT177" s="43"/>
      <c r="CU177" s="43"/>
      <c r="CV177" s="43"/>
      <c r="CW177" s="43"/>
      <c r="CX177" s="43"/>
      <c r="CY177" s="43"/>
      <c r="CZ177" s="43"/>
      <c r="DA177" s="43"/>
      <c r="DB177" s="43"/>
      <c r="DC177" s="43"/>
      <c r="DD177" s="43"/>
      <c r="DE177" s="43"/>
      <c r="DF177" s="43"/>
      <c r="DG177" s="43"/>
      <c r="DH177" s="43"/>
      <c r="DI177" s="43"/>
      <c r="DJ177" s="43"/>
      <c r="DK177" s="43"/>
      <c r="DL177" s="43"/>
      <c r="DM177" s="43"/>
      <c r="DN177" s="43"/>
      <c r="DO177" s="43"/>
      <c r="DP177" s="43"/>
      <c r="DQ177" s="43"/>
      <c r="DR177" s="43"/>
      <c r="DS177" s="43"/>
      <c r="DT177" s="43"/>
      <c r="DU177" s="43"/>
      <c r="DV177" s="43"/>
      <c r="DW177" s="43"/>
      <c r="DX177" s="43"/>
      <c r="DY177" s="43"/>
      <c r="DZ177" s="43"/>
      <c r="EA177" s="43"/>
      <c r="EB177" s="43"/>
      <c r="EC177" s="43"/>
      <c r="ED177" s="43"/>
      <c r="EE177" s="43"/>
      <c r="EF177" s="43"/>
      <c r="EG177" s="43"/>
      <c r="EH177" s="43"/>
      <c r="EI177" s="43"/>
      <c r="EJ177" s="43"/>
      <c r="EK177" s="43"/>
      <c r="EL177" s="43"/>
      <c r="EM177" s="43"/>
      <c r="EN177" s="43"/>
      <c r="EO177" s="43"/>
      <c r="EP177" s="43"/>
      <c r="EQ177" s="43"/>
      <c r="ER177" s="43"/>
      <c r="ES177" s="43"/>
      <c r="ET177" s="43"/>
      <c r="EU177" s="43"/>
      <c r="EV177" s="43"/>
      <c r="EW177" s="43"/>
      <c r="EX177" s="43"/>
      <c r="EY177" s="43"/>
      <c r="EZ177" s="43"/>
      <c r="FA177" s="43"/>
      <c r="FB177" s="43"/>
      <c r="FC177" s="43"/>
      <c r="FD177" s="43"/>
      <c r="FE177" s="43"/>
      <c r="FF177" s="43"/>
      <c r="FG177" s="43"/>
      <c r="FH177" s="43"/>
      <c r="FI177" s="43"/>
      <c r="FJ177" s="43"/>
      <c r="FK177" s="43"/>
      <c r="FL177" s="43"/>
      <c r="FM177" s="43"/>
      <c r="FN177" s="43"/>
      <c r="FO177" s="43"/>
      <c r="FP177" s="43"/>
      <c r="FQ177" s="43"/>
      <c r="FR177" s="43"/>
      <c r="FS177" s="43"/>
      <c r="FT177" s="43"/>
      <c r="FU177" s="43"/>
      <c r="FV177" s="43"/>
      <c r="FW177" s="43"/>
      <c r="FX177" s="43"/>
      <c r="FY177" s="43"/>
      <c r="FZ177" s="43"/>
      <c r="GA177" s="43"/>
      <c r="GB177" s="43"/>
      <c r="GC177" s="43"/>
      <c r="GD177" s="43"/>
      <c r="GE177" s="43"/>
      <c r="GF177" s="43"/>
      <c r="GG177" s="43"/>
      <c r="GH177" s="43"/>
      <c r="GI177" s="43"/>
      <c r="GJ177" s="43"/>
      <c r="GK177" s="43"/>
      <c r="GL177" s="43"/>
      <c r="GM177" s="43"/>
      <c r="GN177" s="43"/>
      <c r="GO177" s="43"/>
      <c r="GP177" s="43"/>
      <c r="GQ177" s="43"/>
      <c r="GR177" s="43"/>
      <c r="GS177" s="43"/>
      <c r="GT177" s="43"/>
      <c r="GU177" s="43"/>
      <c r="GV177" s="43"/>
      <c r="GW177" s="43"/>
      <c r="GX177" s="43"/>
      <c r="GY177" s="43"/>
      <c r="GZ177" s="43"/>
      <c r="HA177" s="43"/>
      <c r="HB177" s="43"/>
      <c r="HC177" s="43"/>
      <c r="HD177" s="43"/>
      <c r="HE177" s="43"/>
      <c r="HF177" s="43"/>
      <c r="HG177" s="43"/>
      <c r="HH177" s="43"/>
      <c r="HI177" s="43"/>
      <c r="HJ177" s="43"/>
      <c r="HK177" s="43"/>
      <c r="HL177" s="43"/>
      <c r="HM177" s="43"/>
      <c r="HN177" s="43"/>
      <c r="HO177" s="43"/>
      <c r="HP177" s="43"/>
      <c r="HQ177" s="43"/>
      <c r="HR177"/>
      <c r="HS177"/>
      <c r="HT177"/>
      <c r="HU177"/>
      <c r="HV177"/>
      <c r="HW177"/>
      <c r="HX177"/>
      <c r="HY177"/>
      <c r="HZ177"/>
      <c r="IA177"/>
      <c r="IB177"/>
      <c r="IC177"/>
      <c r="ID177"/>
      <c r="IE177"/>
      <c r="IF177"/>
      <c r="IG177"/>
      <c r="IH177"/>
      <c r="II177"/>
      <c r="IJ177"/>
      <c r="IK177" s="32"/>
      <c r="IL177" s="32"/>
      <c r="IM177" s="32"/>
      <c r="IN177" s="32"/>
      <c r="IO177" s="32"/>
      <c r="IP177" s="32"/>
      <c r="IQ177" s="32"/>
    </row>
    <row r="178" spans="1:251" s="33" customFormat="1">
      <c r="A178" s="45"/>
      <c r="B178" s="32"/>
      <c r="C178" s="32"/>
      <c r="D178" s="51"/>
      <c r="E178" s="51"/>
      <c r="F178" s="51"/>
      <c r="G178" s="51"/>
      <c r="H178" s="51"/>
      <c r="I178" s="51"/>
      <c r="J178" s="43"/>
      <c r="K178" s="58">
        <f>SUM(K174:K175)</f>
        <v>7751</v>
      </c>
      <c r="L178" s="43"/>
      <c r="M178" s="43"/>
      <c r="N178" s="43"/>
      <c r="O178" s="43"/>
      <c r="P178" s="43"/>
      <c r="Q178" s="43"/>
      <c r="R178" s="43"/>
      <c r="S178" s="43"/>
      <c r="T178" s="43"/>
      <c r="U178" s="43"/>
      <c r="V178" s="43"/>
      <c r="W178" s="43"/>
      <c r="X178" s="43"/>
      <c r="Y178" s="43"/>
      <c r="Z178" s="43"/>
      <c r="AA178" s="43"/>
      <c r="AB178" s="43"/>
      <c r="AC178" s="43"/>
      <c r="AD178" s="43"/>
      <c r="AE178" s="43"/>
      <c r="AF178" s="43"/>
      <c r="AG178" s="43"/>
      <c r="AH178" s="43"/>
      <c r="AI178" s="43"/>
      <c r="AJ178" s="43"/>
      <c r="AK178" s="43"/>
      <c r="AL178" s="43"/>
      <c r="AM178" s="43"/>
      <c r="AN178" s="43"/>
      <c r="AO178" s="43"/>
      <c r="AP178" s="43"/>
      <c r="AQ178" s="43"/>
      <c r="AR178" s="43"/>
      <c r="AS178" s="43"/>
      <c r="AT178" s="43"/>
      <c r="AU178" s="43"/>
      <c r="AV178" s="43"/>
      <c r="AW178" s="43"/>
      <c r="AX178" s="43"/>
      <c r="AY178" s="43"/>
      <c r="AZ178" s="43"/>
      <c r="BA178" s="43"/>
      <c r="BB178" s="43"/>
      <c r="BC178" s="43"/>
      <c r="BD178" s="43"/>
      <c r="BE178" s="43"/>
      <c r="BF178" s="43"/>
      <c r="BG178" s="43"/>
      <c r="BH178" s="43"/>
      <c r="BI178" s="43"/>
      <c r="BJ178" s="43"/>
      <c r="BK178" s="43"/>
      <c r="BL178" s="43"/>
      <c r="BM178" s="43"/>
      <c r="BN178" s="43"/>
      <c r="BO178" s="43"/>
      <c r="BP178" s="43"/>
      <c r="BQ178" s="43"/>
      <c r="BR178" s="43"/>
      <c r="BS178" s="43"/>
      <c r="BT178" s="43"/>
      <c r="BU178" s="43"/>
      <c r="BV178" s="43"/>
      <c r="BW178" s="43"/>
      <c r="BX178" s="43"/>
      <c r="BY178" s="43"/>
      <c r="BZ178" s="43"/>
      <c r="CA178" s="43"/>
      <c r="CB178" s="43"/>
      <c r="CC178" s="43"/>
      <c r="CD178" s="43"/>
      <c r="CE178" s="43"/>
      <c r="CF178" s="43"/>
      <c r="CG178" s="43"/>
      <c r="CH178" s="43"/>
      <c r="CI178" s="43"/>
      <c r="CJ178" s="43"/>
      <c r="CK178" s="43"/>
      <c r="CL178" s="43"/>
      <c r="CM178" s="43"/>
      <c r="CN178" s="43"/>
      <c r="CO178" s="43"/>
      <c r="CP178" s="43"/>
      <c r="CQ178" s="43"/>
      <c r="CR178" s="43"/>
      <c r="CS178" s="43"/>
      <c r="CT178" s="43"/>
      <c r="CU178" s="43"/>
      <c r="CV178" s="43"/>
      <c r="CW178" s="43"/>
      <c r="CX178" s="43"/>
      <c r="CY178" s="43"/>
      <c r="CZ178" s="43"/>
      <c r="DA178" s="43"/>
      <c r="DB178" s="43"/>
      <c r="DC178" s="43"/>
      <c r="DD178" s="43"/>
      <c r="DE178" s="43"/>
      <c r="DF178" s="43"/>
      <c r="DG178" s="43"/>
      <c r="DH178" s="43"/>
      <c r="DI178" s="43"/>
      <c r="DJ178" s="43"/>
      <c r="DK178" s="43"/>
      <c r="DL178" s="43"/>
      <c r="DM178" s="43"/>
      <c r="DN178" s="43"/>
      <c r="DO178" s="43"/>
      <c r="DP178" s="43"/>
      <c r="DQ178" s="43"/>
      <c r="DR178" s="43"/>
      <c r="DS178" s="43"/>
      <c r="DT178" s="43"/>
      <c r="DU178" s="43"/>
      <c r="DV178" s="43"/>
      <c r="DW178" s="43"/>
      <c r="DX178" s="43"/>
      <c r="DY178" s="43"/>
      <c r="DZ178" s="43"/>
      <c r="EA178" s="43"/>
      <c r="EB178" s="43"/>
      <c r="EC178" s="43"/>
      <c r="ED178" s="43"/>
      <c r="EE178" s="43"/>
      <c r="EF178" s="43"/>
      <c r="EG178" s="43"/>
      <c r="EH178" s="43"/>
      <c r="EI178" s="43"/>
      <c r="EJ178" s="43"/>
      <c r="EK178" s="43"/>
      <c r="EL178" s="43"/>
      <c r="EM178" s="43"/>
      <c r="EN178" s="43"/>
      <c r="EO178" s="43"/>
      <c r="EP178" s="43"/>
      <c r="EQ178" s="43"/>
      <c r="ER178" s="43"/>
      <c r="ES178" s="43"/>
      <c r="ET178" s="43"/>
      <c r="EU178" s="43"/>
      <c r="EV178" s="43"/>
      <c r="EW178" s="43"/>
      <c r="EX178" s="43"/>
      <c r="EY178" s="43"/>
      <c r="EZ178" s="43"/>
      <c r="FA178" s="43"/>
      <c r="FB178" s="43"/>
      <c r="FC178" s="43"/>
      <c r="FD178" s="43"/>
      <c r="FE178" s="43"/>
      <c r="FF178" s="43"/>
      <c r="FG178" s="43"/>
      <c r="FH178" s="43"/>
      <c r="FI178" s="43"/>
      <c r="FJ178" s="43"/>
      <c r="FK178" s="43"/>
      <c r="FL178" s="43"/>
      <c r="FM178" s="43"/>
      <c r="FN178" s="43"/>
      <c r="FO178" s="43"/>
      <c r="FP178" s="43"/>
      <c r="FQ178" s="43"/>
      <c r="FR178" s="43"/>
      <c r="FS178" s="43"/>
      <c r="FT178" s="43"/>
      <c r="FU178" s="43"/>
      <c r="FV178" s="43"/>
      <c r="FW178" s="43"/>
      <c r="FX178" s="43"/>
      <c r="FY178" s="43"/>
      <c r="FZ178" s="43"/>
      <c r="GA178" s="43"/>
      <c r="GB178" s="43"/>
      <c r="GC178" s="43"/>
      <c r="GD178" s="43"/>
      <c r="GE178" s="43"/>
      <c r="GF178" s="43"/>
      <c r="GG178" s="43"/>
      <c r="GH178" s="43"/>
      <c r="GI178" s="43"/>
      <c r="GJ178" s="43"/>
      <c r="GK178" s="43"/>
      <c r="GL178" s="43"/>
      <c r="GM178" s="43"/>
      <c r="GN178" s="43"/>
      <c r="GO178" s="43"/>
      <c r="GP178" s="43"/>
      <c r="GQ178" s="43"/>
      <c r="GR178" s="43"/>
      <c r="GS178" s="43"/>
      <c r="GT178" s="43"/>
      <c r="GU178" s="43"/>
      <c r="GV178" s="43"/>
      <c r="GW178" s="43"/>
      <c r="GX178" s="43"/>
      <c r="GY178" s="43"/>
      <c r="GZ178" s="43"/>
      <c r="HA178" s="43"/>
      <c r="HB178" s="43"/>
      <c r="HC178" s="43"/>
      <c r="HD178" s="43"/>
      <c r="HE178" s="43"/>
      <c r="HF178" s="43"/>
      <c r="HG178" s="43"/>
      <c r="HH178" s="43"/>
      <c r="HI178" s="43"/>
      <c r="HJ178" s="43"/>
      <c r="HK178" s="43"/>
      <c r="HL178" s="43"/>
      <c r="HM178" s="43"/>
      <c r="HN178" s="43"/>
      <c r="HO178" s="43"/>
      <c r="HP178" s="43"/>
      <c r="HQ178" s="43"/>
      <c r="HR178"/>
      <c r="HS178"/>
      <c r="HT178"/>
      <c r="HU178"/>
      <c r="HV178"/>
      <c r="HW178"/>
      <c r="HX178"/>
      <c r="HY178"/>
      <c r="HZ178"/>
      <c r="IA178"/>
      <c r="IB178"/>
      <c r="IC178"/>
      <c r="ID178"/>
      <c r="IE178"/>
      <c r="IF178"/>
      <c r="IG178"/>
      <c r="IH178"/>
      <c r="II178"/>
      <c r="IJ178"/>
      <c r="IK178" s="32"/>
      <c r="IL178" s="32"/>
      <c r="IM178" s="32"/>
      <c r="IN178" s="32"/>
      <c r="IO178" s="32"/>
      <c r="IP178" s="32"/>
      <c r="IQ178" s="32"/>
    </row>
    <row r="179" spans="1:251" s="33" customFormat="1">
      <c r="A179" s="32" t="s">
        <v>196</v>
      </c>
      <c r="B179" s="43"/>
      <c r="C179" s="43"/>
      <c r="D179" s="55">
        <f t="shared" ref="D179:U179" si="199">SUM(D173:D175)/D169</f>
        <v>0.75</v>
      </c>
      <c r="E179" s="55">
        <f t="shared" si="199"/>
        <v>0.70185449358059915</v>
      </c>
      <c r="F179" s="55">
        <f t="shared" si="199"/>
        <v>0.80504641751963824</v>
      </c>
      <c r="G179" s="55">
        <f t="shared" si="199"/>
        <v>0.81791516245487361</v>
      </c>
      <c r="H179" s="55">
        <f t="shared" si="199"/>
        <v>0.832737514895461</v>
      </c>
      <c r="I179" s="55">
        <f t="shared" si="199"/>
        <v>0.93969555035128804</v>
      </c>
      <c r="J179" s="55">
        <f t="shared" si="199"/>
        <v>1.0321223709369025</v>
      </c>
      <c r="K179" s="59">
        <f t="shared" si="199"/>
        <v>1.0463012958963283</v>
      </c>
      <c r="L179" s="59">
        <f t="shared" si="199"/>
        <v>0.97923416789396167</v>
      </c>
      <c r="M179" s="59">
        <f t="shared" si="199"/>
        <v>0.97923416789396167</v>
      </c>
      <c r="N179" s="59">
        <f t="shared" si="199"/>
        <v>0.892462477321458</v>
      </c>
      <c r="O179" s="59">
        <f t="shared" si="199"/>
        <v>0.892462477321458</v>
      </c>
      <c r="P179" s="59">
        <f t="shared" si="199"/>
        <v>0.93272892112420669</v>
      </c>
      <c r="Q179" s="59">
        <f>SUM(Q173:Q175)/Q169</f>
        <v>0.8602593126157646</v>
      </c>
      <c r="R179" s="59">
        <f>SUM(R173:R175)/R169</f>
        <v>0.85087719298245612</v>
      </c>
      <c r="S179" s="59">
        <f>SUM(S173:S175)/S169</f>
        <v>0.78191933240611966</v>
      </c>
      <c r="T179" s="59">
        <f t="shared" si="199"/>
        <v>0.64971319311663478</v>
      </c>
      <c r="U179" s="59">
        <f t="shared" si="199"/>
        <v>0</v>
      </c>
      <c r="V179" s="59">
        <f t="shared" ref="V179:AB179" si="200">SUM(V173:V175)/V169</f>
        <v>0</v>
      </c>
      <c r="W179" s="59">
        <f t="shared" si="200"/>
        <v>0</v>
      </c>
      <c r="X179" s="59">
        <f t="shared" ref="X179" si="201">SUM(X173:X175)/X169</f>
        <v>0</v>
      </c>
      <c r="Y179" s="59">
        <f t="shared" si="200"/>
        <v>0</v>
      </c>
      <c r="Z179" s="59">
        <f t="shared" si="200"/>
        <v>0</v>
      </c>
      <c r="AA179" s="59">
        <f t="shared" si="200"/>
        <v>0</v>
      </c>
      <c r="AB179" s="59">
        <f t="shared" si="200"/>
        <v>0</v>
      </c>
      <c r="AC179" s="59">
        <f>SUM(AC173:AC175)/AC169</f>
        <v>0</v>
      </c>
      <c r="AD179" s="59">
        <f>SUM(AD173:AD175)/AD169</f>
        <v>0</v>
      </c>
      <c r="AE179" s="59">
        <f>SUM(AE173:AE175)/AE169</f>
        <v>0</v>
      </c>
      <c r="AF179" s="59">
        <f>SUM(AF173:AF175)/AF169</f>
        <v>0</v>
      </c>
      <c r="AG179" s="59">
        <f>SUM(AG173:AG175)/AG169</f>
        <v>0</v>
      </c>
      <c r="AH179" s="43"/>
      <c r="AI179" s="43"/>
      <c r="AJ179" s="43"/>
      <c r="AK179" s="43"/>
      <c r="AL179" s="43"/>
      <c r="AM179" s="43"/>
      <c r="AN179" s="43"/>
      <c r="AO179" s="43"/>
      <c r="AP179" s="43"/>
      <c r="AQ179" s="43"/>
      <c r="AR179" s="43"/>
      <c r="AS179" s="43"/>
      <c r="AT179" s="43"/>
      <c r="AU179" s="43"/>
      <c r="AV179" s="43"/>
      <c r="AW179" s="43"/>
      <c r="AX179" s="43"/>
      <c r="AY179" s="43"/>
      <c r="AZ179" s="43"/>
      <c r="BA179" s="43"/>
      <c r="BB179" s="43"/>
      <c r="BC179" s="43"/>
      <c r="BD179" s="43"/>
      <c r="BE179" s="43"/>
      <c r="BF179" s="43"/>
      <c r="BG179" s="43"/>
      <c r="BH179" s="43"/>
      <c r="BI179" s="43"/>
      <c r="BJ179" s="43"/>
      <c r="BK179" s="43"/>
      <c r="BL179" s="43"/>
      <c r="BM179" s="43"/>
      <c r="BN179" s="43"/>
      <c r="BO179" s="43"/>
      <c r="BP179" s="43"/>
      <c r="BQ179" s="43"/>
      <c r="BR179" s="43"/>
      <c r="BS179" s="43"/>
      <c r="BT179" s="43"/>
      <c r="BU179" s="43"/>
      <c r="BV179" s="43"/>
      <c r="BW179" s="43"/>
      <c r="BX179" s="43"/>
      <c r="BY179" s="43"/>
      <c r="BZ179" s="43"/>
      <c r="CA179" s="43"/>
      <c r="CB179" s="43"/>
      <c r="CC179" s="43"/>
      <c r="CD179" s="43"/>
      <c r="CE179" s="43"/>
      <c r="CF179" s="43"/>
      <c r="CG179" s="43"/>
      <c r="CH179" s="43"/>
      <c r="CI179" s="43"/>
      <c r="CJ179" s="43"/>
      <c r="CK179" s="43"/>
      <c r="CL179" s="43"/>
      <c r="CM179" s="43"/>
      <c r="CN179" s="43"/>
      <c r="CO179" s="43"/>
      <c r="CP179" s="43"/>
      <c r="CQ179" s="43"/>
      <c r="CR179" s="43"/>
      <c r="CS179" s="43"/>
      <c r="CT179" s="43"/>
      <c r="CU179" s="43"/>
      <c r="CV179" s="43"/>
      <c r="CW179" s="43"/>
      <c r="CX179" s="43"/>
      <c r="CY179" s="43"/>
      <c r="CZ179" s="43"/>
      <c r="DA179" s="43"/>
      <c r="DB179" s="43"/>
      <c r="DC179" s="43"/>
      <c r="DD179" s="43"/>
      <c r="DE179" s="43"/>
      <c r="DF179" s="43"/>
      <c r="DG179" s="43"/>
      <c r="DH179" s="43"/>
      <c r="DI179" s="43"/>
      <c r="DJ179" s="43"/>
      <c r="DK179" s="43"/>
      <c r="DL179" s="43"/>
      <c r="DM179" s="43"/>
      <c r="DN179" s="43"/>
      <c r="DO179" s="43"/>
      <c r="DP179" s="43"/>
      <c r="DQ179" s="43"/>
      <c r="DR179" s="43"/>
      <c r="DS179" s="43"/>
      <c r="DT179" s="43"/>
      <c r="DU179" s="43"/>
      <c r="DV179" s="43"/>
      <c r="DW179" s="43"/>
      <c r="DX179" s="43"/>
      <c r="DY179" s="43"/>
      <c r="DZ179" s="43"/>
      <c r="EA179" s="43"/>
      <c r="EB179" s="43"/>
      <c r="EC179" s="43"/>
      <c r="ED179" s="43"/>
      <c r="EE179" s="43"/>
      <c r="EF179" s="43"/>
      <c r="EG179" s="43"/>
      <c r="EH179" s="43"/>
      <c r="EI179" s="43"/>
      <c r="EJ179" s="43"/>
      <c r="EK179" s="43"/>
      <c r="EL179" s="43"/>
      <c r="EM179" s="43"/>
      <c r="EN179" s="43"/>
      <c r="EO179" s="43"/>
      <c r="EP179" s="43"/>
      <c r="EQ179" s="43"/>
      <c r="ER179" s="43"/>
      <c r="ES179" s="43"/>
      <c r="ET179" s="43"/>
      <c r="EU179" s="43"/>
      <c r="EV179" s="43"/>
      <c r="EW179" s="43"/>
      <c r="EX179" s="43"/>
      <c r="EY179" s="43"/>
      <c r="EZ179" s="43"/>
      <c r="FA179" s="43"/>
      <c r="FB179" s="43"/>
      <c r="FC179" s="43"/>
      <c r="FD179" s="43"/>
      <c r="FE179" s="43"/>
      <c r="FF179" s="43"/>
      <c r="FG179" s="43"/>
      <c r="FH179" s="43"/>
      <c r="FI179" s="43"/>
      <c r="FJ179" s="43"/>
      <c r="FK179" s="43"/>
      <c r="FL179" s="43"/>
      <c r="FM179" s="43"/>
      <c r="FN179" s="43"/>
      <c r="FO179" s="43"/>
      <c r="FP179" s="43"/>
      <c r="FQ179" s="43"/>
      <c r="FR179" s="43"/>
      <c r="FS179" s="43"/>
      <c r="FT179" s="43"/>
      <c r="FU179" s="43"/>
      <c r="FV179" s="43"/>
      <c r="FW179" s="43"/>
      <c r="FX179" s="43"/>
      <c r="FY179" s="43"/>
      <c r="FZ179" s="43"/>
      <c r="GA179" s="43"/>
      <c r="GB179" s="43"/>
      <c r="GC179" s="43"/>
      <c r="GD179" s="43"/>
      <c r="GE179" s="43"/>
      <c r="GF179" s="43"/>
      <c r="GG179" s="43"/>
      <c r="GH179" s="43"/>
      <c r="GI179" s="43"/>
      <c r="GJ179" s="43"/>
      <c r="GK179" s="43"/>
      <c r="GL179" s="43"/>
      <c r="GM179" s="43"/>
      <c r="GN179" s="43"/>
      <c r="GO179" s="43"/>
      <c r="GP179" s="43"/>
      <c r="GQ179" s="43"/>
      <c r="GR179" s="43"/>
      <c r="GS179" s="43"/>
      <c r="GT179" s="43"/>
      <c r="GU179" s="43"/>
      <c r="GV179" s="43"/>
      <c r="GW179" s="43"/>
      <c r="GX179" s="43"/>
      <c r="GY179" s="43"/>
      <c r="GZ179" s="43"/>
      <c r="HA179" s="43"/>
      <c r="HB179" s="43"/>
      <c r="HC179" s="43"/>
      <c r="HD179" s="43"/>
      <c r="HE179" s="43"/>
      <c r="HF179" s="43"/>
      <c r="HG179" s="43"/>
      <c r="HH179" s="43"/>
      <c r="HI179" s="43"/>
      <c r="HJ179" s="43"/>
      <c r="HK179" s="43"/>
      <c r="HL179" s="43"/>
      <c r="HM179" s="43"/>
      <c r="HN179" s="43"/>
      <c r="HO179" s="43"/>
      <c r="HP179" s="43"/>
      <c r="HQ179" s="43"/>
      <c r="HR179"/>
      <c r="HS179"/>
      <c r="HT179"/>
      <c r="HU179"/>
      <c r="HV179"/>
      <c r="HW179"/>
      <c r="HX179"/>
      <c r="HY179"/>
      <c r="HZ179"/>
      <c r="IA179"/>
      <c r="IB179"/>
      <c r="IC179"/>
      <c r="ID179"/>
      <c r="IE179"/>
      <c r="IF179"/>
      <c r="IG179"/>
      <c r="IH179"/>
      <c r="II179"/>
      <c r="IJ179"/>
      <c r="IK179" s="32"/>
      <c r="IL179" s="32"/>
      <c r="IM179" s="32"/>
      <c r="IN179" s="32"/>
      <c r="IO179" s="32"/>
      <c r="IP179" s="32"/>
      <c r="IQ179" s="32"/>
    </row>
    <row r="180" spans="1:251" s="33" customFormat="1">
      <c r="A180" s="54" t="s">
        <v>580</v>
      </c>
      <c r="B180" s="32"/>
      <c r="C180" s="32"/>
      <c r="D180" s="272"/>
      <c r="E180" s="272">
        <f t="shared" ref="E180:N180" si="202">E174-D174</f>
        <v>237</v>
      </c>
      <c r="F180" s="272">
        <f t="shared" si="202"/>
        <v>-47</v>
      </c>
      <c r="G180" s="277">
        <f t="shared" si="202"/>
        <v>593</v>
      </c>
      <c r="H180" s="277">
        <f t="shared" si="202"/>
        <v>674</v>
      </c>
      <c r="I180" s="277">
        <f t="shared" si="202"/>
        <v>44</v>
      </c>
      <c r="J180" s="277">
        <f t="shared" si="202"/>
        <v>11</v>
      </c>
      <c r="K180" s="278">
        <f t="shared" si="202"/>
        <v>-207</v>
      </c>
      <c r="L180" s="278">
        <f t="shared" si="202"/>
        <v>-895</v>
      </c>
      <c r="M180" s="278">
        <f t="shared" si="202"/>
        <v>0</v>
      </c>
      <c r="N180" s="278">
        <f t="shared" si="202"/>
        <v>-619</v>
      </c>
      <c r="O180" s="278">
        <f>O174-M174</f>
        <v>-619</v>
      </c>
      <c r="P180" s="278">
        <f t="shared" ref="P180:X180" si="203">P174-O174</f>
        <v>0</v>
      </c>
      <c r="Q180" s="278">
        <f t="shared" si="203"/>
        <v>-500</v>
      </c>
      <c r="R180" s="278">
        <f t="shared" si="203"/>
        <v>0</v>
      </c>
      <c r="S180" s="278">
        <f t="shared" si="203"/>
        <v>0</v>
      </c>
      <c r="T180" s="278">
        <f t="shared" si="203"/>
        <v>0</v>
      </c>
      <c r="U180" s="278">
        <f t="shared" si="203"/>
        <v>0</v>
      </c>
      <c r="V180" s="278">
        <f t="shared" si="203"/>
        <v>0</v>
      </c>
      <c r="W180" s="278">
        <f t="shared" si="203"/>
        <v>0</v>
      </c>
      <c r="X180" s="278">
        <f t="shared" si="203"/>
        <v>0</v>
      </c>
      <c r="Y180" s="278">
        <f t="shared" ref="Y180:AG180" si="204">Y174-X174</f>
        <v>0</v>
      </c>
      <c r="Z180" s="278">
        <f t="shared" si="204"/>
        <v>0</v>
      </c>
      <c r="AA180" s="278">
        <f t="shared" si="204"/>
        <v>0</v>
      </c>
      <c r="AB180" s="278">
        <f t="shared" si="204"/>
        <v>0</v>
      </c>
      <c r="AC180" s="278">
        <f t="shared" si="204"/>
        <v>0</v>
      </c>
      <c r="AD180" s="278">
        <f t="shared" si="204"/>
        <v>0</v>
      </c>
      <c r="AE180" s="278">
        <f t="shared" si="204"/>
        <v>0</v>
      </c>
      <c r="AF180" s="278">
        <f t="shared" si="204"/>
        <v>0</v>
      </c>
      <c r="AG180" s="278">
        <f t="shared" si="204"/>
        <v>0</v>
      </c>
      <c r="AH180" s="43"/>
      <c r="AI180" s="43"/>
      <c r="AJ180" s="43"/>
      <c r="AK180" s="43"/>
      <c r="AL180" s="43"/>
      <c r="AM180" s="43"/>
      <c r="AN180" s="43"/>
      <c r="AO180" s="43"/>
      <c r="AP180" s="43"/>
      <c r="AQ180" s="43"/>
      <c r="AR180" s="43"/>
      <c r="AS180" s="43"/>
      <c r="AT180" s="43"/>
      <c r="AU180" s="43"/>
      <c r="AV180" s="43"/>
      <c r="AW180" s="43"/>
      <c r="AX180" s="43"/>
      <c r="AY180" s="43"/>
      <c r="AZ180" s="43"/>
      <c r="BA180" s="43"/>
      <c r="BB180" s="43"/>
      <c r="BC180" s="43"/>
      <c r="BD180" s="43"/>
      <c r="BE180" s="43"/>
      <c r="BF180" s="43"/>
      <c r="BG180" s="43"/>
      <c r="BH180" s="43"/>
      <c r="BI180" s="43"/>
      <c r="BJ180" s="43"/>
      <c r="BK180" s="43"/>
      <c r="BL180" s="43"/>
      <c r="BM180" s="43"/>
      <c r="BN180" s="43"/>
      <c r="BO180" s="43"/>
      <c r="BP180" s="43"/>
      <c r="BQ180" s="43"/>
      <c r="BR180" s="43"/>
      <c r="BS180" s="43"/>
      <c r="BT180" s="43"/>
      <c r="BU180" s="43"/>
      <c r="BV180" s="43"/>
      <c r="BW180" s="43"/>
      <c r="BX180" s="43"/>
      <c r="BY180" s="43"/>
      <c r="BZ180" s="43"/>
      <c r="CA180" s="43"/>
      <c r="CB180" s="43"/>
      <c r="CC180" s="43"/>
      <c r="CD180" s="43"/>
      <c r="CE180" s="43"/>
      <c r="CF180" s="43"/>
      <c r="CG180" s="43"/>
      <c r="CH180" s="43"/>
      <c r="CI180" s="43"/>
      <c r="CJ180" s="43"/>
      <c r="CK180" s="43"/>
      <c r="CL180" s="43"/>
      <c r="CM180" s="43"/>
      <c r="CN180" s="43"/>
      <c r="CO180" s="43"/>
      <c r="CP180" s="43"/>
      <c r="CQ180" s="43"/>
      <c r="CR180" s="43"/>
      <c r="CS180" s="43"/>
      <c r="CT180" s="43"/>
      <c r="CU180" s="43"/>
      <c r="CV180" s="43"/>
      <c r="CW180" s="43"/>
      <c r="CX180" s="43"/>
      <c r="CY180" s="43"/>
      <c r="CZ180" s="43"/>
      <c r="DA180" s="43"/>
      <c r="DB180" s="43"/>
      <c r="DC180" s="43"/>
      <c r="DD180" s="43"/>
      <c r="DE180" s="43"/>
      <c r="DF180" s="43"/>
      <c r="DG180" s="43"/>
      <c r="DH180" s="43"/>
      <c r="DI180" s="43"/>
      <c r="DJ180" s="43"/>
      <c r="DK180" s="43"/>
      <c r="DL180" s="43"/>
      <c r="DM180" s="43"/>
      <c r="DN180" s="43"/>
      <c r="DO180" s="43"/>
      <c r="DP180" s="43"/>
      <c r="DQ180" s="43"/>
      <c r="DR180" s="43"/>
      <c r="DS180" s="43"/>
      <c r="DT180" s="43"/>
      <c r="DU180" s="43"/>
      <c r="DV180" s="43"/>
      <c r="DW180" s="43"/>
      <c r="DX180" s="43"/>
      <c r="DY180" s="43"/>
      <c r="DZ180" s="43"/>
      <c r="EA180" s="43"/>
      <c r="EB180" s="43"/>
      <c r="EC180" s="43"/>
      <c r="ED180" s="43"/>
      <c r="EE180" s="43"/>
      <c r="EF180" s="43"/>
      <c r="EG180" s="43"/>
      <c r="EH180" s="43"/>
      <c r="EI180" s="43"/>
      <c r="EJ180" s="43"/>
      <c r="EK180" s="43"/>
      <c r="EL180" s="43"/>
      <c r="EM180" s="43"/>
      <c r="EN180" s="43"/>
      <c r="EO180" s="43"/>
      <c r="EP180" s="43"/>
      <c r="EQ180" s="43"/>
      <c r="ER180" s="43"/>
      <c r="ES180" s="43"/>
      <c r="ET180" s="43"/>
      <c r="EU180" s="43"/>
      <c r="EV180" s="43"/>
      <c r="EW180" s="43"/>
      <c r="EX180" s="43"/>
      <c r="EY180" s="43"/>
      <c r="EZ180" s="43"/>
      <c r="FA180" s="43"/>
      <c r="FB180" s="43"/>
      <c r="FC180" s="43"/>
      <c r="FD180" s="43"/>
      <c r="FE180" s="43"/>
      <c r="FF180" s="43"/>
      <c r="FG180" s="43"/>
      <c r="FH180" s="43"/>
      <c r="FI180" s="43"/>
      <c r="FJ180" s="43"/>
      <c r="FK180" s="43"/>
      <c r="FL180" s="43"/>
      <c r="FM180" s="43"/>
      <c r="FN180" s="43"/>
      <c r="FO180" s="43"/>
      <c r="FP180" s="43"/>
      <c r="FQ180" s="43"/>
      <c r="FR180" s="43"/>
      <c r="FS180" s="43"/>
      <c r="FT180" s="43"/>
      <c r="FU180" s="43"/>
      <c r="FV180" s="43"/>
      <c r="FW180" s="43"/>
      <c r="FX180" s="43"/>
      <c r="FY180" s="43"/>
      <c r="FZ180" s="43"/>
      <c r="GA180" s="43"/>
      <c r="GB180" s="43"/>
      <c r="GC180" s="43"/>
      <c r="GD180" s="43"/>
      <c r="GE180" s="43"/>
      <c r="GF180" s="43"/>
      <c r="GG180" s="43"/>
      <c r="GH180" s="43"/>
      <c r="GI180" s="43"/>
      <c r="GJ180" s="43"/>
      <c r="GK180" s="43"/>
      <c r="GL180" s="43"/>
      <c r="GM180" s="43"/>
      <c r="GN180" s="43"/>
      <c r="GO180" s="43"/>
      <c r="GP180" s="43"/>
      <c r="GQ180" s="43"/>
      <c r="GR180" s="43"/>
      <c r="GS180" s="43"/>
      <c r="GT180" s="43"/>
      <c r="GU180" s="43"/>
      <c r="GV180" s="43"/>
      <c r="GW180" s="43"/>
      <c r="GX180" s="43"/>
      <c r="GY180" s="43"/>
      <c r="GZ180" s="43"/>
      <c r="HA180" s="43"/>
      <c r="HB180" s="43"/>
      <c r="HC180" s="43"/>
      <c r="HD180" s="43"/>
      <c r="HE180" s="43"/>
      <c r="HF180" s="43"/>
      <c r="HG180" s="43"/>
      <c r="HH180" s="43"/>
      <c r="HI180" s="43"/>
      <c r="HJ180" s="43"/>
      <c r="HK180" s="43"/>
      <c r="HL180" s="43"/>
      <c r="HM180" s="43"/>
      <c r="HN180" s="43"/>
      <c r="HO180" s="43"/>
      <c r="HP180" s="43"/>
      <c r="HQ180" s="43"/>
      <c r="HR180"/>
      <c r="HS180"/>
      <c r="HT180"/>
      <c r="HU180"/>
      <c r="HV180"/>
      <c r="HW180"/>
      <c r="HX180"/>
      <c r="HY180"/>
      <c r="HZ180"/>
      <c r="IA180"/>
      <c r="IB180"/>
      <c r="IC180"/>
      <c r="ID180"/>
      <c r="IE180"/>
      <c r="IF180"/>
      <c r="IG180"/>
      <c r="IH180"/>
      <c r="II180"/>
      <c r="IJ180"/>
      <c r="IK180" s="32"/>
      <c r="IL180" s="32"/>
      <c r="IM180" s="32"/>
      <c r="IN180" s="32"/>
      <c r="IO180" s="32"/>
      <c r="IP180" s="32"/>
      <c r="IQ180" s="32"/>
    </row>
    <row r="181" spans="1:251" s="33" customFormat="1">
      <c r="A181" s="45"/>
      <c r="B181" s="54"/>
      <c r="C181" s="32"/>
      <c r="D181" s="51"/>
      <c r="E181" s="51"/>
      <c r="F181" s="51"/>
      <c r="G181" s="51"/>
      <c r="H181" s="51"/>
      <c r="I181" s="51"/>
      <c r="J181" s="51"/>
      <c r="K181" s="60"/>
      <c r="L181" s="60"/>
      <c r="M181" s="60"/>
      <c r="N181" s="60"/>
      <c r="O181" s="60"/>
      <c r="P181" s="60"/>
      <c r="Q181" s="60"/>
      <c r="R181" s="60"/>
      <c r="S181" s="60"/>
      <c r="T181" s="60"/>
      <c r="U181" s="60"/>
      <c r="V181" s="60"/>
      <c r="W181" s="60"/>
      <c r="X181" s="60"/>
      <c r="Y181" s="60"/>
      <c r="Z181" s="60"/>
      <c r="AA181" s="60"/>
      <c r="AB181" s="60"/>
      <c r="AC181" s="60"/>
      <c r="AD181" s="60"/>
      <c r="AE181" s="60"/>
      <c r="AF181" s="60"/>
      <c r="AG181" s="60"/>
      <c r="AH181" s="43"/>
      <c r="AI181" s="43"/>
      <c r="AJ181" s="43"/>
      <c r="AK181" s="43"/>
      <c r="AL181" s="43"/>
      <c r="AM181" s="43"/>
      <c r="AN181" s="43"/>
      <c r="AO181" s="43"/>
      <c r="AP181" s="43"/>
      <c r="AQ181" s="43"/>
      <c r="AR181" s="43"/>
      <c r="AS181" s="43"/>
      <c r="AT181" s="43"/>
      <c r="AU181" s="43"/>
      <c r="AV181" s="43"/>
      <c r="AW181" s="43"/>
      <c r="AX181" s="43"/>
      <c r="AY181" s="43"/>
      <c r="AZ181" s="43"/>
      <c r="BA181" s="43"/>
      <c r="BB181" s="43"/>
      <c r="BC181" s="43"/>
      <c r="BD181" s="43"/>
      <c r="BE181" s="43"/>
      <c r="BF181" s="43"/>
      <c r="BG181" s="43"/>
      <c r="BH181" s="43"/>
      <c r="BI181" s="43"/>
      <c r="BJ181" s="43"/>
      <c r="BK181" s="43"/>
      <c r="BL181" s="43"/>
      <c r="BM181" s="43"/>
      <c r="BN181" s="43"/>
      <c r="BO181" s="43"/>
      <c r="BP181" s="43"/>
      <c r="BQ181" s="43"/>
      <c r="BR181" s="43"/>
      <c r="BS181" s="43"/>
      <c r="BT181" s="43"/>
      <c r="BU181" s="43"/>
      <c r="BV181" s="43"/>
      <c r="BW181" s="43"/>
      <c r="BX181" s="43"/>
      <c r="BY181" s="43"/>
      <c r="BZ181" s="43"/>
      <c r="CA181" s="43"/>
      <c r="CB181" s="43"/>
      <c r="CC181" s="43"/>
      <c r="CD181" s="43"/>
      <c r="CE181" s="43"/>
      <c r="CF181" s="43"/>
      <c r="CG181" s="43"/>
      <c r="CH181" s="43"/>
      <c r="CI181" s="43"/>
      <c r="CJ181" s="43"/>
      <c r="CK181" s="43"/>
      <c r="CL181" s="43"/>
      <c r="CM181" s="43"/>
      <c r="CN181" s="43"/>
      <c r="CO181" s="43"/>
      <c r="CP181" s="43"/>
      <c r="CQ181" s="43"/>
      <c r="CR181" s="43"/>
      <c r="CS181" s="43"/>
      <c r="CT181" s="43"/>
      <c r="CU181" s="43"/>
      <c r="CV181" s="43"/>
      <c r="CW181" s="43"/>
      <c r="CX181" s="43"/>
      <c r="CY181" s="43"/>
      <c r="CZ181" s="43"/>
      <c r="DA181" s="43"/>
      <c r="DB181" s="43"/>
      <c r="DC181" s="43"/>
      <c r="DD181" s="43"/>
      <c r="DE181" s="43"/>
      <c r="DF181" s="43"/>
      <c r="DG181" s="43"/>
      <c r="DH181" s="43"/>
      <c r="DI181" s="43"/>
      <c r="DJ181" s="43"/>
      <c r="DK181" s="43"/>
      <c r="DL181" s="43"/>
      <c r="DM181" s="43"/>
      <c r="DN181" s="43"/>
      <c r="DO181" s="43"/>
      <c r="DP181" s="43"/>
      <c r="DQ181" s="43"/>
      <c r="DR181" s="43"/>
      <c r="DS181" s="43"/>
      <c r="DT181" s="43"/>
      <c r="DU181" s="43"/>
      <c r="DV181" s="43"/>
      <c r="DW181" s="43"/>
      <c r="DX181" s="43"/>
      <c r="DY181" s="43"/>
      <c r="DZ181" s="43"/>
      <c r="EA181" s="43"/>
      <c r="EB181" s="43"/>
      <c r="EC181" s="43"/>
      <c r="ED181" s="43"/>
      <c r="EE181" s="43"/>
      <c r="EF181" s="43"/>
      <c r="EG181" s="43"/>
      <c r="EH181" s="43"/>
      <c r="EI181" s="43"/>
      <c r="EJ181" s="43"/>
      <c r="EK181" s="43"/>
      <c r="EL181" s="43"/>
      <c r="EM181" s="43"/>
      <c r="EN181" s="43"/>
      <c r="EO181" s="43"/>
      <c r="EP181" s="43"/>
      <c r="EQ181" s="43"/>
      <c r="ER181" s="43"/>
      <c r="ES181" s="43"/>
      <c r="ET181" s="43"/>
      <c r="EU181" s="43"/>
      <c r="EV181" s="43"/>
      <c r="EW181" s="43"/>
      <c r="EX181" s="43"/>
      <c r="EY181" s="43"/>
      <c r="EZ181" s="43"/>
      <c r="FA181" s="43"/>
      <c r="FB181" s="43"/>
      <c r="FC181" s="43"/>
      <c r="FD181" s="43"/>
      <c r="FE181" s="43"/>
      <c r="FF181" s="43"/>
      <c r="FG181" s="43"/>
      <c r="FH181" s="43"/>
      <c r="FI181" s="43"/>
      <c r="FJ181" s="43"/>
      <c r="FK181" s="43"/>
      <c r="FL181" s="43"/>
      <c r="FM181" s="43"/>
      <c r="FN181" s="43"/>
      <c r="FO181" s="43"/>
      <c r="FP181" s="43"/>
      <c r="FQ181" s="43"/>
      <c r="FR181" s="43"/>
      <c r="FS181" s="43"/>
      <c r="FT181" s="43"/>
      <c r="FU181" s="43"/>
      <c r="FV181" s="43"/>
      <c r="FW181" s="43"/>
      <c r="FX181" s="43"/>
      <c r="FY181" s="43"/>
      <c r="FZ181" s="43"/>
      <c r="GA181" s="43"/>
      <c r="GB181" s="43"/>
      <c r="GC181" s="43"/>
      <c r="GD181" s="43"/>
      <c r="GE181" s="43"/>
      <c r="GF181" s="43"/>
      <c r="GG181" s="43"/>
      <c r="GH181" s="43"/>
      <c r="GI181" s="43"/>
      <c r="GJ181" s="43"/>
      <c r="GK181" s="43"/>
      <c r="GL181" s="43"/>
      <c r="GM181" s="43"/>
      <c r="GN181" s="43"/>
      <c r="GO181" s="43"/>
      <c r="GP181" s="43"/>
      <c r="GQ181" s="43"/>
      <c r="GR181" s="43"/>
      <c r="GS181" s="43"/>
      <c r="GT181" s="43"/>
      <c r="GU181" s="43"/>
      <c r="GV181" s="43"/>
      <c r="GW181" s="43"/>
      <c r="GX181" s="43"/>
      <c r="GY181" s="43"/>
      <c r="GZ181" s="43"/>
      <c r="HA181" s="43"/>
      <c r="HB181" s="43"/>
      <c r="HC181" s="43"/>
      <c r="HD181" s="43"/>
      <c r="HE181" s="43"/>
      <c r="HF181" s="43"/>
      <c r="HG181" s="43"/>
      <c r="HH181" s="43"/>
      <c r="HI181" s="43"/>
      <c r="HJ181" s="43"/>
      <c r="HK181" s="43"/>
      <c r="HL181" s="43"/>
      <c r="HM181" s="43"/>
      <c r="HN181" s="43"/>
      <c r="HO181" s="43"/>
      <c r="HP181" s="43"/>
      <c r="HQ181" s="43"/>
      <c r="HR181"/>
      <c r="HS181"/>
      <c r="HT181"/>
      <c r="HU181"/>
      <c r="HV181"/>
      <c r="HW181"/>
      <c r="HX181"/>
      <c r="HY181"/>
      <c r="HZ181"/>
      <c r="IA181"/>
      <c r="IB181"/>
      <c r="IC181"/>
      <c r="ID181"/>
      <c r="IE181"/>
      <c r="IF181"/>
      <c r="IG181"/>
      <c r="IH181"/>
      <c r="II181"/>
      <c r="IJ181"/>
      <c r="IK181" s="32"/>
      <c r="IL181" s="32"/>
      <c r="IM181" s="32"/>
      <c r="IN181" s="32"/>
      <c r="IO181" s="32"/>
      <c r="IP181" s="32"/>
      <c r="IQ181" s="32"/>
    </row>
    <row r="182" spans="1:251" s="37" customFormat="1">
      <c r="A182" s="45" t="s">
        <v>524</v>
      </c>
      <c r="B182" s="34"/>
      <c r="C182" s="34"/>
      <c r="D182" s="129"/>
      <c r="E182" s="129"/>
      <c r="F182" s="129"/>
      <c r="G182" s="129"/>
      <c r="H182" s="129"/>
      <c r="I182" s="129"/>
      <c r="J182" s="129"/>
      <c r="K182" s="279"/>
      <c r="L182" s="279"/>
      <c r="M182" s="279"/>
      <c r="N182" s="279"/>
      <c r="O182" s="279"/>
      <c r="P182" s="279"/>
      <c r="Q182" s="279"/>
      <c r="R182" s="279"/>
      <c r="S182" s="279"/>
      <c r="T182" s="279"/>
      <c r="U182" s="279"/>
      <c r="V182" s="279"/>
      <c r="W182" s="279"/>
      <c r="X182" s="279"/>
      <c r="Y182" s="279"/>
      <c r="Z182" s="279"/>
      <c r="AA182" s="279"/>
      <c r="AB182" s="279"/>
      <c r="AC182" s="279"/>
      <c r="AD182" s="279"/>
      <c r="AE182" s="279"/>
      <c r="AF182" s="279"/>
      <c r="AG182" s="279"/>
      <c r="AH182" s="129"/>
      <c r="AI182" s="129"/>
      <c r="AJ182" s="129"/>
      <c r="AK182" s="129"/>
      <c r="AL182" s="129"/>
      <c r="AM182" s="129"/>
      <c r="AN182" s="129"/>
      <c r="AO182" s="129"/>
      <c r="AP182" s="129"/>
      <c r="AQ182" s="129"/>
      <c r="AR182" s="129"/>
      <c r="AS182" s="129"/>
      <c r="AT182" s="129"/>
      <c r="AU182" s="129"/>
      <c r="AV182" s="129"/>
      <c r="AW182" s="129"/>
      <c r="AX182" s="129"/>
      <c r="AY182" s="129"/>
      <c r="AZ182" s="129"/>
      <c r="BA182" s="129"/>
      <c r="BB182" s="129"/>
      <c r="BC182" s="129"/>
      <c r="BD182" s="129"/>
      <c r="BE182" s="129"/>
      <c r="BF182" s="129"/>
      <c r="BG182" s="129"/>
      <c r="BH182" s="129"/>
      <c r="BI182" s="129"/>
      <c r="BJ182" s="129"/>
      <c r="BK182" s="129"/>
      <c r="BL182" s="129"/>
      <c r="BM182" s="129"/>
      <c r="BN182" s="129"/>
      <c r="BO182" s="129"/>
      <c r="BP182" s="129"/>
      <c r="BQ182" s="129"/>
      <c r="BR182" s="129"/>
      <c r="BS182" s="129"/>
      <c r="BT182" s="129"/>
      <c r="BU182" s="129"/>
      <c r="BV182" s="129"/>
      <c r="BW182" s="129"/>
      <c r="BX182" s="129"/>
      <c r="BY182" s="129"/>
      <c r="BZ182" s="129"/>
      <c r="CA182" s="129"/>
      <c r="CB182" s="129"/>
      <c r="CC182" s="129"/>
      <c r="CD182" s="129"/>
      <c r="CE182" s="129"/>
      <c r="CF182" s="129"/>
      <c r="CG182" s="129"/>
      <c r="CH182" s="129"/>
      <c r="CI182" s="129"/>
      <c r="CJ182" s="129"/>
      <c r="CK182" s="129"/>
      <c r="CL182" s="129"/>
      <c r="CM182" s="129"/>
      <c r="CN182" s="129"/>
      <c r="CO182" s="129"/>
      <c r="CP182" s="129"/>
      <c r="CQ182" s="129"/>
      <c r="CR182" s="129"/>
      <c r="CS182" s="129"/>
      <c r="CT182" s="129"/>
      <c r="CU182" s="129"/>
      <c r="CV182" s="129"/>
      <c r="CW182" s="129"/>
      <c r="CX182" s="129"/>
      <c r="CY182" s="129"/>
      <c r="CZ182" s="129"/>
      <c r="DA182" s="129"/>
      <c r="DB182" s="129"/>
      <c r="DC182" s="129"/>
      <c r="DD182" s="129"/>
      <c r="DE182" s="129"/>
      <c r="DF182" s="129"/>
      <c r="DG182" s="129"/>
      <c r="DH182" s="129"/>
      <c r="DI182" s="129"/>
      <c r="DJ182" s="129"/>
      <c r="DK182" s="129"/>
      <c r="DL182" s="129"/>
      <c r="DM182" s="129"/>
      <c r="DN182" s="129"/>
      <c r="DO182" s="129"/>
      <c r="DP182" s="129"/>
      <c r="DQ182" s="129"/>
      <c r="DR182" s="129"/>
      <c r="DS182" s="129"/>
      <c r="DT182" s="129"/>
      <c r="DU182" s="129"/>
      <c r="DV182" s="129"/>
      <c r="DW182" s="129"/>
      <c r="DX182" s="129"/>
      <c r="DY182" s="129"/>
      <c r="DZ182" s="129"/>
      <c r="EA182" s="129"/>
      <c r="EB182" s="129"/>
      <c r="EC182" s="129"/>
      <c r="ED182" s="129"/>
      <c r="EE182" s="129"/>
      <c r="EF182" s="129"/>
      <c r="EG182" s="129"/>
      <c r="EH182" s="129"/>
      <c r="EI182" s="129"/>
      <c r="EJ182" s="129"/>
      <c r="EK182" s="129"/>
      <c r="EL182" s="129"/>
      <c r="EM182" s="129"/>
      <c r="EN182" s="129"/>
      <c r="EO182" s="129"/>
      <c r="EP182" s="129"/>
      <c r="EQ182" s="129"/>
      <c r="ER182" s="129"/>
      <c r="ES182" s="129"/>
      <c r="ET182" s="129"/>
      <c r="EU182" s="129"/>
      <c r="EV182" s="129"/>
      <c r="EW182" s="129"/>
      <c r="EX182" s="129"/>
      <c r="EY182" s="129"/>
      <c r="EZ182" s="129"/>
      <c r="FA182" s="129"/>
      <c r="FB182" s="129"/>
      <c r="FC182" s="129"/>
      <c r="FD182" s="129"/>
      <c r="FE182" s="129"/>
      <c r="FF182" s="129"/>
      <c r="FG182" s="129"/>
      <c r="FH182" s="129"/>
      <c r="FI182" s="129"/>
      <c r="FJ182" s="129"/>
      <c r="FK182" s="129"/>
      <c r="FL182" s="129"/>
      <c r="FM182" s="129"/>
      <c r="FN182" s="129"/>
      <c r="FO182" s="129"/>
      <c r="FP182" s="129"/>
      <c r="FQ182" s="129"/>
      <c r="FR182" s="129"/>
      <c r="FS182" s="129"/>
      <c r="FT182" s="129"/>
      <c r="FU182" s="129"/>
      <c r="FV182" s="129"/>
      <c r="FW182" s="129"/>
      <c r="FX182" s="129"/>
      <c r="FY182" s="129"/>
      <c r="FZ182" s="129"/>
      <c r="GA182" s="129"/>
      <c r="GB182" s="129"/>
      <c r="GC182" s="129"/>
      <c r="GD182" s="129"/>
      <c r="GE182" s="129"/>
      <c r="GF182" s="129"/>
      <c r="GG182" s="129"/>
      <c r="GH182" s="129"/>
      <c r="GI182" s="129"/>
      <c r="GJ182" s="129"/>
      <c r="GK182" s="129"/>
      <c r="GL182" s="129"/>
      <c r="GM182" s="129"/>
      <c r="GN182" s="129"/>
      <c r="GO182" s="129"/>
      <c r="GP182" s="129"/>
      <c r="GQ182" s="129"/>
      <c r="GR182" s="129"/>
      <c r="GS182" s="129"/>
      <c r="GT182" s="129"/>
      <c r="GU182" s="129"/>
      <c r="GV182" s="129"/>
      <c r="GW182" s="129"/>
      <c r="GX182" s="129"/>
      <c r="GY182" s="129"/>
      <c r="GZ182" s="129"/>
      <c r="HA182" s="129"/>
      <c r="HB182" s="129"/>
      <c r="HC182" s="129"/>
      <c r="HD182" s="129"/>
      <c r="HE182" s="129"/>
      <c r="HF182" s="129"/>
      <c r="HG182" s="129"/>
      <c r="HH182" s="129"/>
      <c r="HI182" s="129"/>
      <c r="HJ182" s="129"/>
      <c r="HK182" s="129"/>
      <c r="HL182" s="129"/>
      <c r="HM182" s="129"/>
      <c r="HN182" s="129"/>
      <c r="HO182" s="129"/>
      <c r="HP182" s="129"/>
      <c r="HQ182" s="129"/>
      <c r="HR182"/>
      <c r="HS182"/>
      <c r="HT182"/>
      <c r="HU182"/>
      <c r="HV182"/>
      <c r="HW182"/>
      <c r="HX182"/>
      <c r="HY182"/>
      <c r="HZ182"/>
      <c r="IA182"/>
      <c r="IB182"/>
      <c r="IC182"/>
      <c r="ID182"/>
      <c r="IE182"/>
      <c r="IF182"/>
      <c r="IG182"/>
      <c r="IH182"/>
      <c r="II182"/>
      <c r="IJ182"/>
      <c r="IK182" s="34"/>
      <c r="IL182" s="34"/>
      <c r="IM182" s="34"/>
      <c r="IN182" s="34"/>
      <c r="IO182" s="34"/>
      <c r="IP182" s="34"/>
      <c r="IQ182" s="34"/>
    </row>
    <row r="183" spans="1:251" s="33" customFormat="1">
      <c r="A183" s="48" t="s">
        <v>577</v>
      </c>
      <c r="B183" s="32"/>
      <c r="C183" s="32"/>
      <c r="D183" s="43"/>
      <c r="E183" s="51">
        <v>355</v>
      </c>
      <c r="F183" s="51">
        <v>417</v>
      </c>
      <c r="G183" s="51">
        <v>435</v>
      </c>
      <c r="H183" s="51">
        <v>495</v>
      </c>
      <c r="I183" s="51">
        <v>439</v>
      </c>
      <c r="J183" s="244">
        <f>+IS!E165</f>
        <v>495</v>
      </c>
      <c r="K183" s="244">
        <f>+IS!F165</f>
        <v>439</v>
      </c>
      <c r="L183" s="244">
        <f>+IS!G165</f>
        <v>395</v>
      </c>
      <c r="M183" s="244">
        <f>+IS!H165</f>
        <v>325</v>
      </c>
      <c r="N183" s="244">
        <f>+IS!I165</f>
        <v>317</v>
      </c>
      <c r="O183" s="244">
        <f>+IS!J165</f>
        <v>179</v>
      </c>
      <c r="P183" s="244">
        <f>+IS!K165</f>
        <v>216</v>
      </c>
      <c r="Q183" s="244">
        <f>+IS!L165</f>
        <v>348</v>
      </c>
      <c r="R183" s="244">
        <f>+IS!M165</f>
        <v>161</v>
      </c>
      <c r="S183" s="244">
        <f>+IS!N165</f>
        <v>177</v>
      </c>
      <c r="T183" s="244">
        <f>+IS!O165</f>
        <v>150</v>
      </c>
      <c r="U183" s="244">
        <f>+IS!P165</f>
        <v>211</v>
      </c>
      <c r="V183" s="244">
        <f>+IS!Q165</f>
        <v>131</v>
      </c>
      <c r="W183" s="244">
        <f>+IS!R165</f>
        <v>39.945937500000007</v>
      </c>
      <c r="X183" s="244">
        <f>+IS!S165</f>
        <v>96</v>
      </c>
      <c r="Y183" s="1069">
        <v>105</v>
      </c>
      <c r="Z183" s="244">
        <f t="shared" ref="Z183:AG183" si="205">+Y183*1.06</f>
        <v>111.30000000000001</v>
      </c>
      <c r="AA183" s="244">
        <f t="shared" si="205"/>
        <v>117.97800000000002</v>
      </c>
      <c r="AB183" s="244">
        <f t="shared" si="205"/>
        <v>125.05668000000003</v>
      </c>
      <c r="AC183" s="244">
        <f t="shared" si="205"/>
        <v>132.56008080000004</v>
      </c>
      <c r="AD183" s="244">
        <f t="shared" si="205"/>
        <v>140.51368564800003</v>
      </c>
      <c r="AE183" s="244">
        <f t="shared" si="205"/>
        <v>148.94450678688005</v>
      </c>
      <c r="AF183" s="244">
        <f t="shared" si="205"/>
        <v>157.88117719409286</v>
      </c>
      <c r="AG183" s="244">
        <f t="shared" si="205"/>
        <v>167.35404782573843</v>
      </c>
      <c r="AH183" s="43"/>
      <c r="AI183" s="43"/>
      <c r="AJ183" s="43"/>
      <c r="AK183" s="43"/>
      <c r="AL183" s="43"/>
      <c r="AM183" s="43"/>
      <c r="AN183" s="43"/>
      <c r="AO183" s="43"/>
      <c r="AP183" s="43"/>
      <c r="AQ183" s="43"/>
      <c r="AR183" s="43"/>
      <c r="AS183" s="43"/>
      <c r="AT183" s="43"/>
      <c r="AU183" s="43"/>
      <c r="AV183" s="43"/>
      <c r="AW183" s="43"/>
      <c r="AX183" s="43"/>
      <c r="AY183" s="43"/>
      <c r="AZ183" s="43"/>
      <c r="BA183" s="43"/>
      <c r="BB183" s="43"/>
      <c r="BC183" s="43"/>
      <c r="BD183" s="43"/>
      <c r="BE183" s="43"/>
      <c r="BF183" s="43"/>
      <c r="BG183" s="43"/>
      <c r="BH183" s="43"/>
      <c r="BI183" s="43"/>
      <c r="BJ183" s="43"/>
      <c r="BK183" s="43"/>
      <c r="BL183" s="43"/>
      <c r="BM183" s="43"/>
      <c r="BN183" s="43"/>
      <c r="BO183" s="43"/>
      <c r="BP183" s="43"/>
      <c r="BQ183" s="43"/>
      <c r="BR183" s="43"/>
      <c r="BS183" s="43"/>
      <c r="BT183" s="43"/>
      <c r="BU183" s="43"/>
      <c r="BV183" s="43"/>
      <c r="BW183" s="43"/>
      <c r="BX183" s="43"/>
      <c r="BY183" s="43"/>
      <c r="BZ183" s="43"/>
      <c r="CA183" s="43"/>
      <c r="CB183" s="43"/>
      <c r="CC183" s="43"/>
      <c r="CD183" s="43"/>
      <c r="CE183" s="43"/>
      <c r="CF183" s="43"/>
      <c r="CG183" s="43"/>
      <c r="CH183" s="43"/>
      <c r="CI183" s="43"/>
      <c r="CJ183" s="43"/>
      <c r="CK183" s="43"/>
      <c r="CL183" s="43"/>
      <c r="CM183" s="43"/>
      <c r="CN183" s="43"/>
      <c r="CO183" s="43"/>
      <c r="CP183" s="43"/>
      <c r="CQ183" s="43"/>
      <c r="CR183" s="43"/>
      <c r="CS183" s="43"/>
      <c r="CT183" s="43"/>
      <c r="CU183" s="43"/>
      <c r="CV183" s="43"/>
      <c r="CW183" s="43"/>
      <c r="CX183" s="43"/>
      <c r="CY183" s="43"/>
      <c r="CZ183" s="43"/>
      <c r="DA183" s="43"/>
      <c r="DB183" s="43"/>
      <c r="DC183" s="43"/>
      <c r="DD183" s="43"/>
      <c r="DE183" s="43"/>
      <c r="DF183" s="43"/>
      <c r="DG183" s="43"/>
      <c r="DH183" s="43"/>
      <c r="DI183" s="43"/>
      <c r="DJ183" s="43"/>
      <c r="DK183" s="43"/>
      <c r="DL183" s="43"/>
      <c r="DM183" s="43"/>
      <c r="DN183" s="43"/>
      <c r="DO183" s="43"/>
      <c r="DP183" s="43"/>
      <c r="DQ183" s="43"/>
      <c r="DR183" s="43"/>
      <c r="DS183" s="43"/>
      <c r="DT183" s="43"/>
      <c r="DU183" s="43"/>
      <c r="DV183" s="43"/>
      <c r="DW183" s="43"/>
      <c r="DX183" s="43"/>
      <c r="DY183" s="43"/>
      <c r="DZ183" s="43"/>
      <c r="EA183" s="43"/>
      <c r="EB183" s="43"/>
      <c r="EC183" s="43"/>
      <c r="ED183" s="43"/>
      <c r="EE183" s="43"/>
      <c r="EF183" s="43"/>
      <c r="EG183" s="43"/>
      <c r="EH183" s="43"/>
      <c r="EI183" s="43"/>
      <c r="EJ183" s="43"/>
      <c r="EK183" s="43"/>
      <c r="EL183" s="43"/>
      <c r="EM183" s="43"/>
      <c r="EN183" s="43"/>
      <c r="EO183" s="43"/>
      <c r="EP183" s="43"/>
      <c r="EQ183" s="43"/>
      <c r="ER183" s="43"/>
      <c r="ES183" s="43"/>
      <c r="ET183" s="43"/>
      <c r="EU183" s="43"/>
      <c r="EV183" s="43"/>
      <c r="EW183" s="43"/>
      <c r="EX183" s="43"/>
      <c r="EY183" s="43"/>
      <c r="EZ183" s="43"/>
      <c r="FA183" s="43"/>
      <c r="FB183" s="43"/>
      <c r="FC183" s="43"/>
      <c r="FD183" s="43"/>
      <c r="FE183" s="43"/>
      <c r="FF183" s="43"/>
      <c r="FG183" s="43"/>
      <c r="FH183" s="43"/>
      <c r="FI183" s="43"/>
      <c r="FJ183" s="43"/>
      <c r="FK183" s="43"/>
      <c r="FL183" s="43"/>
      <c r="FM183" s="43"/>
      <c r="FN183" s="43"/>
      <c r="FO183" s="43"/>
      <c r="FP183" s="43"/>
      <c r="FQ183" s="43"/>
      <c r="FR183" s="43"/>
      <c r="FS183" s="43"/>
      <c r="FT183" s="43"/>
      <c r="FU183" s="43"/>
      <c r="FV183" s="43"/>
      <c r="FW183" s="43"/>
      <c r="FX183" s="43"/>
      <c r="FY183" s="43"/>
      <c r="FZ183" s="43"/>
      <c r="GA183" s="43"/>
      <c r="GB183" s="43"/>
      <c r="GC183" s="43"/>
      <c r="GD183" s="43"/>
      <c r="GE183" s="43"/>
      <c r="GF183" s="43"/>
      <c r="GG183" s="43"/>
      <c r="GH183" s="43"/>
      <c r="GI183" s="43"/>
      <c r="GJ183" s="43"/>
      <c r="GK183" s="43"/>
      <c r="GL183" s="43"/>
      <c r="GM183" s="43"/>
      <c r="GN183" s="43"/>
      <c r="GO183" s="43"/>
      <c r="GP183" s="43"/>
      <c r="GQ183" s="43"/>
      <c r="GR183" s="43"/>
      <c r="GS183" s="43"/>
      <c r="GT183" s="43"/>
      <c r="GU183" s="43"/>
      <c r="GV183" s="43"/>
      <c r="GW183" s="43"/>
      <c r="GX183" s="43"/>
      <c r="GY183" s="43"/>
      <c r="GZ183" s="43"/>
      <c r="HA183" s="43"/>
      <c r="HB183" s="43"/>
      <c r="HC183" s="43"/>
      <c r="HD183" s="43"/>
      <c r="HE183" s="43"/>
      <c r="HF183" s="43"/>
      <c r="HG183" s="43"/>
      <c r="HH183" s="43"/>
      <c r="HI183" s="43"/>
      <c r="HJ183" s="43"/>
      <c r="HK183" s="43"/>
      <c r="HL183" s="43"/>
      <c r="HM183" s="43"/>
      <c r="HN183" s="43"/>
      <c r="HO183" s="43"/>
      <c r="HP183" s="43"/>
      <c r="HQ183" s="43"/>
      <c r="HR183"/>
      <c r="HS183"/>
      <c r="HT183"/>
      <c r="HU183"/>
      <c r="HV183"/>
      <c r="HW183"/>
      <c r="HX183"/>
      <c r="HY183"/>
      <c r="HZ183"/>
      <c r="IA183"/>
      <c r="IB183"/>
      <c r="IC183"/>
      <c r="ID183"/>
      <c r="IE183"/>
      <c r="IF183"/>
      <c r="IG183"/>
      <c r="IH183"/>
      <c r="II183"/>
      <c r="IJ183"/>
      <c r="IK183" s="32"/>
      <c r="IL183" s="32"/>
      <c r="IM183" s="32"/>
      <c r="IN183" s="32"/>
      <c r="IO183" s="32"/>
      <c r="IP183" s="32"/>
      <c r="IQ183" s="32"/>
    </row>
    <row r="184" spans="1:251" s="33" customFormat="1">
      <c r="A184" s="54" t="s">
        <v>578</v>
      </c>
      <c r="B184" s="32"/>
      <c r="C184" s="32"/>
      <c r="D184" s="43"/>
      <c r="E184" s="111">
        <f t="shared" ref="E184:K184" si="206">E183/E169</f>
        <v>4.6038127350538194E-2</v>
      </c>
      <c r="F184" s="111">
        <f t="shared" si="206"/>
        <v>4.9631040228517019E-2</v>
      </c>
      <c r="G184" s="111">
        <f t="shared" si="206"/>
        <v>4.9074909747292415E-2</v>
      </c>
      <c r="H184" s="111">
        <f t="shared" si="206"/>
        <v>5.3623659408514789E-2</v>
      </c>
      <c r="I184" s="111">
        <f t="shared" si="206"/>
        <v>5.1405152224824356E-2</v>
      </c>
      <c r="J184" s="111">
        <f t="shared" si="206"/>
        <v>6.3097514340344163E-2</v>
      </c>
      <c r="K184" s="130">
        <f t="shared" si="206"/>
        <v>5.9260259179265661E-2</v>
      </c>
      <c r="L184" s="72">
        <v>4.4999999999999998E-2</v>
      </c>
      <c r="M184" s="130">
        <f>M183/M169</f>
        <v>4.7864506627393229E-2</v>
      </c>
      <c r="N184" s="72">
        <v>4.4999999999999998E-2</v>
      </c>
      <c r="O184" s="130">
        <f t="shared" ref="O184:W184" si="207">O183/O169</f>
        <v>2.9523338281378854E-2</v>
      </c>
      <c r="P184" s="130">
        <f t="shared" si="207"/>
        <v>3.9165911151405261E-2</v>
      </c>
      <c r="Q184" s="130">
        <f t="shared" si="207"/>
        <v>7.1619674830211977E-2</v>
      </c>
      <c r="R184" s="130">
        <f t="shared" si="207"/>
        <v>3.5307017543859648E-2</v>
      </c>
      <c r="S184" s="130">
        <f t="shared" si="207"/>
        <v>4.9235048678720444E-2</v>
      </c>
      <c r="T184" s="130">
        <f t="shared" si="207"/>
        <v>5.736137667304015E-2</v>
      </c>
      <c r="U184" s="130">
        <f t="shared" si="207"/>
        <v>0.10565848773159739</v>
      </c>
      <c r="V184" s="130">
        <f t="shared" si="207"/>
        <v>8.1164807930607194E-2</v>
      </c>
      <c r="W184" s="130">
        <f t="shared" si="207"/>
        <v>3.2240466101694919E-2</v>
      </c>
      <c r="X184" s="130">
        <f t="shared" ref="X184:Y184" si="208">X183/X169</f>
        <v>9.3385214007782102E-2</v>
      </c>
      <c r="Y184" s="130">
        <f t="shared" si="208"/>
        <v>0.12310462686793139</v>
      </c>
      <c r="Z184" s="130">
        <f>Z183/Z169</f>
        <v>0.15727454343456132</v>
      </c>
      <c r="AA184" s="130">
        <f>AA183/AA169</f>
        <v>0.20092893859372254</v>
      </c>
      <c r="AB184" s="130">
        <f t="shared" ref="AB184:AG184" si="209">AB183/AB169</f>
        <v>0.25670040098509683</v>
      </c>
      <c r="AC184" s="130">
        <f t="shared" si="209"/>
        <v>0.32795224185775013</v>
      </c>
      <c r="AD184" s="130">
        <f t="shared" si="209"/>
        <v>0.4189813203516124</v>
      </c>
      <c r="AE184" s="130">
        <f t="shared" si="209"/>
        <v>0.53527716660562907</v>
      </c>
      <c r="AF184" s="130">
        <f t="shared" si="209"/>
        <v>0.68385302917299295</v>
      </c>
      <c r="AG184" s="130">
        <f t="shared" si="209"/>
        <v>0.8736688106362438</v>
      </c>
      <c r="AH184" s="43"/>
      <c r="AI184" s="43"/>
      <c r="AJ184" s="43"/>
      <c r="AK184" s="43"/>
      <c r="AL184" s="43"/>
      <c r="AM184" s="43"/>
      <c r="AN184" s="43"/>
      <c r="AO184" s="43"/>
      <c r="AP184" s="43"/>
      <c r="AQ184" s="43"/>
      <c r="AR184" s="43"/>
      <c r="AS184" s="43"/>
      <c r="AT184" s="43"/>
      <c r="AU184" s="43"/>
      <c r="AV184" s="43"/>
      <c r="AW184" s="43"/>
      <c r="AX184" s="43"/>
      <c r="AY184" s="43"/>
      <c r="AZ184" s="43"/>
      <c r="BA184" s="43"/>
      <c r="BB184" s="43"/>
      <c r="BC184" s="43"/>
      <c r="BD184" s="43"/>
      <c r="BE184" s="43"/>
      <c r="BF184" s="43"/>
      <c r="BG184" s="43"/>
      <c r="BH184" s="43"/>
      <c r="BI184" s="43"/>
      <c r="BJ184" s="43"/>
      <c r="BK184" s="43"/>
      <c r="BL184" s="43"/>
      <c r="BM184" s="43"/>
      <c r="BN184" s="43"/>
      <c r="BO184" s="43"/>
      <c r="BP184" s="43"/>
      <c r="BQ184" s="43"/>
      <c r="BR184" s="43"/>
      <c r="BS184" s="43"/>
      <c r="BT184" s="43"/>
      <c r="BU184" s="43"/>
      <c r="BV184" s="43"/>
      <c r="BW184" s="43"/>
      <c r="BX184" s="43"/>
      <c r="BY184" s="43"/>
      <c r="BZ184" s="43"/>
      <c r="CA184" s="43"/>
      <c r="CB184" s="43"/>
      <c r="CC184" s="43"/>
      <c r="CD184" s="43"/>
      <c r="CE184" s="43"/>
      <c r="CF184" s="43"/>
      <c r="CG184" s="43"/>
      <c r="CH184" s="43"/>
      <c r="CI184" s="43"/>
      <c r="CJ184" s="43"/>
      <c r="CK184" s="43"/>
      <c r="CL184" s="43"/>
      <c r="CM184" s="43"/>
      <c r="CN184" s="43"/>
      <c r="CO184" s="43"/>
      <c r="CP184" s="43"/>
      <c r="CQ184" s="43"/>
      <c r="CR184" s="43"/>
      <c r="CS184" s="43"/>
      <c r="CT184" s="43"/>
      <c r="CU184" s="43"/>
      <c r="CV184" s="43"/>
      <c r="CW184" s="43"/>
      <c r="CX184" s="43"/>
      <c r="CY184" s="43"/>
      <c r="CZ184" s="43"/>
      <c r="DA184" s="43"/>
      <c r="DB184" s="43"/>
      <c r="DC184" s="43"/>
      <c r="DD184" s="43"/>
      <c r="DE184" s="43"/>
      <c r="DF184" s="43"/>
      <c r="DG184" s="43"/>
      <c r="DH184" s="43"/>
      <c r="DI184" s="43"/>
      <c r="DJ184" s="43"/>
      <c r="DK184" s="43"/>
      <c r="DL184" s="43"/>
      <c r="DM184" s="43"/>
      <c r="DN184" s="43"/>
      <c r="DO184" s="43"/>
      <c r="DP184" s="43"/>
      <c r="DQ184" s="43"/>
      <c r="DR184" s="43"/>
      <c r="DS184" s="43"/>
      <c r="DT184" s="43"/>
      <c r="DU184" s="43"/>
      <c r="DV184" s="43"/>
      <c r="DW184" s="43"/>
      <c r="DX184" s="43"/>
      <c r="DY184" s="43"/>
      <c r="DZ184" s="43"/>
      <c r="EA184" s="43"/>
      <c r="EB184" s="43"/>
      <c r="EC184" s="43"/>
      <c r="ED184" s="43"/>
      <c r="EE184" s="43"/>
      <c r="EF184" s="43"/>
      <c r="EG184" s="43"/>
      <c r="EH184" s="43"/>
      <c r="EI184" s="43"/>
      <c r="EJ184" s="43"/>
      <c r="EK184" s="43"/>
      <c r="EL184" s="43"/>
      <c r="EM184" s="43"/>
      <c r="EN184" s="43"/>
      <c r="EO184" s="43"/>
      <c r="EP184" s="43"/>
      <c r="EQ184" s="43"/>
      <c r="ER184" s="43"/>
      <c r="ES184" s="43"/>
      <c r="ET184" s="43"/>
      <c r="EU184" s="43"/>
      <c r="EV184" s="43"/>
      <c r="EW184" s="43"/>
      <c r="EX184" s="43"/>
      <c r="EY184" s="43"/>
      <c r="EZ184" s="43"/>
      <c r="FA184" s="43"/>
      <c r="FB184" s="43"/>
      <c r="FC184" s="43"/>
      <c r="FD184" s="43"/>
      <c r="FE184" s="43"/>
      <c r="FF184" s="43"/>
      <c r="FG184" s="43"/>
      <c r="FH184" s="43"/>
      <c r="FI184" s="43"/>
      <c r="FJ184" s="43"/>
      <c r="FK184" s="43"/>
      <c r="FL184" s="43"/>
      <c r="FM184" s="43"/>
      <c r="FN184" s="43"/>
      <c r="FO184" s="43"/>
      <c r="FP184" s="43"/>
      <c r="FQ184" s="43"/>
      <c r="FR184" s="43"/>
      <c r="FS184" s="43"/>
      <c r="FT184" s="43"/>
      <c r="FU184" s="43"/>
      <c r="FV184" s="43"/>
      <c r="FW184" s="43"/>
      <c r="FX184" s="43"/>
      <c r="FY184" s="43"/>
      <c r="FZ184" s="43"/>
      <c r="GA184" s="43"/>
      <c r="GB184" s="43"/>
      <c r="GC184" s="43"/>
      <c r="GD184" s="43"/>
      <c r="GE184" s="43"/>
      <c r="GF184" s="43"/>
      <c r="GG184" s="43"/>
      <c r="GH184" s="43"/>
      <c r="GI184" s="43"/>
      <c r="GJ184" s="43"/>
      <c r="GK184" s="43"/>
      <c r="GL184" s="43"/>
      <c r="GM184" s="43"/>
      <c r="GN184" s="43"/>
      <c r="GO184" s="43"/>
      <c r="GP184" s="43"/>
      <c r="GQ184" s="43"/>
      <c r="GR184" s="43"/>
      <c r="GS184" s="43"/>
      <c r="GT184" s="43"/>
      <c r="GU184" s="43"/>
      <c r="GV184" s="43"/>
      <c r="GW184" s="43"/>
      <c r="GX184" s="43"/>
      <c r="GY184" s="43"/>
      <c r="GZ184" s="43"/>
      <c r="HA184" s="43"/>
      <c r="HB184" s="43"/>
      <c r="HC184" s="43"/>
      <c r="HD184" s="43"/>
      <c r="HE184" s="43"/>
      <c r="HF184" s="43"/>
      <c r="HG184" s="43"/>
      <c r="HH184" s="43"/>
      <c r="HI184" s="43"/>
      <c r="HJ184" s="43"/>
      <c r="HK184" s="43"/>
      <c r="HL184" s="43"/>
      <c r="HM184" s="43"/>
      <c r="HN184" s="43"/>
      <c r="HO184" s="43"/>
      <c r="HP184" s="43"/>
      <c r="HQ184" s="43"/>
      <c r="HR184"/>
      <c r="HS184"/>
      <c r="HT184"/>
      <c r="HU184"/>
      <c r="HV184"/>
      <c r="HW184"/>
      <c r="HX184"/>
      <c r="HY184"/>
      <c r="HZ184"/>
      <c r="IA184"/>
      <c r="IB184"/>
      <c r="IC184"/>
      <c r="ID184"/>
      <c r="IE184"/>
      <c r="IF184"/>
      <c r="IG184"/>
      <c r="IH184"/>
      <c r="II184"/>
      <c r="IJ184"/>
      <c r="IK184" s="32"/>
      <c r="IL184" s="32"/>
      <c r="IM184" s="32"/>
      <c r="IN184" s="32"/>
      <c r="IO184" s="32"/>
      <c r="IP184" s="32"/>
      <c r="IQ184" s="32"/>
    </row>
    <row r="185" spans="1:251" s="33" customFormat="1">
      <c r="A185" s="43"/>
      <c r="B185" s="32"/>
      <c r="C185" s="32"/>
      <c r="D185" s="43"/>
      <c r="E185" s="43"/>
      <c r="F185" s="43"/>
      <c r="G185" s="43"/>
      <c r="H185" s="43"/>
      <c r="I185" s="43"/>
      <c r="J185" s="43"/>
      <c r="K185" s="62"/>
      <c r="L185" s="62"/>
      <c r="M185" s="62"/>
      <c r="N185" s="62"/>
      <c r="O185" s="62"/>
      <c r="P185" s="62"/>
      <c r="Q185" s="62"/>
      <c r="R185" s="62"/>
      <c r="S185" s="62"/>
      <c r="T185" s="62"/>
      <c r="U185" s="62"/>
      <c r="V185" s="62"/>
      <c r="W185" s="62"/>
      <c r="X185" s="62"/>
      <c r="Y185" s="62"/>
      <c r="Z185" s="62"/>
      <c r="AA185" s="62"/>
      <c r="AB185" s="62"/>
      <c r="AC185" s="62"/>
      <c r="AD185" s="62"/>
      <c r="AE185" s="62"/>
      <c r="AF185" s="62"/>
      <c r="AG185" s="62"/>
      <c r="AH185" s="43"/>
      <c r="AI185" s="43"/>
      <c r="AJ185" s="43"/>
      <c r="AK185" s="43"/>
      <c r="AL185" s="43"/>
      <c r="AM185" s="43"/>
      <c r="AN185" s="43"/>
      <c r="AO185" s="43"/>
      <c r="AP185" s="43"/>
      <c r="AQ185" s="43"/>
      <c r="AR185" s="43"/>
      <c r="AS185" s="43"/>
      <c r="AT185" s="43"/>
      <c r="AU185" s="43"/>
      <c r="AV185" s="43"/>
      <c r="AW185" s="43"/>
      <c r="AX185" s="43"/>
      <c r="AY185" s="43"/>
      <c r="AZ185" s="43"/>
      <c r="BA185" s="43"/>
      <c r="BB185" s="43"/>
      <c r="BC185" s="43"/>
      <c r="BD185" s="43"/>
      <c r="BE185" s="43"/>
      <c r="BF185" s="43"/>
      <c r="BG185" s="43"/>
      <c r="BH185" s="43"/>
      <c r="BI185" s="43"/>
      <c r="BJ185" s="43"/>
      <c r="BK185" s="43"/>
      <c r="BL185" s="43"/>
      <c r="BM185" s="43"/>
      <c r="BN185" s="43"/>
      <c r="BO185" s="43"/>
      <c r="BP185" s="43"/>
      <c r="BQ185" s="43"/>
      <c r="BR185" s="43"/>
      <c r="BS185" s="43"/>
      <c r="BT185" s="43"/>
      <c r="BU185" s="43"/>
      <c r="BV185" s="43"/>
      <c r="BW185" s="43"/>
      <c r="BX185" s="43"/>
      <c r="BY185" s="43"/>
      <c r="BZ185" s="43"/>
      <c r="CA185" s="43"/>
      <c r="CB185" s="43"/>
      <c r="CC185" s="43"/>
      <c r="CD185" s="43"/>
      <c r="CE185" s="43"/>
      <c r="CF185" s="43"/>
      <c r="CG185" s="43"/>
      <c r="CH185" s="43"/>
      <c r="CI185" s="43"/>
      <c r="CJ185" s="43"/>
      <c r="CK185" s="43"/>
      <c r="CL185" s="43"/>
      <c r="CM185" s="43"/>
      <c r="CN185" s="43"/>
      <c r="CO185" s="43"/>
      <c r="CP185" s="43"/>
      <c r="CQ185" s="43"/>
      <c r="CR185" s="43"/>
      <c r="CS185" s="43"/>
      <c r="CT185" s="43"/>
      <c r="CU185" s="43"/>
      <c r="CV185" s="43"/>
      <c r="CW185" s="43"/>
      <c r="CX185" s="43"/>
      <c r="CY185" s="43"/>
      <c r="CZ185" s="43"/>
      <c r="DA185" s="43"/>
      <c r="DB185" s="43"/>
      <c r="DC185" s="43"/>
      <c r="DD185" s="43"/>
      <c r="DE185" s="43"/>
      <c r="DF185" s="43"/>
      <c r="DG185" s="43"/>
      <c r="DH185" s="43"/>
      <c r="DI185" s="43"/>
      <c r="DJ185" s="43"/>
      <c r="DK185" s="43"/>
      <c r="DL185" s="43"/>
      <c r="DM185" s="43"/>
      <c r="DN185" s="43"/>
      <c r="DO185" s="43"/>
      <c r="DP185" s="43"/>
      <c r="DQ185" s="43"/>
      <c r="DR185" s="43"/>
      <c r="DS185" s="43"/>
      <c r="DT185" s="43"/>
      <c r="DU185" s="43"/>
      <c r="DV185" s="43"/>
      <c r="DW185" s="43"/>
      <c r="DX185" s="43"/>
      <c r="DY185" s="43"/>
      <c r="DZ185" s="43"/>
      <c r="EA185" s="43"/>
      <c r="EB185" s="43"/>
      <c r="EC185" s="43"/>
      <c r="ED185" s="43"/>
      <c r="EE185" s="43"/>
      <c r="EF185" s="43"/>
      <c r="EG185" s="43"/>
      <c r="EH185" s="43"/>
      <c r="EI185" s="43"/>
      <c r="EJ185" s="43"/>
      <c r="EK185" s="43"/>
      <c r="EL185" s="43"/>
      <c r="EM185" s="43"/>
      <c r="EN185" s="43"/>
      <c r="EO185" s="43"/>
      <c r="EP185" s="43"/>
      <c r="EQ185" s="43"/>
      <c r="ER185" s="43"/>
      <c r="ES185" s="43"/>
      <c r="ET185" s="43"/>
      <c r="EU185" s="43"/>
      <c r="EV185" s="43"/>
      <c r="EW185" s="43"/>
      <c r="EX185" s="43"/>
      <c r="EY185" s="43"/>
      <c r="EZ185" s="43"/>
      <c r="FA185" s="43"/>
      <c r="FB185" s="43"/>
      <c r="FC185" s="43"/>
      <c r="FD185" s="43"/>
      <c r="FE185" s="43"/>
      <c r="FF185" s="43"/>
      <c r="FG185" s="43"/>
      <c r="FH185" s="43"/>
      <c r="FI185" s="43"/>
      <c r="FJ185" s="43"/>
      <c r="FK185" s="43"/>
      <c r="FL185" s="43"/>
      <c r="FM185" s="43"/>
      <c r="FN185" s="43"/>
      <c r="FO185" s="43"/>
      <c r="FP185" s="43"/>
      <c r="FQ185" s="43"/>
      <c r="FR185" s="43"/>
      <c r="FS185" s="43"/>
      <c r="FT185" s="43"/>
      <c r="FU185" s="43"/>
      <c r="FV185" s="43"/>
      <c r="FW185" s="43"/>
      <c r="FX185" s="43"/>
      <c r="FY185" s="43"/>
      <c r="FZ185" s="43"/>
      <c r="GA185" s="43"/>
      <c r="GB185" s="43"/>
      <c r="GC185" s="43"/>
      <c r="GD185" s="43"/>
      <c r="GE185" s="43"/>
      <c r="GF185" s="43"/>
      <c r="GG185" s="43"/>
      <c r="GH185" s="43"/>
      <c r="GI185" s="43"/>
      <c r="GJ185" s="43"/>
      <c r="GK185" s="43"/>
      <c r="GL185" s="43"/>
      <c r="GM185" s="43"/>
      <c r="GN185" s="43"/>
      <c r="GO185" s="43"/>
      <c r="GP185" s="43"/>
      <c r="GQ185" s="43"/>
      <c r="GR185" s="43"/>
      <c r="GS185" s="43"/>
      <c r="GT185" s="43"/>
      <c r="GU185" s="43"/>
      <c r="GV185" s="43"/>
      <c r="GW185" s="43"/>
      <c r="GX185" s="43"/>
      <c r="GY185" s="43"/>
      <c r="GZ185" s="43"/>
      <c r="HA185" s="43"/>
      <c r="HB185" s="43"/>
      <c r="HC185" s="43"/>
      <c r="HD185" s="43"/>
      <c r="HE185" s="43"/>
      <c r="HF185" s="43"/>
      <c r="HG185" s="43"/>
      <c r="HH185" s="43"/>
      <c r="HI185" s="43"/>
      <c r="HJ185" s="43"/>
      <c r="HK185" s="43"/>
      <c r="HL185" s="43"/>
      <c r="HM185" s="43"/>
      <c r="HN185" s="43"/>
      <c r="HO185" s="43"/>
      <c r="HP185" s="43"/>
      <c r="HQ185" s="43"/>
      <c r="HR185"/>
      <c r="HS185"/>
      <c r="HT185"/>
      <c r="HU185"/>
      <c r="HV185"/>
      <c r="HW185"/>
      <c r="HX185"/>
      <c r="HY185"/>
      <c r="HZ185"/>
      <c r="IA185"/>
      <c r="IB185"/>
      <c r="IC185"/>
      <c r="ID185"/>
      <c r="IE185"/>
      <c r="IF185"/>
      <c r="IG185"/>
      <c r="IH185"/>
      <c r="II185"/>
      <c r="IJ185"/>
      <c r="IK185" s="32"/>
      <c r="IL185" s="32"/>
      <c r="IM185" s="32"/>
      <c r="IN185" s="32"/>
      <c r="IO185" s="32"/>
      <c r="IP185" s="32"/>
      <c r="IQ185" s="32"/>
    </row>
    <row r="186" spans="1:251" s="33" customFormat="1">
      <c r="A186" s="32" t="s">
        <v>592</v>
      </c>
      <c r="B186" s="32"/>
      <c r="C186" s="32"/>
      <c r="D186" s="43"/>
      <c r="E186" s="51">
        <v>228</v>
      </c>
      <c r="F186" s="51">
        <v>262</v>
      </c>
      <c r="G186" s="60">
        <v>296</v>
      </c>
      <c r="H186" s="60">
        <v>345</v>
      </c>
      <c r="I186" s="244">
        <v>312.92</v>
      </c>
      <c r="J186" s="244">
        <f>+IS!D177</f>
        <v>296</v>
      </c>
      <c r="K186" s="244">
        <f>+IS!E177</f>
        <v>345</v>
      </c>
      <c r="L186" s="244">
        <f>+IS!F177</f>
        <v>312.92</v>
      </c>
      <c r="M186" s="244">
        <f>+IS!G177</f>
        <v>284</v>
      </c>
      <c r="N186" s="244">
        <f>+IS!H177</f>
        <v>231</v>
      </c>
      <c r="O186" s="244">
        <f>+IS!I177</f>
        <v>279</v>
      </c>
      <c r="P186" s="244">
        <f>+IS!J177</f>
        <v>129</v>
      </c>
      <c r="Q186" s="244">
        <f>+IS!K177</f>
        <v>73</v>
      </c>
      <c r="R186" s="244">
        <f>+IS!L177</f>
        <v>289</v>
      </c>
      <c r="S186" s="244">
        <f>+IS!M177</f>
        <v>157</v>
      </c>
      <c r="T186" s="244">
        <f>+IS!N177</f>
        <v>141</v>
      </c>
      <c r="U186" s="244">
        <f>+IS!O177</f>
        <v>183</v>
      </c>
      <c r="V186" s="244">
        <f>+IS!Q177</f>
        <v>-157</v>
      </c>
      <c r="W186" s="244">
        <f>+IS!R177</f>
        <v>-155</v>
      </c>
      <c r="X186" s="244">
        <f>+IS!S177</f>
        <v>-24</v>
      </c>
      <c r="Y186" s="244">
        <f>+IS!T177</f>
        <v>-51</v>
      </c>
      <c r="Z186" s="244">
        <f>+IS!U177</f>
        <v>-200</v>
      </c>
      <c r="AA186" s="244">
        <f>+IS!V177</f>
        <v>-100</v>
      </c>
      <c r="AB186" s="244">
        <f>+IS!W177</f>
        <v>0</v>
      </c>
      <c r="AC186" s="244">
        <f>+IS!X177</f>
        <v>5</v>
      </c>
      <c r="AD186" s="244">
        <f>+IS!Y177</f>
        <v>10</v>
      </c>
      <c r="AE186" s="244">
        <f>+IS!Z177</f>
        <v>15</v>
      </c>
      <c r="AF186" s="244">
        <f>+IS!AA177</f>
        <v>20</v>
      </c>
      <c r="AG186" s="244">
        <f>+IS!AB177</f>
        <v>25</v>
      </c>
      <c r="AH186" s="43"/>
      <c r="AI186" s="43"/>
      <c r="AJ186" s="43"/>
      <c r="AK186" s="43"/>
      <c r="AL186" s="43"/>
      <c r="AM186" s="43"/>
      <c r="AN186" s="43"/>
      <c r="AO186" s="43"/>
      <c r="AP186" s="43"/>
      <c r="AQ186" s="43"/>
      <c r="AR186" s="43"/>
      <c r="AS186" s="43"/>
      <c r="AT186" s="43"/>
      <c r="AU186" s="43"/>
      <c r="AV186" s="43"/>
      <c r="AW186" s="43"/>
      <c r="AX186" s="43"/>
      <c r="AY186" s="43"/>
      <c r="AZ186" s="43"/>
      <c r="BA186" s="43"/>
      <c r="BB186" s="43"/>
      <c r="BC186" s="43"/>
      <c r="BD186" s="43"/>
      <c r="BE186" s="43"/>
      <c r="BF186" s="43"/>
      <c r="BG186" s="43"/>
      <c r="BH186" s="43"/>
      <c r="BI186" s="43"/>
      <c r="BJ186" s="43"/>
      <c r="BK186" s="43"/>
      <c r="BL186" s="43"/>
      <c r="BM186" s="43"/>
      <c r="BN186" s="43"/>
      <c r="BO186" s="43"/>
      <c r="BP186" s="43"/>
      <c r="BQ186" s="43"/>
      <c r="BR186" s="43"/>
      <c r="BS186" s="43"/>
      <c r="BT186" s="43"/>
      <c r="BU186" s="43"/>
      <c r="BV186" s="43"/>
      <c r="BW186" s="43"/>
      <c r="BX186" s="43"/>
      <c r="BY186" s="43"/>
      <c r="BZ186" s="43"/>
      <c r="CA186" s="43"/>
      <c r="CB186" s="43"/>
      <c r="CC186" s="43"/>
      <c r="CD186" s="43"/>
      <c r="CE186" s="43"/>
      <c r="CF186" s="43"/>
      <c r="CG186" s="43"/>
      <c r="CH186" s="43"/>
      <c r="CI186" s="43"/>
      <c r="CJ186" s="43"/>
      <c r="CK186" s="43"/>
      <c r="CL186" s="43"/>
      <c r="CM186" s="43"/>
      <c r="CN186" s="43"/>
      <c r="CO186" s="43"/>
      <c r="CP186" s="43"/>
      <c r="CQ186" s="43"/>
      <c r="CR186" s="43"/>
      <c r="CS186" s="43"/>
      <c r="CT186" s="43"/>
      <c r="CU186" s="43"/>
      <c r="CV186" s="43"/>
      <c r="CW186" s="43"/>
      <c r="CX186" s="43"/>
      <c r="CY186" s="43"/>
      <c r="CZ186" s="43"/>
      <c r="DA186" s="43"/>
      <c r="DB186" s="43"/>
      <c r="DC186" s="43"/>
      <c r="DD186" s="43"/>
      <c r="DE186" s="43"/>
      <c r="DF186" s="43"/>
      <c r="DG186" s="43"/>
      <c r="DH186" s="43"/>
      <c r="DI186" s="43"/>
      <c r="DJ186" s="43"/>
      <c r="DK186" s="43"/>
      <c r="DL186" s="43"/>
      <c r="DM186" s="43"/>
      <c r="DN186" s="43"/>
      <c r="DO186" s="43"/>
      <c r="DP186" s="43"/>
      <c r="DQ186" s="43"/>
      <c r="DR186" s="43"/>
      <c r="DS186" s="43"/>
      <c r="DT186" s="43"/>
      <c r="DU186" s="43"/>
      <c r="DV186" s="43"/>
      <c r="DW186" s="43"/>
      <c r="DX186" s="43"/>
      <c r="DY186" s="43"/>
      <c r="DZ186" s="43"/>
      <c r="EA186" s="43"/>
      <c r="EB186" s="43"/>
      <c r="EC186" s="43"/>
      <c r="ED186" s="43"/>
      <c r="EE186" s="43"/>
      <c r="EF186" s="43"/>
      <c r="EG186" s="43"/>
      <c r="EH186" s="43"/>
      <c r="EI186" s="43"/>
      <c r="EJ186" s="43"/>
      <c r="EK186" s="43"/>
      <c r="EL186" s="43"/>
      <c r="EM186" s="43"/>
      <c r="EN186" s="43"/>
      <c r="EO186" s="43"/>
      <c r="EP186" s="43"/>
      <c r="EQ186" s="43"/>
      <c r="ER186" s="43"/>
      <c r="ES186" s="43"/>
      <c r="ET186" s="43"/>
      <c r="EU186" s="43"/>
      <c r="EV186" s="43"/>
      <c r="EW186" s="43"/>
      <c r="EX186" s="43"/>
      <c r="EY186" s="43"/>
      <c r="EZ186" s="43"/>
      <c r="FA186" s="43"/>
      <c r="FB186" s="43"/>
      <c r="FC186" s="43"/>
      <c r="FD186" s="43"/>
      <c r="FE186" s="43"/>
      <c r="FF186" s="43"/>
      <c r="FG186" s="43"/>
      <c r="FH186" s="43"/>
      <c r="FI186" s="43"/>
      <c r="FJ186" s="43"/>
      <c r="FK186" s="43"/>
      <c r="FL186" s="43"/>
      <c r="FM186" s="43"/>
      <c r="FN186" s="43"/>
      <c r="FO186" s="43"/>
      <c r="FP186" s="43"/>
      <c r="FQ186" s="43"/>
      <c r="FR186" s="43"/>
      <c r="FS186" s="43"/>
      <c r="FT186" s="43"/>
      <c r="FU186" s="43"/>
      <c r="FV186" s="43"/>
      <c r="FW186" s="43"/>
      <c r="FX186" s="43"/>
      <c r="FY186" s="43"/>
      <c r="FZ186" s="43"/>
      <c r="GA186" s="43"/>
      <c r="GB186" s="43"/>
      <c r="GC186" s="43"/>
      <c r="GD186" s="43"/>
      <c r="GE186" s="43"/>
      <c r="GF186" s="43"/>
      <c r="GG186" s="43"/>
      <c r="GH186" s="43"/>
      <c r="GI186" s="43"/>
      <c r="GJ186" s="43"/>
      <c r="GK186" s="43"/>
      <c r="GL186" s="43"/>
      <c r="GM186" s="43"/>
      <c r="GN186" s="43"/>
      <c r="GO186" s="43"/>
      <c r="GP186" s="43"/>
      <c r="GQ186" s="43"/>
      <c r="GR186" s="43"/>
      <c r="GS186" s="43"/>
      <c r="GT186" s="43"/>
      <c r="GU186" s="43"/>
      <c r="GV186" s="43"/>
      <c r="GW186" s="43"/>
      <c r="GX186" s="43"/>
      <c r="GY186" s="43"/>
      <c r="GZ186" s="43"/>
      <c r="HA186" s="43"/>
      <c r="HB186" s="43"/>
      <c r="HC186" s="43"/>
      <c r="HD186" s="43"/>
      <c r="HE186" s="43"/>
      <c r="HF186" s="43"/>
      <c r="HG186" s="43"/>
      <c r="HH186" s="43"/>
      <c r="HI186" s="43"/>
      <c r="HJ186" s="43"/>
      <c r="HK186" s="43"/>
      <c r="HL186" s="43"/>
      <c r="HM186" s="43"/>
      <c r="HN186" s="43"/>
      <c r="HO186" s="43"/>
      <c r="HP186" s="43"/>
      <c r="HQ186" s="43"/>
      <c r="HR186"/>
      <c r="HS186"/>
      <c r="HT186"/>
      <c r="HU186"/>
      <c r="HV186"/>
      <c r="HW186"/>
      <c r="HX186"/>
      <c r="HY186"/>
      <c r="HZ186"/>
      <c r="IA186"/>
      <c r="IB186"/>
      <c r="IC186"/>
      <c r="ID186"/>
      <c r="IE186"/>
      <c r="IF186"/>
      <c r="IG186"/>
      <c r="IH186"/>
      <c r="II186"/>
      <c r="IJ186"/>
      <c r="IK186" s="32"/>
      <c r="IL186" s="32"/>
      <c r="IM186" s="32"/>
      <c r="IN186" s="32"/>
      <c r="IO186" s="32"/>
      <c r="IP186" s="32"/>
      <c r="IQ186" s="32"/>
    </row>
    <row r="187" spans="1:251" s="33" customFormat="1">
      <c r="A187" s="53" t="s">
        <v>579</v>
      </c>
      <c r="B187" s="32"/>
      <c r="C187" s="32"/>
      <c r="D187" s="43"/>
      <c r="E187" s="56">
        <v>0.6422535211267606</v>
      </c>
      <c r="F187" s="56">
        <v>0.62829736211031173</v>
      </c>
      <c r="G187" s="56">
        <v>0.68045977011494252</v>
      </c>
      <c r="H187" s="56">
        <v>0.69696969696969702</v>
      </c>
      <c r="I187" s="56">
        <v>0.71280182232346245</v>
      </c>
      <c r="J187" s="86">
        <f>J186/J183</f>
        <v>0.59797979797979794</v>
      </c>
      <c r="K187" s="245">
        <f>K186/K183</f>
        <v>0.78587699316628701</v>
      </c>
      <c r="L187" s="246">
        <v>0.65</v>
      </c>
      <c r="M187" s="245">
        <f>M186/M183</f>
        <v>0.87384615384615383</v>
      </c>
      <c r="N187" s="246">
        <v>0.65</v>
      </c>
      <c r="O187" s="245">
        <f t="shared" ref="O187:U187" si="210">O186/O183</f>
        <v>1.558659217877095</v>
      </c>
      <c r="P187" s="245">
        <f t="shared" si="210"/>
        <v>0.59722222222222221</v>
      </c>
      <c r="Q187" s="245">
        <f t="shared" si="210"/>
        <v>0.20977011494252873</v>
      </c>
      <c r="R187" s="245">
        <f t="shared" si="210"/>
        <v>1.7950310559006211</v>
      </c>
      <c r="S187" s="245">
        <f t="shared" si="210"/>
        <v>0.88700564971751417</v>
      </c>
      <c r="T187" s="245">
        <f t="shared" si="210"/>
        <v>0.94</v>
      </c>
      <c r="U187" s="245">
        <f t="shared" si="210"/>
        <v>0.86729857819905209</v>
      </c>
      <c r="W187" s="245">
        <f>V186/V183</f>
        <v>-1.1984732824427482</v>
      </c>
      <c r="X187" s="245">
        <f>W186/W183</f>
        <v>-3.8802443928121595</v>
      </c>
      <c r="Y187" s="245">
        <f t="shared" ref="Y187:AG187" si="211">X186/X183</f>
        <v>-0.25</v>
      </c>
      <c r="Z187" s="245">
        <f t="shared" si="211"/>
        <v>-0.48571428571428571</v>
      </c>
      <c r="AA187" s="245">
        <f t="shared" si="211"/>
        <v>-1.7969451931716081</v>
      </c>
      <c r="AB187" s="245">
        <f t="shared" si="211"/>
        <v>-0.84761565715641884</v>
      </c>
      <c r="AC187" s="245">
        <f t="shared" si="211"/>
        <v>0</v>
      </c>
      <c r="AD187" s="245">
        <f t="shared" si="211"/>
        <v>3.7718745868477163E-2</v>
      </c>
      <c r="AE187" s="245">
        <f t="shared" si="211"/>
        <v>7.1167445034862567E-2</v>
      </c>
      <c r="AF187" s="245">
        <f t="shared" si="211"/>
        <v>0.10070864863423948</v>
      </c>
      <c r="AG187" s="245">
        <f t="shared" si="211"/>
        <v>0.12667754545187354</v>
      </c>
      <c r="AH187" s="43"/>
      <c r="AI187" s="43"/>
      <c r="AJ187" s="43"/>
      <c r="AK187" s="43"/>
      <c r="AL187" s="43"/>
      <c r="AM187" s="43"/>
      <c r="AN187" s="43"/>
      <c r="AO187" s="43"/>
      <c r="AP187" s="43"/>
      <c r="AQ187" s="43"/>
      <c r="AR187" s="43"/>
      <c r="AS187" s="43"/>
      <c r="AT187" s="43"/>
      <c r="AU187" s="43"/>
      <c r="AV187" s="43"/>
      <c r="AW187" s="43"/>
      <c r="AX187" s="43"/>
      <c r="AY187" s="43"/>
      <c r="AZ187" s="43"/>
      <c r="BA187" s="43"/>
      <c r="BB187" s="43"/>
      <c r="BC187" s="43"/>
      <c r="BD187" s="43"/>
      <c r="BE187" s="43"/>
      <c r="BF187" s="43"/>
      <c r="BG187" s="43"/>
      <c r="BH187" s="43"/>
      <c r="BI187" s="43"/>
      <c r="BJ187" s="43"/>
      <c r="BK187" s="43"/>
      <c r="BL187" s="43"/>
      <c r="BM187" s="43"/>
      <c r="BN187" s="43"/>
      <c r="BO187" s="43"/>
      <c r="BP187" s="43"/>
      <c r="BQ187" s="43"/>
      <c r="BR187" s="43"/>
      <c r="BS187" s="43"/>
      <c r="BT187" s="43"/>
      <c r="BU187" s="43"/>
      <c r="BV187" s="43"/>
      <c r="BW187" s="43"/>
      <c r="BX187" s="43"/>
      <c r="BY187" s="43"/>
      <c r="BZ187" s="43"/>
      <c r="CA187" s="43"/>
      <c r="CB187" s="43"/>
      <c r="CC187" s="43"/>
      <c r="CD187" s="43"/>
      <c r="CE187" s="43"/>
      <c r="CF187" s="43"/>
      <c r="CG187" s="43"/>
      <c r="CH187" s="43"/>
      <c r="CI187" s="43"/>
      <c r="CJ187" s="43"/>
      <c r="CK187" s="43"/>
      <c r="CL187" s="43"/>
      <c r="CM187" s="43"/>
      <c r="CN187" s="43"/>
      <c r="CO187" s="43"/>
      <c r="CP187" s="43"/>
      <c r="CQ187" s="43"/>
      <c r="CR187" s="43"/>
      <c r="CS187" s="43"/>
      <c r="CT187" s="43"/>
      <c r="CU187" s="43"/>
      <c r="CV187" s="43"/>
      <c r="CW187" s="43"/>
      <c r="CX187" s="43"/>
      <c r="CY187" s="43"/>
      <c r="CZ187" s="43"/>
      <c r="DA187" s="43"/>
      <c r="DB187" s="43"/>
      <c r="DC187" s="43"/>
      <c r="DD187" s="43"/>
      <c r="DE187" s="43"/>
      <c r="DF187" s="43"/>
      <c r="DG187" s="43"/>
      <c r="DH187" s="43"/>
      <c r="DI187" s="43"/>
      <c r="DJ187" s="43"/>
      <c r="DK187" s="43"/>
      <c r="DL187" s="43"/>
      <c r="DM187" s="43"/>
      <c r="DN187" s="43"/>
      <c r="DO187" s="43"/>
      <c r="DP187" s="43"/>
      <c r="DQ187" s="43"/>
      <c r="DR187" s="43"/>
      <c r="DS187" s="43"/>
      <c r="DT187" s="43"/>
      <c r="DU187" s="43"/>
      <c r="DV187" s="43"/>
      <c r="DW187" s="43"/>
      <c r="DX187" s="43"/>
      <c r="DY187" s="43"/>
      <c r="DZ187" s="43"/>
      <c r="EA187" s="43"/>
      <c r="EB187" s="43"/>
      <c r="EC187" s="43"/>
      <c r="ED187" s="43"/>
      <c r="EE187" s="43"/>
      <c r="EF187" s="43"/>
      <c r="EG187" s="43"/>
      <c r="EH187" s="43"/>
      <c r="EI187" s="43"/>
      <c r="EJ187" s="43"/>
      <c r="EK187" s="43"/>
      <c r="EL187" s="43"/>
      <c r="EM187" s="43"/>
      <c r="EN187" s="43"/>
      <c r="EO187" s="43"/>
      <c r="EP187" s="43"/>
      <c r="EQ187" s="43"/>
      <c r="ER187" s="43"/>
      <c r="ES187" s="43"/>
      <c r="ET187" s="43"/>
      <c r="EU187" s="43"/>
      <c r="EV187" s="43"/>
      <c r="EW187" s="43"/>
      <c r="EX187" s="43"/>
      <c r="EY187" s="43"/>
      <c r="EZ187" s="43"/>
      <c r="FA187" s="43"/>
      <c r="FB187" s="43"/>
      <c r="FC187" s="43"/>
      <c r="FD187" s="43"/>
      <c r="FE187" s="43"/>
      <c r="FF187" s="43"/>
      <c r="FG187" s="43"/>
      <c r="FH187" s="43"/>
      <c r="FI187" s="43"/>
      <c r="FJ187" s="43"/>
      <c r="FK187" s="43"/>
      <c r="FL187" s="43"/>
      <c r="FM187" s="43"/>
      <c r="FN187" s="43"/>
      <c r="FO187" s="43"/>
      <c r="FP187" s="43"/>
      <c r="FQ187" s="43"/>
      <c r="FR187" s="43"/>
      <c r="FS187" s="43"/>
      <c r="FT187" s="43"/>
      <c r="FU187" s="43"/>
      <c r="FV187" s="43"/>
      <c r="FW187" s="43"/>
      <c r="FX187" s="43"/>
      <c r="FY187" s="43"/>
      <c r="FZ187" s="43"/>
      <c r="GA187" s="43"/>
      <c r="GB187" s="43"/>
      <c r="GC187" s="43"/>
      <c r="GD187" s="43"/>
      <c r="GE187" s="43"/>
      <c r="GF187" s="43"/>
      <c r="GG187" s="43"/>
      <c r="GH187" s="43"/>
      <c r="GI187" s="43"/>
      <c r="GJ187" s="43"/>
      <c r="GK187" s="43"/>
      <c r="GL187" s="43"/>
      <c r="GM187" s="43"/>
      <c r="GN187" s="43"/>
      <c r="GO187" s="43"/>
      <c r="GP187" s="43"/>
      <c r="GQ187" s="43"/>
      <c r="GR187" s="43"/>
      <c r="GS187" s="43"/>
      <c r="GT187" s="43"/>
      <c r="GU187" s="43"/>
      <c r="GV187" s="43"/>
      <c r="GW187" s="43"/>
      <c r="GX187" s="43"/>
      <c r="GY187" s="43"/>
      <c r="GZ187" s="43"/>
      <c r="HA187" s="43"/>
      <c r="HB187" s="43"/>
      <c r="HC187" s="43"/>
      <c r="HD187" s="43"/>
      <c r="HE187" s="43"/>
      <c r="HF187" s="43"/>
      <c r="HG187" s="43"/>
      <c r="HH187" s="43"/>
      <c r="HI187" s="43"/>
      <c r="HJ187" s="43"/>
      <c r="HK187" s="43"/>
      <c r="HL187" s="43"/>
      <c r="HM187" s="43"/>
      <c r="HN187" s="43"/>
      <c r="HO187" s="43"/>
      <c r="HP187" s="43"/>
      <c r="HQ187" s="43"/>
      <c r="HR187"/>
      <c r="HS187"/>
      <c r="HT187"/>
      <c r="HU187"/>
      <c r="HV187"/>
      <c r="HW187"/>
      <c r="HX187"/>
      <c r="HY187"/>
      <c r="HZ187"/>
      <c r="IA187"/>
      <c r="IB187"/>
      <c r="IC187"/>
      <c r="ID187"/>
      <c r="IE187"/>
      <c r="IF187"/>
      <c r="IG187"/>
      <c r="IH187"/>
      <c r="II187"/>
      <c r="IJ187"/>
      <c r="IK187" s="32"/>
      <c r="IL187" s="32"/>
      <c r="IM187" s="32"/>
      <c r="IN187" s="32"/>
      <c r="IO187" s="32"/>
      <c r="IP187" s="32"/>
      <c r="IQ187" s="32"/>
    </row>
    <row r="188" spans="1:251" s="31" customFormat="1">
      <c r="A188" s="15"/>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c r="BC188" s="15"/>
      <c r="BD188" s="15"/>
      <c r="BE188" s="15"/>
      <c r="BF188" s="15"/>
      <c r="BG188" s="15"/>
      <c r="BH188" s="15"/>
      <c r="BI188" s="15"/>
      <c r="BJ188" s="15"/>
      <c r="BK188" s="15"/>
      <c r="BL188" s="15"/>
      <c r="BM188" s="15"/>
      <c r="BN188" s="15"/>
      <c r="BO188" s="15"/>
      <c r="BP188" s="15"/>
      <c r="BQ188" s="15"/>
      <c r="BR188" s="15"/>
      <c r="BS188" s="15"/>
      <c r="BT188" s="15"/>
      <c r="BU188" s="15"/>
      <c r="BV188" s="15"/>
      <c r="BW188" s="15"/>
      <c r="BX188" s="15"/>
      <c r="BY188" s="15"/>
      <c r="BZ188" s="15"/>
      <c r="CA188" s="15"/>
      <c r="CB188" s="15"/>
      <c r="CC188" s="15"/>
      <c r="CD188" s="15"/>
      <c r="CE188" s="15"/>
      <c r="CF188" s="15"/>
      <c r="CG188" s="15"/>
      <c r="CH188" s="15"/>
      <c r="CI188" s="15"/>
      <c r="CJ188" s="15"/>
      <c r="CK188" s="15"/>
      <c r="CL188" s="15"/>
      <c r="CM188" s="15"/>
      <c r="CN188" s="15"/>
      <c r="CO188" s="15"/>
      <c r="CP188" s="15"/>
      <c r="CQ188" s="15"/>
      <c r="CR188" s="15"/>
      <c r="CS188" s="15"/>
      <c r="CT188" s="15"/>
      <c r="CU188" s="15"/>
      <c r="CV188" s="15"/>
      <c r="CW188" s="15"/>
      <c r="CX188" s="15"/>
      <c r="CY188" s="15"/>
      <c r="CZ188" s="15"/>
      <c r="DA188" s="15"/>
      <c r="DB188" s="15"/>
      <c r="DC188" s="15"/>
      <c r="DD188" s="15"/>
      <c r="DE188" s="15"/>
      <c r="DF188" s="15"/>
      <c r="DG188" s="15"/>
      <c r="DH188" s="15"/>
      <c r="DI188" s="15"/>
      <c r="DJ188" s="15"/>
      <c r="DK188" s="15"/>
      <c r="DL188" s="15"/>
      <c r="DM188" s="15"/>
      <c r="DN188" s="15"/>
      <c r="DO188" s="15"/>
      <c r="DP188" s="15"/>
      <c r="DQ188" s="15"/>
      <c r="DR188" s="15"/>
      <c r="DS188" s="15"/>
      <c r="DT188" s="15"/>
      <c r="DU188" s="15"/>
      <c r="DV188" s="15"/>
      <c r="DW188" s="15"/>
      <c r="DX188" s="15"/>
      <c r="DY188" s="15"/>
      <c r="DZ188" s="15"/>
      <c r="EA188" s="15"/>
      <c r="EB188" s="15"/>
      <c r="EC188" s="15"/>
      <c r="ED188" s="15"/>
      <c r="EE188" s="15"/>
      <c r="EF188" s="15"/>
      <c r="EG188" s="15"/>
      <c r="EH188" s="15"/>
      <c r="EI188" s="15"/>
      <c r="EJ188" s="15"/>
      <c r="EK188" s="15"/>
      <c r="EL188" s="15"/>
      <c r="EM188" s="15"/>
      <c r="EN188" s="15"/>
      <c r="EO188" s="15"/>
      <c r="EP188" s="15"/>
      <c r="EQ188" s="15"/>
      <c r="ER188" s="15"/>
      <c r="ES188" s="15"/>
      <c r="ET188" s="15"/>
      <c r="EU188" s="15"/>
      <c r="EV188" s="15"/>
      <c r="EW188" s="15"/>
      <c r="EX188" s="15"/>
      <c r="EY188" s="15"/>
      <c r="EZ188" s="15"/>
      <c r="FA188" s="15"/>
      <c r="FB188" s="15"/>
      <c r="FC188" s="15"/>
      <c r="FD188" s="15"/>
      <c r="FE188" s="15"/>
      <c r="FF188" s="15"/>
      <c r="FG188" s="15"/>
      <c r="FH188" s="15"/>
      <c r="FI188" s="15"/>
      <c r="FJ188" s="15"/>
      <c r="FK188" s="15"/>
      <c r="FL188" s="15"/>
      <c r="FM188" s="15"/>
      <c r="FN188" s="15"/>
      <c r="FO188" s="15"/>
      <c r="FP188" s="15"/>
      <c r="FQ188" s="15"/>
      <c r="FR188" s="15"/>
      <c r="FS188" s="15"/>
      <c r="FT188" s="15"/>
      <c r="FU188" s="15"/>
      <c r="FV188" s="15"/>
      <c r="FW188" s="15"/>
      <c r="FX188" s="15"/>
      <c r="FY188" s="15"/>
      <c r="FZ188" s="15"/>
      <c r="GA188" s="15"/>
      <c r="GB188" s="15"/>
      <c r="GC188" s="15"/>
      <c r="GD188" s="15"/>
      <c r="GE188" s="15"/>
      <c r="GF188" s="15"/>
      <c r="GG188" s="15"/>
      <c r="GH188" s="15"/>
      <c r="GI188" s="15"/>
      <c r="GJ188" s="15"/>
      <c r="GK188" s="15"/>
      <c r="GL188" s="15"/>
      <c r="GM188" s="15"/>
      <c r="GN188" s="15"/>
      <c r="GO188" s="15"/>
      <c r="GP188" s="15"/>
      <c r="GQ188" s="15"/>
      <c r="GR188" s="15"/>
      <c r="GS188" s="15"/>
      <c r="GT188" s="15"/>
      <c r="GU188" s="15"/>
      <c r="GV188" s="15"/>
      <c r="GW188" s="15"/>
      <c r="GX188" s="15"/>
      <c r="GY188" s="15"/>
      <c r="GZ188" s="15"/>
      <c r="HA188" s="15"/>
      <c r="HB188" s="15"/>
      <c r="HC188" s="15"/>
      <c r="HD188" s="15"/>
      <c r="HE188" s="15"/>
      <c r="HF188" s="15"/>
      <c r="HG188" s="15"/>
      <c r="HH188" s="15"/>
      <c r="HI188" s="15"/>
      <c r="HJ188" s="15"/>
      <c r="HK188" s="15"/>
      <c r="HL188" s="15"/>
      <c r="HM188" s="15"/>
      <c r="HN188" s="15"/>
      <c r="HO188" s="15"/>
      <c r="HP188" s="15"/>
      <c r="HQ188" s="15"/>
      <c r="HR188"/>
      <c r="HS188"/>
      <c r="HT188"/>
      <c r="HU188"/>
      <c r="HV188"/>
      <c r="HW188"/>
      <c r="HX188"/>
      <c r="HY188"/>
      <c r="HZ188"/>
      <c r="IA188"/>
      <c r="IB188"/>
      <c r="IC188"/>
      <c r="ID188"/>
      <c r="IE188"/>
      <c r="IF188"/>
      <c r="IG188"/>
      <c r="IH188"/>
      <c r="II188"/>
      <c r="IJ188"/>
      <c r="IK188" s="14"/>
      <c r="IL188" s="14"/>
      <c r="IM188" s="14"/>
      <c r="IN188" s="14"/>
      <c r="IO188" s="14"/>
      <c r="IP188" s="14"/>
      <c r="IQ188" s="14"/>
    </row>
    <row r="189" spans="1:251" s="31" customFormat="1">
      <c r="A189" s="15"/>
      <c r="B189" s="15"/>
      <c r="C189" s="15"/>
      <c r="D189" s="15"/>
      <c r="E189" s="15"/>
      <c r="F189" s="15"/>
      <c r="G189" s="15"/>
      <c r="H189" s="15"/>
      <c r="I189" s="15"/>
      <c r="J189" s="15"/>
      <c r="K189" s="15"/>
      <c r="L189" s="15"/>
      <c r="M189" s="15"/>
      <c r="N189" s="15"/>
      <c r="O189" s="15"/>
      <c r="P189" s="15"/>
      <c r="Q189" s="15"/>
      <c r="R189" s="15"/>
      <c r="S189" s="15"/>
      <c r="T189" s="15"/>
      <c r="U189" s="15"/>
      <c r="V189" s="15"/>
      <c r="W189" s="15"/>
      <c r="X189" s="15"/>
      <c r="Y189" s="15"/>
      <c r="Z189" s="15"/>
      <c r="AA189" s="15"/>
      <c r="AB189" s="15"/>
      <c r="AC189" s="15"/>
      <c r="AD189" s="15"/>
      <c r="AE189" s="15"/>
      <c r="AF189" s="15"/>
      <c r="AG189" s="15"/>
      <c r="AH189" s="15"/>
      <c r="AI189" s="15"/>
      <c r="AJ189" s="15"/>
      <c r="AK189" s="15"/>
      <c r="AL189" s="15"/>
      <c r="AM189" s="15"/>
      <c r="AN189" s="15"/>
      <c r="AO189" s="15"/>
      <c r="AP189" s="15"/>
      <c r="AQ189" s="15"/>
      <c r="AR189" s="15"/>
      <c r="AS189" s="15"/>
      <c r="AT189" s="15"/>
      <c r="AU189" s="15"/>
      <c r="AV189" s="15"/>
      <c r="AW189" s="15"/>
      <c r="AX189" s="15"/>
      <c r="AY189" s="15"/>
      <c r="AZ189" s="15"/>
      <c r="BA189" s="15"/>
      <c r="BB189" s="15"/>
      <c r="BC189" s="15"/>
      <c r="BD189" s="15"/>
      <c r="BE189" s="15"/>
      <c r="BF189" s="15"/>
      <c r="BG189" s="15"/>
      <c r="BH189" s="15"/>
      <c r="BI189" s="15"/>
      <c r="BJ189" s="15"/>
      <c r="BK189" s="15"/>
      <c r="BL189" s="15"/>
      <c r="BM189" s="15"/>
      <c r="BN189" s="15"/>
      <c r="BO189" s="15"/>
      <c r="BP189" s="15"/>
      <c r="BQ189" s="15"/>
      <c r="BR189" s="15"/>
      <c r="BS189" s="15"/>
      <c r="BT189" s="15"/>
      <c r="BU189" s="15"/>
      <c r="BV189" s="15"/>
      <c r="BW189" s="15"/>
      <c r="BX189" s="15"/>
      <c r="BY189" s="15"/>
      <c r="BZ189" s="15"/>
      <c r="CA189" s="15"/>
      <c r="CB189" s="15"/>
      <c r="CC189" s="15"/>
      <c r="CD189" s="15"/>
      <c r="CE189" s="15"/>
      <c r="CF189" s="15"/>
      <c r="CG189" s="15"/>
      <c r="CH189" s="15"/>
      <c r="CI189" s="15"/>
      <c r="CJ189" s="15"/>
      <c r="CK189" s="15"/>
      <c r="CL189" s="15"/>
      <c r="CM189" s="15"/>
      <c r="CN189" s="15"/>
      <c r="CO189" s="15"/>
      <c r="CP189" s="15"/>
      <c r="CQ189" s="15"/>
      <c r="CR189" s="15"/>
      <c r="CS189" s="15"/>
      <c r="CT189" s="15"/>
      <c r="CU189" s="15"/>
      <c r="CV189" s="15"/>
      <c r="CW189" s="15"/>
      <c r="CX189" s="15"/>
      <c r="CY189" s="15"/>
      <c r="CZ189" s="15"/>
      <c r="DA189" s="15"/>
      <c r="DB189" s="15"/>
      <c r="DC189" s="15"/>
      <c r="DD189" s="15"/>
      <c r="DE189" s="15"/>
      <c r="DF189" s="15"/>
      <c r="DG189" s="15"/>
      <c r="DH189" s="15"/>
      <c r="DI189" s="15"/>
      <c r="DJ189" s="15"/>
      <c r="DK189" s="15"/>
      <c r="DL189" s="15"/>
      <c r="DM189" s="15"/>
      <c r="DN189" s="15"/>
      <c r="DO189" s="15"/>
      <c r="DP189" s="15"/>
      <c r="DQ189" s="15"/>
      <c r="DR189" s="15"/>
      <c r="DS189" s="15"/>
      <c r="DT189" s="15"/>
      <c r="DU189" s="15"/>
      <c r="DV189" s="15"/>
      <c r="DW189" s="15"/>
      <c r="DX189" s="15"/>
      <c r="DY189" s="15"/>
      <c r="DZ189" s="15"/>
      <c r="EA189" s="15"/>
      <c r="EB189" s="15"/>
      <c r="EC189" s="15"/>
      <c r="ED189" s="15"/>
      <c r="EE189" s="15"/>
      <c r="EF189" s="15"/>
      <c r="EG189" s="15"/>
      <c r="EH189" s="15"/>
      <c r="EI189" s="15"/>
      <c r="EJ189" s="15"/>
      <c r="EK189" s="15"/>
      <c r="EL189" s="15"/>
      <c r="EM189" s="15"/>
      <c r="EN189" s="15"/>
      <c r="EO189" s="15"/>
      <c r="EP189" s="15"/>
      <c r="EQ189" s="15"/>
      <c r="ER189" s="15"/>
      <c r="ES189" s="15"/>
      <c r="ET189" s="15"/>
      <c r="EU189" s="15"/>
      <c r="EV189" s="15"/>
      <c r="EW189" s="15"/>
      <c r="EX189" s="15"/>
      <c r="EY189" s="15"/>
      <c r="EZ189" s="15"/>
      <c r="FA189" s="15"/>
      <c r="FB189" s="15"/>
      <c r="FC189" s="15"/>
      <c r="FD189" s="15"/>
      <c r="FE189" s="15"/>
      <c r="FF189" s="15"/>
      <c r="FG189" s="15"/>
      <c r="FH189" s="15"/>
      <c r="FI189" s="15"/>
      <c r="FJ189" s="15"/>
      <c r="FK189" s="15"/>
      <c r="FL189" s="15"/>
      <c r="FM189" s="15"/>
      <c r="FN189" s="15"/>
      <c r="FO189" s="15"/>
      <c r="FP189" s="15"/>
      <c r="FQ189" s="15"/>
      <c r="FR189" s="15"/>
      <c r="FS189" s="15"/>
      <c r="FT189" s="15"/>
      <c r="FU189" s="15"/>
      <c r="FV189" s="15"/>
      <c r="FW189" s="15"/>
      <c r="FX189" s="15"/>
      <c r="FY189" s="15"/>
      <c r="FZ189" s="15"/>
      <c r="GA189" s="15"/>
      <c r="GB189" s="15"/>
      <c r="GC189" s="15"/>
      <c r="GD189" s="15"/>
      <c r="GE189" s="15"/>
      <c r="GF189" s="15"/>
      <c r="GG189" s="15"/>
      <c r="GH189" s="15"/>
      <c r="GI189" s="15"/>
      <c r="GJ189" s="15"/>
      <c r="GK189" s="15"/>
      <c r="GL189" s="15"/>
      <c r="GM189" s="15"/>
      <c r="GN189" s="15"/>
      <c r="GO189" s="15"/>
      <c r="GP189" s="15"/>
      <c r="GQ189" s="15"/>
      <c r="GR189" s="15"/>
      <c r="GS189" s="15"/>
      <c r="GT189" s="15"/>
      <c r="GU189" s="15"/>
      <c r="GV189" s="15"/>
      <c r="GW189" s="15"/>
      <c r="GX189" s="15"/>
      <c r="GY189" s="15"/>
      <c r="GZ189" s="15"/>
      <c r="HA189" s="15"/>
      <c r="HB189" s="15"/>
      <c r="HC189" s="15"/>
      <c r="HD189" s="15"/>
      <c r="HE189" s="15"/>
      <c r="HF189" s="15"/>
      <c r="HG189" s="15"/>
      <c r="HH189" s="15"/>
      <c r="HI189" s="15"/>
      <c r="HJ189" s="15"/>
      <c r="HK189" s="15"/>
      <c r="HL189" s="15"/>
      <c r="HM189" s="15"/>
      <c r="HN189" s="15"/>
      <c r="HO189" s="15"/>
      <c r="HP189" s="15"/>
      <c r="HQ189" s="15"/>
      <c r="HR189"/>
      <c r="HS189"/>
      <c r="HT189"/>
      <c r="HU189"/>
      <c r="HV189"/>
      <c r="HW189"/>
      <c r="HX189"/>
      <c r="HY189"/>
      <c r="HZ189"/>
      <c r="IA189"/>
      <c r="IB189"/>
      <c r="IC189"/>
      <c r="ID189"/>
      <c r="IE189"/>
      <c r="IF189"/>
      <c r="IG189"/>
      <c r="IH189"/>
      <c r="II189"/>
      <c r="IJ189"/>
      <c r="IK189" s="14"/>
      <c r="IL189" s="14"/>
      <c r="IM189" s="14"/>
      <c r="IN189" s="14"/>
      <c r="IO189" s="14"/>
      <c r="IP189" s="14"/>
      <c r="IQ189" s="14"/>
    </row>
    <row r="190" spans="1:251" s="33" customFormat="1" hidden="1" outlineLevel="1">
      <c r="A190" s="170" t="s">
        <v>4</v>
      </c>
      <c r="B190" s="32"/>
      <c r="C190" s="32"/>
      <c r="D190" s="32"/>
      <c r="E190" s="32"/>
      <c r="F190" s="32"/>
      <c r="G190" s="32"/>
      <c r="H190" s="32"/>
      <c r="I190" s="32"/>
      <c r="J190" s="32"/>
      <c r="K190" s="32"/>
      <c r="L190" s="32"/>
      <c r="M190" s="32"/>
      <c r="N190" s="32"/>
      <c r="O190" s="32"/>
      <c r="P190" s="32"/>
      <c r="Q190" s="32"/>
      <c r="R190" s="32"/>
      <c r="S190" s="32"/>
      <c r="T190" s="43"/>
      <c r="U190" s="43"/>
      <c r="V190" s="43"/>
      <c r="W190" s="43"/>
      <c r="X190" s="43"/>
      <c r="Y190" s="43"/>
      <c r="Z190" s="43"/>
      <c r="AA190" s="43"/>
      <c r="AB190" s="43"/>
      <c r="AC190" s="43"/>
      <c r="AD190" s="43"/>
      <c r="AE190" s="43"/>
      <c r="AF190" s="43"/>
      <c r="AG190" s="43"/>
      <c r="AH190" s="43"/>
      <c r="AI190" s="43"/>
      <c r="AJ190" s="43"/>
      <c r="AK190" s="43"/>
      <c r="AL190" s="43"/>
      <c r="AM190" s="43"/>
      <c r="AN190" s="43"/>
      <c r="AO190" s="43"/>
      <c r="AP190" s="43"/>
      <c r="AQ190" s="43"/>
      <c r="AR190" s="43"/>
      <c r="AS190" s="43"/>
      <c r="AT190" s="43"/>
      <c r="AU190" s="43"/>
      <c r="AV190" s="43"/>
      <c r="AW190" s="43"/>
      <c r="AX190" s="43"/>
      <c r="AY190" s="43"/>
      <c r="AZ190" s="43"/>
      <c r="BA190" s="43"/>
      <c r="BB190" s="43"/>
      <c r="BC190" s="43"/>
      <c r="BD190" s="43"/>
      <c r="BE190" s="43"/>
      <c r="BF190" s="43"/>
      <c r="BG190" s="43"/>
      <c r="BH190" s="43"/>
      <c r="BI190" s="43"/>
      <c r="BJ190" s="43"/>
      <c r="BK190" s="43"/>
      <c r="BL190" s="43"/>
      <c r="BM190" s="43"/>
      <c r="BN190" s="43"/>
      <c r="BO190" s="43"/>
      <c r="BP190" s="43"/>
      <c r="BQ190" s="43"/>
      <c r="BR190" s="43"/>
      <c r="BS190" s="43"/>
      <c r="BT190" s="43"/>
      <c r="BU190" s="43"/>
      <c r="BV190" s="43"/>
      <c r="BW190" s="43"/>
      <c r="BX190" s="43"/>
      <c r="BY190" s="43"/>
      <c r="BZ190" s="43"/>
      <c r="CA190" s="43"/>
      <c r="CB190" s="43"/>
      <c r="CC190" s="43"/>
      <c r="CD190" s="43"/>
      <c r="CE190" s="43"/>
      <c r="CF190" s="43"/>
      <c r="CG190" s="43"/>
      <c r="CH190" s="43"/>
      <c r="CI190" s="43"/>
      <c r="CJ190" s="43"/>
      <c r="CK190" s="43"/>
      <c r="CL190" s="43"/>
      <c r="CM190" s="43"/>
      <c r="CN190" s="43"/>
      <c r="CO190" s="43"/>
      <c r="CP190" s="43"/>
      <c r="CQ190" s="43"/>
      <c r="CR190" s="43"/>
      <c r="CS190" s="43"/>
      <c r="CT190" s="43"/>
      <c r="CU190" s="43"/>
      <c r="CV190" s="43"/>
      <c r="CW190" s="43"/>
      <c r="CX190" s="43"/>
      <c r="CY190" s="43"/>
      <c r="CZ190" s="43"/>
      <c r="DA190" s="43"/>
      <c r="DB190" s="43"/>
      <c r="DC190" s="43"/>
      <c r="DD190" s="43"/>
      <c r="DE190" s="43"/>
      <c r="DF190" s="43"/>
      <c r="DG190" s="43"/>
      <c r="DH190" s="43"/>
      <c r="DI190" s="43"/>
      <c r="DJ190" s="43"/>
      <c r="DK190" s="43"/>
      <c r="DL190" s="43"/>
      <c r="DM190" s="43"/>
      <c r="DN190" s="43"/>
      <c r="DO190" s="43"/>
      <c r="DP190" s="43"/>
      <c r="DQ190" s="43"/>
      <c r="DR190" s="43"/>
      <c r="DS190" s="43"/>
      <c r="DT190" s="43"/>
      <c r="DU190" s="43"/>
      <c r="DV190" s="43"/>
      <c r="DW190" s="43"/>
      <c r="DX190" s="43"/>
      <c r="DY190" s="43"/>
      <c r="DZ190" s="43"/>
      <c r="EA190" s="43"/>
      <c r="EB190" s="43"/>
      <c r="EC190" s="43"/>
      <c r="ED190" s="43"/>
      <c r="EE190" s="43"/>
      <c r="EF190" s="43"/>
      <c r="EG190" s="43"/>
      <c r="EH190" s="43"/>
      <c r="EI190" s="43"/>
      <c r="EJ190" s="43"/>
      <c r="EK190" s="43"/>
      <c r="EL190" s="43"/>
      <c r="EM190" s="43"/>
      <c r="EN190" s="43"/>
      <c r="EO190" s="43"/>
      <c r="EP190" s="43"/>
      <c r="EQ190" s="43"/>
      <c r="ER190" s="43"/>
      <c r="ES190" s="43"/>
      <c r="ET190" s="43"/>
      <c r="EU190" s="43"/>
      <c r="EV190" s="43"/>
      <c r="EW190" s="43"/>
      <c r="EX190" s="43"/>
      <c r="EY190" s="43"/>
      <c r="EZ190" s="43"/>
      <c r="FA190" s="43"/>
      <c r="FB190" s="43"/>
      <c r="FC190" s="43"/>
      <c r="FD190" s="43"/>
      <c r="FE190" s="43"/>
      <c r="FF190" s="43"/>
      <c r="FG190" s="43"/>
      <c r="FH190" s="43"/>
      <c r="FI190" s="43"/>
      <c r="FJ190" s="43"/>
      <c r="FK190" s="43"/>
      <c r="FL190" s="43"/>
      <c r="FM190" s="43"/>
      <c r="FN190" s="43"/>
      <c r="FO190" s="43"/>
      <c r="FP190" s="43"/>
      <c r="FQ190" s="43"/>
      <c r="FR190" s="43"/>
      <c r="FS190" s="43"/>
      <c r="FT190" s="43"/>
      <c r="FU190" s="43"/>
      <c r="FV190" s="43"/>
      <c r="FW190" s="43"/>
      <c r="FX190" s="43"/>
      <c r="FY190" s="43"/>
      <c r="FZ190" s="43"/>
      <c r="GA190" s="43"/>
      <c r="GB190" s="43"/>
      <c r="GC190" s="43"/>
      <c r="GD190" s="43"/>
      <c r="GE190" s="43"/>
      <c r="GF190" s="43"/>
      <c r="GG190" s="43"/>
      <c r="GH190" s="43"/>
      <c r="GI190" s="43"/>
      <c r="GJ190" s="43"/>
      <c r="GK190" s="43"/>
      <c r="GL190" s="43"/>
      <c r="GM190" s="43"/>
      <c r="GN190" s="43"/>
      <c r="GO190" s="43"/>
      <c r="GP190" s="43"/>
      <c r="GQ190" s="43"/>
      <c r="GR190" s="43"/>
      <c r="GS190" s="43"/>
      <c r="GT190" s="43"/>
      <c r="GU190" s="43"/>
      <c r="GV190" s="43"/>
      <c r="GW190" s="43"/>
      <c r="GX190" s="43"/>
      <c r="GY190" s="43"/>
      <c r="GZ190" s="43"/>
      <c r="HA190" s="43"/>
      <c r="HB190" s="43"/>
      <c r="HC190" s="43"/>
      <c r="HD190" s="43"/>
      <c r="HE190" s="43"/>
      <c r="HF190" s="43"/>
      <c r="HG190" s="43"/>
      <c r="HH190" s="43"/>
      <c r="HI190" s="43"/>
      <c r="HJ190" s="43"/>
      <c r="HK190" s="43"/>
      <c r="HL190" s="43"/>
      <c r="HM190" s="43"/>
      <c r="HN190" s="43"/>
      <c r="HO190" s="43"/>
      <c r="HP190" s="43"/>
      <c r="HQ190" s="43"/>
      <c r="HR190"/>
      <c r="HS190"/>
      <c r="HT190"/>
      <c r="HU190"/>
      <c r="HV190"/>
      <c r="HW190"/>
      <c r="HX190"/>
      <c r="HY190"/>
      <c r="HZ190"/>
      <c r="IA190"/>
      <c r="IB190"/>
      <c r="IC190"/>
      <c r="ID190"/>
      <c r="IE190"/>
      <c r="IF190"/>
      <c r="IG190"/>
      <c r="IH190"/>
      <c r="II190"/>
      <c r="IJ190"/>
      <c r="IK190" s="32"/>
      <c r="IL190" s="32"/>
      <c r="IM190" s="32"/>
      <c r="IN190" s="32"/>
      <c r="IO190" s="32"/>
      <c r="IP190" s="32"/>
      <c r="IQ190" s="32"/>
    </row>
    <row r="191" spans="1:251" s="33" customFormat="1" hidden="1" outlineLevel="1">
      <c r="A191" s="79" t="s">
        <v>184</v>
      </c>
      <c r="B191" s="43"/>
      <c r="C191" s="43">
        <v>2282</v>
      </c>
      <c r="AH191" s="87"/>
      <c r="AI191" s="43"/>
      <c r="AJ191" s="43"/>
      <c r="AK191" s="43"/>
      <c r="AL191" s="43"/>
      <c r="AM191" s="43"/>
      <c r="AN191" s="43"/>
      <c r="AO191" s="43"/>
      <c r="AP191" s="43"/>
      <c r="AQ191" s="43"/>
      <c r="AR191" s="43"/>
      <c r="AS191" s="43"/>
      <c r="AT191" s="43"/>
      <c r="AU191" s="43"/>
      <c r="AV191" s="43"/>
      <c r="AW191" s="43"/>
      <c r="AX191" s="43"/>
      <c r="AY191" s="43"/>
      <c r="AZ191" s="43"/>
      <c r="BA191" s="43"/>
      <c r="BB191" s="43"/>
      <c r="BC191" s="43"/>
      <c r="BD191" s="43"/>
      <c r="BE191" s="43"/>
      <c r="BF191" s="43"/>
      <c r="BG191" s="43"/>
      <c r="BH191" s="43"/>
      <c r="BI191" s="43"/>
      <c r="BJ191" s="43"/>
      <c r="BK191" s="43"/>
      <c r="BL191" s="43"/>
      <c r="BM191" s="43"/>
      <c r="BN191" s="43"/>
      <c r="BO191" s="43"/>
      <c r="BP191" s="43"/>
      <c r="BQ191" s="43"/>
      <c r="BR191" s="43"/>
      <c r="BS191" s="43"/>
      <c r="BT191" s="43"/>
      <c r="BU191" s="43"/>
      <c r="BV191" s="43"/>
      <c r="BW191" s="43"/>
      <c r="BX191" s="43"/>
      <c r="BY191" s="43"/>
      <c r="BZ191" s="43"/>
      <c r="CA191" s="43"/>
      <c r="CB191" s="43"/>
      <c r="CC191" s="43"/>
      <c r="CD191" s="43"/>
      <c r="CE191" s="43"/>
      <c r="CF191" s="43"/>
      <c r="CG191" s="43"/>
      <c r="CH191" s="43"/>
      <c r="CI191" s="43"/>
      <c r="CJ191" s="43"/>
      <c r="CK191" s="43"/>
      <c r="CL191" s="43"/>
      <c r="CM191" s="43"/>
      <c r="CN191" s="43"/>
      <c r="CO191" s="43"/>
      <c r="CP191" s="43"/>
      <c r="CQ191" s="43"/>
      <c r="CR191" s="43"/>
      <c r="CS191" s="43"/>
      <c r="CT191" s="43"/>
      <c r="CU191" s="43"/>
      <c r="CV191" s="43"/>
      <c r="CW191" s="43"/>
      <c r="CX191" s="43"/>
      <c r="CY191" s="43"/>
      <c r="CZ191" s="43"/>
      <c r="DA191" s="43"/>
      <c r="DB191" s="43"/>
      <c r="DC191" s="43"/>
      <c r="DD191" s="43"/>
      <c r="DE191" s="43"/>
      <c r="DF191" s="43"/>
      <c r="DG191" s="43"/>
      <c r="DH191" s="43"/>
      <c r="DI191" s="43"/>
      <c r="DJ191" s="43"/>
      <c r="DK191" s="43"/>
      <c r="DL191" s="43"/>
      <c r="DM191" s="43"/>
      <c r="DN191" s="43"/>
      <c r="DO191" s="43"/>
      <c r="DP191" s="43"/>
      <c r="DQ191" s="43"/>
      <c r="DR191" s="43"/>
      <c r="DS191" s="43"/>
      <c r="DT191" s="43"/>
      <c r="DU191" s="43"/>
      <c r="DV191" s="43"/>
      <c r="DW191" s="43"/>
      <c r="DX191" s="43"/>
      <c r="DY191" s="43"/>
      <c r="DZ191" s="43"/>
      <c r="EA191" s="43"/>
      <c r="EB191" s="43"/>
      <c r="EC191" s="43"/>
      <c r="ED191" s="43"/>
      <c r="EE191" s="43"/>
      <c r="EF191" s="43"/>
      <c r="EG191" s="43"/>
      <c r="EH191" s="43"/>
      <c r="EI191" s="43"/>
      <c r="EJ191" s="43"/>
      <c r="EK191" s="43"/>
      <c r="EL191" s="43"/>
      <c r="EM191" s="43"/>
      <c r="EN191" s="43"/>
      <c r="EO191" s="43"/>
      <c r="EP191" s="43"/>
      <c r="EQ191" s="43"/>
      <c r="ER191" s="43"/>
      <c r="ES191" s="43"/>
      <c r="ET191" s="43"/>
      <c r="EU191" s="43"/>
      <c r="EV191" s="43"/>
      <c r="EW191" s="43"/>
      <c r="EX191" s="43"/>
      <c r="EY191" s="43"/>
      <c r="EZ191" s="43"/>
      <c r="FA191" s="43"/>
      <c r="FB191" s="43"/>
      <c r="FC191" s="43"/>
      <c r="FD191" s="43"/>
      <c r="FE191" s="43"/>
      <c r="FF191" s="43"/>
      <c r="FG191" s="43"/>
      <c r="FH191" s="43"/>
      <c r="FI191" s="43"/>
      <c r="FJ191" s="43"/>
      <c r="FK191" s="43"/>
      <c r="FL191" s="43"/>
      <c r="FM191" s="43"/>
      <c r="FN191" s="43"/>
      <c r="FO191" s="43"/>
      <c r="FP191" s="43"/>
      <c r="FQ191" s="43"/>
      <c r="FR191" s="43"/>
      <c r="FS191" s="43"/>
      <c r="FT191" s="43"/>
      <c r="FU191" s="43"/>
      <c r="FV191" s="43"/>
      <c r="FW191" s="43"/>
      <c r="FX191" s="43"/>
      <c r="FY191" s="43"/>
      <c r="FZ191" s="43"/>
      <c r="GA191" s="43"/>
      <c r="GB191" s="43"/>
      <c r="GC191" s="43"/>
      <c r="GD191" s="43"/>
      <c r="GE191" s="43"/>
      <c r="GF191" s="43"/>
      <c r="GG191" s="43"/>
      <c r="GH191" s="43"/>
      <c r="GI191" s="43"/>
      <c r="GJ191" s="43"/>
      <c r="GK191" s="43"/>
      <c r="GL191" s="43"/>
      <c r="GM191" s="43"/>
      <c r="GN191" s="43"/>
      <c r="GO191" s="43"/>
      <c r="GP191" s="43"/>
      <c r="GQ191" s="43"/>
      <c r="GR191" s="43"/>
      <c r="GS191" s="43"/>
      <c r="GT191" s="43"/>
      <c r="GU191" s="43"/>
      <c r="GV191" s="43"/>
      <c r="GW191" s="43"/>
      <c r="GX191" s="43"/>
      <c r="GY191" s="43"/>
      <c r="GZ191" s="43"/>
      <c r="HA191" s="43"/>
      <c r="HB191" s="43"/>
      <c r="HC191" s="43"/>
      <c r="HD191" s="43"/>
      <c r="HE191" s="43"/>
      <c r="HF191" s="43"/>
      <c r="HG191" s="43"/>
      <c r="HH191" s="43"/>
      <c r="HI191" s="43"/>
      <c r="HJ191" s="43"/>
      <c r="HK191" s="43"/>
      <c r="HL191" s="43"/>
      <c r="HM191" s="43"/>
      <c r="HN191" s="43"/>
      <c r="HO191" s="43"/>
      <c r="HP191" s="43"/>
      <c r="HQ191" s="43"/>
      <c r="HR191"/>
      <c r="HS191"/>
      <c r="HT191"/>
      <c r="HU191"/>
      <c r="HV191"/>
      <c r="HW191"/>
      <c r="HX191"/>
      <c r="HY191"/>
      <c r="HZ191"/>
      <c r="IA191"/>
      <c r="IB191"/>
      <c r="IC191"/>
      <c r="ID191"/>
      <c r="IE191"/>
      <c r="IF191"/>
      <c r="IG191"/>
      <c r="IH191"/>
      <c r="II191"/>
      <c r="IJ191"/>
      <c r="IK191" s="32"/>
      <c r="IL191" s="32"/>
      <c r="IM191" s="32"/>
      <c r="IN191" s="32"/>
      <c r="IO191" s="32"/>
      <c r="IP191" s="32"/>
      <c r="IQ191" s="32"/>
    </row>
    <row r="192" spans="1:251" s="33" customFormat="1" hidden="1" outlineLevel="1">
      <c r="A192" s="79" t="s">
        <v>397</v>
      </c>
      <c r="B192" s="43"/>
      <c r="C192" s="43">
        <v>132</v>
      </c>
      <c r="D192" s="43">
        <v>254</v>
      </c>
      <c r="E192" s="43">
        <v>305</v>
      </c>
      <c r="F192" s="43">
        <v>359</v>
      </c>
      <c r="G192" s="43">
        <v>241</v>
      </c>
      <c r="H192" s="43">
        <v>193</v>
      </c>
      <c r="I192" s="90">
        <v>217</v>
      </c>
      <c r="J192" s="90">
        <v>241</v>
      </c>
      <c r="K192" s="90">
        <f>-IS!H31</f>
        <v>444</v>
      </c>
      <c r="L192" s="90">
        <f>-IS!I31</f>
        <v>755</v>
      </c>
      <c r="M192" s="90">
        <v>733</v>
      </c>
      <c r="N192" s="90">
        <f>-IS!J31</f>
        <v>463.34000000000003</v>
      </c>
      <c r="O192" s="91">
        <f>+N192-231</f>
        <v>232.34000000000003</v>
      </c>
      <c r="P192" s="91">
        <f ca="1">-IS!K31</f>
        <v>125.26597224699461</v>
      </c>
      <c r="Q192" s="91">
        <f t="shared" ref="Q192:V192" si="212">Q220</f>
        <v>56.805</v>
      </c>
      <c r="R192" s="91">
        <f t="shared" si="212"/>
        <v>20.925000000000001</v>
      </c>
      <c r="S192" s="91">
        <f t="shared" si="212"/>
        <v>27.92</v>
      </c>
      <c r="T192" s="91">
        <f t="shared" si="212"/>
        <v>30.85</v>
      </c>
      <c r="U192" s="91">
        <f t="shared" si="212"/>
        <v>30.375</v>
      </c>
      <c r="V192" s="91">
        <f t="shared" si="212"/>
        <v>32.480000000000004</v>
      </c>
      <c r="W192" s="91">
        <f t="shared" ref="W192:AB192" si="213">W220</f>
        <v>28.45</v>
      </c>
      <c r="X192" s="91">
        <f t="shared" ref="X192" si="214">X220</f>
        <v>34.69</v>
      </c>
      <c r="Y192" s="91">
        <f t="shared" si="213"/>
        <v>35.605733816546547</v>
      </c>
      <c r="Z192" s="91">
        <f t="shared" ca="1" si="213"/>
        <v>25.826900824380235</v>
      </c>
      <c r="AA192" s="91">
        <f t="shared" ca="1" si="213"/>
        <v>21.774969645342264</v>
      </c>
      <c r="AB192" s="91">
        <f t="shared" ca="1" si="213"/>
        <v>18.841377938355034</v>
      </c>
      <c r="AC192" s="91">
        <f ca="1">AC220</f>
        <v>21.625766818376977</v>
      </c>
      <c r="AD192" s="91">
        <f ca="1">AD220</f>
        <v>24.844676715795977</v>
      </c>
      <c r="AE192" s="91">
        <f ca="1">AE220</f>
        <v>29.080572399993553</v>
      </c>
      <c r="AF192" s="91">
        <f ca="1">AF220</f>
        <v>34.376331600163262</v>
      </c>
      <c r="AG192" s="91">
        <f ca="1">AG220</f>
        <v>40.774841794241084</v>
      </c>
      <c r="AH192" s="43"/>
      <c r="AI192" s="43"/>
      <c r="AJ192" s="43"/>
      <c r="AK192" s="43"/>
      <c r="AL192" s="43"/>
      <c r="AM192" s="43"/>
      <c r="AN192" s="43"/>
      <c r="AO192" s="43"/>
      <c r="AP192" s="43"/>
      <c r="AQ192" s="43"/>
      <c r="AR192" s="43"/>
      <c r="AS192" s="43"/>
      <c r="AT192" s="43"/>
      <c r="AU192" s="43"/>
      <c r="AV192" s="43"/>
      <c r="AW192" s="43"/>
      <c r="AX192" s="43"/>
      <c r="AY192" s="43"/>
      <c r="AZ192" s="43"/>
      <c r="BA192" s="43"/>
      <c r="BB192" s="43"/>
      <c r="BC192" s="43"/>
      <c r="BD192" s="43"/>
      <c r="BE192" s="43"/>
      <c r="BF192" s="43"/>
      <c r="BG192" s="43"/>
      <c r="BH192" s="43"/>
      <c r="BI192" s="43"/>
      <c r="BJ192" s="43"/>
      <c r="BK192" s="43"/>
      <c r="BL192" s="43"/>
      <c r="BM192" s="43"/>
      <c r="BN192" s="43"/>
      <c r="BO192" s="43"/>
      <c r="BP192" s="43"/>
      <c r="BQ192" s="43"/>
      <c r="BR192" s="43"/>
      <c r="BS192" s="43"/>
      <c r="BT192" s="43"/>
      <c r="BU192" s="43"/>
      <c r="BV192" s="43"/>
      <c r="BW192" s="43"/>
      <c r="BX192" s="43"/>
      <c r="BY192" s="43"/>
      <c r="BZ192" s="43"/>
      <c r="CA192" s="43"/>
      <c r="CB192" s="43"/>
      <c r="CC192" s="43"/>
      <c r="CD192" s="43"/>
      <c r="CE192" s="43"/>
      <c r="CF192" s="43"/>
      <c r="CG192" s="43"/>
      <c r="CH192" s="43"/>
      <c r="CI192" s="43"/>
      <c r="CJ192" s="43"/>
      <c r="CK192" s="43"/>
      <c r="CL192" s="43"/>
      <c r="CM192" s="43"/>
      <c r="CN192" s="43"/>
      <c r="CO192" s="43"/>
      <c r="CP192" s="43"/>
      <c r="CQ192" s="43"/>
      <c r="CR192" s="43"/>
      <c r="CS192" s="43"/>
      <c r="CT192" s="43"/>
      <c r="CU192" s="43"/>
      <c r="CV192" s="43"/>
      <c r="CW192" s="43"/>
      <c r="CX192" s="43"/>
      <c r="CY192" s="43"/>
      <c r="CZ192" s="43"/>
      <c r="DA192" s="43"/>
      <c r="DB192" s="43"/>
      <c r="DC192" s="43"/>
      <c r="DD192" s="43"/>
      <c r="DE192" s="43"/>
      <c r="DF192" s="43"/>
      <c r="DG192" s="43"/>
      <c r="DH192" s="43"/>
      <c r="DI192" s="43"/>
      <c r="DJ192" s="43"/>
      <c r="DK192" s="43"/>
      <c r="DL192" s="43"/>
      <c r="DM192" s="43"/>
      <c r="DN192" s="43"/>
      <c r="DO192" s="43"/>
      <c r="DP192" s="43"/>
      <c r="DQ192" s="43"/>
      <c r="DR192" s="43"/>
      <c r="DS192" s="43"/>
      <c r="DT192" s="43"/>
      <c r="DU192" s="43"/>
      <c r="DV192" s="43"/>
      <c r="DW192" s="43"/>
      <c r="DX192" s="43"/>
      <c r="DY192" s="43"/>
      <c r="DZ192" s="43"/>
      <c r="EA192" s="43"/>
      <c r="EB192" s="43"/>
      <c r="EC192" s="43"/>
      <c r="ED192" s="43"/>
      <c r="EE192" s="43"/>
      <c r="EF192" s="43"/>
      <c r="EG192" s="43"/>
      <c r="EH192" s="43"/>
      <c r="EI192" s="43"/>
      <c r="EJ192" s="43"/>
      <c r="EK192" s="43"/>
      <c r="EL192" s="43"/>
      <c r="EM192" s="43"/>
      <c r="EN192" s="43"/>
      <c r="EO192" s="43"/>
      <c r="EP192" s="43"/>
      <c r="EQ192" s="43"/>
      <c r="ER192" s="43"/>
      <c r="ES192" s="43"/>
      <c r="ET192" s="43"/>
      <c r="EU192" s="43"/>
      <c r="EV192" s="43"/>
      <c r="EW192" s="43"/>
      <c r="EX192" s="43"/>
      <c r="EY192" s="43"/>
      <c r="EZ192" s="43"/>
      <c r="FA192" s="43"/>
      <c r="FB192" s="43"/>
      <c r="FC192" s="43"/>
      <c r="FD192" s="43"/>
      <c r="FE192" s="43"/>
      <c r="FF192" s="43"/>
      <c r="FG192" s="43"/>
      <c r="FH192" s="43"/>
      <c r="FI192" s="43"/>
      <c r="FJ192" s="43"/>
      <c r="FK192" s="43"/>
      <c r="FL192" s="43"/>
      <c r="FM192" s="43"/>
      <c r="FN192" s="43"/>
      <c r="FO192" s="43"/>
      <c r="FP192" s="43"/>
      <c r="FQ192" s="43"/>
      <c r="FR192" s="43"/>
      <c r="FS192" s="43"/>
      <c r="FT192" s="43"/>
      <c r="FU192" s="43"/>
      <c r="FV192" s="43"/>
      <c r="FW192" s="43"/>
      <c r="FX192" s="43"/>
      <c r="FY192" s="43"/>
      <c r="FZ192" s="43"/>
      <c r="GA192" s="43"/>
      <c r="GB192" s="43"/>
      <c r="GC192" s="43"/>
      <c r="GD192" s="43"/>
      <c r="GE192" s="43"/>
      <c r="GF192" s="43"/>
      <c r="GG192" s="43"/>
      <c r="GH192" s="43"/>
      <c r="GI192" s="43"/>
      <c r="GJ192" s="43"/>
      <c r="GK192" s="43"/>
      <c r="GL192" s="43"/>
      <c r="GM192" s="43"/>
      <c r="GN192" s="43"/>
      <c r="GO192" s="43"/>
      <c r="GP192" s="43"/>
      <c r="GQ192" s="43"/>
      <c r="GR192" s="43"/>
      <c r="GS192" s="43"/>
      <c r="GT192" s="43"/>
      <c r="GU192" s="43"/>
      <c r="GV192" s="43"/>
      <c r="GW192" s="43"/>
      <c r="GX192" s="43"/>
      <c r="GY192" s="43"/>
      <c r="GZ192" s="43"/>
      <c r="HA192" s="43"/>
      <c r="HB192" s="43"/>
      <c r="HC192" s="43"/>
      <c r="HD192" s="43"/>
      <c r="HE192" s="43"/>
      <c r="HF192" s="43"/>
      <c r="HG192" s="43"/>
      <c r="HH192" s="43"/>
      <c r="HI192" s="43"/>
      <c r="HJ192" s="43"/>
      <c r="HK192" s="43"/>
      <c r="HL192" s="43"/>
      <c r="HM192" s="43"/>
      <c r="HN192" s="43"/>
      <c r="HO192" s="43"/>
      <c r="HP192" s="43"/>
      <c r="HQ192" s="43"/>
      <c r="HR192"/>
      <c r="HS192"/>
      <c r="HT192"/>
      <c r="HU192"/>
      <c r="HV192"/>
      <c r="HW192"/>
      <c r="HX192"/>
      <c r="HY192"/>
      <c r="HZ192"/>
      <c r="IA192"/>
      <c r="IB192"/>
      <c r="IC192"/>
      <c r="ID192"/>
      <c r="IE192"/>
      <c r="IF192"/>
      <c r="IG192"/>
      <c r="IH192"/>
      <c r="II192"/>
      <c r="IJ192"/>
      <c r="IK192" s="32"/>
      <c r="IL192" s="32"/>
      <c r="IM192" s="32"/>
      <c r="IN192" s="32"/>
      <c r="IO192" s="32"/>
      <c r="IP192" s="32"/>
      <c r="IQ192" s="32"/>
    </row>
    <row r="193" spans="1:251" s="33" customFormat="1" hidden="1" outlineLevel="1">
      <c r="A193" s="79" t="s">
        <v>363</v>
      </c>
      <c r="B193" s="43"/>
      <c r="C193" s="43"/>
      <c r="D193" s="92">
        <f>D192/(AVERAGE(C191:C191))</f>
        <v>0.11130587204206836</v>
      </c>
      <c r="E193" s="92">
        <f>E192/(AVERAGE(IS!B478:C478))</f>
        <v>0.10104356468444592</v>
      </c>
      <c r="F193" s="92">
        <f>F192/(AVERAGE(IS!C478:D478))</f>
        <v>0.51654676258992804</v>
      </c>
      <c r="G193" s="93">
        <f>G192/(AVERAGE(IS!D478:E478))</f>
        <v>0.47347740667976423</v>
      </c>
      <c r="H193" s="93">
        <f>H192/(AVERAGE(IS!E478:F478))</f>
        <v>8.8899124827268541E-2</v>
      </c>
      <c r="I193" s="94">
        <f>I192/AVERAGE(IS!F478:G478)</f>
        <v>4.9306494194361332E-2</v>
      </c>
      <c r="J193" s="95">
        <f>J192/AVERAGE(IS!G478:H478)</f>
        <v>4.5625914096962997E-2</v>
      </c>
      <c r="K193" s="95">
        <f>K192/AVERAGE(IS!H478:H478)</f>
        <v>8.0157629556509027E-2</v>
      </c>
      <c r="L193" s="95">
        <f>L192/AVERAGE(IS!I478:I478)</f>
        <v>0.15791675381719306</v>
      </c>
      <c r="M193" s="95">
        <f>M192/AVERAGE(IS!J478:J478)</f>
        <v>0.15138372573316811</v>
      </c>
      <c r="N193" s="95">
        <f>N192/IS!J478</f>
        <v>9.5691862866584057E-2</v>
      </c>
      <c r="O193" s="95">
        <f>O192/IS!K478</f>
        <v>2.9350682162708443E-2</v>
      </c>
      <c r="P193" s="86">
        <f ca="1">P192/AVERAGE(IS!K478,(IS!L478-6000))</f>
        <v>6.6155781487718307E-2</v>
      </c>
      <c r="Q193" s="86">
        <f t="shared" ref="Q193:V193" si="215">Q214</f>
        <v>0.03</v>
      </c>
      <c r="R193" s="86">
        <f t="shared" si="215"/>
        <v>0.01</v>
      </c>
      <c r="S193" s="86">
        <f t="shared" si="215"/>
        <v>0.01</v>
      </c>
      <c r="T193" s="86">
        <f t="shared" si="215"/>
        <v>0.01</v>
      </c>
      <c r="U193" s="86">
        <f t="shared" si="215"/>
        <v>0.01</v>
      </c>
      <c r="V193" s="86">
        <f t="shared" si="215"/>
        <v>0.01</v>
      </c>
      <c r="W193" s="86">
        <f t="shared" ref="W193:AB193" si="216">W214</f>
        <v>0.01</v>
      </c>
      <c r="X193" s="86">
        <f t="shared" ref="X193" si="217">X214</f>
        <v>0.01</v>
      </c>
      <c r="Y193" s="86">
        <f t="shared" si="216"/>
        <v>0.01</v>
      </c>
      <c r="Z193" s="86">
        <f t="shared" si="216"/>
        <v>0.01</v>
      </c>
      <c r="AA193" s="86">
        <f t="shared" si="216"/>
        <v>0.01</v>
      </c>
      <c r="AB193" s="86">
        <f t="shared" si="216"/>
        <v>0.01</v>
      </c>
      <c r="AC193" s="86">
        <f>AC214</f>
        <v>0.01</v>
      </c>
      <c r="AD193" s="86">
        <f>AD214</f>
        <v>0.01</v>
      </c>
      <c r="AE193" s="86">
        <f>AE214</f>
        <v>0.01</v>
      </c>
      <c r="AF193" s="86">
        <f>AF214</f>
        <v>0.01</v>
      </c>
      <c r="AG193" s="86">
        <f>AG214</f>
        <v>0.01</v>
      </c>
      <c r="AH193" s="43"/>
      <c r="AI193" s="43"/>
      <c r="AJ193" s="43"/>
      <c r="AK193" s="43"/>
      <c r="AL193" s="43"/>
      <c r="AM193" s="43"/>
      <c r="AN193" s="43"/>
      <c r="AO193" s="43"/>
      <c r="AP193" s="43"/>
      <c r="AQ193" s="43"/>
      <c r="AR193" s="43"/>
      <c r="AS193" s="43"/>
      <c r="AT193" s="43"/>
      <c r="AU193" s="43"/>
      <c r="AV193" s="43"/>
      <c r="AW193" s="43"/>
      <c r="AX193" s="43"/>
      <c r="AY193" s="43"/>
      <c r="AZ193" s="43"/>
      <c r="BA193" s="43"/>
      <c r="BB193" s="43"/>
      <c r="BC193" s="43"/>
      <c r="BD193" s="43"/>
      <c r="BE193" s="43"/>
      <c r="BF193" s="43"/>
      <c r="BG193" s="43"/>
      <c r="BH193" s="43"/>
      <c r="BI193" s="43"/>
      <c r="BJ193" s="43"/>
      <c r="BK193" s="43"/>
      <c r="BL193" s="43"/>
      <c r="BM193" s="43"/>
      <c r="BN193" s="43"/>
      <c r="BO193" s="43"/>
      <c r="BP193" s="43"/>
      <c r="BQ193" s="43"/>
      <c r="BR193" s="43"/>
      <c r="BS193" s="43"/>
      <c r="BT193" s="43"/>
      <c r="BU193" s="43"/>
      <c r="BV193" s="43"/>
      <c r="BW193" s="43"/>
      <c r="BX193" s="43"/>
      <c r="BY193" s="43"/>
      <c r="BZ193" s="43"/>
      <c r="CA193" s="43"/>
      <c r="CB193" s="43"/>
      <c r="CC193" s="43"/>
      <c r="CD193" s="43"/>
      <c r="CE193" s="43"/>
      <c r="CF193" s="43"/>
      <c r="CG193" s="43"/>
      <c r="CH193" s="43"/>
      <c r="CI193" s="43"/>
      <c r="CJ193" s="43"/>
      <c r="CK193" s="43"/>
      <c r="CL193" s="43"/>
      <c r="CM193" s="43"/>
      <c r="CN193" s="43"/>
      <c r="CO193" s="43"/>
      <c r="CP193" s="43"/>
      <c r="CQ193" s="43"/>
      <c r="CR193" s="43"/>
      <c r="CS193" s="43"/>
      <c r="CT193" s="43"/>
      <c r="CU193" s="43"/>
      <c r="CV193" s="43"/>
      <c r="CW193" s="43"/>
      <c r="CX193" s="43"/>
      <c r="CY193" s="43"/>
      <c r="CZ193" s="43"/>
      <c r="DA193" s="43"/>
      <c r="DB193" s="43"/>
      <c r="DC193" s="43"/>
      <c r="DD193" s="43"/>
      <c r="DE193" s="43"/>
      <c r="DF193" s="43"/>
      <c r="DG193" s="43"/>
      <c r="DH193" s="43"/>
      <c r="DI193" s="43"/>
      <c r="DJ193" s="43"/>
      <c r="DK193" s="43"/>
      <c r="DL193" s="43"/>
      <c r="DM193" s="43"/>
      <c r="DN193" s="43"/>
      <c r="DO193" s="43"/>
      <c r="DP193" s="43"/>
      <c r="DQ193" s="43"/>
      <c r="DR193" s="43"/>
      <c r="DS193" s="43"/>
      <c r="DT193" s="43"/>
      <c r="DU193" s="43"/>
      <c r="DV193" s="43"/>
      <c r="DW193" s="43"/>
      <c r="DX193" s="43"/>
      <c r="DY193" s="43"/>
      <c r="DZ193" s="43"/>
      <c r="EA193" s="43"/>
      <c r="EB193" s="43"/>
      <c r="EC193" s="43"/>
      <c r="ED193" s="43"/>
      <c r="EE193" s="43"/>
      <c r="EF193" s="43"/>
      <c r="EG193" s="43"/>
      <c r="EH193" s="43"/>
      <c r="EI193" s="43"/>
      <c r="EJ193" s="43"/>
      <c r="EK193" s="43"/>
      <c r="EL193" s="43"/>
      <c r="EM193" s="43"/>
      <c r="EN193" s="43"/>
      <c r="EO193" s="43"/>
      <c r="EP193" s="43"/>
      <c r="EQ193" s="43"/>
      <c r="ER193" s="43"/>
      <c r="ES193" s="43"/>
      <c r="ET193" s="43"/>
      <c r="EU193" s="43"/>
      <c r="EV193" s="43"/>
      <c r="EW193" s="43"/>
      <c r="EX193" s="43"/>
      <c r="EY193" s="43"/>
      <c r="EZ193" s="43"/>
      <c r="FA193" s="43"/>
      <c r="FB193" s="43"/>
      <c r="FC193" s="43"/>
      <c r="FD193" s="43"/>
      <c r="FE193" s="43"/>
      <c r="FF193" s="43"/>
      <c r="FG193" s="43"/>
      <c r="FH193" s="43"/>
      <c r="FI193" s="43"/>
      <c r="FJ193" s="43"/>
      <c r="FK193" s="43"/>
      <c r="FL193" s="43"/>
      <c r="FM193" s="43"/>
      <c r="FN193" s="43"/>
      <c r="FO193" s="43"/>
      <c r="FP193" s="43"/>
      <c r="FQ193" s="43"/>
      <c r="FR193" s="43"/>
      <c r="FS193" s="43"/>
      <c r="FT193" s="43"/>
      <c r="FU193" s="43"/>
      <c r="FV193" s="43"/>
      <c r="FW193" s="43"/>
      <c r="FX193" s="43"/>
      <c r="FY193" s="43"/>
      <c r="FZ193" s="43"/>
      <c r="GA193" s="43"/>
      <c r="GB193" s="43"/>
      <c r="GC193" s="43"/>
      <c r="GD193" s="43"/>
      <c r="GE193" s="43"/>
      <c r="GF193" s="43"/>
      <c r="GG193" s="43"/>
      <c r="GH193" s="43"/>
      <c r="GI193" s="43"/>
      <c r="GJ193" s="43"/>
      <c r="GK193" s="43"/>
      <c r="GL193" s="43"/>
      <c r="GM193" s="43"/>
      <c r="GN193" s="43"/>
      <c r="GO193" s="43"/>
      <c r="GP193" s="43"/>
      <c r="GQ193" s="43"/>
      <c r="GR193" s="43"/>
      <c r="GS193" s="43"/>
      <c r="GT193" s="43"/>
      <c r="GU193" s="43"/>
      <c r="GV193" s="43"/>
      <c r="GW193" s="43"/>
      <c r="GX193" s="43"/>
      <c r="GY193" s="43"/>
      <c r="GZ193" s="43"/>
      <c r="HA193" s="43"/>
      <c r="HB193" s="43"/>
      <c r="HC193" s="43"/>
      <c r="HD193" s="43"/>
      <c r="HE193" s="43"/>
      <c r="HF193" s="43"/>
      <c r="HG193" s="43"/>
      <c r="HH193" s="43"/>
      <c r="HI193" s="43"/>
      <c r="HJ193" s="43"/>
      <c r="HK193" s="43"/>
      <c r="HL193" s="43"/>
      <c r="HM193" s="43"/>
      <c r="HN193" s="43"/>
      <c r="HO193" s="43"/>
      <c r="HP193" s="43"/>
      <c r="HQ193" s="43"/>
      <c r="HR193"/>
      <c r="HS193"/>
      <c r="HT193"/>
      <c r="HU193"/>
      <c r="HV193"/>
      <c r="HW193"/>
      <c r="HX193"/>
      <c r="HY193"/>
      <c r="HZ193"/>
      <c r="IA193"/>
      <c r="IB193"/>
      <c r="IC193"/>
      <c r="ID193"/>
      <c r="IE193"/>
      <c r="IF193"/>
      <c r="IG193"/>
      <c r="IH193"/>
      <c r="II193"/>
      <c r="IJ193"/>
      <c r="IK193" s="32"/>
      <c r="IL193" s="32"/>
      <c r="IM193" s="32"/>
      <c r="IN193" s="32"/>
      <c r="IO193" s="32"/>
      <c r="IP193" s="32"/>
      <c r="IQ193" s="32"/>
    </row>
    <row r="194" spans="1:251" s="33" customFormat="1" hidden="1" outlineLevel="1">
      <c r="A194" s="79"/>
      <c r="B194" s="43"/>
      <c r="C194" s="43"/>
      <c r="D194" s="43"/>
      <c r="E194" s="43"/>
      <c r="F194" s="43"/>
      <c r="G194" s="43"/>
      <c r="H194" s="43"/>
      <c r="I194" s="86"/>
      <c r="J194" s="76"/>
      <c r="K194" s="107"/>
      <c r="L194" s="107"/>
      <c r="M194" s="107"/>
      <c r="N194" s="107"/>
      <c r="O194" s="107"/>
      <c r="P194" s="107"/>
      <c r="Q194" s="107"/>
      <c r="R194" s="107"/>
      <c r="S194" s="107"/>
      <c r="T194" s="107"/>
      <c r="U194" s="107"/>
      <c r="V194" s="107"/>
      <c r="W194" s="107"/>
      <c r="X194" s="107"/>
      <c r="Y194" s="107"/>
      <c r="Z194" s="107"/>
      <c r="AA194" s="107"/>
      <c r="AB194" s="107"/>
      <c r="AC194" s="107"/>
      <c r="AD194" s="107"/>
      <c r="AE194" s="107"/>
      <c r="AF194" s="107"/>
      <c r="AG194" s="107"/>
      <c r="AH194" s="58"/>
      <c r="AI194" s="43"/>
      <c r="AJ194" s="43"/>
      <c r="AK194" s="43"/>
      <c r="AL194" s="43"/>
      <c r="AM194" s="43"/>
      <c r="AN194" s="43"/>
      <c r="AO194" s="43"/>
      <c r="AP194" s="43"/>
      <c r="AQ194" s="43"/>
      <c r="AR194" s="43"/>
      <c r="AS194" s="43"/>
      <c r="AT194" s="43"/>
      <c r="AU194" s="43"/>
      <c r="AV194" s="43"/>
      <c r="AW194" s="43"/>
      <c r="AX194" s="43"/>
      <c r="AY194" s="43"/>
      <c r="AZ194" s="43"/>
      <c r="BA194" s="43"/>
      <c r="BB194" s="43"/>
      <c r="BC194" s="43"/>
      <c r="BD194" s="43"/>
      <c r="BE194" s="43"/>
      <c r="BF194" s="43"/>
      <c r="BG194" s="43"/>
      <c r="BH194" s="43"/>
      <c r="BI194" s="43"/>
      <c r="BJ194" s="43"/>
      <c r="BK194" s="43"/>
      <c r="BL194" s="43"/>
      <c r="BM194" s="43"/>
      <c r="BN194" s="43"/>
      <c r="BO194" s="43"/>
      <c r="BP194" s="43"/>
      <c r="BQ194" s="43"/>
      <c r="BR194" s="43"/>
      <c r="BS194" s="43"/>
      <c r="BT194" s="43"/>
      <c r="BU194" s="43"/>
      <c r="BV194" s="43"/>
      <c r="BW194" s="43"/>
      <c r="BX194" s="43"/>
      <c r="BY194" s="43"/>
      <c r="BZ194" s="43"/>
      <c r="CA194" s="43"/>
      <c r="CB194" s="43"/>
      <c r="CC194" s="43"/>
      <c r="CD194" s="43"/>
      <c r="CE194" s="43"/>
      <c r="CF194" s="43"/>
      <c r="CG194" s="43"/>
      <c r="CH194" s="43"/>
      <c r="CI194" s="43"/>
      <c r="CJ194" s="43"/>
      <c r="CK194" s="43"/>
      <c r="CL194" s="43"/>
      <c r="CM194" s="43"/>
      <c r="CN194" s="43"/>
      <c r="CO194" s="43"/>
      <c r="CP194" s="43"/>
      <c r="CQ194" s="43"/>
      <c r="CR194" s="43"/>
      <c r="CS194" s="43"/>
      <c r="CT194" s="43"/>
      <c r="CU194" s="43"/>
      <c r="CV194" s="43"/>
      <c r="CW194" s="43"/>
      <c r="CX194" s="43"/>
      <c r="CY194" s="43"/>
      <c r="CZ194" s="43"/>
      <c r="DA194" s="43"/>
      <c r="DB194" s="43"/>
      <c r="DC194" s="43"/>
      <c r="DD194" s="43"/>
      <c r="DE194" s="43"/>
      <c r="DF194" s="43"/>
      <c r="DG194" s="43"/>
      <c r="DH194" s="43"/>
      <c r="DI194" s="43"/>
      <c r="DJ194" s="43"/>
      <c r="DK194" s="43"/>
      <c r="DL194" s="43"/>
      <c r="DM194" s="43"/>
      <c r="DN194" s="43"/>
      <c r="DO194" s="43"/>
      <c r="DP194" s="43"/>
      <c r="DQ194" s="43"/>
      <c r="DR194" s="43"/>
      <c r="DS194" s="43"/>
      <c r="DT194" s="43"/>
      <c r="DU194" s="43"/>
      <c r="DV194" s="43"/>
      <c r="DW194" s="43"/>
      <c r="DX194" s="43"/>
      <c r="DY194" s="43"/>
      <c r="DZ194" s="43"/>
      <c r="EA194" s="43"/>
      <c r="EB194" s="43"/>
      <c r="EC194" s="43"/>
      <c r="ED194" s="43"/>
      <c r="EE194" s="43"/>
      <c r="EF194" s="43"/>
      <c r="EG194" s="43"/>
      <c r="EH194" s="43"/>
      <c r="EI194" s="43"/>
      <c r="EJ194" s="43"/>
      <c r="EK194" s="43"/>
      <c r="EL194" s="43"/>
      <c r="EM194" s="43"/>
      <c r="EN194" s="43"/>
      <c r="EO194" s="43"/>
      <c r="EP194" s="43"/>
      <c r="EQ194" s="43"/>
      <c r="ER194" s="43"/>
      <c r="ES194" s="43"/>
      <c r="ET194" s="43"/>
      <c r="EU194" s="43"/>
      <c r="EV194" s="43"/>
      <c r="EW194" s="43"/>
      <c r="EX194" s="43"/>
      <c r="EY194" s="43"/>
      <c r="EZ194" s="43"/>
      <c r="FA194" s="43"/>
      <c r="FB194" s="43"/>
      <c r="FC194" s="43"/>
      <c r="FD194" s="43"/>
      <c r="FE194" s="43"/>
      <c r="FF194" s="43"/>
      <c r="FG194" s="43"/>
      <c r="FH194" s="43"/>
      <c r="FI194" s="43"/>
      <c r="FJ194" s="43"/>
      <c r="FK194" s="43"/>
      <c r="FL194" s="43"/>
      <c r="FM194" s="43"/>
      <c r="FN194" s="43"/>
      <c r="FO194" s="43"/>
      <c r="FP194" s="43"/>
      <c r="FQ194" s="43"/>
      <c r="FR194" s="43"/>
      <c r="FS194" s="43"/>
      <c r="FT194" s="43"/>
      <c r="FU194" s="43"/>
      <c r="FV194" s="43"/>
      <c r="FW194" s="43"/>
      <c r="FX194" s="43"/>
      <c r="FY194" s="43"/>
      <c r="FZ194" s="43"/>
      <c r="GA194" s="43"/>
      <c r="GB194" s="43"/>
      <c r="GC194" s="43"/>
      <c r="GD194" s="43"/>
      <c r="GE194" s="43"/>
      <c r="GF194" s="43"/>
      <c r="GG194" s="43"/>
      <c r="GH194" s="43"/>
      <c r="GI194" s="43"/>
      <c r="GJ194" s="43"/>
      <c r="GK194" s="43"/>
      <c r="GL194" s="43"/>
      <c r="GM194" s="43"/>
      <c r="GN194" s="43"/>
      <c r="GO194" s="43"/>
      <c r="GP194" s="43"/>
      <c r="GQ194" s="43"/>
      <c r="GR194" s="43"/>
      <c r="GS194" s="43"/>
      <c r="GT194" s="43"/>
      <c r="GU194" s="43"/>
      <c r="GV194" s="43"/>
      <c r="GW194" s="43"/>
      <c r="GX194" s="43"/>
      <c r="GY194" s="43"/>
      <c r="GZ194" s="43"/>
      <c r="HA194" s="43"/>
      <c r="HB194" s="43"/>
      <c r="HC194" s="43"/>
      <c r="HD194" s="43"/>
      <c r="HE194" s="43"/>
      <c r="HF194" s="43"/>
      <c r="HG194" s="43"/>
      <c r="HH194" s="43"/>
      <c r="HI194" s="43"/>
      <c r="HJ194" s="43"/>
      <c r="HK194" s="43"/>
      <c r="HL194" s="43"/>
      <c r="HM194" s="43"/>
      <c r="HN194" s="43"/>
      <c r="HO194" s="43"/>
      <c r="HP194" s="43"/>
      <c r="HQ194" s="43"/>
      <c r="HR194"/>
      <c r="HS194"/>
      <c r="HT194"/>
      <c r="HU194"/>
      <c r="HV194"/>
      <c r="HW194"/>
      <c r="HX194"/>
      <c r="HY194"/>
      <c r="HZ194"/>
      <c r="IA194"/>
      <c r="IB194"/>
      <c r="IC194"/>
      <c r="ID194"/>
      <c r="IE194"/>
      <c r="IF194"/>
      <c r="IG194"/>
      <c r="IH194"/>
      <c r="II194"/>
      <c r="IJ194"/>
      <c r="IK194" s="32"/>
      <c r="IL194" s="32"/>
      <c r="IM194" s="32"/>
      <c r="IN194" s="32"/>
      <c r="IO194" s="32"/>
      <c r="IP194" s="32"/>
      <c r="IQ194" s="32"/>
    </row>
    <row r="195" spans="1:251" s="33" customFormat="1" hidden="1" outlineLevel="1">
      <c r="A195" s="79"/>
      <c r="B195" s="43"/>
      <c r="C195" s="43"/>
      <c r="D195" s="43"/>
      <c r="E195" s="43"/>
      <c r="F195" s="43"/>
      <c r="G195" s="43"/>
      <c r="H195" s="43"/>
      <c r="I195" s="86"/>
      <c r="J195" s="76"/>
      <c r="K195" s="107"/>
      <c r="L195" s="107"/>
      <c r="M195" s="107"/>
      <c r="N195" s="107"/>
      <c r="O195" s="107"/>
      <c r="P195" s="107"/>
      <c r="Q195" s="107"/>
      <c r="R195" s="107"/>
      <c r="S195" s="107"/>
      <c r="T195" s="96"/>
      <c r="U195" s="96"/>
      <c r="V195" s="96"/>
      <c r="W195" s="96"/>
      <c r="X195" s="96"/>
      <c r="Y195" s="96"/>
      <c r="Z195" s="96"/>
      <c r="AA195" s="96"/>
      <c r="AB195" s="96"/>
      <c r="AC195" s="96"/>
      <c r="AD195" s="96"/>
      <c r="AE195" s="96"/>
      <c r="AF195" s="96"/>
      <c r="AG195" s="96"/>
      <c r="AH195" s="58"/>
      <c r="AI195" s="43"/>
      <c r="AJ195" s="43"/>
      <c r="AK195" s="43"/>
      <c r="AL195" s="43"/>
      <c r="AM195" s="43"/>
      <c r="AN195" s="43"/>
      <c r="AO195" s="43"/>
      <c r="AP195" s="43"/>
      <c r="AQ195" s="43"/>
      <c r="AR195" s="43"/>
      <c r="AS195" s="43"/>
      <c r="AT195" s="43"/>
      <c r="AU195" s="43"/>
      <c r="AV195" s="43"/>
      <c r="AW195" s="43"/>
      <c r="AX195" s="43"/>
      <c r="AY195" s="43"/>
      <c r="AZ195" s="43"/>
      <c r="BA195" s="43"/>
      <c r="BB195" s="43"/>
      <c r="BC195" s="43"/>
      <c r="BD195" s="43"/>
      <c r="BE195" s="43"/>
      <c r="BF195" s="43"/>
      <c r="BG195" s="43"/>
      <c r="BH195" s="43"/>
      <c r="BI195" s="43"/>
      <c r="BJ195" s="43"/>
      <c r="BK195" s="43"/>
      <c r="BL195" s="43"/>
      <c r="BM195" s="43"/>
      <c r="BN195" s="43"/>
      <c r="BO195" s="43"/>
      <c r="BP195" s="43"/>
      <c r="BQ195" s="43"/>
      <c r="BR195" s="43"/>
      <c r="BS195" s="43"/>
      <c r="BT195" s="43"/>
      <c r="BU195" s="43"/>
      <c r="BV195" s="43"/>
      <c r="BW195" s="43"/>
      <c r="BX195" s="43"/>
      <c r="BY195" s="43"/>
      <c r="BZ195" s="43"/>
      <c r="CA195" s="43"/>
      <c r="CB195" s="43"/>
      <c r="CC195" s="43"/>
      <c r="CD195" s="43"/>
      <c r="CE195" s="43"/>
      <c r="CF195" s="43"/>
      <c r="CG195" s="43"/>
      <c r="CH195" s="43"/>
      <c r="CI195" s="43"/>
      <c r="CJ195" s="43"/>
      <c r="CK195" s="43"/>
      <c r="CL195" s="43"/>
      <c r="CM195" s="43"/>
      <c r="CN195" s="43"/>
      <c r="CO195" s="43"/>
      <c r="CP195" s="43"/>
      <c r="CQ195" s="43"/>
      <c r="CR195" s="43"/>
      <c r="CS195" s="43"/>
      <c r="CT195" s="43"/>
      <c r="CU195" s="43"/>
      <c r="CV195" s="43"/>
      <c r="CW195" s="43"/>
      <c r="CX195" s="43"/>
      <c r="CY195" s="43"/>
      <c r="CZ195" s="43"/>
      <c r="DA195" s="43"/>
      <c r="DB195" s="43"/>
      <c r="DC195" s="43"/>
      <c r="DD195" s="43"/>
      <c r="DE195" s="43"/>
      <c r="DF195" s="43"/>
      <c r="DG195" s="43"/>
      <c r="DH195" s="43"/>
      <c r="DI195" s="43"/>
      <c r="DJ195" s="43"/>
      <c r="DK195" s="43"/>
      <c r="DL195" s="43"/>
      <c r="DM195" s="43"/>
      <c r="DN195" s="43"/>
      <c r="DO195" s="43"/>
      <c r="DP195" s="43"/>
      <c r="DQ195" s="43"/>
      <c r="DR195" s="43"/>
      <c r="DS195" s="43"/>
      <c r="DT195" s="43"/>
      <c r="DU195" s="43"/>
      <c r="DV195" s="43"/>
      <c r="DW195" s="43"/>
      <c r="DX195" s="43"/>
      <c r="DY195" s="43"/>
      <c r="DZ195" s="43"/>
      <c r="EA195" s="43"/>
      <c r="EB195" s="43"/>
      <c r="EC195" s="43"/>
      <c r="ED195" s="43"/>
      <c r="EE195" s="43"/>
      <c r="EF195" s="43"/>
      <c r="EG195" s="43"/>
      <c r="EH195" s="43"/>
      <c r="EI195" s="43"/>
      <c r="EJ195" s="43"/>
      <c r="EK195" s="43"/>
      <c r="EL195" s="43"/>
      <c r="EM195" s="43"/>
      <c r="EN195" s="43"/>
      <c r="EO195" s="43"/>
      <c r="EP195" s="43"/>
      <c r="EQ195" s="43"/>
      <c r="ER195" s="43"/>
      <c r="ES195" s="43"/>
      <c r="ET195" s="43"/>
      <c r="EU195" s="43"/>
      <c r="EV195" s="43"/>
      <c r="EW195" s="43"/>
      <c r="EX195" s="43"/>
      <c r="EY195" s="43"/>
      <c r="EZ195" s="43"/>
      <c r="FA195" s="43"/>
      <c r="FB195" s="43"/>
      <c r="FC195" s="43"/>
      <c r="FD195" s="43"/>
      <c r="FE195" s="43"/>
      <c r="FF195" s="43"/>
      <c r="FG195" s="43"/>
      <c r="FH195" s="43"/>
      <c r="FI195" s="43"/>
      <c r="FJ195" s="43"/>
      <c r="FK195" s="43"/>
      <c r="FL195" s="43"/>
      <c r="FM195" s="43"/>
      <c r="FN195" s="43"/>
      <c r="FO195" s="43"/>
      <c r="FP195" s="43"/>
      <c r="FQ195" s="43"/>
      <c r="FR195" s="43"/>
      <c r="FS195" s="43"/>
      <c r="FT195" s="43"/>
      <c r="FU195" s="43"/>
      <c r="FV195" s="43"/>
      <c r="FW195" s="43"/>
      <c r="FX195" s="43"/>
      <c r="FY195" s="43"/>
      <c r="FZ195" s="43"/>
      <c r="GA195" s="43"/>
      <c r="GB195" s="43"/>
      <c r="GC195" s="43"/>
      <c r="GD195" s="43"/>
      <c r="GE195" s="43"/>
      <c r="GF195" s="43"/>
      <c r="GG195" s="43"/>
      <c r="GH195" s="43"/>
      <c r="GI195" s="43"/>
      <c r="GJ195" s="43"/>
      <c r="GK195" s="43"/>
      <c r="GL195" s="43"/>
      <c r="GM195" s="43"/>
      <c r="GN195" s="43"/>
      <c r="GO195" s="43"/>
      <c r="GP195" s="43"/>
      <c r="GQ195" s="43"/>
      <c r="GR195" s="43"/>
      <c r="GS195" s="43"/>
      <c r="GT195" s="43"/>
      <c r="GU195" s="43"/>
      <c r="GV195" s="43"/>
      <c r="GW195" s="43"/>
      <c r="GX195" s="43"/>
      <c r="GY195" s="43"/>
      <c r="GZ195" s="43"/>
      <c r="HA195" s="43"/>
      <c r="HB195" s="43"/>
      <c r="HC195" s="43"/>
      <c r="HD195" s="43"/>
      <c r="HE195" s="43"/>
      <c r="HF195" s="43"/>
      <c r="HG195" s="43"/>
      <c r="HH195" s="43"/>
      <c r="HI195" s="43"/>
      <c r="HJ195" s="43"/>
      <c r="HK195" s="43"/>
      <c r="HL195" s="43"/>
      <c r="HM195" s="43"/>
      <c r="HN195" s="43"/>
      <c r="HO195" s="43"/>
      <c r="HP195" s="43"/>
      <c r="HQ195" s="43"/>
      <c r="HR195"/>
      <c r="HS195"/>
      <c r="HT195"/>
      <c r="HU195"/>
      <c r="HV195"/>
      <c r="HW195"/>
      <c r="HX195"/>
      <c r="HY195"/>
      <c r="HZ195"/>
      <c r="IA195"/>
      <c r="IB195"/>
      <c r="IC195"/>
      <c r="ID195"/>
      <c r="IE195"/>
      <c r="IF195"/>
      <c r="IG195"/>
      <c r="IH195"/>
      <c r="II195"/>
      <c r="IJ195"/>
      <c r="IK195" s="32"/>
      <c r="IL195" s="32"/>
      <c r="IM195" s="32"/>
      <c r="IN195" s="32"/>
      <c r="IO195" s="32"/>
      <c r="IP195" s="32"/>
      <c r="IQ195" s="32"/>
    </row>
    <row r="196" spans="1:251" s="33" customFormat="1" hidden="1" outlineLevel="1">
      <c r="A196" s="79" t="s">
        <v>109</v>
      </c>
      <c r="B196" s="43"/>
      <c r="C196" s="43"/>
      <c r="D196" s="43"/>
      <c r="E196" s="43"/>
      <c r="F196" s="43"/>
      <c r="G196" s="43"/>
      <c r="H196" s="43"/>
      <c r="I196" s="58">
        <f>+H199</f>
        <v>23320</v>
      </c>
      <c r="J196" s="58">
        <f>+I199</f>
        <v>24539</v>
      </c>
      <c r="K196" s="58">
        <f>+J199</f>
        <v>22980</v>
      </c>
      <c r="L196" s="58">
        <f>+K199</f>
        <v>23933</v>
      </c>
      <c r="M196" s="58">
        <v>8845</v>
      </c>
      <c r="N196" s="58">
        <f>+M199</f>
        <v>8485</v>
      </c>
      <c r="O196" s="58">
        <f>+N199</f>
        <v>11046</v>
      </c>
      <c r="P196" s="58">
        <f>+N199</f>
        <v>11046</v>
      </c>
      <c r="Q196" s="58">
        <f t="shared" ref="Q196:X196" si="218">+P199</f>
        <v>7474</v>
      </c>
      <c r="R196" s="58">
        <f t="shared" si="218"/>
        <v>11960</v>
      </c>
      <c r="S196" s="58">
        <f t="shared" si="218"/>
        <v>12194</v>
      </c>
      <c r="T196" s="58">
        <f t="shared" si="218"/>
        <v>13689</v>
      </c>
      <c r="U196" s="58">
        <f t="shared" si="218"/>
        <v>13878</v>
      </c>
      <c r="V196" s="58">
        <f t="shared" si="218"/>
        <v>14517</v>
      </c>
      <c r="W196" s="58">
        <f t="shared" si="218"/>
        <v>14693</v>
      </c>
      <c r="X196" s="58">
        <f t="shared" si="218"/>
        <v>12919</v>
      </c>
      <c r="Y196" s="58">
        <f t="shared" ref="Y196:AG196" si="219">+X199</f>
        <v>13881</v>
      </c>
      <c r="Z196" s="58">
        <f t="shared" si="219"/>
        <v>12881</v>
      </c>
      <c r="AA196" s="58">
        <f t="shared" si="219"/>
        <v>11881</v>
      </c>
      <c r="AB196" s="58">
        <f t="shared" si="219"/>
        <v>10881</v>
      </c>
      <c r="AC196" s="58">
        <f t="shared" si="219"/>
        <v>10881</v>
      </c>
      <c r="AD196" s="58">
        <f t="shared" si="219"/>
        <v>10881</v>
      </c>
      <c r="AE196" s="58">
        <f t="shared" si="219"/>
        <v>10881</v>
      </c>
      <c r="AF196" s="58">
        <f t="shared" si="219"/>
        <v>10881</v>
      </c>
      <c r="AG196" s="58">
        <f t="shared" si="219"/>
        <v>10881</v>
      </c>
      <c r="AH196" s="86"/>
      <c r="AI196" s="43"/>
      <c r="AJ196" s="43"/>
      <c r="AK196" s="43"/>
      <c r="AL196" s="43"/>
      <c r="AM196" s="43"/>
      <c r="AN196" s="43"/>
      <c r="AO196" s="43"/>
      <c r="AP196" s="43"/>
      <c r="AQ196" s="43"/>
      <c r="AR196" s="43"/>
      <c r="AS196" s="43"/>
      <c r="AT196" s="43"/>
      <c r="AU196" s="43"/>
      <c r="AV196" s="43"/>
      <c r="AW196" s="43"/>
      <c r="AX196" s="43"/>
      <c r="AY196" s="43"/>
      <c r="AZ196" s="43"/>
      <c r="BA196" s="43"/>
      <c r="BB196" s="43"/>
      <c r="BC196" s="43"/>
      <c r="BD196" s="43"/>
      <c r="BE196" s="43"/>
      <c r="BF196" s="43"/>
      <c r="BG196" s="43"/>
      <c r="BH196" s="43"/>
      <c r="BI196" s="43"/>
      <c r="BJ196" s="43"/>
      <c r="BK196" s="43"/>
      <c r="BL196" s="43"/>
      <c r="BM196" s="43"/>
      <c r="BN196" s="43"/>
      <c r="BO196" s="43"/>
      <c r="BP196" s="43"/>
      <c r="BQ196" s="43"/>
      <c r="BR196" s="43"/>
      <c r="BS196" s="43"/>
      <c r="BT196" s="43"/>
      <c r="BU196" s="43"/>
      <c r="BV196" s="43"/>
      <c r="BW196" s="43"/>
      <c r="BX196" s="43"/>
      <c r="BY196" s="43"/>
      <c r="BZ196" s="43"/>
      <c r="CA196" s="43"/>
      <c r="CB196" s="43"/>
      <c r="CC196" s="43"/>
      <c r="CD196" s="43"/>
      <c r="CE196" s="43"/>
      <c r="CF196" s="43"/>
      <c r="CG196" s="43"/>
      <c r="CH196" s="43"/>
      <c r="CI196" s="43"/>
      <c r="CJ196" s="43"/>
      <c r="CK196" s="43"/>
      <c r="CL196" s="43"/>
      <c r="CM196" s="43"/>
      <c r="CN196" s="43"/>
      <c r="CO196" s="43"/>
      <c r="CP196" s="43"/>
      <c r="CQ196" s="43"/>
      <c r="CR196" s="43"/>
      <c r="CS196" s="43"/>
      <c r="CT196" s="43"/>
      <c r="CU196" s="43"/>
      <c r="CV196" s="43"/>
      <c r="CW196" s="43"/>
      <c r="CX196" s="43"/>
      <c r="CY196" s="43"/>
      <c r="CZ196" s="43"/>
      <c r="DA196" s="43"/>
      <c r="DB196" s="43"/>
      <c r="DC196" s="43"/>
      <c r="DD196" s="43"/>
      <c r="DE196" s="43"/>
      <c r="DF196" s="43"/>
      <c r="DG196" s="43"/>
      <c r="DH196" s="43"/>
      <c r="DI196" s="43"/>
      <c r="DJ196" s="43"/>
      <c r="DK196" s="43"/>
      <c r="DL196" s="43"/>
      <c r="DM196" s="43"/>
      <c r="DN196" s="43"/>
      <c r="DO196" s="43"/>
      <c r="DP196" s="43"/>
      <c r="DQ196" s="43"/>
      <c r="DR196" s="43"/>
      <c r="DS196" s="43"/>
      <c r="DT196" s="43"/>
      <c r="DU196" s="43"/>
      <c r="DV196" s="43"/>
      <c r="DW196" s="43"/>
      <c r="DX196" s="43"/>
      <c r="DY196" s="43"/>
      <c r="DZ196" s="43"/>
      <c r="EA196" s="43"/>
      <c r="EB196" s="43"/>
      <c r="EC196" s="43"/>
      <c r="ED196" s="43"/>
      <c r="EE196" s="43"/>
      <c r="EF196" s="43"/>
      <c r="EG196" s="43"/>
      <c r="EH196" s="43"/>
      <c r="EI196" s="43"/>
      <c r="EJ196" s="43"/>
      <c r="EK196" s="43"/>
      <c r="EL196" s="43"/>
      <c r="EM196" s="43"/>
      <c r="EN196" s="43"/>
      <c r="EO196" s="43"/>
      <c r="EP196" s="43"/>
      <c r="EQ196" s="43"/>
      <c r="ER196" s="43"/>
      <c r="ES196" s="43"/>
      <c r="ET196" s="43"/>
      <c r="EU196" s="43"/>
      <c r="EV196" s="43"/>
      <c r="EW196" s="43"/>
      <c r="EX196" s="43"/>
      <c r="EY196" s="43"/>
      <c r="EZ196" s="43"/>
      <c r="FA196" s="43"/>
      <c r="FB196" s="43"/>
      <c r="FC196" s="43"/>
      <c r="FD196" s="43"/>
      <c r="FE196" s="43"/>
      <c r="FF196" s="43"/>
      <c r="FG196" s="43"/>
      <c r="FH196" s="43"/>
      <c r="FI196" s="43"/>
      <c r="FJ196" s="43"/>
      <c r="FK196" s="43"/>
      <c r="FL196" s="43"/>
      <c r="FM196" s="43"/>
      <c r="FN196" s="43"/>
      <c r="FO196" s="43"/>
      <c r="FP196" s="43"/>
      <c r="FQ196" s="43"/>
      <c r="FR196" s="43"/>
      <c r="FS196" s="43"/>
      <c r="FT196" s="43"/>
      <c r="FU196" s="43"/>
      <c r="FV196" s="43"/>
      <c r="FW196" s="43"/>
      <c r="FX196" s="43"/>
      <c r="FY196" s="43"/>
      <c r="FZ196" s="43"/>
      <c r="GA196" s="43"/>
      <c r="GB196" s="43"/>
      <c r="GC196" s="43"/>
      <c r="GD196" s="43"/>
      <c r="GE196" s="43"/>
      <c r="GF196" s="43"/>
      <c r="GG196" s="43"/>
      <c r="GH196" s="43"/>
      <c r="GI196" s="43"/>
      <c r="GJ196" s="43"/>
      <c r="GK196" s="43"/>
      <c r="GL196" s="43"/>
      <c r="GM196" s="43"/>
      <c r="GN196" s="43"/>
      <c r="GO196" s="43"/>
      <c r="GP196" s="43"/>
      <c r="GQ196" s="43"/>
      <c r="GR196" s="43"/>
      <c r="GS196" s="43"/>
      <c r="GT196" s="43"/>
      <c r="GU196" s="43"/>
      <c r="GV196" s="43"/>
      <c r="GW196" s="43"/>
      <c r="GX196" s="43"/>
      <c r="GY196" s="43"/>
      <c r="GZ196" s="43"/>
      <c r="HA196" s="43"/>
      <c r="HB196" s="43"/>
      <c r="HC196" s="43"/>
      <c r="HD196" s="43"/>
      <c r="HE196" s="43"/>
      <c r="HF196" s="43"/>
      <c r="HG196" s="43"/>
      <c r="HH196" s="43"/>
      <c r="HI196" s="43"/>
      <c r="HJ196" s="43"/>
      <c r="HK196" s="43"/>
      <c r="HL196" s="43"/>
      <c r="HM196" s="43"/>
      <c r="HN196" s="43"/>
      <c r="HO196" s="43"/>
      <c r="HP196" s="43"/>
      <c r="HQ196" s="43"/>
      <c r="HR196"/>
      <c r="HS196"/>
      <c r="HT196"/>
      <c r="HU196"/>
      <c r="HV196"/>
      <c r="HW196"/>
      <c r="HX196"/>
      <c r="HY196"/>
      <c r="HZ196"/>
      <c r="IA196"/>
      <c r="IB196"/>
      <c r="IC196"/>
      <c r="ID196"/>
      <c r="IE196"/>
      <c r="IF196"/>
      <c r="IG196"/>
      <c r="IH196"/>
      <c r="II196"/>
      <c r="IJ196"/>
      <c r="IK196" s="32"/>
      <c r="IL196" s="32"/>
      <c r="IM196" s="32"/>
      <c r="IN196" s="32"/>
      <c r="IO196" s="32"/>
      <c r="IP196" s="32"/>
      <c r="IQ196" s="32"/>
    </row>
    <row r="197" spans="1:251" s="33" customFormat="1" hidden="1" outlineLevel="1">
      <c r="A197" s="79" t="s">
        <v>110</v>
      </c>
      <c r="B197" s="43"/>
      <c r="C197" s="43"/>
      <c r="D197" s="43"/>
      <c r="E197" s="43"/>
      <c r="F197" s="43"/>
      <c r="G197" s="43"/>
      <c r="H197" s="43"/>
      <c r="I197" s="88">
        <v>0</v>
      </c>
      <c r="J197" s="88">
        <v>0</v>
      </c>
      <c r="K197" s="88">
        <v>0</v>
      </c>
      <c r="L197" s="88">
        <v>0</v>
      </c>
      <c r="M197" s="88">
        <v>0</v>
      </c>
      <c r="N197" s="43"/>
      <c r="O197" s="43"/>
      <c r="P197" s="247">
        <f ca="1">P192-P200</f>
        <v>-111.73402775300539</v>
      </c>
      <c r="Q197" s="43"/>
      <c r="R197" s="43"/>
      <c r="S197" s="43"/>
      <c r="T197" s="43"/>
      <c r="U197" s="43"/>
      <c r="V197" s="43"/>
      <c r="W197" s="43"/>
      <c r="X197" s="43"/>
      <c r="Y197" s="43"/>
      <c r="Z197" s="43"/>
      <c r="AA197" s="43"/>
      <c r="AB197" s="43"/>
      <c r="AC197" s="43"/>
      <c r="AD197" s="43"/>
      <c r="AE197" s="43"/>
      <c r="AF197" s="43"/>
      <c r="AG197" s="43"/>
      <c r="AH197" s="96"/>
      <c r="AI197" s="43"/>
      <c r="AJ197" s="43"/>
      <c r="AK197" s="43"/>
      <c r="AL197" s="43"/>
      <c r="AM197" s="43"/>
      <c r="AN197" s="43"/>
      <c r="AO197" s="43"/>
      <c r="AP197" s="43"/>
      <c r="AQ197" s="43"/>
      <c r="AR197" s="43"/>
      <c r="AS197" s="43"/>
      <c r="AT197" s="43"/>
      <c r="AU197" s="43"/>
      <c r="AV197" s="43"/>
      <c r="AW197" s="43"/>
      <c r="AX197" s="43"/>
      <c r="AY197" s="43"/>
      <c r="AZ197" s="43"/>
      <c r="BA197" s="43"/>
      <c r="BB197" s="43"/>
      <c r="BC197" s="43"/>
      <c r="BD197" s="43"/>
      <c r="BE197" s="43"/>
      <c r="BF197" s="43"/>
      <c r="BG197" s="43"/>
      <c r="BH197" s="43"/>
      <c r="BI197" s="43"/>
      <c r="BJ197" s="43"/>
      <c r="BK197" s="43"/>
      <c r="BL197" s="43"/>
      <c r="BM197" s="43"/>
      <c r="BN197" s="43"/>
      <c r="BO197" s="43"/>
      <c r="BP197" s="43"/>
      <c r="BQ197" s="43"/>
      <c r="BR197" s="43"/>
      <c r="BS197" s="43"/>
      <c r="BT197" s="43"/>
      <c r="BU197" s="43"/>
      <c r="BV197" s="43"/>
      <c r="BW197" s="43"/>
      <c r="BX197" s="43"/>
      <c r="BY197" s="43"/>
      <c r="BZ197" s="43"/>
      <c r="CA197" s="43"/>
      <c r="CB197" s="43"/>
      <c r="CC197" s="43"/>
      <c r="CD197" s="43"/>
      <c r="CE197" s="43"/>
      <c r="CF197" s="43"/>
      <c r="CG197" s="43"/>
      <c r="CH197" s="43"/>
      <c r="CI197" s="43"/>
      <c r="CJ197" s="43"/>
      <c r="CK197" s="43"/>
      <c r="CL197" s="43"/>
      <c r="CM197" s="43"/>
      <c r="CN197" s="43"/>
      <c r="CO197" s="43"/>
      <c r="CP197" s="43"/>
      <c r="CQ197" s="43"/>
      <c r="CR197" s="43"/>
      <c r="CS197" s="43"/>
      <c r="CT197" s="43"/>
      <c r="CU197" s="43"/>
      <c r="CV197" s="43"/>
      <c r="CW197" s="43"/>
      <c r="CX197" s="43"/>
      <c r="CY197" s="43"/>
      <c r="CZ197" s="43"/>
      <c r="DA197" s="43"/>
      <c r="DB197" s="43"/>
      <c r="DC197" s="43"/>
      <c r="DD197" s="43"/>
      <c r="DE197" s="43"/>
      <c r="DF197" s="43"/>
      <c r="DG197" s="43"/>
      <c r="DH197" s="43"/>
      <c r="DI197" s="43"/>
      <c r="DJ197" s="43"/>
      <c r="DK197" s="43"/>
      <c r="DL197" s="43"/>
      <c r="DM197" s="43"/>
      <c r="DN197" s="43"/>
      <c r="DO197" s="43"/>
      <c r="DP197" s="43"/>
      <c r="DQ197" s="43"/>
      <c r="DR197" s="43"/>
      <c r="DS197" s="43"/>
      <c r="DT197" s="43"/>
      <c r="DU197" s="43"/>
      <c r="DV197" s="43"/>
      <c r="DW197" s="43"/>
      <c r="DX197" s="43"/>
      <c r="DY197" s="43"/>
      <c r="DZ197" s="43"/>
      <c r="EA197" s="43"/>
      <c r="EB197" s="43"/>
      <c r="EC197" s="43"/>
      <c r="ED197" s="43"/>
      <c r="EE197" s="43"/>
      <c r="EF197" s="43"/>
      <c r="EG197" s="43"/>
      <c r="EH197" s="43"/>
      <c r="EI197" s="43"/>
      <c r="EJ197" s="43"/>
      <c r="EK197" s="43"/>
      <c r="EL197" s="43"/>
      <c r="EM197" s="43"/>
      <c r="EN197" s="43"/>
      <c r="EO197" s="43"/>
      <c r="EP197" s="43"/>
      <c r="EQ197" s="43"/>
      <c r="ER197" s="43"/>
      <c r="ES197" s="43"/>
      <c r="ET197" s="43"/>
      <c r="EU197" s="43"/>
      <c r="EV197" s="43"/>
      <c r="EW197" s="43"/>
      <c r="EX197" s="43"/>
      <c r="EY197" s="43"/>
      <c r="EZ197" s="43"/>
      <c r="FA197" s="43"/>
      <c r="FB197" s="43"/>
      <c r="FC197" s="43"/>
      <c r="FD197" s="43"/>
      <c r="FE197" s="43"/>
      <c r="FF197" s="43"/>
      <c r="FG197" s="43"/>
      <c r="FH197" s="43"/>
      <c r="FI197" s="43"/>
      <c r="FJ197" s="43"/>
      <c r="FK197" s="43"/>
      <c r="FL197" s="43"/>
      <c r="FM197" s="43"/>
      <c r="FN197" s="43"/>
      <c r="FO197" s="43"/>
      <c r="FP197" s="43"/>
      <c r="FQ197" s="43"/>
      <c r="FR197" s="43"/>
      <c r="FS197" s="43"/>
      <c r="FT197" s="43"/>
      <c r="FU197" s="43"/>
      <c r="FV197" s="43"/>
      <c r="FW197" s="43"/>
      <c r="FX197" s="43"/>
      <c r="FY197" s="43"/>
      <c r="FZ197" s="43"/>
      <c r="GA197" s="43"/>
      <c r="GB197" s="43"/>
      <c r="GC197" s="43"/>
      <c r="GD197" s="43"/>
      <c r="GE197" s="43"/>
      <c r="GF197" s="43"/>
      <c r="GG197" s="43"/>
      <c r="GH197" s="43"/>
      <c r="GI197" s="43"/>
      <c r="GJ197" s="43"/>
      <c r="GK197" s="43"/>
      <c r="GL197" s="43"/>
      <c r="GM197" s="43"/>
      <c r="GN197" s="43"/>
      <c r="GO197" s="43"/>
      <c r="GP197" s="43"/>
      <c r="GQ197" s="43"/>
      <c r="GR197" s="43"/>
      <c r="GS197" s="43"/>
      <c r="GT197" s="43"/>
      <c r="GU197" s="43"/>
      <c r="GV197" s="43"/>
      <c r="GW197" s="43"/>
      <c r="GX197" s="43"/>
      <c r="GY197" s="43"/>
      <c r="GZ197" s="43"/>
      <c r="HA197" s="43"/>
      <c r="HB197" s="43"/>
      <c r="HC197" s="43"/>
      <c r="HD197" s="43"/>
      <c r="HE197" s="43"/>
      <c r="HF197" s="43"/>
      <c r="HG197" s="43"/>
      <c r="HH197" s="43"/>
      <c r="HI197" s="43"/>
      <c r="HJ197" s="43"/>
      <c r="HK197" s="43"/>
      <c r="HL197" s="43"/>
      <c r="HM197" s="43"/>
      <c r="HN197" s="43"/>
      <c r="HO197" s="43"/>
      <c r="HP197" s="43"/>
      <c r="HQ197" s="43"/>
      <c r="HR197"/>
      <c r="HS197"/>
      <c r="HT197"/>
      <c r="HU197"/>
      <c r="HV197"/>
      <c r="HW197"/>
      <c r="HX197"/>
      <c r="HY197"/>
      <c r="HZ197"/>
      <c r="IA197"/>
      <c r="IB197"/>
      <c r="IC197"/>
      <c r="ID197"/>
      <c r="IE197"/>
      <c r="IF197"/>
      <c r="IG197"/>
      <c r="IH197"/>
      <c r="II197"/>
      <c r="IJ197"/>
      <c r="IK197" s="32"/>
      <c r="IL197" s="32"/>
      <c r="IM197" s="32"/>
      <c r="IN197" s="32"/>
      <c r="IO197" s="32"/>
      <c r="IP197" s="32"/>
      <c r="IQ197" s="32"/>
    </row>
    <row r="198" spans="1:251" s="33" customFormat="1" hidden="1" outlineLevel="1">
      <c r="A198" s="79" t="s">
        <v>111</v>
      </c>
      <c r="B198" s="43"/>
      <c r="C198" s="43"/>
      <c r="D198" s="43"/>
      <c r="E198" s="43"/>
      <c r="F198" s="43"/>
      <c r="G198" s="43"/>
      <c r="H198" s="43"/>
      <c r="I198" s="97">
        <f>CFS!H37+CFS!H38</f>
        <v>640</v>
      </c>
      <c r="J198" s="97">
        <f>CFS!I37+CFS!I38</f>
        <v>-2040</v>
      </c>
      <c r="K198" s="97">
        <f>CFS!J37+CFS!J38</f>
        <v>1404</v>
      </c>
      <c r="L198" s="97">
        <f>CFS!K37+CFS!K38</f>
        <v>-6464</v>
      </c>
      <c r="M198" s="97">
        <f>CFS!M37+CFS!M38</f>
        <v>2051</v>
      </c>
      <c r="N198" s="97">
        <f>CFS!M37+CFS!M38</f>
        <v>2051</v>
      </c>
      <c r="O198" s="97">
        <f>CFS!N37+CFS!N38</f>
        <v>-1115</v>
      </c>
      <c r="P198" s="97">
        <f>CFS!O37+CFS!O38</f>
        <v>2681</v>
      </c>
      <c r="Q198" s="97">
        <f>CFS!P37+CFS!P38</f>
        <v>3141</v>
      </c>
      <c r="R198" s="97">
        <f>CFS!Q37+CFS!Q38</f>
        <v>232</v>
      </c>
      <c r="S198" s="97">
        <f>CFS!R37+CFS!R38</f>
        <v>1494</v>
      </c>
      <c r="T198" s="97">
        <f>CFS!S37+CFS!S38</f>
        <v>187</v>
      </c>
      <c r="U198" s="97">
        <f>CFS!T37+CFS!T38</f>
        <v>620</v>
      </c>
      <c r="V198" s="97">
        <f>CFS!U37+CFS!U38</f>
        <v>174</v>
      </c>
      <c r="W198" s="97">
        <f>CFS!V37+CFS!V38</f>
        <v>-1793</v>
      </c>
      <c r="X198" s="97">
        <f>CFS!W37+CFS!W38</f>
        <v>1043</v>
      </c>
      <c r="Y198" s="97">
        <f>CFS!X37+CFS!X38</f>
        <v>-1000</v>
      </c>
      <c r="Z198" s="97">
        <f>CFS!Y37+CFS!Y38</f>
        <v>-1000</v>
      </c>
      <c r="AA198" s="97">
        <f>CFS!Z37+CFS!Z38</f>
        <v>-1000</v>
      </c>
      <c r="AB198" s="97">
        <f>CFS!AA37+CFS!AA38</f>
        <v>0</v>
      </c>
      <c r="AC198" s="97">
        <f>CFS!AB37+CFS!AB38</f>
        <v>0</v>
      </c>
      <c r="AD198" s="97">
        <f>CFS!AC37+CFS!AC38</f>
        <v>0</v>
      </c>
      <c r="AE198" s="97">
        <f>CFS!AD37+CFS!AD38</f>
        <v>0</v>
      </c>
      <c r="AF198" s="97">
        <f>CFS!AE37+CFS!AE38</f>
        <v>0</v>
      </c>
      <c r="AG198" s="97">
        <f>CFS!AF37+CFS!AF38</f>
        <v>0</v>
      </c>
      <c r="AH198" s="43"/>
      <c r="AI198" s="43"/>
      <c r="AJ198" s="43"/>
      <c r="AK198" s="43"/>
      <c r="AL198" s="43"/>
      <c r="AM198" s="43"/>
      <c r="AN198" s="43"/>
      <c r="AO198" s="43"/>
      <c r="AP198" s="43"/>
      <c r="AQ198" s="43"/>
      <c r="AR198" s="43"/>
      <c r="AS198" s="43"/>
      <c r="AT198" s="43"/>
      <c r="AU198" s="43"/>
      <c r="AV198" s="43"/>
      <c r="AW198" s="43"/>
      <c r="AX198" s="43"/>
      <c r="AY198" s="43"/>
      <c r="AZ198" s="43"/>
      <c r="BA198" s="43"/>
      <c r="BB198" s="43"/>
      <c r="BC198" s="43"/>
      <c r="BD198" s="43"/>
      <c r="BE198" s="43"/>
      <c r="BF198" s="43"/>
      <c r="BG198" s="43"/>
      <c r="BH198" s="43"/>
      <c r="BI198" s="43"/>
      <c r="BJ198" s="43"/>
      <c r="BK198" s="43"/>
      <c r="BL198" s="43"/>
      <c r="BM198" s="43"/>
      <c r="BN198" s="43"/>
      <c r="BO198" s="43"/>
      <c r="BP198" s="43"/>
      <c r="BQ198" s="43"/>
      <c r="BR198" s="43"/>
      <c r="BS198" s="43"/>
      <c r="BT198" s="43"/>
      <c r="BU198" s="43"/>
      <c r="BV198" s="43"/>
      <c r="BW198" s="43"/>
      <c r="BX198" s="43"/>
      <c r="BY198" s="43"/>
      <c r="BZ198" s="43"/>
      <c r="CA198" s="43"/>
      <c r="CB198" s="43"/>
      <c r="CC198" s="43"/>
      <c r="CD198" s="43"/>
      <c r="CE198" s="43"/>
      <c r="CF198" s="43"/>
      <c r="CG198" s="43"/>
      <c r="CH198" s="43"/>
      <c r="CI198" s="43"/>
      <c r="CJ198" s="43"/>
      <c r="CK198" s="43"/>
      <c r="CL198" s="43"/>
      <c r="CM198" s="43"/>
      <c r="CN198" s="43"/>
      <c r="CO198" s="43"/>
      <c r="CP198" s="43"/>
      <c r="CQ198" s="43"/>
      <c r="CR198" s="43"/>
      <c r="CS198" s="43"/>
      <c r="CT198" s="43"/>
      <c r="CU198" s="43"/>
      <c r="CV198" s="43"/>
      <c r="CW198" s="43"/>
      <c r="CX198" s="43"/>
      <c r="CY198" s="43"/>
      <c r="CZ198" s="43"/>
      <c r="DA198" s="43"/>
      <c r="DB198" s="43"/>
      <c r="DC198" s="43"/>
      <c r="DD198" s="43"/>
      <c r="DE198" s="43"/>
      <c r="DF198" s="43"/>
      <c r="DG198" s="43"/>
      <c r="DH198" s="43"/>
      <c r="DI198" s="43"/>
      <c r="DJ198" s="43"/>
      <c r="DK198" s="43"/>
      <c r="DL198" s="43"/>
      <c r="DM198" s="43"/>
      <c r="DN198" s="43"/>
      <c r="DO198" s="43"/>
      <c r="DP198" s="43"/>
      <c r="DQ198" s="43"/>
      <c r="DR198" s="43"/>
      <c r="DS198" s="43"/>
      <c r="DT198" s="43"/>
      <c r="DU198" s="43"/>
      <c r="DV198" s="43"/>
      <c r="DW198" s="43"/>
      <c r="DX198" s="43"/>
      <c r="DY198" s="43"/>
      <c r="DZ198" s="43"/>
      <c r="EA198" s="43"/>
      <c r="EB198" s="43"/>
      <c r="EC198" s="43"/>
      <c r="ED198" s="43"/>
      <c r="EE198" s="43"/>
      <c r="EF198" s="43"/>
      <c r="EG198" s="43"/>
      <c r="EH198" s="43"/>
      <c r="EI198" s="43"/>
      <c r="EJ198" s="43"/>
      <c r="EK198" s="43"/>
      <c r="EL198" s="43"/>
      <c r="EM198" s="43"/>
      <c r="EN198" s="43"/>
      <c r="EO198" s="43"/>
      <c r="EP198" s="43"/>
      <c r="EQ198" s="43"/>
      <c r="ER198" s="43"/>
      <c r="ES198" s="43"/>
      <c r="ET198" s="43"/>
      <c r="EU198" s="43"/>
      <c r="EV198" s="43"/>
      <c r="EW198" s="43"/>
      <c r="EX198" s="43"/>
      <c r="EY198" s="43"/>
      <c r="EZ198" s="43"/>
      <c r="FA198" s="43"/>
      <c r="FB198" s="43"/>
      <c r="FC198" s="43"/>
      <c r="FD198" s="43"/>
      <c r="FE198" s="43"/>
      <c r="FF198" s="43"/>
      <c r="FG198" s="43"/>
      <c r="FH198" s="43"/>
      <c r="FI198" s="43"/>
      <c r="FJ198" s="43"/>
      <c r="FK198" s="43"/>
      <c r="FL198" s="43"/>
      <c r="FM198" s="43"/>
      <c r="FN198" s="43"/>
      <c r="FO198" s="43"/>
      <c r="FP198" s="43"/>
      <c r="FQ198" s="43"/>
      <c r="FR198" s="43"/>
      <c r="FS198" s="43"/>
      <c r="FT198" s="43"/>
      <c r="FU198" s="43"/>
      <c r="FV198" s="43"/>
      <c r="FW198" s="43"/>
      <c r="FX198" s="43"/>
      <c r="FY198" s="43"/>
      <c r="FZ198" s="43"/>
      <c r="GA198" s="43"/>
      <c r="GB198" s="43"/>
      <c r="GC198" s="43"/>
      <c r="GD198" s="43"/>
      <c r="GE198" s="43"/>
      <c r="GF198" s="43"/>
      <c r="GG198" s="43"/>
      <c r="GH198" s="43"/>
      <c r="GI198" s="43"/>
      <c r="GJ198" s="43"/>
      <c r="GK198" s="43"/>
      <c r="GL198" s="43"/>
      <c r="GM198" s="43"/>
      <c r="GN198" s="43"/>
      <c r="GO198" s="43"/>
      <c r="GP198" s="43"/>
      <c r="GQ198" s="43"/>
      <c r="GR198" s="43"/>
      <c r="GS198" s="43"/>
      <c r="GT198" s="43"/>
      <c r="GU198" s="43"/>
      <c r="GV198" s="43"/>
      <c r="GW198" s="43"/>
      <c r="GX198" s="43"/>
      <c r="GY198" s="43"/>
      <c r="GZ198" s="43"/>
      <c r="HA198" s="43"/>
      <c r="HB198" s="43"/>
      <c r="HC198" s="43"/>
      <c r="HD198" s="43"/>
      <c r="HE198" s="43"/>
      <c r="HF198" s="43"/>
      <c r="HG198" s="43"/>
      <c r="HH198" s="43"/>
      <c r="HI198" s="43"/>
      <c r="HJ198" s="43"/>
      <c r="HK198" s="43"/>
      <c r="HL198" s="43"/>
      <c r="HM198" s="43"/>
      <c r="HN198" s="43"/>
      <c r="HO198" s="43"/>
      <c r="HP198" s="43"/>
      <c r="HQ198" s="43"/>
      <c r="HR198"/>
      <c r="HS198"/>
      <c r="HT198"/>
      <c r="HU198"/>
      <c r="HV198"/>
      <c r="HW198"/>
      <c r="HX198"/>
      <c r="HY198"/>
      <c r="HZ198"/>
      <c r="IA198"/>
      <c r="IB198"/>
      <c r="IC198"/>
      <c r="ID198"/>
      <c r="IE198"/>
      <c r="IF198"/>
      <c r="IG198"/>
      <c r="IH198"/>
      <c r="II198"/>
      <c r="IJ198"/>
      <c r="IK198" s="32"/>
      <c r="IL198" s="32"/>
      <c r="IM198" s="32"/>
      <c r="IN198" s="32"/>
      <c r="IO198" s="32"/>
      <c r="IP198" s="32"/>
      <c r="IQ198" s="32"/>
    </row>
    <row r="199" spans="1:251" s="33" customFormat="1" hidden="1" outlineLevel="1">
      <c r="A199" s="79" t="s">
        <v>292</v>
      </c>
      <c r="B199" s="43"/>
      <c r="C199" s="43"/>
      <c r="D199" s="58"/>
      <c r="E199" s="58">
        <f>E45+E48</f>
        <v>13522</v>
      </c>
      <c r="F199" s="58">
        <f t="shared" ref="F199:AB199" si="220">F45+F48+F54+F55</f>
        <v>29122</v>
      </c>
      <c r="G199" s="58">
        <f t="shared" si="220"/>
        <v>22102</v>
      </c>
      <c r="H199" s="58">
        <f t="shared" si="220"/>
        <v>23320</v>
      </c>
      <c r="I199" s="58">
        <f t="shared" si="220"/>
        <v>24539</v>
      </c>
      <c r="J199" s="58">
        <f t="shared" si="220"/>
        <v>22980</v>
      </c>
      <c r="K199" s="58">
        <f t="shared" si="220"/>
        <v>23933</v>
      </c>
      <c r="L199" s="58">
        <f t="shared" si="220"/>
        <v>18699</v>
      </c>
      <c r="M199" s="58">
        <f t="shared" si="220"/>
        <v>8485</v>
      </c>
      <c r="N199" s="58">
        <f t="shared" si="220"/>
        <v>11046</v>
      </c>
      <c r="O199" s="58">
        <f t="shared" si="220"/>
        <v>4739</v>
      </c>
      <c r="P199" s="58">
        <f t="shared" si="220"/>
        <v>7474</v>
      </c>
      <c r="Q199" s="58">
        <f t="shared" si="220"/>
        <v>11960</v>
      </c>
      <c r="R199" s="58">
        <f t="shared" si="220"/>
        <v>12194</v>
      </c>
      <c r="S199" s="58">
        <f t="shared" si="220"/>
        <v>13689</v>
      </c>
      <c r="T199" s="58">
        <f t="shared" si="220"/>
        <v>13878</v>
      </c>
      <c r="U199" s="58">
        <f t="shared" si="220"/>
        <v>14517</v>
      </c>
      <c r="V199" s="58">
        <f t="shared" si="220"/>
        <v>14693</v>
      </c>
      <c r="W199" s="58">
        <f>W45+W48+W54+W55</f>
        <v>12919</v>
      </c>
      <c r="X199" s="58">
        <f>X45+X48+X54+X55</f>
        <v>13881</v>
      </c>
      <c r="Y199" s="58">
        <f t="shared" si="220"/>
        <v>12881</v>
      </c>
      <c r="Z199" s="58">
        <f t="shared" si="220"/>
        <v>11881</v>
      </c>
      <c r="AA199" s="58">
        <f t="shared" si="220"/>
        <v>10881</v>
      </c>
      <c r="AB199" s="58">
        <f t="shared" si="220"/>
        <v>10881</v>
      </c>
      <c r="AC199" s="58">
        <f>AC45+AC48+AC54+AC55</f>
        <v>10881</v>
      </c>
      <c r="AD199" s="58">
        <f>AD45+AD48+AD54+AD55</f>
        <v>10881</v>
      </c>
      <c r="AE199" s="58">
        <f>AE45+AE48+AE54+AE55</f>
        <v>10881</v>
      </c>
      <c r="AF199" s="58">
        <f>AF45+AF48+AF54+AF55</f>
        <v>10881</v>
      </c>
      <c r="AG199" s="58">
        <f>AG45+AG48+AG54+AG55</f>
        <v>10881</v>
      </c>
      <c r="AH199" s="43"/>
      <c r="AI199" s="43"/>
      <c r="AJ199" s="43"/>
      <c r="AK199" s="43"/>
      <c r="AL199" s="43"/>
      <c r="AM199" s="43"/>
      <c r="AN199" s="43"/>
      <c r="AO199" s="43"/>
      <c r="AP199" s="43"/>
      <c r="AQ199" s="43"/>
      <c r="AR199" s="43"/>
      <c r="AS199" s="43"/>
      <c r="AT199" s="43"/>
      <c r="AU199" s="43"/>
      <c r="AV199" s="43"/>
      <c r="AW199" s="43"/>
      <c r="AX199" s="43"/>
      <c r="AY199" s="43"/>
      <c r="AZ199" s="43"/>
      <c r="BA199" s="43"/>
      <c r="BB199" s="43"/>
      <c r="BC199" s="43"/>
      <c r="BD199" s="43"/>
      <c r="BE199" s="43"/>
      <c r="BF199" s="43"/>
      <c r="BG199" s="43"/>
      <c r="BH199" s="43"/>
      <c r="BI199" s="43"/>
      <c r="BJ199" s="43"/>
      <c r="BK199" s="43"/>
      <c r="BL199" s="43"/>
      <c r="BM199" s="43"/>
      <c r="BN199" s="43"/>
      <c r="BO199" s="43"/>
      <c r="BP199" s="43"/>
      <c r="BQ199" s="43"/>
      <c r="BR199" s="43"/>
      <c r="BS199" s="43"/>
      <c r="BT199" s="43"/>
      <c r="BU199" s="43"/>
      <c r="BV199" s="43"/>
      <c r="BW199" s="43"/>
      <c r="BX199" s="43"/>
      <c r="BY199" s="43"/>
      <c r="BZ199" s="43"/>
      <c r="CA199" s="43"/>
      <c r="CB199" s="43"/>
      <c r="CC199" s="43"/>
      <c r="CD199" s="43"/>
      <c r="CE199" s="43"/>
      <c r="CF199" s="43"/>
      <c r="CG199" s="43"/>
      <c r="CH199" s="43"/>
      <c r="CI199" s="43"/>
      <c r="CJ199" s="43"/>
      <c r="CK199" s="43"/>
      <c r="CL199" s="43"/>
      <c r="CM199" s="43"/>
      <c r="CN199" s="43"/>
      <c r="CO199" s="43"/>
      <c r="CP199" s="43"/>
      <c r="CQ199" s="43"/>
      <c r="CR199" s="43"/>
      <c r="CS199" s="43"/>
      <c r="CT199" s="43"/>
      <c r="CU199" s="43"/>
      <c r="CV199" s="43"/>
      <c r="CW199" s="43"/>
      <c r="CX199" s="43"/>
      <c r="CY199" s="43"/>
      <c r="CZ199" s="43"/>
      <c r="DA199" s="43"/>
      <c r="DB199" s="43"/>
      <c r="DC199" s="43"/>
      <c r="DD199" s="43"/>
      <c r="DE199" s="43"/>
      <c r="DF199" s="43"/>
      <c r="DG199" s="43"/>
      <c r="DH199" s="43"/>
      <c r="DI199" s="43"/>
      <c r="DJ199" s="43"/>
      <c r="DK199" s="43"/>
      <c r="DL199" s="43"/>
      <c r="DM199" s="43"/>
      <c r="DN199" s="43"/>
      <c r="DO199" s="43"/>
      <c r="DP199" s="43"/>
      <c r="DQ199" s="43"/>
      <c r="DR199" s="43"/>
      <c r="DS199" s="43"/>
      <c r="DT199" s="43"/>
      <c r="DU199" s="43"/>
      <c r="DV199" s="43"/>
      <c r="DW199" s="43"/>
      <c r="DX199" s="43"/>
      <c r="DY199" s="43"/>
      <c r="DZ199" s="43"/>
      <c r="EA199" s="43"/>
      <c r="EB199" s="43"/>
      <c r="EC199" s="43"/>
      <c r="ED199" s="43"/>
      <c r="EE199" s="43"/>
      <c r="EF199" s="43"/>
      <c r="EG199" s="43"/>
      <c r="EH199" s="43"/>
      <c r="EI199" s="43"/>
      <c r="EJ199" s="43"/>
      <c r="EK199" s="43"/>
      <c r="EL199" s="43"/>
      <c r="EM199" s="43"/>
      <c r="EN199" s="43"/>
      <c r="EO199" s="43"/>
      <c r="EP199" s="43"/>
      <c r="EQ199" s="43"/>
      <c r="ER199" s="43"/>
      <c r="ES199" s="43"/>
      <c r="ET199" s="43"/>
      <c r="EU199" s="43"/>
      <c r="EV199" s="43"/>
      <c r="EW199" s="43"/>
      <c r="EX199" s="43"/>
      <c r="EY199" s="43"/>
      <c r="EZ199" s="43"/>
      <c r="FA199" s="43"/>
      <c r="FB199" s="43"/>
      <c r="FC199" s="43"/>
      <c r="FD199" s="43"/>
      <c r="FE199" s="43"/>
      <c r="FF199" s="43"/>
      <c r="FG199" s="43"/>
      <c r="FH199" s="43"/>
      <c r="FI199" s="43"/>
      <c r="FJ199" s="43"/>
      <c r="FK199" s="43"/>
      <c r="FL199" s="43"/>
      <c r="FM199" s="43"/>
      <c r="FN199" s="43"/>
      <c r="FO199" s="43"/>
      <c r="FP199" s="43"/>
      <c r="FQ199" s="43"/>
      <c r="FR199" s="43"/>
      <c r="FS199" s="43"/>
      <c r="FT199" s="43"/>
      <c r="FU199" s="43"/>
      <c r="FV199" s="43"/>
      <c r="FW199" s="43"/>
      <c r="FX199" s="43"/>
      <c r="FY199" s="43"/>
      <c r="FZ199" s="43"/>
      <c r="GA199" s="43"/>
      <c r="GB199" s="43"/>
      <c r="GC199" s="43"/>
      <c r="GD199" s="43"/>
      <c r="GE199" s="43"/>
      <c r="GF199" s="43"/>
      <c r="GG199" s="43"/>
      <c r="GH199" s="43"/>
      <c r="GI199" s="43"/>
      <c r="GJ199" s="43"/>
      <c r="GK199" s="43"/>
      <c r="GL199" s="43"/>
      <c r="GM199" s="43"/>
      <c r="GN199" s="43"/>
      <c r="GO199" s="43"/>
      <c r="GP199" s="43"/>
      <c r="GQ199" s="43"/>
      <c r="GR199" s="43"/>
      <c r="GS199" s="43"/>
      <c r="GT199" s="43"/>
      <c r="GU199" s="43"/>
      <c r="GV199" s="43"/>
      <c r="GW199" s="43"/>
      <c r="GX199" s="43"/>
      <c r="GY199" s="43"/>
      <c r="GZ199" s="43"/>
      <c r="HA199" s="43"/>
      <c r="HB199" s="43"/>
      <c r="HC199" s="43"/>
      <c r="HD199" s="43"/>
      <c r="HE199" s="43"/>
      <c r="HF199" s="43"/>
      <c r="HG199" s="43"/>
      <c r="HH199" s="43"/>
      <c r="HI199" s="43"/>
      <c r="HJ199" s="43"/>
      <c r="HK199" s="43"/>
      <c r="HL199" s="43"/>
      <c r="HM199" s="43"/>
      <c r="HN199" s="43"/>
      <c r="HO199" s="43"/>
      <c r="HP199" s="43"/>
      <c r="HQ199" s="43"/>
      <c r="HR199"/>
      <c r="HS199"/>
      <c r="HT199"/>
      <c r="HU199"/>
      <c r="HV199"/>
      <c r="HW199"/>
      <c r="HX199"/>
      <c r="HY199"/>
      <c r="HZ199"/>
      <c r="IA199"/>
      <c r="IB199"/>
      <c r="IC199"/>
      <c r="ID199"/>
      <c r="IE199"/>
      <c r="IF199"/>
      <c r="IG199"/>
      <c r="IH199"/>
      <c r="II199"/>
      <c r="IJ199"/>
      <c r="IK199" s="32"/>
      <c r="IL199" s="32"/>
      <c r="IM199" s="32"/>
      <c r="IN199" s="32"/>
      <c r="IO199" s="32"/>
      <c r="IP199" s="32"/>
      <c r="IQ199" s="32"/>
    </row>
    <row r="200" spans="1:251" s="33" customFormat="1" hidden="1" outlineLevel="1">
      <c r="A200" s="79" t="s">
        <v>364</v>
      </c>
      <c r="B200" s="43"/>
      <c r="C200" s="43"/>
      <c r="D200" s="43"/>
      <c r="E200" s="43">
        <v>795</v>
      </c>
      <c r="F200" s="43">
        <v>1078</v>
      </c>
      <c r="G200" s="43">
        <v>1659</v>
      </c>
      <c r="H200" s="43">
        <v>1327</v>
      </c>
      <c r="I200" s="98">
        <f>IS!F30</f>
        <v>1367</v>
      </c>
      <c r="J200" s="98">
        <v>1521</v>
      </c>
      <c r="K200" s="98">
        <v>1632</v>
      </c>
      <c r="L200" s="98">
        <f>+IS!H30</f>
        <v>1632</v>
      </c>
      <c r="M200" s="99">
        <v>1053</v>
      </c>
      <c r="N200" s="98">
        <f>+IS!J30</f>
        <v>668.34</v>
      </c>
      <c r="O200" s="98">
        <f>+N200-325</f>
        <v>343.34000000000003</v>
      </c>
      <c r="P200" s="99">
        <f>IS!K30</f>
        <v>237</v>
      </c>
      <c r="Q200" s="99">
        <f t="shared" ref="Q200:V200" si="221">Q255</f>
        <v>1157.5670833333334</v>
      </c>
      <c r="R200" s="99">
        <f t="shared" si="221"/>
        <v>1156.5045833333331</v>
      </c>
      <c r="S200" s="99">
        <f t="shared" si="221"/>
        <v>1178.96</v>
      </c>
      <c r="T200" s="99">
        <f t="shared" si="221"/>
        <v>1233.5925</v>
      </c>
      <c r="U200" s="99">
        <f>U255</f>
        <v>1239.67</v>
      </c>
      <c r="V200" s="99">
        <f t="shared" si="221"/>
        <v>1239.67</v>
      </c>
      <c r="W200" s="99">
        <f t="shared" ref="W200:AB200" si="222">W255</f>
        <v>1239.67</v>
      </c>
      <c r="X200" s="99">
        <f t="shared" ref="X200" si="223">X255</f>
        <v>1239.67</v>
      </c>
      <c r="Y200" s="99">
        <f t="shared" si="222"/>
        <v>1239.67</v>
      </c>
      <c r="Z200" s="99">
        <f t="shared" si="222"/>
        <v>1239.67</v>
      </c>
      <c r="AA200" s="99">
        <f t="shared" si="222"/>
        <v>1239.67</v>
      </c>
      <c r="AB200" s="99">
        <f t="shared" si="222"/>
        <v>1239.67</v>
      </c>
      <c r="AC200" s="99">
        <f>AC255</f>
        <v>1239.67</v>
      </c>
      <c r="AD200" s="99">
        <f>AD255</f>
        <v>1239.67</v>
      </c>
      <c r="AE200" s="99">
        <f>AE255</f>
        <v>1239.67</v>
      </c>
      <c r="AF200" s="99">
        <f>AF255</f>
        <v>1239.67</v>
      </c>
      <c r="AG200" s="99">
        <f>AG255</f>
        <v>1239.67</v>
      </c>
      <c r="AH200" s="43"/>
      <c r="AI200" s="43"/>
      <c r="AJ200" s="43"/>
      <c r="AK200" s="43"/>
      <c r="AL200" s="43"/>
      <c r="AM200" s="43"/>
      <c r="AN200" s="43"/>
      <c r="AO200" s="43"/>
      <c r="AP200" s="43"/>
      <c r="AQ200" s="43"/>
      <c r="AR200" s="43"/>
      <c r="AS200" s="43"/>
      <c r="AT200" s="43"/>
      <c r="AU200" s="43"/>
      <c r="AV200" s="43"/>
      <c r="AW200" s="43"/>
      <c r="AX200" s="43"/>
      <c r="AY200" s="43"/>
      <c r="AZ200" s="43"/>
      <c r="BA200" s="43"/>
      <c r="BB200" s="43"/>
      <c r="BC200" s="43"/>
      <c r="BD200" s="43"/>
      <c r="BE200" s="43"/>
      <c r="BF200" s="43"/>
      <c r="BG200" s="43"/>
      <c r="BH200" s="43"/>
      <c r="BI200" s="43"/>
      <c r="BJ200" s="43"/>
      <c r="BK200" s="43"/>
      <c r="BL200" s="43"/>
      <c r="BM200" s="43"/>
      <c r="BN200" s="43"/>
      <c r="BO200" s="43"/>
      <c r="BP200" s="43"/>
      <c r="BQ200" s="43"/>
      <c r="BR200" s="43"/>
      <c r="BS200" s="43"/>
      <c r="BT200" s="43"/>
      <c r="BU200" s="43"/>
      <c r="BV200" s="43"/>
      <c r="BW200" s="43"/>
      <c r="BX200" s="43"/>
      <c r="BY200" s="43"/>
      <c r="BZ200" s="43"/>
      <c r="CA200" s="43"/>
      <c r="CB200" s="43"/>
      <c r="CC200" s="43"/>
      <c r="CD200" s="43"/>
      <c r="CE200" s="43"/>
      <c r="CF200" s="43"/>
      <c r="CG200" s="43"/>
      <c r="CH200" s="43"/>
      <c r="CI200" s="43"/>
      <c r="CJ200" s="43"/>
      <c r="CK200" s="43"/>
      <c r="CL200" s="43"/>
      <c r="CM200" s="43"/>
      <c r="CN200" s="43"/>
      <c r="CO200" s="43"/>
      <c r="CP200" s="43"/>
      <c r="CQ200" s="43"/>
      <c r="CR200" s="43"/>
      <c r="CS200" s="43"/>
      <c r="CT200" s="43"/>
      <c r="CU200" s="43"/>
      <c r="CV200" s="43"/>
      <c r="CW200" s="43"/>
      <c r="CX200" s="43"/>
      <c r="CY200" s="43"/>
      <c r="CZ200" s="43"/>
      <c r="DA200" s="43"/>
      <c r="DB200" s="43"/>
      <c r="DC200" s="43"/>
      <c r="DD200" s="43"/>
      <c r="DE200" s="43"/>
      <c r="DF200" s="43"/>
      <c r="DG200" s="43"/>
      <c r="DH200" s="43"/>
      <c r="DI200" s="43"/>
      <c r="DJ200" s="43"/>
      <c r="DK200" s="43"/>
      <c r="DL200" s="43"/>
      <c r="DM200" s="43"/>
      <c r="DN200" s="43"/>
      <c r="DO200" s="43"/>
      <c r="DP200" s="43"/>
      <c r="DQ200" s="43"/>
      <c r="DR200" s="43"/>
      <c r="DS200" s="43"/>
      <c r="DT200" s="43"/>
      <c r="DU200" s="43"/>
      <c r="DV200" s="43"/>
      <c r="DW200" s="43"/>
      <c r="DX200" s="43"/>
      <c r="DY200" s="43"/>
      <c r="DZ200" s="43"/>
      <c r="EA200" s="43"/>
      <c r="EB200" s="43"/>
      <c r="EC200" s="43"/>
      <c r="ED200" s="43"/>
      <c r="EE200" s="43"/>
      <c r="EF200" s="43"/>
      <c r="EG200" s="43"/>
      <c r="EH200" s="43"/>
      <c r="EI200" s="43"/>
      <c r="EJ200" s="43"/>
      <c r="EK200" s="43"/>
      <c r="EL200" s="43"/>
      <c r="EM200" s="43"/>
      <c r="EN200" s="43"/>
      <c r="EO200" s="43"/>
      <c r="EP200" s="43"/>
      <c r="EQ200" s="43"/>
      <c r="ER200" s="43"/>
      <c r="ES200" s="43"/>
      <c r="ET200" s="43"/>
      <c r="EU200" s="43"/>
      <c r="EV200" s="43"/>
      <c r="EW200" s="43"/>
      <c r="EX200" s="43"/>
      <c r="EY200" s="43"/>
      <c r="EZ200" s="43"/>
      <c r="FA200" s="43"/>
      <c r="FB200" s="43"/>
      <c r="FC200" s="43"/>
      <c r="FD200" s="43"/>
      <c r="FE200" s="43"/>
      <c r="FF200" s="43"/>
      <c r="FG200" s="43"/>
      <c r="FH200" s="43"/>
      <c r="FI200" s="43"/>
      <c r="FJ200" s="43"/>
      <c r="FK200" s="43"/>
      <c r="FL200" s="43"/>
      <c r="FM200" s="43"/>
      <c r="FN200" s="43"/>
      <c r="FO200" s="43"/>
      <c r="FP200" s="43"/>
      <c r="FQ200" s="43"/>
      <c r="FR200" s="43"/>
      <c r="FS200" s="43"/>
      <c r="FT200" s="43"/>
      <c r="FU200" s="43"/>
      <c r="FV200" s="43"/>
      <c r="FW200" s="43"/>
      <c r="FX200" s="43"/>
      <c r="FY200" s="43"/>
      <c r="FZ200" s="43"/>
      <c r="GA200" s="43"/>
      <c r="GB200" s="43"/>
      <c r="GC200" s="43"/>
      <c r="GD200" s="43"/>
      <c r="GE200" s="43"/>
      <c r="GF200" s="43"/>
      <c r="GG200" s="43"/>
      <c r="GH200" s="43"/>
      <c r="GI200" s="43"/>
      <c r="GJ200" s="43"/>
      <c r="GK200" s="43"/>
      <c r="GL200" s="43"/>
      <c r="GM200" s="43"/>
      <c r="GN200" s="43"/>
      <c r="GO200" s="43"/>
      <c r="GP200" s="43"/>
      <c r="GQ200" s="43"/>
      <c r="GR200" s="43"/>
      <c r="GS200" s="43"/>
      <c r="GT200" s="43"/>
      <c r="GU200" s="43"/>
      <c r="GV200" s="43"/>
      <c r="GW200" s="43"/>
      <c r="GX200" s="43"/>
      <c r="GY200" s="43"/>
      <c r="GZ200" s="43"/>
      <c r="HA200" s="43"/>
      <c r="HB200" s="43"/>
      <c r="HC200" s="43"/>
      <c r="HD200" s="43"/>
      <c r="HE200" s="43"/>
      <c r="HF200" s="43"/>
      <c r="HG200" s="43"/>
      <c r="HH200" s="43"/>
      <c r="HI200" s="43"/>
      <c r="HJ200" s="43"/>
      <c r="HK200" s="43"/>
      <c r="HL200" s="43"/>
      <c r="HM200" s="43"/>
      <c r="HN200" s="43"/>
      <c r="HO200" s="43"/>
      <c r="HP200" s="43"/>
      <c r="HQ200" s="43"/>
      <c r="HR200"/>
      <c r="HS200"/>
      <c r="HT200"/>
      <c r="HU200"/>
      <c r="HV200"/>
      <c r="HW200"/>
      <c r="HX200"/>
      <c r="HY200"/>
      <c r="HZ200"/>
      <c r="IA200"/>
      <c r="IB200"/>
      <c r="IC200"/>
      <c r="ID200"/>
      <c r="IE200"/>
      <c r="IF200"/>
      <c r="IG200"/>
      <c r="IH200"/>
      <c r="II200"/>
      <c r="IJ200"/>
      <c r="IK200" s="32"/>
      <c r="IL200" s="32"/>
      <c r="IM200" s="32"/>
      <c r="IN200" s="32"/>
      <c r="IO200" s="32"/>
      <c r="IP200" s="32"/>
      <c r="IQ200" s="32"/>
    </row>
    <row r="201" spans="1:251" s="33" customFormat="1" hidden="1" outlineLevel="1">
      <c r="A201" s="79" t="s">
        <v>333</v>
      </c>
      <c r="B201" s="43"/>
      <c r="C201" s="43"/>
      <c r="D201" s="92"/>
      <c r="E201" s="92">
        <f>E200/E199</f>
        <v>5.8793077947049251E-2</v>
      </c>
      <c r="F201" s="92">
        <f t="shared" ref="F201:N201" si="224">F200/((F199+E199)/2)</f>
        <v>5.0558108995403805E-2</v>
      </c>
      <c r="G201" s="92">
        <f t="shared" si="224"/>
        <v>6.4774324535374045E-2</v>
      </c>
      <c r="H201" s="92">
        <f t="shared" si="224"/>
        <v>5.8429835762405881E-2</v>
      </c>
      <c r="I201" s="92">
        <f t="shared" si="224"/>
        <v>5.7126141373618336E-2</v>
      </c>
      <c r="J201" s="100">
        <f t="shared" si="224"/>
        <v>6.4016498663692412E-2</v>
      </c>
      <c r="K201" s="100">
        <f t="shared" si="224"/>
        <v>6.9575597382388679E-2</v>
      </c>
      <c r="L201" s="100">
        <f t="shared" si="224"/>
        <v>7.6562206793019325E-2</v>
      </c>
      <c r="M201" s="101">
        <f t="shared" si="224"/>
        <v>7.7472042377869338E-2</v>
      </c>
      <c r="N201" s="100">
        <f t="shared" si="224"/>
        <v>6.8438892017817832E-2</v>
      </c>
      <c r="O201" s="100">
        <f>O200/O199</f>
        <v>7.2449883941759871E-2</v>
      </c>
      <c r="P201" s="92">
        <f>P200/AVERAGE(O199,(P199-6000))</f>
        <v>7.629164654756157E-2</v>
      </c>
      <c r="Q201" s="92">
        <f t="shared" ref="Q201:V201" si="225">Q255/Q254</f>
        <v>8.4988681069241262E-2</v>
      </c>
      <c r="R201" s="92">
        <f t="shared" si="225"/>
        <v>9.3728210877508142E-2</v>
      </c>
      <c r="S201" s="92">
        <f t="shared" si="225"/>
        <v>9.717771183646555E-2</v>
      </c>
      <c r="T201" s="92">
        <f t="shared" si="225"/>
        <v>9.0532254513430208E-2</v>
      </c>
      <c r="U201" s="92">
        <f t="shared" si="225"/>
        <v>8.9746615507130964E-2</v>
      </c>
      <c r="V201" s="92">
        <f t="shared" si="225"/>
        <v>8.9746615507130964E-2</v>
      </c>
      <c r="W201" s="92">
        <f t="shared" ref="W201:AB201" si="226">W255/W254</f>
        <v>8.9746615507130964E-2</v>
      </c>
      <c r="X201" s="92">
        <f t="shared" ref="X201" si="227">X255/X254</f>
        <v>8.9746615507130964E-2</v>
      </c>
      <c r="Y201" s="92">
        <f t="shared" si="226"/>
        <v>8.9746615507130964E-2</v>
      </c>
      <c r="Z201" s="92">
        <f t="shared" si="226"/>
        <v>8.9746615507130964E-2</v>
      </c>
      <c r="AA201" s="92">
        <f t="shared" si="226"/>
        <v>8.9746615507130964E-2</v>
      </c>
      <c r="AB201" s="92">
        <f t="shared" si="226"/>
        <v>8.9746615507130964E-2</v>
      </c>
      <c r="AC201" s="92">
        <f>AC255/AC254</f>
        <v>8.9746615507130964E-2</v>
      </c>
      <c r="AD201" s="92">
        <f>AD255/AD254</f>
        <v>8.9746615507130964E-2</v>
      </c>
      <c r="AE201" s="92">
        <f>AE255/AE254</f>
        <v>8.9746615507130964E-2</v>
      </c>
      <c r="AF201" s="92">
        <f>AF255/AF254</f>
        <v>8.9746615507130964E-2</v>
      </c>
      <c r="AG201" s="92">
        <f>AG255/AG254</f>
        <v>8.9746615507130964E-2</v>
      </c>
      <c r="AH201" s="43"/>
      <c r="AI201" s="57"/>
      <c r="AJ201" s="32"/>
      <c r="AK201" s="43"/>
      <c r="AL201" s="32"/>
      <c r="AM201" s="43"/>
      <c r="AN201" s="43"/>
      <c r="AO201" s="43"/>
      <c r="AP201" s="43"/>
      <c r="AQ201" s="43"/>
      <c r="AR201" s="43"/>
      <c r="AS201" s="43"/>
      <c r="AT201" s="43"/>
      <c r="AU201" s="43"/>
      <c r="AV201" s="43"/>
      <c r="AW201" s="43"/>
      <c r="AX201" s="43"/>
      <c r="AY201" s="43"/>
      <c r="AZ201" s="43"/>
      <c r="BA201" s="43"/>
      <c r="BB201" s="43"/>
      <c r="BC201" s="43"/>
      <c r="BD201" s="43"/>
      <c r="BE201" s="43"/>
      <c r="BF201" s="43"/>
      <c r="BG201" s="43"/>
      <c r="BH201" s="43"/>
      <c r="BI201" s="43"/>
      <c r="BJ201" s="43"/>
      <c r="BK201" s="43"/>
      <c r="BL201" s="43"/>
      <c r="BM201" s="43"/>
      <c r="BN201" s="43"/>
      <c r="BO201" s="43"/>
      <c r="BP201" s="43"/>
      <c r="BQ201" s="43"/>
      <c r="BR201" s="43"/>
      <c r="BS201" s="43"/>
      <c r="BT201" s="43"/>
      <c r="BU201" s="43"/>
      <c r="BV201" s="43"/>
      <c r="BW201" s="43"/>
      <c r="BX201" s="43"/>
      <c r="BY201" s="43"/>
      <c r="BZ201" s="43"/>
      <c r="CA201" s="43"/>
      <c r="CB201" s="43"/>
      <c r="CC201" s="43"/>
      <c r="CD201" s="43"/>
      <c r="CE201" s="43"/>
      <c r="CF201" s="43"/>
      <c r="CG201" s="43"/>
      <c r="CH201" s="43"/>
      <c r="CI201" s="43"/>
      <c r="CJ201" s="43"/>
      <c r="CK201" s="43"/>
      <c r="CL201" s="43"/>
      <c r="CM201" s="43"/>
      <c r="CN201" s="43"/>
      <c r="CO201" s="43"/>
      <c r="CP201" s="43"/>
      <c r="CQ201" s="43"/>
      <c r="CR201" s="43"/>
      <c r="CS201" s="43"/>
      <c r="CT201" s="43"/>
      <c r="CU201" s="43"/>
      <c r="CV201" s="43"/>
      <c r="CW201" s="43"/>
      <c r="CX201" s="43"/>
      <c r="CY201" s="43"/>
      <c r="CZ201" s="43"/>
      <c r="DA201" s="43"/>
      <c r="DB201" s="43"/>
      <c r="DC201" s="43"/>
      <c r="DD201" s="43"/>
      <c r="DE201" s="43"/>
      <c r="DF201" s="43"/>
      <c r="DG201" s="43"/>
      <c r="DH201" s="43"/>
      <c r="DI201" s="43"/>
      <c r="DJ201" s="43"/>
      <c r="DK201" s="43"/>
      <c r="DL201" s="43"/>
      <c r="DM201" s="43"/>
      <c r="DN201" s="43"/>
      <c r="DO201" s="43"/>
      <c r="DP201" s="43"/>
      <c r="DQ201" s="43"/>
      <c r="DR201" s="43"/>
      <c r="DS201" s="43"/>
      <c r="DT201" s="43"/>
      <c r="DU201" s="43"/>
      <c r="DV201" s="43"/>
      <c r="DW201" s="43"/>
      <c r="DX201" s="43"/>
      <c r="DY201" s="43"/>
      <c r="DZ201" s="43"/>
      <c r="EA201" s="43"/>
      <c r="EB201" s="43"/>
      <c r="EC201" s="43"/>
      <c r="ED201" s="43"/>
      <c r="EE201" s="43"/>
      <c r="EF201" s="43"/>
      <c r="EG201" s="43"/>
      <c r="EH201" s="43"/>
      <c r="EI201" s="43"/>
      <c r="EJ201" s="43"/>
      <c r="EK201" s="43"/>
      <c r="EL201" s="43"/>
      <c r="EM201" s="43"/>
      <c r="EN201" s="43"/>
      <c r="EO201" s="43"/>
      <c r="EP201" s="43"/>
      <c r="EQ201" s="43"/>
      <c r="ER201" s="43"/>
      <c r="ES201" s="43"/>
      <c r="ET201" s="43"/>
      <c r="EU201" s="43"/>
      <c r="EV201" s="43"/>
      <c r="EW201" s="43"/>
      <c r="EX201" s="43"/>
      <c r="EY201" s="43"/>
      <c r="EZ201" s="43"/>
      <c r="FA201" s="43"/>
      <c r="FB201" s="43"/>
      <c r="FC201" s="43"/>
      <c r="FD201" s="43"/>
      <c r="FE201" s="43"/>
      <c r="FF201" s="43"/>
      <c r="FG201" s="43"/>
      <c r="FH201" s="43"/>
      <c r="FI201" s="43"/>
      <c r="FJ201" s="43"/>
      <c r="FK201" s="43"/>
      <c r="FL201" s="43"/>
      <c r="FM201" s="43"/>
      <c r="FN201" s="43"/>
      <c r="FO201" s="43"/>
      <c r="FP201" s="43"/>
      <c r="FQ201" s="43"/>
      <c r="FR201" s="43"/>
      <c r="FS201" s="43"/>
      <c r="FT201" s="43"/>
      <c r="FU201" s="43"/>
      <c r="FV201" s="43"/>
      <c r="FW201" s="43"/>
      <c r="FX201" s="43"/>
      <c r="FY201" s="43"/>
      <c r="FZ201" s="43"/>
      <c r="GA201" s="43"/>
      <c r="GB201" s="43"/>
      <c r="GC201" s="43"/>
      <c r="GD201" s="43"/>
      <c r="GE201" s="43"/>
      <c r="GF201" s="43"/>
      <c r="GG201" s="43"/>
      <c r="GH201" s="43"/>
      <c r="GI201" s="43"/>
      <c r="GJ201" s="43"/>
      <c r="GK201" s="43"/>
      <c r="GL201" s="43"/>
      <c r="GM201" s="43"/>
      <c r="GN201" s="43"/>
      <c r="GO201" s="43"/>
      <c r="GP201" s="43"/>
      <c r="GQ201" s="43"/>
      <c r="GR201" s="43"/>
      <c r="GS201" s="43"/>
      <c r="GT201" s="43"/>
      <c r="GU201" s="43"/>
      <c r="GV201" s="43"/>
      <c r="GW201" s="43"/>
      <c r="GX201" s="43"/>
      <c r="GY201" s="43"/>
      <c r="GZ201" s="43"/>
      <c r="HA201" s="43"/>
      <c r="HB201" s="43"/>
      <c r="HC201" s="43"/>
      <c r="HD201" s="43"/>
      <c r="HE201" s="43"/>
      <c r="HF201" s="43"/>
      <c r="HG201" s="43"/>
      <c r="HH201" s="43"/>
      <c r="HI201" s="43"/>
      <c r="HJ201" s="43"/>
      <c r="HK201" s="43"/>
      <c r="HL201" s="43"/>
      <c r="HM201" s="43"/>
      <c r="HN201" s="43"/>
      <c r="HO201" s="43"/>
      <c r="HP201" s="43"/>
      <c r="HQ201" s="43"/>
      <c r="HR201"/>
      <c r="HS201"/>
      <c r="HT201"/>
      <c r="HU201"/>
      <c r="HV201"/>
      <c r="HW201"/>
      <c r="HX201"/>
      <c r="HY201"/>
      <c r="HZ201"/>
      <c r="IA201"/>
      <c r="IB201"/>
      <c r="IC201"/>
      <c r="ID201"/>
      <c r="IE201"/>
      <c r="IF201"/>
      <c r="IG201"/>
      <c r="IH201"/>
      <c r="II201"/>
      <c r="IJ201"/>
      <c r="IK201" s="32"/>
      <c r="IL201" s="32"/>
      <c r="IM201" s="32"/>
      <c r="IN201" s="32"/>
      <c r="IO201" s="32"/>
      <c r="IP201" s="32"/>
      <c r="IQ201" s="32"/>
    </row>
    <row r="202" spans="1:251" s="33" customFormat="1" hidden="1" outlineLevel="1">
      <c r="A202" s="79"/>
      <c r="B202" s="43"/>
      <c r="C202" s="43"/>
      <c r="D202" s="102"/>
      <c r="E202" s="92"/>
      <c r="F202" s="103">
        <f t="shared" ref="F202:U202" si="228">F200-F192</f>
        <v>719</v>
      </c>
      <c r="G202" s="103">
        <f t="shared" si="228"/>
        <v>1418</v>
      </c>
      <c r="H202" s="103">
        <f t="shared" si="228"/>
        <v>1134</v>
      </c>
      <c r="I202" s="103">
        <f t="shared" si="228"/>
        <v>1150</v>
      </c>
      <c r="J202" s="103">
        <f t="shared" si="228"/>
        <v>1280</v>
      </c>
      <c r="K202" s="103">
        <f t="shared" si="228"/>
        <v>1188</v>
      </c>
      <c r="L202" s="103">
        <f t="shared" si="228"/>
        <v>877</v>
      </c>
      <c r="M202" s="104">
        <f t="shared" si="228"/>
        <v>320</v>
      </c>
      <c r="N202" s="103">
        <f t="shared" si="228"/>
        <v>205</v>
      </c>
      <c r="O202" s="103">
        <f t="shared" si="228"/>
        <v>111</v>
      </c>
      <c r="P202" s="103">
        <f t="shared" ca="1" si="228"/>
        <v>111.73402775300539</v>
      </c>
      <c r="Q202" s="103">
        <f t="shared" si="228"/>
        <v>1100.7620833333333</v>
      </c>
      <c r="R202" s="103">
        <f t="shared" si="228"/>
        <v>1135.5795833333332</v>
      </c>
      <c r="S202" s="103">
        <f t="shared" si="228"/>
        <v>1151.04</v>
      </c>
      <c r="T202" s="103">
        <f t="shared" si="228"/>
        <v>1202.7425000000001</v>
      </c>
      <c r="U202" s="103">
        <f t="shared" si="228"/>
        <v>1209.2950000000001</v>
      </c>
      <c r="V202" s="103">
        <f t="shared" ref="V202:AB202" si="229">V200-V192</f>
        <v>1207.19</v>
      </c>
      <c r="W202" s="103">
        <f t="shared" si="229"/>
        <v>1211.22</v>
      </c>
      <c r="X202" s="103">
        <f t="shared" ref="X202" si="230">X200-X192</f>
        <v>1204.98</v>
      </c>
      <c r="Y202" s="103">
        <f t="shared" si="229"/>
        <v>1204.0642661834536</v>
      </c>
      <c r="Z202" s="103">
        <f t="shared" ca="1" si="229"/>
        <v>1213.8430991756197</v>
      </c>
      <c r="AA202" s="103">
        <f t="shared" ca="1" si="229"/>
        <v>1217.8950303546578</v>
      </c>
      <c r="AB202" s="103">
        <f t="shared" ca="1" si="229"/>
        <v>1220.8286220616451</v>
      </c>
      <c r="AC202" s="103">
        <f ca="1">AC200-AC192</f>
        <v>1218.044233181623</v>
      </c>
      <c r="AD202" s="103">
        <f ca="1">AD200-AD192</f>
        <v>1214.8253232842042</v>
      </c>
      <c r="AE202" s="103">
        <f ca="1">AE200-AE192</f>
        <v>1210.5894276000065</v>
      </c>
      <c r="AF202" s="103">
        <f ca="1">AF200-AF192</f>
        <v>1205.2936683998369</v>
      </c>
      <c r="AG202" s="103">
        <f ca="1">AG200-AG192</f>
        <v>1198.8951582057589</v>
      </c>
      <c r="AH202" s="43"/>
      <c r="AI202" s="32"/>
      <c r="AJ202" s="46"/>
      <c r="AK202" s="43"/>
      <c r="AL202" s="46"/>
      <c r="AM202" s="43"/>
      <c r="AN202" s="43"/>
      <c r="AO202" s="43"/>
      <c r="AP202" s="43"/>
      <c r="AQ202" s="43"/>
      <c r="AR202" s="43"/>
      <c r="AS202" s="43"/>
      <c r="AT202" s="43"/>
      <c r="AU202" s="43"/>
      <c r="AV202" s="43"/>
      <c r="AW202" s="43"/>
      <c r="AX202" s="43"/>
      <c r="AY202" s="43"/>
      <c r="AZ202" s="43"/>
      <c r="BA202" s="43"/>
      <c r="BB202" s="43"/>
      <c r="BC202" s="43"/>
      <c r="BD202" s="43"/>
      <c r="BE202" s="43"/>
      <c r="BF202" s="43"/>
      <c r="BG202" s="43"/>
      <c r="BH202" s="43"/>
      <c r="BI202" s="43"/>
      <c r="BJ202" s="43"/>
      <c r="BK202" s="43"/>
      <c r="BL202" s="43"/>
      <c r="BM202" s="43"/>
      <c r="BN202" s="43"/>
      <c r="BO202" s="43"/>
      <c r="BP202" s="43"/>
      <c r="BQ202" s="43"/>
      <c r="BR202" s="43"/>
      <c r="BS202" s="43"/>
      <c r="BT202" s="43"/>
      <c r="BU202" s="43"/>
      <c r="BV202" s="43"/>
      <c r="BW202" s="43"/>
      <c r="BX202" s="43"/>
      <c r="BY202" s="43"/>
      <c r="BZ202" s="43"/>
      <c r="CA202" s="43"/>
      <c r="CB202" s="43"/>
      <c r="CC202" s="43"/>
      <c r="CD202" s="43"/>
      <c r="CE202" s="43"/>
      <c r="CF202" s="43"/>
      <c r="CG202" s="43"/>
      <c r="CH202" s="43"/>
      <c r="CI202" s="43"/>
      <c r="CJ202" s="43"/>
      <c r="CK202" s="43"/>
      <c r="CL202" s="43"/>
      <c r="CM202" s="43"/>
      <c r="CN202" s="43"/>
      <c r="CO202" s="43"/>
      <c r="CP202" s="43"/>
      <c r="CQ202" s="43"/>
      <c r="CR202" s="43"/>
      <c r="CS202" s="43"/>
      <c r="CT202" s="43"/>
      <c r="CU202" s="43"/>
      <c r="CV202" s="43"/>
      <c r="CW202" s="43"/>
      <c r="CX202" s="43"/>
      <c r="CY202" s="43"/>
      <c r="CZ202" s="43"/>
      <c r="DA202" s="43"/>
      <c r="DB202" s="43"/>
      <c r="DC202" s="43"/>
      <c r="DD202" s="43"/>
      <c r="DE202" s="43"/>
      <c r="DF202" s="43"/>
      <c r="DG202" s="43"/>
      <c r="DH202" s="43"/>
      <c r="DI202" s="43"/>
      <c r="DJ202" s="43"/>
      <c r="DK202" s="43"/>
      <c r="DL202" s="43"/>
      <c r="DM202" s="43"/>
      <c r="DN202" s="43"/>
      <c r="DO202" s="43"/>
      <c r="DP202" s="43"/>
      <c r="DQ202" s="43"/>
      <c r="DR202" s="43"/>
      <c r="DS202" s="43"/>
      <c r="DT202" s="43"/>
      <c r="DU202" s="43"/>
      <c r="DV202" s="43"/>
      <c r="DW202" s="43"/>
      <c r="DX202" s="43"/>
      <c r="DY202" s="43"/>
      <c r="DZ202" s="43"/>
      <c r="EA202" s="43"/>
      <c r="EB202" s="43"/>
      <c r="EC202" s="43"/>
      <c r="ED202" s="43"/>
      <c r="EE202" s="43"/>
      <c r="EF202" s="43"/>
      <c r="EG202" s="43"/>
      <c r="EH202" s="43"/>
      <c r="EI202" s="43"/>
      <c r="EJ202" s="43"/>
      <c r="EK202" s="43"/>
      <c r="EL202" s="43"/>
      <c r="EM202" s="43"/>
      <c r="EN202" s="43"/>
      <c r="EO202" s="43"/>
      <c r="EP202" s="43"/>
      <c r="EQ202" s="43"/>
      <c r="ER202" s="43"/>
      <c r="ES202" s="43"/>
      <c r="ET202" s="43"/>
      <c r="EU202" s="43"/>
      <c r="EV202" s="43"/>
      <c r="EW202" s="43"/>
      <c r="EX202" s="43"/>
      <c r="EY202" s="43"/>
      <c r="EZ202" s="43"/>
      <c r="FA202" s="43"/>
      <c r="FB202" s="43"/>
      <c r="FC202" s="43"/>
      <c r="FD202" s="43"/>
      <c r="FE202" s="43"/>
      <c r="FF202" s="43"/>
      <c r="FG202" s="43"/>
      <c r="FH202" s="43"/>
      <c r="FI202" s="43"/>
      <c r="FJ202" s="43"/>
      <c r="FK202" s="43"/>
      <c r="FL202" s="43"/>
      <c r="FM202" s="43"/>
      <c r="FN202" s="43"/>
      <c r="FO202" s="43"/>
      <c r="FP202" s="43"/>
      <c r="FQ202" s="43"/>
      <c r="FR202" s="43"/>
      <c r="FS202" s="43"/>
      <c r="FT202" s="43"/>
      <c r="FU202" s="43"/>
      <c r="FV202" s="43"/>
      <c r="FW202" s="43"/>
      <c r="FX202" s="43"/>
      <c r="FY202" s="43"/>
      <c r="FZ202" s="43"/>
      <c r="GA202" s="43"/>
      <c r="GB202" s="43"/>
      <c r="GC202" s="43"/>
      <c r="GD202" s="43"/>
      <c r="GE202" s="43"/>
      <c r="GF202" s="43"/>
      <c r="GG202" s="43"/>
      <c r="GH202" s="43"/>
      <c r="GI202" s="43"/>
      <c r="GJ202" s="43"/>
      <c r="GK202" s="43"/>
      <c r="GL202" s="43"/>
      <c r="GM202" s="43"/>
      <c r="GN202" s="43"/>
      <c r="GO202" s="43"/>
      <c r="GP202" s="43"/>
      <c r="GQ202" s="43"/>
      <c r="GR202" s="43"/>
      <c r="GS202" s="43"/>
      <c r="GT202" s="43"/>
      <c r="GU202" s="43"/>
      <c r="GV202" s="43"/>
      <c r="GW202" s="43"/>
      <c r="GX202" s="43"/>
      <c r="GY202" s="43"/>
      <c r="GZ202" s="43"/>
      <c r="HA202" s="43"/>
      <c r="HB202" s="43"/>
      <c r="HC202" s="43"/>
      <c r="HD202" s="43"/>
      <c r="HE202" s="43"/>
      <c r="HF202" s="43"/>
      <c r="HG202" s="43"/>
      <c r="HH202" s="43"/>
      <c r="HI202" s="43"/>
      <c r="HJ202" s="43"/>
      <c r="HK202" s="43"/>
      <c r="HL202" s="43"/>
      <c r="HM202" s="43"/>
      <c r="HN202" s="43"/>
      <c r="HO202" s="43"/>
      <c r="HP202" s="43"/>
      <c r="HQ202" s="43"/>
      <c r="HR202"/>
      <c r="HS202"/>
      <c r="HT202"/>
      <c r="HU202"/>
      <c r="HV202"/>
      <c r="HW202"/>
      <c r="HX202"/>
      <c r="HY202"/>
      <c r="HZ202"/>
      <c r="IA202"/>
      <c r="IB202"/>
      <c r="IC202"/>
      <c r="ID202"/>
      <c r="IE202"/>
      <c r="IF202"/>
      <c r="IG202"/>
      <c r="IH202"/>
      <c r="II202"/>
      <c r="IJ202"/>
      <c r="IK202" s="32"/>
      <c r="IL202" s="32"/>
      <c r="IM202" s="32"/>
      <c r="IN202" s="32"/>
      <c r="IO202" s="32"/>
      <c r="IP202" s="32"/>
      <c r="IQ202" s="32"/>
    </row>
    <row r="203" spans="1:251" s="33" customFormat="1" hidden="1" outlineLevel="1">
      <c r="A203" s="79" t="s">
        <v>610</v>
      </c>
      <c r="B203" s="43"/>
      <c r="C203" s="43"/>
      <c r="D203" s="102"/>
      <c r="E203" s="92"/>
      <c r="F203" s="92"/>
      <c r="G203" s="92"/>
      <c r="H203" s="105">
        <v>1965</v>
      </c>
      <c r="I203" s="106">
        <f t="shared" ref="I203:AB203" si="231">I43+I44+I54</f>
        <v>3376</v>
      </c>
      <c r="J203" s="106">
        <f t="shared" si="231"/>
        <v>4297</v>
      </c>
      <c r="K203" s="106">
        <f t="shared" si="231"/>
        <v>6266</v>
      </c>
      <c r="L203" s="106">
        <f t="shared" si="231"/>
        <v>4201</v>
      </c>
      <c r="M203" s="106">
        <f t="shared" si="231"/>
        <v>1068</v>
      </c>
      <c r="N203" s="106">
        <f t="shared" si="231"/>
        <v>3083</v>
      </c>
      <c r="O203" s="106">
        <f t="shared" si="231"/>
        <v>2354</v>
      </c>
      <c r="P203" s="106">
        <f t="shared" si="231"/>
        <v>135</v>
      </c>
      <c r="Q203" s="106">
        <f t="shared" si="231"/>
        <v>775</v>
      </c>
      <c r="R203" s="106">
        <f t="shared" si="231"/>
        <v>0</v>
      </c>
      <c r="S203" s="106">
        <f t="shared" si="231"/>
        <v>600</v>
      </c>
      <c r="T203" s="106">
        <f t="shared" si="231"/>
        <v>1459</v>
      </c>
      <c r="U203" s="106">
        <f t="shared" si="231"/>
        <v>525</v>
      </c>
      <c r="V203" s="106">
        <f t="shared" si="231"/>
        <v>1000</v>
      </c>
      <c r="W203" s="106">
        <f t="shared" si="231"/>
        <v>4</v>
      </c>
      <c r="X203" s="106">
        <f t="shared" ref="X203" si="232">X43+X44+X54</f>
        <v>0</v>
      </c>
      <c r="Y203" s="106">
        <f t="shared" si="231"/>
        <v>0</v>
      </c>
      <c r="Z203" s="106">
        <f t="shared" si="231"/>
        <v>0</v>
      </c>
      <c r="AA203" s="106">
        <f t="shared" si="231"/>
        <v>0</v>
      </c>
      <c r="AB203" s="106">
        <f t="shared" si="231"/>
        <v>0</v>
      </c>
      <c r="AC203" s="106">
        <f>AC43+AC44+AC54</f>
        <v>0</v>
      </c>
      <c r="AD203" s="106">
        <f>AD43+AD44+AD54</f>
        <v>0</v>
      </c>
      <c r="AE203" s="106">
        <f>AE43+AE44+AE54</f>
        <v>0</v>
      </c>
      <c r="AF203" s="106">
        <f>AF43+AF44+AF54</f>
        <v>0</v>
      </c>
      <c r="AG203" s="106">
        <f>AG43+AG44+AG54</f>
        <v>0</v>
      </c>
      <c r="AH203" s="43"/>
      <c r="AI203" s="57"/>
      <c r="AJ203" s="248"/>
      <c r="AK203" s="43"/>
      <c r="AL203" s="248"/>
      <c r="AM203" s="43"/>
      <c r="AN203" s="43"/>
      <c r="AO203" s="43"/>
      <c r="AP203" s="43"/>
      <c r="AQ203" s="43"/>
      <c r="AR203" s="43"/>
      <c r="AS203" s="43"/>
      <c r="AT203" s="43"/>
      <c r="AU203" s="43"/>
      <c r="AV203" s="43"/>
      <c r="AW203" s="43"/>
      <c r="AX203" s="43"/>
      <c r="AY203" s="43"/>
      <c r="AZ203" s="43"/>
      <c r="BA203" s="43"/>
      <c r="BB203" s="43"/>
      <c r="BC203" s="43"/>
      <c r="BD203" s="43"/>
      <c r="BE203" s="43"/>
      <c r="BF203" s="43"/>
      <c r="BG203" s="43"/>
      <c r="BH203" s="43"/>
      <c r="BI203" s="43"/>
      <c r="BJ203" s="43"/>
      <c r="BK203" s="43"/>
      <c r="BL203" s="43"/>
      <c r="BM203" s="43"/>
      <c r="BN203" s="43"/>
      <c r="BO203" s="43"/>
      <c r="BP203" s="43"/>
      <c r="BQ203" s="43"/>
      <c r="BR203" s="43"/>
      <c r="BS203" s="43"/>
      <c r="BT203" s="43"/>
      <c r="BU203" s="43"/>
      <c r="BV203" s="43"/>
      <c r="BW203" s="43"/>
      <c r="BX203" s="43"/>
      <c r="BY203" s="43"/>
      <c r="BZ203" s="43"/>
      <c r="CA203" s="43"/>
      <c r="CB203" s="43"/>
      <c r="CC203" s="43"/>
      <c r="CD203" s="43"/>
      <c r="CE203" s="43"/>
      <c r="CF203" s="43"/>
      <c r="CG203" s="43"/>
      <c r="CH203" s="43"/>
      <c r="CI203" s="43"/>
      <c r="CJ203" s="43"/>
      <c r="CK203" s="43"/>
      <c r="CL203" s="43"/>
      <c r="CM203" s="43"/>
      <c r="CN203" s="43"/>
      <c r="CO203" s="43"/>
      <c r="CP203" s="43"/>
      <c r="CQ203" s="43"/>
      <c r="CR203" s="43"/>
      <c r="CS203" s="43"/>
      <c r="CT203" s="43"/>
      <c r="CU203" s="43"/>
      <c r="CV203" s="43"/>
      <c r="CW203" s="43"/>
      <c r="CX203" s="43"/>
      <c r="CY203" s="43"/>
      <c r="CZ203" s="43"/>
      <c r="DA203" s="43"/>
      <c r="DB203" s="43"/>
      <c r="DC203" s="43"/>
      <c r="DD203" s="43"/>
      <c r="DE203" s="43"/>
      <c r="DF203" s="43"/>
      <c r="DG203" s="43"/>
      <c r="DH203" s="43"/>
      <c r="DI203" s="43"/>
      <c r="DJ203" s="43"/>
      <c r="DK203" s="43"/>
      <c r="DL203" s="43"/>
      <c r="DM203" s="43"/>
      <c r="DN203" s="43"/>
      <c r="DO203" s="43"/>
      <c r="DP203" s="43"/>
      <c r="DQ203" s="43"/>
      <c r="DR203" s="43"/>
      <c r="DS203" s="43"/>
      <c r="DT203" s="43"/>
      <c r="DU203" s="43"/>
      <c r="DV203" s="43"/>
      <c r="DW203" s="43"/>
      <c r="DX203" s="43"/>
      <c r="DY203" s="43"/>
      <c r="DZ203" s="43"/>
      <c r="EA203" s="43"/>
      <c r="EB203" s="43"/>
      <c r="EC203" s="43"/>
      <c r="ED203" s="43"/>
      <c r="EE203" s="43"/>
      <c r="EF203" s="43"/>
      <c r="EG203" s="43"/>
      <c r="EH203" s="43"/>
      <c r="EI203" s="43"/>
      <c r="EJ203" s="43"/>
      <c r="EK203" s="43"/>
      <c r="EL203" s="43"/>
      <c r="EM203" s="43"/>
      <c r="EN203" s="43"/>
      <c r="EO203" s="43"/>
      <c r="EP203" s="43"/>
      <c r="EQ203" s="43"/>
      <c r="ER203" s="43"/>
      <c r="ES203" s="43"/>
      <c r="ET203" s="43"/>
      <c r="EU203" s="43"/>
      <c r="EV203" s="43"/>
      <c r="EW203" s="43"/>
      <c r="EX203" s="43"/>
      <c r="EY203" s="43"/>
      <c r="EZ203" s="43"/>
      <c r="FA203" s="43"/>
      <c r="FB203" s="43"/>
      <c r="FC203" s="43"/>
      <c r="FD203" s="43"/>
      <c r="FE203" s="43"/>
      <c r="FF203" s="43"/>
      <c r="FG203" s="43"/>
      <c r="FH203" s="43"/>
      <c r="FI203" s="43"/>
      <c r="FJ203" s="43"/>
      <c r="FK203" s="43"/>
      <c r="FL203" s="43"/>
      <c r="FM203" s="43"/>
      <c r="FN203" s="43"/>
      <c r="FO203" s="43"/>
      <c r="FP203" s="43"/>
      <c r="FQ203" s="43"/>
      <c r="FR203" s="43"/>
      <c r="FS203" s="43"/>
      <c r="FT203" s="43"/>
      <c r="FU203" s="43"/>
      <c r="FV203" s="43"/>
      <c r="FW203" s="43"/>
      <c r="FX203" s="43"/>
      <c r="FY203" s="43"/>
      <c r="FZ203" s="43"/>
      <c r="GA203" s="43"/>
      <c r="GB203" s="43"/>
      <c r="GC203" s="43"/>
      <c r="GD203" s="43"/>
      <c r="GE203" s="43"/>
      <c r="GF203" s="43"/>
      <c r="GG203" s="43"/>
      <c r="GH203" s="43"/>
      <c r="GI203" s="43"/>
      <c r="GJ203" s="43"/>
      <c r="GK203" s="43"/>
      <c r="GL203" s="43"/>
      <c r="GM203" s="43"/>
      <c r="GN203" s="43"/>
      <c r="GO203" s="43"/>
      <c r="GP203" s="43"/>
      <c r="GQ203" s="43"/>
      <c r="GR203" s="43"/>
      <c r="GS203" s="43"/>
      <c r="GT203" s="43"/>
      <c r="GU203" s="43"/>
      <c r="GV203" s="43"/>
      <c r="GW203" s="43"/>
      <c r="GX203" s="43"/>
      <c r="GY203" s="43"/>
      <c r="GZ203" s="43"/>
      <c r="HA203" s="43"/>
      <c r="HB203" s="43"/>
      <c r="HC203" s="43"/>
      <c r="HD203" s="43"/>
      <c r="HE203" s="43"/>
      <c r="HF203" s="43"/>
      <c r="HG203" s="43"/>
      <c r="HH203" s="43"/>
      <c r="HI203" s="43"/>
      <c r="HJ203" s="43"/>
      <c r="HK203" s="43"/>
      <c r="HL203" s="43"/>
      <c r="HM203" s="43"/>
      <c r="HN203" s="43"/>
      <c r="HO203" s="43"/>
      <c r="HP203" s="43"/>
      <c r="HQ203" s="43"/>
      <c r="HR203"/>
      <c r="HS203"/>
      <c r="HT203"/>
      <c r="HU203"/>
      <c r="HV203"/>
      <c r="HW203"/>
      <c r="HX203"/>
      <c r="HY203"/>
      <c r="HZ203"/>
      <c r="IA203"/>
      <c r="IB203"/>
      <c r="IC203"/>
      <c r="ID203"/>
      <c r="IE203"/>
      <c r="IF203"/>
      <c r="IG203"/>
      <c r="IH203"/>
      <c r="II203"/>
      <c r="IJ203"/>
      <c r="IK203" s="32"/>
      <c r="IL203" s="32"/>
      <c r="IM203" s="32"/>
      <c r="IN203" s="32"/>
      <c r="IO203" s="32"/>
      <c r="IP203" s="32"/>
      <c r="IQ203" s="32"/>
    </row>
    <row r="204" spans="1:251" s="33" customFormat="1" hidden="1" outlineLevel="1">
      <c r="A204" s="79" t="s">
        <v>129</v>
      </c>
      <c r="B204" s="43"/>
      <c r="C204" s="43"/>
      <c r="D204" s="43"/>
      <c r="E204" s="43"/>
      <c r="F204" s="43"/>
      <c r="G204" s="43"/>
      <c r="H204" s="76">
        <f t="shared" ref="H204:W204" si="233">+H199-H203</f>
        <v>21355</v>
      </c>
      <c r="I204" s="76">
        <f t="shared" si="233"/>
        <v>21163</v>
      </c>
      <c r="J204" s="76">
        <f t="shared" si="233"/>
        <v>18683</v>
      </c>
      <c r="K204" s="76">
        <f t="shared" si="233"/>
        <v>17667</v>
      </c>
      <c r="L204" s="76">
        <f t="shared" si="233"/>
        <v>14498</v>
      </c>
      <c r="M204" s="76">
        <f t="shared" si="233"/>
        <v>7417</v>
      </c>
      <c r="N204" s="76">
        <f t="shared" si="233"/>
        <v>7963</v>
      </c>
      <c r="O204" s="76">
        <f t="shared" si="233"/>
        <v>2385</v>
      </c>
      <c r="P204" s="76">
        <f t="shared" si="233"/>
        <v>7339</v>
      </c>
      <c r="Q204" s="76">
        <f t="shared" si="233"/>
        <v>11185</v>
      </c>
      <c r="R204" s="76">
        <f t="shared" si="233"/>
        <v>12194</v>
      </c>
      <c r="S204" s="76">
        <f t="shared" si="233"/>
        <v>13089</v>
      </c>
      <c r="T204" s="76">
        <f t="shared" si="233"/>
        <v>12419</v>
      </c>
      <c r="U204" s="76">
        <f t="shared" si="233"/>
        <v>13992</v>
      </c>
      <c r="V204" s="76">
        <f t="shared" si="233"/>
        <v>13693</v>
      </c>
      <c r="W204" s="76">
        <f t="shared" si="233"/>
        <v>12915</v>
      </c>
      <c r="X204" s="76">
        <f t="shared" ref="X204" si="234">+X199-X203</f>
        <v>13881</v>
      </c>
      <c r="Y204" s="76">
        <f t="shared" ref="Y204:AG204" si="235">+Y199-Y203</f>
        <v>12881</v>
      </c>
      <c r="Z204" s="76">
        <f t="shared" si="235"/>
        <v>11881</v>
      </c>
      <c r="AA204" s="76">
        <f t="shared" si="235"/>
        <v>10881</v>
      </c>
      <c r="AB204" s="76">
        <f t="shared" si="235"/>
        <v>10881</v>
      </c>
      <c r="AC204" s="76">
        <f t="shared" si="235"/>
        <v>10881</v>
      </c>
      <c r="AD204" s="76">
        <f t="shared" si="235"/>
        <v>10881</v>
      </c>
      <c r="AE204" s="76">
        <f t="shared" si="235"/>
        <v>10881</v>
      </c>
      <c r="AF204" s="76">
        <f t="shared" si="235"/>
        <v>10881</v>
      </c>
      <c r="AG204" s="76">
        <f t="shared" si="235"/>
        <v>10881</v>
      </c>
      <c r="AH204" s="43"/>
      <c r="AI204" s="32"/>
      <c r="AJ204" s="46"/>
      <c r="AK204" s="43"/>
      <c r="AL204" s="46"/>
      <c r="AM204" s="43"/>
      <c r="AN204" s="43"/>
      <c r="AO204" s="43"/>
      <c r="AP204" s="43"/>
      <c r="AQ204" s="43"/>
      <c r="AR204" s="43"/>
      <c r="AS204" s="43"/>
      <c r="AT204" s="43"/>
      <c r="AU204" s="43"/>
      <c r="AV204" s="43"/>
      <c r="AW204" s="43"/>
      <c r="AX204" s="43"/>
      <c r="AY204" s="43"/>
      <c r="AZ204" s="43"/>
      <c r="BA204" s="43"/>
      <c r="BB204" s="43"/>
      <c r="BC204" s="43"/>
      <c r="BD204" s="43"/>
      <c r="BE204" s="43"/>
      <c r="BF204" s="43"/>
      <c r="BG204" s="43"/>
      <c r="BH204" s="43"/>
      <c r="BI204" s="43"/>
      <c r="BJ204" s="43"/>
      <c r="BK204" s="43"/>
      <c r="BL204" s="43"/>
      <c r="BM204" s="43"/>
      <c r="BN204" s="43"/>
      <c r="BO204" s="43"/>
      <c r="BP204" s="43"/>
      <c r="BQ204" s="43"/>
      <c r="BR204" s="43"/>
      <c r="BS204" s="43"/>
      <c r="BT204" s="43"/>
      <c r="BU204" s="43"/>
      <c r="BV204" s="43"/>
      <c r="BW204" s="43"/>
      <c r="BX204" s="43"/>
      <c r="BY204" s="43"/>
      <c r="BZ204" s="43"/>
      <c r="CA204" s="43"/>
      <c r="CB204" s="43"/>
      <c r="CC204" s="43"/>
      <c r="CD204" s="43"/>
      <c r="CE204" s="43"/>
      <c r="CF204" s="43"/>
      <c r="CG204" s="43"/>
      <c r="CH204" s="43"/>
      <c r="CI204" s="43"/>
      <c r="CJ204" s="43"/>
      <c r="CK204" s="43"/>
      <c r="CL204" s="43"/>
      <c r="CM204" s="43"/>
      <c r="CN204" s="43"/>
      <c r="CO204" s="43"/>
      <c r="CP204" s="43"/>
      <c r="CQ204" s="43"/>
      <c r="CR204" s="43"/>
      <c r="CS204" s="43"/>
      <c r="CT204" s="43"/>
      <c r="CU204" s="43"/>
      <c r="CV204" s="43"/>
      <c r="CW204" s="43"/>
      <c r="CX204" s="43"/>
      <c r="CY204" s="43"/>
      <c r="CZ204" s="43"/>
      <c r="DA204" s="43"/>
      <c r="DB204" s="43"/>
      <c r="DC204" s="43"/>
      <c r="DD204" s="43"/>
      <c r="DE204" s="43"/>
      <c r="DF204" s="43"/>
      <c r="DG204" s="43"/>
      <c r="DH204" s="43"/>
      <c r="DI204" s="43"/>
      <c r="DJ204" s="43"/>
      <c r="DK204" s="43"/>
      <c r="DL204" s="43"/>
      <c r="DM204" s="43"/>
      <c r="DN204" s="43"/>
      <c r="DO204" s="43"/>
      <c r="DP204" s="43"/>
      <c r="DQ204" s="43"/>
      <c r="DR204" s="43"/>
      <c r="DS204" s="43"/>
      <c r="DT204" s="43"/>
      <c r="DU204" s="43"/>
      <c r="DV204" s="43"/>
      <c r="DW204" s="43"/>
      <c r="DX204" s="43"/>
      <c r="DY204" s="43"/>
      <c r="DZ204" s="43"/>
      <c r="EA204" s="43"/>
      <c r="EB204" s="43"/>
      <c r="EC204" s="43"/>
      <c r="ED204" s="43"/>
      <c r="EE204" s="43"/>
      <c r="EF204" s="43"/>
      <c r="EG204" s="43"/>
      <c r="EH204" s="43"/>
      <c r="EI204" s="43"/>
      <c r="EJ204" s="43"/>
      <c r="EK204" s="43"/>
      <c r="EL204" s="43"/>
      <c r="EM204" s="43"/>
      <c r="EN204" s="43"/>
      <c r="EO204" s="43"/>
      <c r="EP204" s="43"/>
      <c r="EQ204" s="43"/>
      <c r="ER204" s="43"/>
      <c r="ES204" s="43"/>
      <c r="ET204" s="43"/>
      <c r="EU204" s="43"/>
      <c r="EV204" s="43"/>
      <c r="EW204" s="43"/>
      <c r="EX204" s="43"/>
      <c r="EY204" s="43"/>
      <c r="EZ204" s="43"/>
      <c r="FA204" s="43"/>
      <c r="FB204" s="43"/>
      <c r="FC204" s="43"/>
      <c r="FD204" s="43"/>
      <c r="FE204" s="43"/>
      <c r="FF204" s="43"/>
      <c r="FG204" s="43"/>
      <c r="FH204" s="43"/>
      <c r="FI204" s="43"/>
      <c r="FJ204" s="43"/>
      <c r="FK204" s="43"/>
      <c r="FL204" s="43"/>
      <c r="FM204" s="43"/>
      <c r="FN204" s="43"/>
      <c r="FO204" s="43"/>
      <c r="FP204" s="43"/>
      <c r="FQ204" s="43"/>
      <c r="FR204" s="43"/>
      <c r="FS204" s="43"/>
      <c r="FT204" s="43"/>
      <c r="FU204" s="43"/>
      <c r="FV204" s="43"/>
      <c r="FW204" s="43"/>
      <c r="FX204" s="43"/>
      <c r="FY204" s="43"/>
      <c r="FZ204" s="43"/>
      <c r="GA204" s="43"/>
      <c r="GB204" s="43"/>
      <c r="GC204" s="43"/>
      <c r="GD204" s="43"/>
      <c r="GE204" s="43"/>
      <c r="GF204" s="43"/>
      <c r="GG204" s="43"/>
      <c r="GH204" s="43"/>
      <c r="GI204" s="43"/>
      <c r="GJ204" s="43"/>
      <c r="GK204" s="43"/>
      <c r="GL204" s="43"/>
      <c r="GM204" s="43"/>
      <c r="GN204" s="43"/>
      <c r="GO204" s="43"/>
      <c r="GP204" s="43"/>
      <c r="GQ204" s="43"/>
      <c r="GR204" s="43"/>
      <c r="GS204" s="43"/>
      <c r="GT204" s="43"/>
      <c r="GU204" s="43"/>
      <c r="GV204" s="43"/>
      <c r="GW204" s="43"/>
      <c r="GX204" s="43"/>
      <c r="GY204" s="43"/>
      <c r="GZ204" s="43"/>
      <c r="HA204" s="43"/>
      <c r="HB204" s="43"/>
      <c r="HC204" s="43"/>
      <c r="HD204" s="43"/>
      <c r="HE204" s="43"/>
      <c r="HF204" s="43"/>
      <c r="HG204" s="43"/>
      <c r="HH204" s="43"/>
      <c r="HI204" s="43"/>
      <c r="HJ204" s="43"/>
      <c r="HK204" s="43"/>
      <c r="HL204" s="43"/>
      <c r="HM204" s="43"/>
      <c r="HN204" s="43"/>
      <c r="HO204" s="43"/>
      <c r="HP204" s="43"/>
      <c r="HQ204" s="43"/>
      <c r="HR204"/>
      <c r="HS204"/>
      <c r="HT204"/>
      <c r="HU204"/>
      <c r="HV204"/>
      <c r="HW204"/>
      <c r="HX204"/>
      <c r="HY204"/>
      <c r="HZ204"/>
      <c r="IA204"/>
      <c r="IB204"/>
      <c r="IC204"/>
      <c r="ID204"/>
      <c r="IE204"/>
      <c r="IF204"/>
      <c r="IG204"/>
      <c r="IH204"/>
      <c r="II204"/>
      <c r="IJ204"/>
      <c r="IK204" s="32"/>
      <c r="IL204" s="32"/>
      <c r="IM204" s="32"/>
      <c r="IN204" s="32"/>
      <c r="IO204" s="32"/>
      <c r="IP204" s="32"/>
      <c r="IQ204" s="32"/>
    </row>
    <row r="205" spans="1:251" s="33" customFormat="1" hidden="1" outlineLevel="1">
      <c r="A205" s="79"/>
      <c r="B205" s="43"/>
      <c r="C205" s="43"/>
      <c r="D205" s="43"/>
      <c r="E205" s="43"/>
      <c r="F205" s="43"/>
      <c r="G205" s="43"/>
      <c r="H205" s="43"/>
      <c r="I205" s="76">
        <f t="shared" ref="I205:AB205" si="236">I45+I48+I54+I55</f>
        <v>24539</v>
      </c>
      <c r="J205" s="76">
        <f t="shared" si="236"/>
        <v>22980</v>
      </c>
      <c r="K205" s="76">
        <f t="shared" si="236"/>
        <v>23933</v>
      </c>
      <c r="L205" s="76">
        <f t="shared" si="236"/>
        <v>18699</v>
      </c>
      <c r="M205" s="76">
        <f t="shared" si="236"/>
        <v>8485</v>
      </c>
      <c r="N205" s="76">
        <f t="shared" si="236"/>
        <v>11046</v>
      </c>
      <c r="O205" s="76">
        <f t="shared" si="236"/>
        <v>4739</v>
      </c>
      <c r="P205" s="76">
        <f t="shared" si="236"/>
        <v>7474</v>
      </c>
      <c r="Q205" s="76">
        <f t="shared" si="236"/>
        <v>11960</v>
      </c>
      <c r="R205" s="76">
        <f t="shared" si="236"/>
        <v>12194</v>
      </c>
      <c r="S205" s="76">
        <f t="shared" si="236"/>
        <v>13689</v>
      </c>
      <c r="T205" s="76">
        <f t="shared" si="236"/>
        <v>13878</v>
      </c>
      <c r="U205" s="76">
        <f t="shared" si="236"/>
        <v>14517</v>
      </c>
      <c r="V205" s="76">
        <f t="shared" si="236"/>
        <v>14693</v>
      </c>
      <c r="W205" s="76">
        <f t="shared" si="236"/>
        <v>12919</v>
      </c>
      <c r="X205" s="76">
        <f t="shared" ref="X205" si="237">X45+X48+X54+X55</f>
        <v>13881</v>
      </c>
      <c r="Y205" s="76">
        <f t="shared" si="236"/>
        <v>12881</v>
      </c>
      <c r="Z205" s="76">
        <f t="shared" si="236"/>
        <v>11881</v>
      </c>
      <c r="AA205" s="76">
        <f t="shared" si="236"/>
        <v>10881</v>
      </c>
      <c r="AB205" s="76">
        <f t="shared" si="236"/>
        <v>10881</v>
      </c>
      <c r="AC205" s="76">
        <f>AC45+AC48+AC54+AC55</f>
        <v>10881</v>
      </c>
      <c r="AD205" s="76">
        <f>AD45+AD48+AD54+AD55</f>
        <v>10881</v>
      </c>
      <c r="AE205" s="76">
        <f>AE45+AE48+AE54+AE55</f>
        <v>10881</v>
      </c>
      <c r="AF205" s="76">
        <f>AF45+AF48+AF54+AF55</f>
        <v>10881</v>
      </c>
      <c r="AG205" s="76">
        <f>AG45+AG48+AG54+AG55</f>
        <v>10881</v>
      </c>
      <c r="AH205" s="43"/>
      <c r="AI205" s="32"/>
      <c r="AJ205" s="46"/>
      <c r="AK205" s="43"/>
      <c r="AL205" s="49"/>
      <c r="AM205" s="43"/>
      <c r="AN205" s="43"/>
      <c r="AO205" s="43"/>
      <c r="AP205" s="43"/>
      <c r="AQ205" s="43"/>
      <c r="AR205" s="43"/>
      <c r="AS205" s="43"/>
      <c r="AT205" s="43"/>
      <c r="AU205" s="43"/>
      <c r="AV205" s="43"/>
      <c r="AW205" s="43"/>
      <c r="AX205" s="43"/>
      <c r="AY205" s="43"/>
      <c r="AZ205" s="43"/>
      <c r="BA205" s="43"/>
      <c r="BB205" s="43"/>
      <c r="BC205" s="43"/>
      <c r="BD205" s="43"/>
      <c r="BE205" s="43"/>
      <c r="BF205" s="43"/>
      <c r="BG205" s="43"/>
      <c r="BH205" s="43"/>
      <c r="BI205" s="43"/>
      <c r="BJ205" s="43"/>
      <c r="BK205" s="43"/>
      <c r="BL205" s="43"/>
      <c r="BM205" s="43"/>
      <c r="BN205" s="43"/>
      <c r="BO205" s="43"/>
      <c r="BP205" s="43"/>
      <c r="BQ205" s="43"/>
      <c r="BR205" s="43"/>
      <c r="BS205" s="43"/>
      <c r="BT205" s="43"/>
      <c r="BU205" s="43"/>
      <c r="BV205" s="43"/>
      <c r="BW205" s="43"/>
      <c r="BX205" s="43"/>
      <c r="BY205" s="43"/>
      <c r="BZ205" s="43"/>
      <c r="CA205" s="43"/>
      <c r="CB205" s="43"/>
      <c r="CC205" s="43"/>
      <c r="CD205" s="43"/>
      <c r="CE205" s="43"/>
      <c r="CF205" s="43"/>
      <c r="CG205" s="43"/>
      <c r="CH205" s="43"/>
      <c r="CI205" s="43"/>
      <c r="CJ205" s="43"/>
      <c r="CK205" s="43"/>
      <c r="CL205" s="43"/>
      <c r="CM205" s="43"/>
      <c r="CN205" s="43"/>
      <c r="CO205" s="43"/>
      <c r="CP205" s="43"/>
      <c r="CQ205" s="43"/>
      <c r="CR205" s="43"/>
      <c r="CS205" s="43"/>
      <c r="CT205" s="43"/>
      <c r="CU205" s="43"/>
      <c r="CV205" s="43"/>
      <c r="CW205" s="43"/>
      <c r="CX205" s="43"/>
      <c r="CY205" s="43"/>
      <c r="CZ205" s="43"/>
      <c r="DA205" s="43"/>
      <c r="DB205" s="43"/>
      <c r="DC205" s="43"/>
      <c r="DD205" s="43"/>
      <c r="DE205" s="43"/>
      <c r="DF205" s="43"/>
      <c r="DG205" s="43"/>
      <c r="DH205" s="43"/>
      <c r="DI205" s="43"/>
      <c r="DJ205" s="43"/>
      <c r="DK205" s="43"/>
      <c r="DL205" s="43"/>
      <c r="DM205" s="43"/>
      <c r="DN205" s="43"/>
      <c r="DO205" s="43"/>
      <c r="DP205" s="43"/>
      <c r="DQ205" s="43"/>
      <c r="DR205" s="43"/>
      <c r="DS205" s="43"/>
      <c r="DT205" s="43"/>
      <c r="DU205" s="43"/>
      <c r="DV205" s="43"/>
      <c r="DW205" s="43"/>
      <c r="DX205" s="43"/>
      <c r="DY205" s="43"/>
      <c r="DZ205" s="43"/>
      <c r="EA205" s="43"/>
      <c r="EB205" s="43"/>
      <c r="EC205" s="43"/>
      <c r="ED205" s="43"/>
      <c r="EE205" s="43"/>
      <c r="EF205" s="43"/>
      <c r="EG205" s="43"/>
      <c r="EH205" s="43"/>
      <c r="EI205" s="43"/>
      <c r="EJ205" s="43"/>
      <c r="EK205" s="43"/>
      <c r="EL205" s="43"/>
      <c r="EM205" s="43"/>
      <c r="EN205" s="43"/>
      <c r="EO205" s="43"/>
      <c r="EP205" s="43"/>
      <c r="EQ205" s="43"/>
      <c r="ER205" s="43"/>
      <c r="ES205" s="43"/>
      <c r="ET205" s="43"/>
      <c r="EU205" s="43"/>
      <c r="EV205" s="43"/>
      <c r="EW205" s="43"/>
      <c r="EX205" s="43"/>
      <c r="EY205" s="43"/>
      <c r="EZ205" s="43"/>
      <c r="FA205" s="43"/>
      <c r="FB205" s="43"/>
      <c r="FC205" s="43"/>
      <c r="FD205" s="43"/>
      <c r="FE205" s="43"/>
      <c r="FF205" s="43"/>
      <c r="FG205" s="43"/>
      <c r="FH205" s="43"/>
      <c r="FI205" s="43"/>
      <c r="FJ205" s="43"/>
      <c r="FK205" s="43"/>
      <c r="FL205" s="43"/>
      <c r="FM205" s="43"/>
      <c r="FN205" s="43"/>
      <c r="FO205" s="43"/>
      <c r="FP205" s="43"/>
      <c r="FQ205" s="43"/>
      <c r="FR205" s="43"/>
      <c r="FS205" s="43"/>
      <c r="FT205" s="43"/>
      <c r="FU205" s="43"/>
      <c r="FV205" s="43"/>
      <c r="FW205" s="43"/>
      <c r="FX205" s="43"/>
      <c r="FY205" s="43"/>
      <c r="FZ205" s="43"/>
      <c r="GA205" s="43"/>
      <c r="GB205" s="43"/>
      <c r="GC205" s="43"/>
      <c r="GD205" s="43"/>
      <c r="GE205" s="43"/>
      <c r="GF205" s="43"/>
      <c r="GG205" s="43"/>
      <c r="GH205" s="43"/>
      <c r="GI205" s="43"/>
      <c r="GJ205" s="43"/>
      <c r="GK205" s="43"/>
      <c r="GL205" s="43"/>
      <c r="GM205" s="43"/>
      <c r="GN205" s="43"/>
      <c r="GO205" s="43"/>
      <c r="GP205" s="43"/>
      <c r="GQ205" s="43"/>
      <c r="GR205" s="43"/>
      <c r="GS205" s="43"/>
      <c r="GT205" s="43"/>
      <c r="GU205" s="43"/>
      <c r="GV205" s="43"/>
      <c r="GW205" s="43"/>
      <c r="GX205" s="43"/>
      <c r="GY205" s="43"/>
      <c r="GZ205" s="43"/>
      <c r="HA205" s="43"/>
      <c r="HB205" s="43"/>
      <c r="HC205" s="43"/>
      <c r="HD205" s="43"/>
      <c r="HE205" s="43"/>
      <c r="HF205" s="43"/>
      <c r="HG205" s="43"/>
      <c r="HH205" s="43"/>
      <c r="HI205" s="43"/>
      <c r="HJ205" s="43"/>
      <c r="HK205" s="43"/>
      <c r="HL205" s="43"/>
      <c r="HM205" s="43"/>
      <c r="HN205" s="43"/>
      <c r="HO205" s="43"/>
      <c r="HP205" s="43"/>
      <c r="HQ205" s="43"/>
      <c r="HR205"/>
      <c r="HS205"/>
      <c r="HT205"/>
      <c r="HU205"/>
      <c r="HV205"/>
      <c r="HW205"/>
      <c r="HX205"/>
      <c r="HY205"/>
      <c r="HZ205"/>
      <c r="IA205"/>
      <c r="IB205"/>
      <c r="IC205"/>
      <c r="ID205"/>
      <c r="IE205"/>
      <c r="IF205"/>
      <c r="IG205"/>
      <c r="IH205"/>
      <c r="II205"/>
      <c r="IJ205"/>
      <c r="IK205" s="32"/>
      <c r="IL205" s="32"/>
      <c r="IM205" s="32"/>
      <c r="IN205" s="32"/>
      <c r="IO205" s="32"/>
      <c r="IP205" s="32"/>
      <c r="IQ205" s="32"/>
    </row>
    <row r="206" spans="1:251" s="33" customFormat="1" hidden="1" outlineLevel="1">
      <c r="A206" s="167"/>
      <c r="B206" s="43"/>
      <c r="C206" s="43"/>
      <c r="D206" s="43"/>
      <c r="E206" s="107"/>
      <c r="F206" s="107"/>
      <c r="G206" s="107"/>
      <c r="H206" s="107"/>
      <c r="I206" s="107"/>
      <c r="J206" s="108">
        <f>IS!G47</f>
        <v>4.7732330418877842</v>
      </c>
      <c r="K206" s="108">
        <f>IS!H47</f>
        <v>4.572149129023102</v>
      </c>
      <c r="L206" s="108">
        <f>IS!I47</f>
        <v>5.6346046447295315</v>
      </c>
      <c r="M206" s="108">
        <f>IS!J47</f>
        <v>1.5211178577588074</v>
      </c>
      <c r="N206" s="108">
        <f>IS!J47</f>
        <v>1.5211178577588074</v>
      </c>
      <c r="O206" s="108">
        <f ca="1">IS!K47</f>
        <v>1.6525817273363204</v>
      </c>
      <c r="P206" s="108">
        <f ca="1">IS!K47</f>
        <v>1.6525817273363204</v>
      </c>
      <c r="Q206" s="108">
        <f>IS!L47</f>
        <v>1.757847803113912</v>
      </c>
      <c r="R206" s="108">
        <f>IS!M47</f>
        <v>1.9043039192113489</v>
      </c>
      <c r="S206" s="108">
        <f>IS!N47</f>
        <v>2.0500891472868217</v>
      </c>
      <c r="T206" s="108">
        <f>IS!O47</f>
        <v>2.2149209486166006</v>
      </c>
      <c r="U206" s="108">
        <f>IS!P47</f>
        <v>2.3829893683552221</v>
      </c>
      <c r="V206" s="108">
        <f>IS!Q47</f>
        <v>2.5955510616784632</v>
      </c>
      <c r="W206" s="108">
        <f>IS!R47</f>
        <v>2.8056582133299348</v>
      </c>
      <c r="X206" s="108">
        <f>IS!S47</f>
        <v>3.0338114754098364</v>
      </c>
      <c r="Y206" s="108">
        <f>IS!T47</f>
        <v>3.4225721784776901</v>
      </c>
      <c r="Z206" s="108">
        <f ca="1">IS!U47</f>
        <v>3.9500133322883486</v>
      </c>
      <c r="AA206" s="108">
        <f ca="1">IS!V47</f>
        <v>4.3234220459273809</v>
      </c>
      <c r="AB206" s="108">
        <f ca="1">IS!W47</f>
        <v>4.7185953746944103</v>
      </c>
      <c r="AC206" s="108">
        <f ca="1">IS!X47</f>
        <v>5.0719437371090432</v>
      </c>
      <c r="AD206" s="108">
        <f ca="1">IS!Y47</f>
        <v>5.4332504300557174</v>
      </c>
      <c r="AE206" s="108">
        <f ca="1">IS!Z47</f>
        <v>5.8036795812042152</v>
      </c>
      <c r="AF206" s="108">
        <f ca="1">IS!AA47</f>
        <v>6.184323893616658</v>
      </c>
      <c r="AG206" s="108">
        <f ca="1">IS!AB47</f>
        <v>6.5763203480496406</v>
      </c>
      <c r="AH206" s="43"/>
      <c r="AI206" s="43"/>
      <c r="AJ206" s="43"/>
      <c r="AK206" s="43"/>
      <c r="AL206" s="43"/>
      <c r="AM206" s="43"/>
      <c r="AN206" s="43"/>
      <c r="AO206" s="43"/>
      <c r="AP206" s="43"/>
      <c r="AQ206" s="43"/>
      <c r="AR206" s="43"/>
      <c r="AS206" s="43"/>
      <c r="AT206" s="43"/>
      <c r="AU206" s="43"/>
      <c r="AV206" s="43"/>
      <c r="AW206" s="43"/>
      <c r="AX206" s="43"/>
      <c r="AY206" s="43"/>
      <c r="AZ206" s="43"/>
      <c r="BA206" s="43"/>
      <c r="BB206" s="43"/>
      <c r="BC206" s="43"/>
      <c r="BD206" s="43"/>
      <c r="BE206" s="43"/>
      <c r="BF206" s="43"/>
      <c r="BG206" s="43"/>
      <c r="BH206" s="43"/>
      <c r="BI206" s="43"/>
      <c r="BJ206" s="43"/>
      <c r="BK206" s="43"/>
      <c r="BL206" s="43"/>
      <c r="BM206" s="43"/>
      <c r="BN206" s="43"/>
      <c r="BO206" s="43"/>
      <c r="BP206" s="43"/>
      <c r="BQ206" s="43"/>
      <c r="BR206" s="43"/>
      <c r="BS206" s="43"/>
      <c r="BT206" s="43"/>
      <c r="BU206" s="43"/>
      <c r="BV206" s="43"/>
      <c r="BW206" s="43"/>
      <c r="BX206" s="43"/>
      <c r="BY206" s="43"/>
      <c r="BZ206" s="43"/>
      <c r="CA206" s="43"/>
      <c r="CB206" s="43"/>
      <c r="CC206" s="43"/>
      <c r="CD206" s="43"/>
      <c r="CE206" s="43"/>
      <c r="CF206" s="43"/>
      <c r="CG206" s="43"/>
      <c r="CH206" s="43"/>
      <c r="CI206" s="43"/>
      <c r="CJ206" s="43"/>
      <c r="CK206" s="43"/>
      <c r="CL206" s="43"/>
      <c r="CM206" s="43"/>
      <c r="CN206" s="43"/>
      <c r="CO206" s="43"/>
      <c r="CP206" s="43"/>
      <c r="CQ206" s="43"/>
      <c r="CR206" s="43"/>
      <c r="CS206" s="43"/>
      <c r="CT206" s="43"/>
      <c r="CU206" s="43"/>
      <c r="CV206" s="43"/>
      <c r="CW206" s="43"/>
      <c r="CX206" s="43"/>
      <c r="CY206" s="43"/>
      <c r="CZ206" s="43"/>
      <c r="DA206" s="43"/>
      <c r="DB206" s="43"/>
      <c r="DC206" s="43"/>
      <c r="DD206" s="43"/>
      <c r="DE206" s="43"/>
      <c r="DF206" s="43"/>
      <c r="DG206" s="43"/>
      <c r="DH206" s="43"/>
      <c r="DI206" s="43"/>
      <c r="DJ206" s="43"/>
      <c r="DK206" s="43"/>
      <c r="DL206" s="43"/>
      <c r="DM206" s="43"/>
      <c r="DN206" s="43"/>
      <c r="DO206" s="43"/>
      <c r="DP206" s="43"/>
      <c r="DQ206" s="43"/>
      <c r="DR206" s="43"/>
      <c r="DS206" s="43"/>
      <c r="DT206" s="43"/>
      <c r="DU206" s="43"/>
      <c r="DV206" s="43"/>
      <c r="DW206" s="43"/>
      <c r="DX206" s="43"/>
      <c r="DY206" s="43"/>
      <c r="DZ206" s="43"/>
      <c r="EA206" s="43"/>
      <c r="EB206" s="43"/>
      <c r="EC206" s="43"/>
      <c r="ED206" s="43"/>
      <c r="EE206" s="43"/>
      <c r="EF206" s="43"/>
      <c r="EG206" s="43"/>
      <c r="EH206" s="43"/>
      <c r="EI206" s="43"/>
      <c r="EJ206" s="43"/>
      <c r="EK206" s="43"/>
      <c r="EL206" s="43"/>
      <c r="EM206" s="43"/>
      <c r="EN206" s="43"/>
      <c r="EO206" s="43"/>
      <c r="EP206" s="43"/>
      <c r="EQ206" s="43"/>
      <c r="ER206" s="43"/>
      <c r="ES206" s="43"/>
      <c r="ET206" s="43"/>
      <c r="EU206" s="43"/>
      <c r="EV206" s="43"/>
      <c r="EW206" s="43"/>
      <c r="EX206" s="43"/>
      <c r="EY206" s="43"/>
      <c r="EZ206" s="43"/>
      <c r="FA206" s="43"/>
      <c r="FB206" s="43"/>
      <c r="FC206" s="43"/>
      <c r="FD206" s="43"/>
      <c r="FE206" s="43"/>
      <c r="FF206" s="43"/>
      <c r="FG206" s="43"/>
      <c r="FH206" s="43"/>
      <c r="FI206" s="43"/>
      <c r="FJ206" s="43"/>
      <c r="FK206" s="43"/>
      <c r="FL206" s="43"/>
      <c r="FM206" s="43"/>
      <c r="FN206" s="43"/>
      <c r="FO206" s="43"/>
      <c r="FP206" s="43"/>
      <c r="FQ206" s="43"/>
      <c r="FR206" s="43"/>
      <c r="FS206" s="43"/>
      <c r="FT206" s="43"/>
      <c r="FU206" s="43"/>
      <c r="FV206" s="43"/>
      <c r="FW206" s="43"/>
      <c r="FX206" s="43"/>
      <c r="FY206" s="43"/>
      <c r="FZ206" s="43"/>
      <c r="GA206" s="43"/>
      <c r="GB206" s="43"/>
      <c r="GC206" s="43"/>
      <c r="GD206" s="43"/>
      <c r="GE206" s="43"/>
      <c r="GF206" s="43"/>
      <c r="GG206" s="43"/>
      <c r="GH206" s="43"/>
      <c r="GI206" s="43"/>
      <c r="GJ206" s="43"/>
      <c r="GK206" s="43"/>
      <c r="GL206" s="43"/>
      <c r="GM206" s="43"/>
      <c r="GN206" s="43"/>
      <c r="GO206" s="43"/>
      <c r="GP206" s="43"/>
      <c r="GQ206" s="43"/>
      <c r="GR206" s="43"/>
      <c r="GS206" s="43"/>
      <c r="GT206" s="43"/>
      <c r="GU206" s="43"/>
      <c r="GV206" s="43"/>
      <c r="GW206" s="43"/>
      <c r="GX206" s="43"/>
      <c r="GY206" s="43"/>
      <c r="GZ206" s="43"/>
      <c r="HA206" s="43"/>
      <c r="HB206" s="43"/>
      <c r="HC206" s="43"/>
      <c r="HD206" s="43"/>
      <c r="HE206" s="43"/>
      <c r="HF206" s="43"/>
      <c r="HG206" s="43"/>
      <c r="HH206" s="43"/>
      <c r="HI206" s="43"/>
      <c r="HJ206" s="43"/>
      <c r="HK206" s="43"/>
      <c r="HL206" s="43"/>
      <c r="HM206" s="43"/>
      <c r="HN206" s="43"/>
      <c r="HO206" s="43"/>
      <c r="HP206" s="43"/>
      <c r="HQ206" s="43"/>
      <c r="HR206"/>
      <c r="HS206"/>
      <c r="HT206"/>
      <c r="HU206"/>
      <c r="HV206"/>
      <c r="HW206"/>
      <c r="HX206"/>
      <c r="HY206"/>
      <c r="HZ206"/>
      <c r="IA206"/>
      <c r="IB206"/>
      <c r="IC206"/>
      <c r="ID206"/>
      <c r="IE206"/>
      <c r="IF206"/>
      <c r="IG206"/>
      <c r="IH206"/>
      <c r="II206"/>
      <c r="IJ206"/>
      <c r="IK206" s="32"/>
      <c r="IL206" s="32"/>
      <c r="IM206" s="32"/>
      <c r="IN206" s="32"/>
      <c r="IO206" s="32"/>
      <c r="IP206" s="32"/>
      <c r="IQ206" s="32"/>
    </row>
    <row r="207" spans="1:251" s="33" customFormat="1" hidden="1" outlineLevel="1">
      <c r="A207" s="167"/>
      <c r="B207" s="43"/>
      <c r="C207" s="43"/>
      <c r="D207" s="43"/>
      <c r="E207" s="107"/>
      <c r="F207" s="107"/>
      <c r="G207" s="107"/>
      <c r="H207" s="107"/>
      <c r="I207" s="107"/>
      <c r="J207" s="108"/>
      <c r="K207" s="108"/>
      <c r="L207" s="108"/>
      <c r="M207" s="108"/>
      <c r="N207" s="108"/>
      <c r="O207" s="108"/>
      <c r="P207" s="108"/>
      <c r="Q207" s="108"/>
      <c r="R207" s="108"/>
      <c r="S207" s="108"/>
      <c r="T207" s="108"/>
      <c r="U207" s="108"/>
      <c r="V207" s="108"/>
      <c r="W207" s="108"/>
      <c r="X207" s="108"/>
      <c r="Y207" s="108"/>
      <c r="Z207" s="108"/>
      <c r="AA207" s="108"/>
      <c r="AB207" s="108"/>
      <c r="AC207" s="108"/>
      <c r="AD207" s="108"/>
      <c r="AE207" s="108"/>
      <c r="AF207" s="108"/>
      <c r="AG207" s="108"/>
      <c r="AH207" s="43"/>
      <c r="AI207" s="43"/>
      <c r="AJ207" s="43"/>
      <c r="AK207" s="43"/>
      <c r="AL207" s="43"/>
      <c r="AM207" s="43"/>
      <c r="AN207" s="43"/>
      <c r="AO207" s="43"/>
      <c r="AP207" s="43"/>
      <c r="AQ207" s="43"/>
      <c r="AR207" s="43"/>
      <c r="AS207" s="43"/>
      <c r="AT207" s="43"/>
      <c r="AU207" s="43"/>
      <c r="AV207" s="43"/>
      <c r="AW207" s="43"/>
      <c r="AX207" s="43"/>
      <c r="AY207" s="43"/>
      <c r="AZ207" s="43"/>
      <c r="BA207" s="43"/>
      <c r="BB207" s="43"/>
      <c r="BC207" s="43"/>
      <c r="BD207" s="43"/>
      <c r="BE207" s="43"/>
      <c r="BF207" s="43"/>
      <c r="BG207" s="43"/>
      <c r="BH207" s="43"/>
      <c r="BI207" s="43"/>
      <c r="BJ207" s="43"/>
      <c r="BK207" s="43"/>
      <c r="BL207" s="43"/>
      <c r="BM207" s="43"/>
      <c r="BN207" s="43"/>
      <c r="BO207" s="43"/>
      <c r="BP207" s="43"/>
      <c r="BQ207" s="43"/>
      <c r="BR207" s="43"/>
      <c r="BS207" s="43"/>
      <c r="BT207" s="43"/>
      <c r="BU207" s="43"/>
      <c r="BV207" s="43"/>
      <c r="BW207" s="43"/>
      <c r="BX207" s="43"/>
      <c r="BY207" s="43"/>
      <c r="BZ207" s="43"/>
      <c r="CA207" s="43"/>
      <c r="CB207" s="43"/>
      <c r="CC207" s="43"/>
      <c r="CD207" s="43"/>
      <c r="CE207" s="43"/>
      <c r="CF207" s="43"/>
      <c r="CG207" s="43"/>
      <c r="CH207" s="43"/>
      <c r="CI207" s="43"/>
      <c r="CJ207" s="43"/>
      <c r="CK207" s="43"/>
      <c r="CL207" s="43"/>
      <c r="CM207" s="43"/>
      <c r="CN207" s="43"/>
      <c r="CO207" s="43"/>
      <c r="CP207" s="43"/>
      <c r="CQ207" s="43"/>
      <c r="CR207" s="43"/>
      <c r="CS207" s="43"/>
      <c r="CT207" s="43"/>
      <c r="CU207" s="43"/>
      <c r="CV207" s="43"/>
      <c r="CW207" s="43"/>
      <c r="CX207" s="43"/>
      <c r="CY207" s="43"/>
      <c r="CZ207" s="43"/>
      <c r="DA207" s="43"/>
      <c r="DB207" s="43"/>
      <c r="DC207" s="43"/>
      <c r="DD207" s="43"/>
      <c r="DE207" s="43"/>
      <c r="DF207" s="43"/>
      <c r="DG207" s="43"/>
      <c r="DH207" s="43"/>
      <c r="DI207" s="43"/>
      <c r="DJ207" s="43"/>
      <c r="DK207" s="43"/>
      <c r="DL207" s="43"/>
      <c r="DM207" s="43"/>
      <c r="DN207" s="43"/>
      <c r="DO207" s="43"/>
      <c r="DP207" s="43"/>
      <c r="DQ207" s="43"/>
      <c r="DR207" s="43"/>
      <c r="DS207" s="43"/>
      <c r="DT207" s="43"/>
      <c r="DU207" s="43"/>
      <c r="DV207" s="43"/>
      <c r="DW207" s="43"/>
      <c r="DX207" s="43"/>
      <c r="DY207" s="43"/>
      <c r="DZ207" s="43"/>
      <c r="EA207" s="43"/>
      <c r="EB207" s="43"/>
      <c r="EC207" s="43"/>
      <c r="ED207" s="43"/>
      <c r="EE207" s="43"/>
      <c r="EF207" s="43"/>
      <c r="EG207" s="43"/>
      <c r="EH207" s="43"/>
      <c r="EI207" s="43"/>
      <c r="EJ207" s="43"/>
      <c r="EK207" s="43"/>
      <c r="EL207" s="43"/>
      <c r="EM207" s="43"/>
      <c r="EN207" s="43"/>
      <c r="EO207" s="43"/>
      <c r="EP207" s="43"/>
      <c r="EQ207" s="43"/>
      <c r="ER207" s="43"/>
      <c r="ES207" s="43"/>
      <c r="ET207" s="43"/>
      <c r="EU207" s="43"/>
      <c r="EV207" s="43"/>
      <c r="EW207" s="43"/>
      <c r="EX207" s="43"/>
      <c r="EY207" s="43"/>
      <c r="EZ207" s="43"/>
      <c r="FA207" s="43"/>
      <c r="FB207" s="43"/>
      <c r="FC207" s="43"/>
      <c r="FD207" s="43"/>
      <c r="FE207" s="43"/>
      <c r="FF207" s="43"/>
      <c r="FG207" s="43"/>
      <c r="FH207" s="43"/>
      <c r="FI207" s="43"/>
      <c r="FJ207" s="43"/>
      <c r="FK207" s="43"/>
      <c r="FL207" s="43"/>
      <c r="FM207" s="43"/>
      <c r="FN207" s="43"/>
      <c r="FO207" s="43"/>
      <c r="FP207" s="43"/>
      <c r="FQ207" s="43"/>
      <c r="FR207" s="43"/>
      <c r="FS207" s="43"/>
      <c r="FT207" s="43"/>
      <c r="FU207" s="43"/>
      <c r="FV207" s="43"/>
      <c r="FW207" s="43"/>
      <c r="FX207" s="43"/>
      <c r="FY207" s="43"/>
      <c r="FZ207" s="43"/>
      <c r="GA207" s="43"/>
      <c r="GB207" s="43"/>
      <c r="GC207" s="43"/>
      <c r="GD207" s="43"/>
      <c r="GE207" s="43"/>
      <c r="GF207" s="43"/>
      <c r="GG207" s="43"/>
      <c r="GH207" s="43"/>
      <c r="GI207" s="43"/>
      <c r="GJ207" s="43"/>
      <c r="GK207" s="43"/>
      <c r="GL207" s="43"/>
      <c r="GM207" s="43"/>
      <c r="GN207" s="43"/>
      <c r="GO207" s="43"/>
      <c r="GP207" s="43"/>
      <c r="GQ207" s="43"/>
      <c r="GR207" s="43"/>
      <c r="GS207" s="43"/>
      <c r="GT207" s="43"/>
      <c r="GU207" s="43"/>
      <c r="GV207" s="43"/>
      <c r="GW207" s="43"/>
      <c r="GX207" s="43"/>
      <c r="GY207" s="43"/>
      <c r="GZ207" s="43"/>
      <c r="HA207" s="43"/>
      <c r="HB207" s="43"/>
      <c r="HC207" s="43"/>
      <c r="HD207" s="43"/>
      <c r="HE207" s="43"/>
      <c r="HF207" s="43"/>
      <c r="HG207" s="43"/>
      <c r="HH207" s="43"/>
      <c r="HI207" s="43"/>
      <c r="HJ207" s="43"/>
      <c r="HK207" s="43"/>
      <c r="HL207" s="43"/>
      <c r="HM207" s="43"/>
      <c r="HN207" s="43"/>
      <c r="HO207" s="43"/>
      <c r="HP207" s="43"/>
      <c r="HQ207" s="43"/>
      <c r="HR207"/>
      <c r="HS207"/>
      <c r="HT207"/>
      <c r="HU207"/>
      <c r="HV207"/>
      <c r="HW207"/>
      <c r="HX207"/>
      <c r="HY207"/>
      <c r="HZ207"/>
      <c r="IA207"/>
      <c r="IB207"/>
      <c r="IC207"/>
      <c r="ID207"/>
      <c r="IE207"/>
      <c r="IF207"/>
      <c r="IG207"/>
      <c r="IH207"/>
      <c r="II207"/>
      <c r="IJ207"/>
      <c r="IK207" s="32"/>
      <c r="IL207" s="32"/>
      <c r="IM207" s="32"/>
      <c r="IN207" s="32"/>
      <c r="IO207" s="32"/>
      <c r="IP207" s="32"/>
      <c r="IQ207" s="32"/>
    </row>
    <row r="208" spans="1:251" s="31" customFormat="1" collapsed="1">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15"/>
      <c r="AU208" s="15"/>
      <c r="AV208" s="15"/>
      <c r="AW208" s="15"/>
      <c r="AX208" s="15"/>
      <c r="AY208" s="15"/>
      <c r="AZ208" s="15"/>
      <c r="BA208" s="15"/>
      <c r="BB208" s="15"/>
      <c r="BC208" s="15"/>
      <c r="BD208" s="15"/>
      <c r="BE208" s="15"/>
      <c r="BF208" s="15"/>
      <c r="BG208" s="15"/>
      <c r="BH208" s="15"/>
      <c r="BI208" s="15"/>
      <c r="BJ208" s="15"/>
      <c r="BK208" s="15"/>
      <c r="BL208" s="15"/>
      <c r="BM208" s="15"/>
      <c r="BN208" s="15"/>
      <c r="BO208" s="15"/>
      <c r="BP208" s="15"/>
      <c r="BQ208" s="15"/>
      <c r="BR208" s="15"/>
      <c r="BS208" s="15"/>
      <c r="BT208" s="15"/>
      <c r="BU208" s="15"/>
      <c r="BV208" s="15"/>
      <c r="BW208" s="15"/>
      <c r="BX208" s="15"/>
      <c r="BY208" s="15"/>
      <c r="BZ208" s="15"/>
      <c r="CA208" s="15"/>
      <c r="CB208" s="15"/>
      <c r="CC208" s="15"/>
      <c r="CD208" s="15"/>
      <c r="CE208" s="15"/>
      <c r="CF208" s="15"/>
      <c r="CG208" s="15"/>
      <c r="CH208" s="15"/>
      <c r="CI208" s="15"/>
      <c r="CJ208" s="15"/>
      <c r="CK208" s="15"/>
      <c r="CL208" s="15"/>
      <c r="CM208" s="15"/>
      <c r="CN208" s="15"/>
      <c r="CO208" s="15"/>
      <c r="CP208" s="15"/>
      <c r="CQ208" s="15"/>
      <c r="CR208" s="15"/>
      <c r="CS208" s="15"/>
      <c r="CT208" s="15"/>
      <c r="CU208" s="15"/>
      <c r="CV208" s="15"/>
      <c r="CW208" s="15"/>
      <c r="CX208" s="15"/>
      <c r="CY208" s="15"/>
      <c r="CZ208" s="15"/>
      <c r="DA208" s="15"/>
      <c r="DB208" s="15"/>
      <c r="DC208" s="15"/>
      <c r="DD208" s="15"/>
      <c r="DE208" s="15"/>
      <c r="DF208" s="15"/>
      <c r="DG208" s="15"/>
      <c r="DH208" s="15"/>
      <c r="DI208" s="15"/>
      <c r="DJ208" s="15"/>
      <c r="DK208" s="15"/>
      <c r="DL208" s="15"/>
      <c r="DM208" s="15"/>
      <c r="DN208" s="15"/>
      <c r="DO208" s="15"/>
      <c r="DP208" s="15"/>
      <c r="DQ208" s="15"/>
      <c r="DR208" s="15"/>
      <c r="DS208" s="15"/>
      <c r="DT208" s="15"/>
      <c r="DU208" s="15"/>
      <c r="DV208" s="15"/>
      <c r="DW208" s="15"/>
      <c r="DX208" s="15"/>
      <c r="DY208" s="15"/>
      <c r="DZ208" s="15"/>
      <c r="EA208" s="15"/>
      <c r="EB208" s="15"/>
      <c r="EC208" s="15"/>
      <c r="ED208" s="15"/>
      <c r="EE208" s="15"/>
      <c r="EF208" s="15"/>
      <c r="EG208" s="15"/>
      <c r="EH208" s="15"/>
      <c r="EI208" s="15"/>
      <c r="EJ208" s="15"/>
      <c r="EK208" s="15"/>
      <c r="EL208" s="15"/>
      <c r="EM208" s="15"/>
      <c r="EN208" s="15"/>
      <c r="EO208" s="15"/>
      <c r="EP208" s="15"/>
      <c r="EQ208" s="15"/>
      <c r="ER208" s="15"/>
      <c r="ES208" s="15"/>
      <c r="ET208" s="15"/>
      <c r="EU208" s="15"/>
      <c r="EV208" s="15"/>
      <c r="EW208" s="15"/>
      <c r="EX208" s="15"/>
      <c r="EY208" s="15"/>
      <c r="EZ208" s="15"/>
      <c r="FA208" s="15"/>
      <c r="FB208" s="15"/>
      <c r="FC208" s="15"/>
      <c r="FD208" s="15"/>
      <c r="FE208" s="15"/>
      <c r="FF208" s="15"/>
      <c r="FG208" s="15"/>
      <c r="FH208" s="15"/>
      <c r="FI208" s="15"/>
      <c r="FJ208" s="15"/>
      <c r="FK208" s="15"/>
      <c r="FL208" s="15"/>
      <c r="FM208" s="15"/>
      <c r="FN208" s="15"/>
      <c r="FO208" s="15"/>
      <c r="FP208" s="15"/>
      <c r="FQ208" s="15"/>
      <c r="FR208" s="15"/>
      <c r="FS208" s="15"/>
      <c r="FT208" s="15"/>
      <c r="FU208" s="15"/>
      <c r="FV208" s="15"/>
      <c r="FW208" s="15"/>
      <c r="FX208" s="15"/>
      <c r="FY208" s="15"/>
      <c r="FZ208" s="15"/>
      <c r="GA208" s="15"/>
      <c r="GB208" s="15"/>
      <c r="GC208" s="15"/>
      <c r="GD208" s="15"/>
      <c r="GE208" s="15"/>
      <c r="GF208" s="15"/>
      <c r="GG208" s="15"/>
      <c r="GH208" s="15"/>
      <c r="GI208" s="15"/>
      <c r="GJ208" s="15"/>
      <c r="GK208" s="15"/>
      <c r="GL208" s="15"/>
      <c r="GM208" s="15"/>
      <c r="GN208" s="15"/>
      <c r="GO208" s="15"/>
      <c r="GP208" s="15"/>
      <c r="GQ208" s="15"/>
      <c r="GR208" s="15"/>
      <c r="GS208" s="15"/>
      <c r="GT208" s="15"/>
      <c r="GU208" s="15"/>
      <c r="GV208" s="15"/>
      <c r="GW208" s="15"/>
      <c r="GX208" s="15"/>
      <c r="GY208" s="15"/>
      <c r="GZ208" s="15"/>
      <c r="HA208" s="15"/>
      <c r="HB208" s="15"/>
      <c r="HC208" s="15"/>
      <c r="HD208" s="15"/>
      <c r="HE208" s="15"/>
      <c r="HF208" s="15"/>
      <c r="HG208" s="15"/>
      <c r="HH208" s="15"/>
      <c r="HI208" s="15"/>
      <c r="HJ208" s="15"/>
      <c r="HK208" s="15"/>
      <c r="HL208" s="15"/>
      <c r="HM208" s="15"/>
      <c r="HN208" s="15"/>
      <c r="HO208" s="15"/>
      <c r="HP208" s="15"/>
      <c r="HQ208" s="15"/>
      <c r="HR208"/>
      <c r="HS208"/>
      <c r="HT208"/>
      <c r="HU208"/>
      <c r="HV208"/>
      <c r="HW208"/>
      <c r="HX208"/>
      <c r="HY208"/>
      <c r="HZ208"/>
      <c r="IA208"/>
      <c r="IB208"/>
      <c r="IC208"/>
      <c r="ID208"/>
      <c r="IE208"/>
      <c r="IF208"/>
      <c r="IG208"/>
      <c r="IH208"/>
      <c r="II208"/>
      <c r="IJ208"/>
      <c r="IK208" s="14"/>
      <c r="IL208" s="14"/>
      <c r="IM208" s="14"/>
      <c r="IN208" s="14"/>
      <c r="IO208" s="14"/>
      <c r="IP208" s="14"/>
      <c r="IQ208" s="14"/>
    </row>
    <row r="209" spans="1:251" s="33" customFormat="1">
      <c r="A209" s="170" t="s">
        <v>344</v>
      </c>
      <c r="B209" s="32"/>
      <c r="C209" s="32"/>
      <c r="D209" s="32"/>
      <c r="E209" s="32"/>
      <c r="F209" s="32"/>
      <c r="G209" s="32"/>
      <c r="H209" s="32"/>
      <c r="I209" s="32"/>
      <c r="J209" s="32"/>
      <c r="K209" s="32"/>
      <c r="L209" s="32"/>
      <c r="M209" s="32"/>
      <c r="N209" s="32"/>
      <c r="O209" s="32"/>
      <c r="P209" s="32"/>
      <c r="Q209" s="32"/>
      <c r="R209" s="32"/>
      <c r="S209" s="32"/>
      <c r="T209" s="32"/>
      <c r="U209" s="32"/>
      <c r="V209" s="32"/>
      <c r="W209" s="32"/>
      <c r="X209" s="32"/>
      <c r="Y209" s="32"/>
      <c r="Z209" s="32"/>
      <c r="AA209" s="32"/>
      <c r="AB209" s="32"/>
      <c r="AC209" s="32"/>
      <c r="AD209" s="32"/>
      <c r="AE209" s="32"/>
      <c r="AF209" s="32"/>
      <c r="AG209" s="32"/>
      <c r="AH209" s="43"/>
      <c r="AI209" s="43"/>
      <c r="AJ209" s="43"/>
      <c r="AK209" s="43"/>
      <c r="AL209" s="43"/>
      <c r="AM209" s="43"/>
      <c r="AN209" s="43"/>
      <c r="AO209" s="43"/>
      <c r="AP209" s="43"/>
      <c r="AQ209" s="43"/>
      <c r="AR209" s="43"/>
      <c r="AS209" s="43"/>
      <c r="AT209" s="43"/>
      <c r="AU209" s="43"/>
      <c r="AV209" s="43"/>
      <c r="AW209" s="43"/>
      <c r="AX209" s="43"/>
      <c r="AY209" s="43"/>
      <c r="AZ209" s="43"/>
      <c r="BA209" s="43"/>
      <c r="BB209" s="43"/>
      <c r="BC209" s="43"/>
      <c r="BD209" s="43"/>
      <c r="BE209" s="43"/>
      <c r="BF209" s="43"/>
      <c r="BG209" s="43"/>
      <c r="BH209" s="43"/>
      <c r="BI209" s="43"/>
      <c r="BJ209" s="43"/>
      <c r="BK209" s="43"/>
      <c r="BL209" s="43"/>
      <c r="BM209" s="43"/>
      <c r="BN209" s="43"/>
      <c r="BO209" s="43"/>
      <c r="BP209" s="43"/>
      <c r="BQ209" s="43"/>
      <c r="BR209" s="43"/>
      <c r="BS209" s="43"/>
      <c r="BT209" s="43"/>
      <c r="BU209" s="43"/>
      <c r="BV209" s="43"/>
      <c r="BW209" s="43"/>
      <c r="BX209" s="43"/>
      <c r="BY209" s="43"/>
      <c r="BZ209" s="43"/>
      <c r="CA209" s="43"/>
      <c r="CB209" s="43"/>
      <c r="CC209" s="43"/>
      <c r="CD209" s="43"/>
      <c r="CE209" s="43"/>
      <c r="CF209" s="43"/>
      <c r="CG209" s="43"/>
      <c r="CH209" s="43"/>
      <c r="CI209" s="43"/>
      <c r="CJ209" s="43"/>
      <c r="CK209" s="43"/>
      <c r="CL209" s="43"/>
      <c r="CM209" s="43"/>
      <c r="CN209" s="43"/>
      <c r="CO209" s="43"/>
      <c r="CP209" s="43"/>
      <c r="CQ209" s="43"/>
      <c r="CR209" s="43"/>
      <c r="CS209" s="43"/>
      <c r="CT209" s="43"/>
      <c r="CU209" s="43"/>
      <c r="CV209" s="43"/>
      <c r="CW209" s="43"/>
      <c r="CX209" s="43"/>
      <c r="CY209" s="43"/>
      <c r="CZ209" s="43"/>
      <c r="DA209" s="43"/>
      <c r="DB209" s="43"/>
      <c r="DC209" s="43"/>
      <c r="DD209" s="43"/>
      <c r="DE209" s="43"/>
      <c r="DF209" s="43"/>
      <c r="DG209" s="43"/>
      <c r="DH209" s="43"/>
      <c r="DI209" s="43"/>
      <c r="DJ209" s="43"/>
      <c r="DK209" s="43"/>
      <c r="DL209" s="43"/>
      <c r="DM209" s="43"/>
      <c r="DN209" s="43"/>
      <c r="DO209" s="43"/>
      <c r="DP209" s="43"/>
      <c r="DQ209" s="43"/>
      <c r="DR209" s="43"/>
      <c r="DS209" s="43"/>
      <c r="DT209" s="43"/>
      <c r="DU209" s="43"/>
      <c r="DV209" s="43"/>
      <c r="DW209" s="43"/>
      <c r="DX209" s="43"/>
      <c r="DY209" s="43"/>
      <c r="DZ209" s="43"/>
      <c r="EA209" s="43"/>
      <c r="EB209" s="43"/>
      <c r="EC209" s="43"/>
      <c r="ED209" s="43"/>
      <c r="EE209" s="43"/>
      <c r="EF209" s="43"/>
      <c r="EG209" s="43"/>
      <c r="EH209" s="43"/>
      <c r="EI209" s="43"/>
      <c r="EJ209" s="43"/>
      <c r="EK209" s="43"/>
      <c r="EL209" s="43"/>
      <c r="EM209" s="43"/>
      <c r="EN209" s="43"/>
      <c r="EO209" s="43"/>
      <c r="EP209" s="43"/>
      <c r="EQ209" s="43"/>
      <c r="ER209" s="43"/>
      <c r="ES209" s="43"/>
      <c r="ET209" s="43"/>
      <c r="EU209" s="43"/>
      <c r="EV209" s="43"/>
      <c r="EW209" s="43"/>
      <c r="EX209" s="43"/>
      <c r="EY209" s="43"/>
      <c r="EZ209" s="43"/>
      <c r="FA209" s="43"/>
      <c r="FB209" s="43"/>
      <c r="FC209" s="43"/>
      <c r="FD209" s="43"/>
      <c r="FE209" s="43"/>
      <c r="FF209" s="43"/>
      <c r="FG209" s="43"/>
      <c r="FH209" s="43"/>
      <c r="FI209" s="43"/>
      <c r="FJ209" s="43"/>
      <c r="FK209" s="43"/>
      <c r="FL209" s="43"/>
      <c r="FM209" s="43"/>
      <c r="FN209" s="43"/>
      <c r="FO209" s="43"/>
      <c r="FP209" s="43"/>
      <c r="FQ209" s="43"/>
      <c r="FR209" s="43"/>
      <c r="FS209" s="43"/>
      <c r="FT209" s="43"/>
      <c r="FU209" s="43"/>
      <c r="FV209" s="43"/>
      <c r="FW209" s="43"/>
      <c r="FX209" s="43"/>
      <c r="FY209" s="43"/>
      <c r="FZ209" s="43"/>
      <c r="GA209" s="43"/>
      <c r="GB209" s="43"/>
      <c r="GC209" s="43"/>
      <c r="GD209" s="43"/>
      <c r="GE209" s="43"/>
      <c r="GF209" s="43"/>
      <c r="GG209" s="43"/>
      <c r="GH209" s="43"/>
      <c r="GI209" s="43"/>
      <c r="GJ209" s="43"/>
      <c r="GK209" s="43"/>
      <c r="GL209" s="43"/>
      <c r="GM209" s="43"/>
      <c r="GN209" s="43"/>
      <c r="GO209" s="43"/>
      <c r="GP209" s="43"/>
      <c r="GQ209" s="43"/>
      <c r="GR209" s="43"/>
      <c r="GS209" s="43"/>
      <c r="GT209" s="43"/>
      <c r="GU209" s="43"/>
      <c r="GV209" s="43"/>
      <c r="GW209" s="43"/>
      <c r="GX209" s="43"/>
      <c r="GY209" s="43"/>
      <c r="GZ209" s="43"/>
      <c r="HA209" s="43"/>
      <c r="HB209" s="43"/>
      <c r="HC209" s="43"/>
      <c r="HD209" s="43"/>
      <c r="HE209" s="43"/>
      <c r="HF209" s="43"/>
      <c r="HG209" s="43"/>
      <c r="HH209" s="43"/>
      <c r="HI209" s="43"/>
      <c r="HJ209" s="43"/>
      <c r="HK209" s="43"/>
      <c r="HL209" s="43"/>
      <c r="HM209" s="43"/>
      <c r="HN209" s="43"/>
      <c r="HO209" s="43"/>
      <c r="HP209" s="43"/>
      <c r="HQ209" s="43"/>
      <c r="HR209"/>
      <c r="HS209"/>
      <c r="HT209"/>
      <c r="HU209"/>
      <c r="HV209"/>
      <c r="HW209"/>
      <c r="HX209"/>
      <c r="HY209"/>
      <c r="HZ209"/>
      <c r="IA209"/>
      <c r="IB209"/>
      <c r="IC209"/>
      <c r="ID209"/>
      <c r="IE209"/>
      <c r="IF209"/>
      <c r="IG209"/>
      <c r="IH209"/>
      <c r="II209"/>
      <c r="IJ209"/>
      <c r="IK209" s="32"/>
      <c r="IL209" s="32"/>
      <c r="IM209" s="32"/>
      <c r="IN209" s="32"/>
      <c r="IO209" s="32"/>
      <c r="IP209" s="32"/>
      <c r="IQ209" s="32"/>
    </row>
    <row r="210" spans="1:251" s="33" customFormat="1">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43"/>
      <c r="AI210" s="43"/>
      <c r="AJ210" s="43"/>
      <c r="AK210" s="43"/>
      <c r="AL210" s="43"/>
      <c r="AM210" s="43"/>
      <c r="AN210" s="43"/>
      <c r="AO210" s="43"/>
      <c r="AP210" s="43"/>
      <c r="AQ210" s="43"/>
      <c r="AR210" s="43"/>
      <c r="AS210" s="43"/>
      <c r="AT210" s="43"/>
      <c r="AU210" s="43"/>
      <c r="AV210" s="43"/>
      <c r="AW210" s="43"/>
      <c r="AX210" s="43"/>
      <c r="AY210" s="43"/>
      <c r="AZ210" s="43"/>
      <c r="BA210" s="43"/>
      <c r="BB210" s="43"/>
      <c r="BC210" s="43"/>
      <c r="BD210" s="43"/>
      <c r="BE210" s="43"/>
      <c r="BF210" s="43"/>
      <c r="BG210" s="43"/>
      <c r="BH210" s="43"/>
      <c r="BI210" s="43"/>
      <c r="BJ210" s="43"/>
      <c r="BK210" s="43"/>
      <c r="BL210" s="43"/>
      <c r="BM210" s="43"/>
      <c r="BN210" s="43"/>
      <c r="BO210" s="43"/>
      <c r="BP210" s="43"/>
      <c r="BQ210" s="43"/>
      <c r="BR210" s="43"/>
      <c r="BS210" s="43"/>
      <c r="BT210" s="43"/>
      <c r="BU210" s="43"/>
      <c r="BV210" s="43"/>
      <c r="BW210" s="43"/>
      <c r="BX210" s="43"/>
      <c r="BY210" s="43"/>
      <c r="BZ210" s="43"/>
      <c r="CA210" s="43"/>
      <c r="CB210" s="43"/>
      <c r="CC210" s="43"/>
      <c r="CD210" s="43"/>
      <c r="CE210" s="43"/>
      <c r="CF210" s="43"/>
      <c r="CG210" s="43"/>
      <c r="CH210" s="43"/>
      <c r="CI210" s="43"/>
      <c r="CJ210" s="43"/>
      <c r="CK210" s="43"/>
      <c r="CL210" s="43"/>
      <c r="CM210" s="43"/>
      <c r="CN210" s="43"/>
      <c r="CO210" s="43"/>
      <c r="CP210" s="43"/>
      <c r="CQ210" s="43"/>
      <c r="CR210" s="43"/>
      <c r="CS210" s="43"/>
      <c r="CT210" s="43"/>
      <c r="CU210" s="43"/>
      <c r="CV210" s="43"/>
      <c r="CW210" s="43"/>
      <c r="CX210" s="43"/>
      <c r="CY210" s="43"/>
      <c r="CZ210" s="43"/>
      <c r="DA210" s="43"/>
      <c r="DB210" s="43"/>
      <c r="DC210" s="43"/>
      <c r="DD210" s="43"/>
      <c r="DE210" s="43"/>
      <c r="DF210" s="43"/>
      <c r="DG210" s="43"/>
      <c r="DH210" s="43"/>
      <c r="DI210" s="43"/>
      <c r="DJ210" s="43"/>
      <c r="DK210" s="43"/>
      <c r="DL210" s="43"/>
      <c r="DM210" s="43"/>
      <c r="DN210" s="43"/>
      <c r="DO210" s="43"/>
      <c r="DP210" s="43"/>
      <c r="DQ210" s="43"/>
      <c r="DR210" s="43"/>
      <c r="DS210" s="43"/>
      <c r="DT210" s="43"/>
      <c r="DU210" s="43"/>
      <c r="DV210" s="43"/>
      <c r="DW210" s="43"/>
      <c r="DX210" s="43"/>
      <c r="DY210" s="43"/>
      <c r="DZ210" s="43"/>
      <c r="EA210" s="43"/>
      <c r="EB210" s="43"/>
      <c r="EC210" s="43"/>
      <c r="ED210" s="43"/>
      <c r="EE210" s="43"/>
      <c r="EF210" s="43"/>
      <c r="EG210" s="43"/>
      <c r="EH210" s="43"/>
      <c r="EI210" s="43"/>
      <c r="EJ210" s="43"/>
      <c r="EK210" s="43"/>
      <c r="EL210" s="43"/>
      <c r="EM210" s="43"/>
      <c r="EN210" s="43"/>
      <c r="EO210" s="43"/>
      <c r="EP210" s="43"/>
      <c r="EQ210" s="43"/>
      <c r="ER210" s="43"/>
      <c r="ES210" s="43"/>
      <c r="ET210" s="43"/>
      <c r="EU210" s="43"/>
      <c r="EV210" s="43"/>
      <c r="EW210" s="43"/>
      <c r="EX210" s="43"/>
      <c r="EY210" s="43"/>
      <c r="EZ210" s="43"/>
      <c r="FA210" s="43"/>
      <c r="FB210" s="43"/>
      <c r="FC210" s="43"/>
      <c r="FD210" s="43"/>
      <c r="FE210" s="43"/>
      <c r="FF210" s="43"/>
      <c r="FG210" s="43"/>
      <c r="FH210" s="43"/>
      <c r="FI210" s="43"/>
      <c r="FJ210" s="43"/>
      <c r="FK210" s="43"/>
      <c r="FL210" s="43"/>
      <c r="FM210" s="43"/>
      <c r="FN210" s="43"/>
      <c r="FO210" s="43"/>
      <c r="FP210" s="43"/>
      <c r="FQ210" s="43"/>
      <c r="FR210" s="43"/>
      <c r="FS210" s="43"/>
      <c r="FT210" s="43"/>
      <c r="FU210" s="43"/>
      <c r="FV210" s="43"/>
      <c r="FW210" s="43"/>
      <c r="FX210" s="43"/>
      <c r="FY210" s="43"/>
      <c r="FZ210" s="43"/>
      <c r="GA210" s="43"/>
      <c r="GB210" s="43"/>
      <c r="GC210" s="43"/>
      <c r="GD210" s="43"/>
      <c r="GE210" s="43"/>
      <c r="GF210" s="43"/>
      <c r="GG210" s="43"/>
      <c r="GH210" s="43"/>
      <c r="GI210" s="43"/>
      <c r="GJ210" s="43"/>
      <c r="GK210" s="43"/>
      <c r="GL210" s="43"/>
      <c r="GM210" s="43"/>
      <c r="GN210" s="43"/>
      <c r="GO210" s="43"/>
      <c r="GP210" s="43"/>
      <c r="GQ210" s="43"/>
      <c r="GR210" s="43"/>
      <c r="GS210" s="43"/>
      <c r="GT210" s="43"/>
      <c r="GU210" s="43"/>
      <c r="GV210" s="43"/>
      <c r="GW210" s="43"/>
      <c r="GX210" s="43"/>
      <c r="GY210" s="43"/>
      <c r="GZ210" s="43"/>
      <c r="HA210" s="43"/>
      <c r="HB210" s="43"/>
      <c r="HC210" s="43"/>
      <c r="HD210" s="43"/>
      <c r="HE210" s="43"/>
      <c r="HF210" s="43"/>
      <c r="HG210" s="43"/>
      <c r="HH210" s="43"/>
      <c r="HI210" s="43"/>
      <c r="HJ210" s="43"/>
      <c r="HK210" s="43"/>
      <c r="HL210" s="43"/>
      <c r="HM210" s="43"/>
      <c r="HN210" s="43"/>
      <c r="HO210" s="43"/>
      <c r="HP210" s="43"/>
      <c r="HQ210" s="43"/>
      <c r="HR210"/>
      <c r="HS210"/>
      <c r="HT210"/>
      <c r="HU210"/>
      <c r="HV210"/>
      <c r="HW210"/>
      <c r="HX210"/>
      <c r="HY210"/>
      <c r="HZ210"/>
      <c r="IA210"/>
      <c r="IB210"/>
      <c r="IC210"/>
      <c r="ID210"/>
      <c r="IE210"/>
      <c r="IF210"/>
      <c r="IG210"/>
      <c r="IH210"/>
      <c r="II210"/>
      <c r="IJ210"/>
      <c r="IK210" s="32"/>
      <c r="IL210" s="32"/>
      <c r="IM210" s="32"/>
      <c r="IN210" s="32"/>
      <c r="IO210" s="32"/>
      <c r="IP210" s="32"/>
      <c r="IQ210" s="32"/>
    </row>
    <row r="211" spans="1:251" s="33" customFormat="1">
      <c r="A211" s="145" t="s">
        <v>617</v>
      </c>
      <c r="B211" s="161"/>
      <c r="C211" s="161"/>
      <c r="D211" s="161"/>
      <c r="E211" s="161"/>
      <c r="F211" s="161"/>
      <c r="G211" s="161"/>
      <c r="H211" s="161"/>
      <c r="I211" s="161"/>
      <c r="J211" s="161"/>
      <c r="K211" s="161"/>
      <c r="L211" s="161"/>
      <c r="M211" s="161"/>
      <c r="N211" s="161"/>
      <c r="O211" s="161"/>
      <c r="P211" s="161"/>
      <c r="Q211" s="161"/>
      <c r="R211" s="161"/>
      <c r="S211" s="161"/>
      <c r="T211" s="15"/>
      <c r="U211" s="15"/>
      <c r="V211" s="15"/>
      <c r="W211" s="15"/>
      <c r="X211" s="15"/>
      <c r="Y211" s="15"/>
      <c r="Z211" s="15"/>
      <c r="AA211" s="15"/>
      <c r="AB211" s="15"/>
      <c r="AC211" s="15"/>
      <c r="AD211" s="15"/>
      <c r="AE211" s="15"/>
      <c r="AF211" s="15"/>
      <c r="AG211" s="15"/>
      <c r="AH211" s="43"/>
      <c r="AI211" s="43"/>
      <c r="AJ211" s="43"/>
      <c r="AK211" s="43"/>
      <c r="AL211" s="43"/>
      <c r="AM211" s="43"/>
      <c r="AN211" s="43"/>
      <c r="AO211" s="43"/>
      <c r="AP211" s="43"/>
      <c r="AQ211" s="43"/>
      <c r="AR211" s="43"/>
      <c r="AS211" s="43"/>
      <c r="AT211" s="43"/>
      <c r="AU211" s="43"/>
      <c r="AV211" s="43"/>
      <c r="AW211" s="43"/>
      <c r="AX211" s="43"/>
      <c r="AY211" s="43"/>
      <c r="AZ211" s="43"/>
      <c r="BA211" s="43"/>
      <c r="BB211" s="43"/>
      <c r="BC211" s="43"/>
      <c r="BD211" s="43"/>
      <c r="BE211" s="43"/>
      <c r="BF211" s="43"/>
      <c r="BG211" s="43"/>
      <c r="BH211" s="43"/>
      <c r="BI211" s="43"/>
      <c r="BJ211" s="43"/>
      <c r="BK211" s="43"/>
      <c r="BL211" s="43"/>
      <c r="BM211" s="43"/>
      <c r="BN211" s="43"/>
      <c r="BO211" s="43"/>
      <c r="BP211" s="43"/>
      <c r="BQ211" s="43"/>
      <c r="BR211" s="43"/>
      <c r="BS211" s="43"/>
      <c r="BT211" s="43"/>
      <c r="BU211" s="43"/>
      <c r="BV211" s="43"/>
      <c r="BW211" s="43"/>
      <c r="BX211" s="43"/>
      <c r="BY211" s="43"/>
      <c r="BZ211" s="43"/>
      <c r="CA211" s="43"/>
      <c r="CB211" s="43"/>
      <c r="CC211" s="43"/>
      <c r="CD211" s="43"/>
      <c r="CE211" s="43"/>
      <c r="CF211" s="43"/>
      <c r="CG211" s="43"/>
      <c r="CH211" s="43"/>
      <c r="CI211" s="43"/>
      <c r="CJ211" s="43"/>
      <c r="CK211" s="43"/>
      <c r="CL211" s="43"/>
      <c r="CM211" s="43"/>
      <c r="CN211" s="43"/>
      <c r="CO211" s="43"/>
      <c r="CP211" s="43"/>
      <c r="CQ211" s="43"/>
      <c r="CR211" s="43"/>
      <c r="CS211" s="43"/>
      <c r="CT211" s="43"/>
      <c r="CU211" s="43"/>
      <c r="CV211" s="43"/>
      <c r="CW211" s="43"/>
      <c r="CX211" s="43"/>
      <c r="CY211" s="43"/>
      <c r="CZ211" s="43"/>
      <c r="DA211" s="43"/>
      <c r="DB211" s="43"/>
      <c r="DC211" s="43"/>
      <c r="DD211" s="43"/>
      <c r="DE211" s="43"/>
      <c r="DF211" s="43"/>
      <c r="DG211" s="43"/>
      <c r="DH211" s="43"/>
      <c r="DI211" s="43"/>
      <c r="DJ211" s="43"/>
      <c r="DK211" s="43"/>
      <c r="DL211" s="43"/>
      <c r="DM211" s="43"/>
      <c r="DN211" s="43"/>
      <c r="DO211" s="43"/>
      <c r="DP211" s="43"/>
      <c r="DQ211" s="43"/>
      <c r="DR211" s="43"/>
      <c r="DS211" s="43"/>
      <c r="DT211" s="43"/>
      <c r="DU211" s="43"/>
      <c r="DV211" s="43"/>
      <c r="DW211" s="43"/>
      <c r="DX211" s="43"/>
      <c r="DY211" s="43"/>
      <c r="DZ211" s="43"/>
      <c r="EA211" s="43"/>
      <c r="EB211" s="43"/>
      <c r="EC211" s="43"/>
      <c r="ED211" s="43"/>
      <c r="EE211" s="43"/>
      <c r="EF211" s="43"/>
      <c r="EG211" s="43"/>
      <c r="EH211" s="43"/>
      <c r="EI211" s="43"/>
      <c r="EJ211" s="43"/>
      <c r="EK211" s="43"/>
      <c r="EL211" s="43"/>
      <c r="EM211" s="43"/>
      <c r="EN211" s="43"/>
      <c r="EO211" s="43"/>
      <c r="EP211" s="43"/>
      <c r="EQ211" s="43"/>
      <c r="ER211" s="43"/>
      <c r="ES211" s="43"/>
      <c r="ET211" s="43"/>
      <c r="EU211" s="43"/>
      <c r="EV211" s="43"/>
      <c r="EW211" s="43"/>
      <c r="EX211" s="43"/>
      <c r="EY211" s="43"/>
      <c r="EZ211" s="43"/>
      <c r="FA211" s="43"/>
      <c r="FB211" s="43"/>
      <c r="FC211" s="43"/>
      <c r="FD211" s="43"/>
      <c r="FE211" s="43"/>
      <c r="FF211" s="43"/>
      <c r="FG211" s="43"/>
      <c r="FH211" s="43"/>
      <c r="FI211" s="43"/>
      <c r="FJ211" s="43"/>
      <c r="FK211" s="43"/>
      <c r="FL211" s="43"/>
      <c r="FM211" s="43"/>
      <c r="FN211" s="43"/>
      <c r="FO211" s="43"/>
      <c r="FP211" s="43"/>
      <c r="FQ211" s="43"/>
      <c r="FR211" s="43"/>
      <c r="FS211" s="43"/>
      <c r="FT211" s="43"/>
      <c r="FU211" s="43"/>
      <c r="FV211" s="43"/>
      <c r="FW211" s="43"/>
      <c r="FX211" s="43"/>
      <c r="FY211" s="43"/>
      <c r="FZ211" s="43"/>
      <c r="GA211" s="43"/>
      <c r="GB211" s="43"/>
      <c r="GC211" s="43"/>
      <c r="GD211" s="43"/>
      <c r="GE211" s="43"/>
      <c r="GF211" s="43"/>
      <c r="GG211" s="43"/>
      <c r="GH211" s="43"/>
      <c r="GI211" s="43"/>
      <c r="GJ211" s="43"/>
      <c r="GK211" s="43"/>
      <c r="GL211" s="43"/>
      <c r="GM211" s="43"/>
      <c r="GN211" s="43"/>
      <c r="GO211" s="43"/>
      <c r="GP211" s="43"/>
      <c r="GQ211" s="43"/>
      <c r="GR211" s="43"/>
      <c r="GS211" s="43"/>
      <c r="GT211" s="43"/>
      <c r="GU211" s="43"/>
      <c r="GV211" s="43"/>
      <c r="GW211" s="43"/>
      <c r="GX211" s="43"/>
      <c r="GY211" s="43"/>
      <c r="GZ211" s="43"/>
      <c r="HA211" s="43"/>
      <c r="HB211" s="43"/>
      <c r="HC211" s="43"/>
      <c r="HD211" s="43"/>
      <c r="HE211" s="43"/>
      <c r="HF211" s="43"/>
      <c r="HG211" s="43"/>
      <c r="HH211" s="43"/>
      <c r="HI211" s="43"/>
      <c r="HJ211" s="43"/>
      <c r="HK211" s="43"/>
      <c r="HL211" s="43"/>
      <c r="HM211" s="43"/>
      <c r="HN211" s="43"/>
      <c r="HO211" s="43"/>
      <c r="HP211" s="43"/>
      <c r="HQ211" s="43"/>
      <c r="HR211"/>
      <c r="HS211"/>
      <c r="HT211"/>
      <c r="HU211"/>
      <c r="HV211"/>
      <c r="HW211"/>
      <c r="HX211"/>
      <c r="HY211"/>
      <c r="HZ211"/>
      <c r="IA211"/>
      <c r="IB211"/>
      <c r="IC211"/>
      <c r="ID211"/>
      <c r="IE211"/>
      <c r="IF211"/>
      <c r="IG211"/>
      <c r="IH211"/>
      <c r="II211"/>
      <c r="IJ211"/>
      <c r="IK211" s="32"/>
      <c r="IL211" s="32"/>
      <c r="IM211" s="32"/>
      <c r="IN211" s="32"/>
      <c r="IO211" s="32"/>
      <c r="IP211" s="32"/>
      <c r="IQ211" s="32"/>
    </row>
    <row r="212" spans="1:251" s="31" customFormat="1">
      <c r="A212" s="146" t="s">
        <v>614</v>
      </c>
      <c r="B212" s="15"/>
      <c r="C212" s="15"/>
      <c r="D212" s="15"/>
      <c r="E212" s="15"/>
      <c r="F212" s="15"/>
      <c r="G212" s="15"/>
      <c r="H212" s="15"/>
      <c r="I212" s="15"/>
      <c r="J212" s="15"/>
      <c r="K212" s="15"/>
      <c r="L212" s="15"/>
      <c r="M212" s="15"/>
      <c r="N212" s="15"/>
      <c r="O212" s="15"/>
      <c r="P212" s="177">
        <f>IS!J478</f>
        <v>4842</v>
      </c>
      <c r="Q212" s="321">
        <f>IS!K478-6000</f>
        <v>1916</v>
      </c>
      <c r="R212" s="177">
        <f>IS!L478</f>
        <v>1871</v>
      </c>
      <c r="S212" s="177">
        <f>IS!M478</f>
        <v>2314</v>
      </c>
      <c r="T212" s="177">
        <f>IS!N478</f>
        <v>3270</v>
      </c>
      <c r="U212" s="177">
        <f>IS!O478</f>
        <v>2900</v>
      </c>
      <c r="V212" s="177">
        <f>IS!P478</f>
        <v>3175</v>
      </c>
      <c r="W212" s="177">
        <f>IS!Q478</f>
        <v>3321</v>
      </c>
      <c r="X212" s="177">
        <f>IS!R478</f>
        <v>2369</v>
      </c>
      <c r="Y212" s="177">
        <f>IS!S478</f>
        <v>4569</v>
      </c>
      <c r="Z212" s="177">
        <f>IS!T478</f>
        <v>2552.1467633093089</v>
      </c>
      <c r="AA212" s="177">
        <f ca="1">IS!U478</f>
        <v>2613.2334015667384</v>
      </c>
      <c r="AB212" s="177">
        <f ca="1">IS!V478</f>
        <v>1741.760527501714</v>
      </c>
      <c r="AC212" s="177">
        <f ca="1">IS!W478</f>
        <v>2026.5150601692931</v>
      </c>
      <c r="AD212" s="177">
        <f ca="1">IS!X478</f>
        <v>2298.6383035061026</v>
      </c>
      <c r="AE212" s="177">
        <f ca="1">IS!Y478</f>
        <v>2670.2970396530927</v>
      </c>
      <c r="AF212" s="177">
        <f ca="1">IS!Z478</f>
        <v>3145.8174403456178</v>
      </c>
      <c r="AG212" s="177">
        <f ca="1">IS!AA478</f>
        <v>3729.4488796870337</v>
      </c>
      <c r="AH212" s="15"/>
      <c r="AI212" s="15"/>
      <c r="AJ212" s="15"/>
      <c r="AK212" s="15"/>
      <c r="AL212" s="15"/>
      <c r="AM212" s="15"/>
      <c r="AN212" s="15"/>
      <c r="AO212" s="15"/>
      <c r="AP212" s="15"/>
      <c r="AQ212" s="15"/>
      <c r="AR212" s="15"/>
      <c r="AS212" s="15"/>
      <c r="AT212" s="15"/>
      <c r="AU212" s="15"/>
      <c r="AV212" s="15"/>
      <c r="AW212" s="15"/>
      <c r="AX212" s="15"/>
      <c r="AY212" s="15"/>
      <c r="AZ212" s="15"/>
      <c r="BA212" s="15"/>
      <c r="BB212" s="15"/>
      <c r="BC212" s="15"/>
      <c r="BD212" s="15"/>
      <c r="BE212" s="15"/>
      <c r="BF212" s="15"/>
      <c r="BG212" s="15"/>
      <c r="BH212" s="15"/>
      <c r="BI212" s="15"/>
      <c r="BJ212" s="15"/>
      <c r="BK212" s="15"/>
      <c r="BL212" s="15"/>
      <c r="BM212" s="15"/>
      <c r="BN212" s="15"/>
      <c r="BO212" s="15"/>
      <c r="BP212" s="15"/>
      <c r="BQ212" s="15"/>
      <c r="BR212" s="15"/>
      <c r="BS212" s="15"/>
      <c r="BT212" s="15"/>
      <c r="BU212" s="15"/>
      <c r="BV212" s="15"/>
      <c r="BW212" s="15"/>
      <c r="BX212" s="15"/>
      <c r="BY212" s="15"/>
      <c r="BZ212" s="15"/>
      <c r="CA212" s="15"/>
      <c r="CB212" s="15"/>
      <c r="CC212" s="15"/>
      <c r="CD212" s="15"/>
      <c r="CE212" s="15"/>
      <c r="CF212" s="15"/>
      <c r="CG212" s="15"/>
      <c r="CH212" s="15"/>
      <c r="CI212" s="15"/>
      <c r="CJ212" s="15"/>
      <c r="CK212" s="15"/>
      <c r="CL212" s="15"/>
      <c r="CM212" s="15"/>
      <c r="CN212" s="15"/>
      <c r="CO212" s="15"/>
      <c r="CP212" s="15"/>
      <c r="CQ212" s="15"/>
      <c r="CR212" s="15"/>
      <c r="CS212" s="15"/>
      <c r="CT212" s="15"/>
      <c r="CU212" s="15"/>
      <c r="CV212" s="15"/>
      <c r="CW212" s="15"/>
      <c r="CX212" s="15"/>
      <c r="CY212" s="15"/>
      <c r="CZ212" s="15"/>
      <c r="DA212" s="15"/>
      <c r="DB212" s="15"/>
      <c r="DC212" s="15"/>
      <c r="DD212" s="15"/>
      <c r="DE212" s="15"/>
      <c r="DF212" s="15"/>
      <c r="DG212" s="15"/>
      <c r="DH212" s="15"/>
      <c r="DI212" s="15"/>
      <c r="DJ212" s="15"/>
      <c r="DK212" s="15"/>
      <c r="DL212" s="15"/>
      <c r="DM212" s="15"/>
      <c r="DN212" s="15"/>
      <c r="DO212" s="15"/>
      <c r="DP212" s="15"/>
      <c r="DQ212" s="15"/>
      <c r="DR212" s="15"/>
      <c r="DS212" s="15"/>
      <c r="DT212" s="15"/>
      <c r="DU212" s="15"/>
      <c r="DV212" s="15"/>
      <c r="DW212" s="15"/>
      <c r="DX212" s="15"/>
      <c r="DY212" s="15"/>
      <c r="DZ212" s="15"/>
      <c r="EA212" s="15"/>
      <c r="EB212" s="15"/>
      <c r="EC212" s="15"/>
      <c r="ED212" s="15"/>
      <c r="EE212" s="15"/>
      <c r="EF212" s="15"/>
      <c r="EG212" s="15"/>
      <c r="EH212" s="15"/>
      <c r="EI212" s="15"/>
      <c r="EJ212" s="15"/>
      <c r="EK212" s="15"/>
      <c r="EL212" s="15"/>
      <c r="EM212" s="15"/>
      <c r="EN212" s="15"/>
      <c r="EO212" s="15"/>
      <c r="EP212" s="15"/>
      <c r="EQ212" s="15"/>
      <c r="ER212" s="15"/>
      <c r="ES212" s="15"/>
      <c r="ET212" s="15"/>
      <c r="EU212" s="15"/>
      <c r="EV212" s="15"/>
      <c r="EW212" s="15"/>
      <c r="EX212" s="15"/>
      <c r="EY212" s="15"/>
      <c r="EZ212" s="15"/>
      <c r="FA212" s="15"/>
      <c r="FB212" s="15"/>
      <c r="FC212" s="15"/>
      <c r="FD212" s="15"/>
      <c r="FE212" s="15"/>
      <c r="FF212" s="15"/>
      <c r="FG212" s="15"/>
      <c r="FH212" s="15"/>
      <c r="FI212" s="15"/>
      <c r="FJ212" s="15"/>
      <c r="FK212" s="15"/>
      <c r="FL212" s="15"/>
      <c r="FM212" s="15"/>
      <c r="FN212" s="15"/>
      <c r="FO212" s="15"/>
      <c r="FP212" s="15"/>
      <c r="FQ212" s="15"/>
      <c r="FR212" s="15"/>
      <c r="FS212" s="15"/>
      <c r="FT212" s="15"/>
      <c r="FU212" s="15"/>
      <c r="FV212" s="15"/>
      <c r="FW212" s="15"/>
      <c r="FX212" s="15"/>
      <c r="FY212" s="15"/>
      <c r="FZ212" s="15"/>
      <c r="GA212" s="15"/>
      <c r="GB212" s="15"/>
      <c r="GC212" s="15"/>
      <c r="GD212" s="15"/>
      <c r="GE212" s="15"/>
      <c r="GF212" s="15"/>
      <c r="GG212" s="15"/>
      <c r="GH212" s="15"/>
      <c r="GI212" s="15"/>
      <c r="GJ212" s="15"/>
      <c r="GK212" s="15"/>
      <c r="GL212" s="15"/>
      <c r="GM212" s="15"/>
      <c r="GN212" s="15"/>
      <c r="GO212" s="15"/>
      <c r="GP212" s="15"/>
      <c r="GQ212" s="15"/>
      <c r="GR212" s="15"/>
      <c r="GS212" s="15"/>
      <c r="GT212" s="15"/>
      <c r="GU212" s="15"/>
      <c r="GV212" s="15"/>
      <c r="GW212" s="15"/>
      <c r="GX212" s="15"/>
      <c r="GY212" s="15"/>
      <c r="GZ212" s="15"/>
      <c r="HA212" s="15"/>
      <c r="HB212" s="15"/>
      <c r="HC212" s="15"/>
      <c r="HD212" s="15"/>
      <c r="HE212" s="15"/>
      <c r="HF212" s="15"/>
      <c r="HG212" s="15"/>
      <c r="HH212" s="15"/>
      <c r="HI212" s="15"/>
      <c r="HJ212" s="15"/>
      <c r="HK212" s="15"/>
      <c r="HL212" s="15"/>
      <c r="HM212" s="15"/>
      <c r="HN212" s="15"/>
      <c r="HO212" s="15"/>
      <c r="HP212" s="15"/>
      <c r="HQ212" s="15"/>
      <c r="HR212"/>
      <c r="HS212"/>
      <c r="HT212"/>
      <c r="HU212"/>
      <c r="HV212"/>
      <c r="HW212"/>
      <c r="HX212"/>
      <c r="HY212"/>
      <c r="HZ212"/>
      <c r="IA212"/>
      <c r="IB212"/>
      <c r="IC212"/>
      <c r="ID212"/>
      <c r="IE212"/>
      <c r="IF212"/>
      <c r="IG212"/>
      <c r="IH212"/>
      <c r="II212"/>
      <c r="IJ212"/>
      <c r="IK212" s="14"/>
      <c r="IL212" s="14"/>
      <c r="IM212" s="14"/>
      <c r="IN212" s="14"/>
      <c r="IO212" s="14"/>
      <c r="IP212" s="14"/>
      <c r="IQ212" s="14"/>
    </row>
    <row r="213" spans="1:251" s="31" customFormat="1">
      <c r="A213" s="146" t="s">
        <v>615</v>
      </c>
      <c r="B213" s="15"/>
      <c r="C213" s="15"/>
      <c r="D213" s="15"/>
      <c r="E213" s="15"/>
      <c r="F213" s="15"/>
      <c r="G213" s="15"/>
      <c r="H213" s="15"/>
      <c r="I213" s="15"/>
      <c r="J213" s="15"/>
      <c r="K213" s="15"/>
      <c r="L213" s="15"/>
      <c r="M213" s="15"/>
      <c r="N213" s="15"/>
      <c r="O213" s="15"/>
      <c r="P213" s="107">
        <f>IS!K478-6000</f>
        <v>1916</v>
      </c>
      <c r="Q213" s="107">
        <f>IS!L478</f>
        <v>1871</v>
      </c>
      <c r="R213" s="107">
        <f>IS!M478</f>
        <v>2314</v>
      </c>
      <c r="S213" s="107">
        <f>IS!N478</f>
        <v>3270</v>
      </c>
      <c r="T213" s="107">
        <f>IS!O478</f>
        <v>2900</v>
      </c>
      <c r="U213" s="107">
        <f>IS!P478</f>
        <v>3175</v>
      </c>
      <c r="V213" s="107">
        <f>IS!Q478</f>
        <v>3321</v>
      </c>
      <c r="W213" s="107">
        <f>IS!R478</f>
        <v>2369</v>
      </c>
      <c r="X213" s="107">
        <f>IS!S478</f>
        <v>4569</v>
      </c>
      <c r="Y213" s="107">
        <f>IS!T478</f>
        <v>2552.1467633093089</v>
      </c>
      <c r="Z213" s="107">
        <f ca="1">IS!U478</f>
        <v>2613.2334015667384</v>
      </c>
      <c r="AA213" s="107">
        <f ca="1">IS!V478</f>
        <v>1741.760527501714</v>
      </c>
      <c r="AB213" s="107">
        <f ca="1">IS!W478</f>
        <v>2026.5150601692931</v>
      </c>
      <c r="AC213" s="107">
        <f ca="1">IS!X478</f>
        <v>2298.6383035061026</v>
      </c>
      <c r="AD213" s="107">
        <f ca="1">IS!Y478</f>
        <v>2670.2970396530927</v>
      </c>
      <c r="AE213" s="107">
        <f ca="1">IS!Z478</f>
        <v>3145.8174403456178</v>
      </c>
      <c r="AF213" s="107">
        <f ca="1">IS!AA478</f>
        <v>3729.4488796870337</v>
      </c>
      <c r="AG213" s="107">
        <f ca="1">IS!AB478</f>
        <v>4425.519479161183</v>
      </c>
      <c r="AH213" s="15"/>
      <c r="AI213" s="15"/>
      <c r="AJ213" s="15"/>
      <c r="AK213" s="15"/>
      <c r="AL213" s="15"/>
      <c r="AM213" s="15"/>
      <c r="AN213" s="15"/>
      <c r="AO213" s="15"/>
      <c r="AP213" s="15"/>
      <c r="AQ213" s="15"/>
      <c r="AR213" s="15"/>
      <c r="AS213" s="15"/>
      <c r="AT213" s="15"/>
      <c r="AU213" s="15"/>
      <c r="AV213" s="15"/>
      <c r="AW213" s="15"/>
      <c r="AX213" s="15"/>
      <c r="AY213" s="15"/>
      <c r="AZ213" s="15"/>
      <c r="BA213" s="15"/>
      <c r="BB213" s="15"/>
      <c r="BC213" s="15"/>
      <c r="BD213" s="15"/>
      <c r="BE213" s="15"/>
      <c r="BF213" s="15"/>
      <c r="BG213" s="15"/>
      <c r="BH213" s="15"/>
      <c r="BI213" s="15"/>
      <c r="BJ213" s="15"/>
      <c r="BK213" s="15"/>
      <c r="BL213" s="15"/>
      <c r="BM213" s="15"/>
      <c r="BN213" s="15"/>
      <c r="BO213" s="15"/>
      <c r="BP213" s="15"/>
      <c r="BQ213" s="15"/>
      <c r="BR213" s="15"/>
      <c r="BS213" s="15"/>
      <c r="BT213" s="15"/>
      <c r="BU213" s="15"/>
      <c r="BV213" s="15"/>
      <c r="BW213" s="15"/>
      <c r="BX213" s="15"/>
      <c r="BY213" s="15"/>
      <c r="BZ213" s="15"/>
      <c r="CA213" s="15"/>
      <c r="CB213" s="15"/>
      <c r="CC213" s="15"/>
      <c r="CD213" s="15"/>
      <c r="CE213" s="15"/>
      <c r="CF213" s="15"/>
      <c r="CG213" s="15"/>
      <c r="CH213" s="15"/>
      <c r="CI213" s="15"/>
      <c r="CJ213" s="15"/>
      <c r="CK213" s="15"/>
      <c r="CL213" s="15"/>
      <c r="CM213" s="15"/>
      <c r="CN213" s="15"/>
      <c r="CO213" s="15"/>
      <c r="CP213" s="15"/>
      <c r="CQ213" s="15"/>
      <c r="CR213" s="15"/>
      <c r="CS213" s="15"/>
      <c r="CT213" s="15"/>
      <c r="CU213" s="15"/>
      <c r="CV213" s="15"/>
      <c r="CW213" s="15"/>
      <c r="CX213" s="15"/>
      <c r="CY213" s="15"/>
      <c r="CZ213" s="15"/>
      <c r="DA213" s="15"/>
      <c r="DB213" s="15"/>
      <c r="DC213" s="15"/>
      <c r="DD213" s="15"/>
      <c r="DE213" s="15"/>
      <c r="DF213" s="15"/>
      <c r="DG213" s="15"/>
      <c r="DH213" s="15"/>
      <c r="DI213" s="15"/>
      <c r="DJ213" s="15"/>
      <c r="DK213" s="15"/>
      <c r="DL213" s="15"/>
      <c r="DM213" s="15"/>
      <c r="DN213" s="15"/>
      <c r="DO213" s="15"/>
      <c r="DP213" s="15"/>
      <c r="DQ213" s="15"/>
      <c r="DR213" s="15"/>
      <c r="DS213" s="15"/>
      <c r="DT213" s="15"/>
      <c r="DU213" s="15"/>
      <c r="DV213" s="15"/>
      <c r="DW213" s="15"/>
      <c r="DX213" s="15"/>
      <c r="DY213" s="15"/>
      <c r="DZ213" s="15"/>
      <c r="EA213" s="15"/>
      <c r="EB213" s="15"/>
      <c r="EC213" s="15"/>
      <c r="ED213" s="15"/>
      <c r="EE213" s="15"/>
      <c r="EF213" s="15"/>
      <c r="EG213" s="15"/>
      <c r="EH213" s="15"/>
      <c r="EI213" s="15"/>
      <c r="EJ213" s="15"/>
      <c r="EK213" s="15"/>
      <c r="EL213" s="15"/>
      <c r="EM213" s="15"/>
      <c r="EN213" s="15"/>
      <c r="EO213" s="15"/>
      <c r="EP213" s="15"/>
      <c r="EQ213" s="15"/>
      <c r="ER213" s="15"/>
      <c r="ES213" s="15"/>
      <c r="ET213" s="15"/>
      <c r="EU213" s="15"/>
      <c r="EV213" s="15"/>
      <c r="EW213" s="15"/>
      <c r="EX213" s="15"/>
      <c r="EY213" s="15"/>
      <c r="EZ213" s="15"/>
      <c r="FA213" s="15"/>
      <c r="FB213" s="15"/>
      <c r="FC213" s="15"/>
      <c r="FD213" s="15"/>
      <c r="FE213" s="15"/>
      <c r="FF213" s="15"/>
      <c r="FG213" s="15"/>
      <c r="FH213" s="15"/>
      <c r="FI213" s="15"/>
      <c r="FJ213" s="15"/>
      <c r="FK213" s="15"/>
      <c r="FL213" s="15"/>
      <c r="FM213" s="15"/>
      <c r="FN213" s="15"/>
      <c r="FO213" s="15"/>
      <c r="FP213" s="15"/>
      <c r="FQ213" s="15"/>
      <c r="FR213" s="15"/>
      <c r="FS213" s="15"/>
      <c r="FT213" s="15"/>
      <c r="FU213" s="15"/>
      <c r="FV213" s="15"/>
      <c r="FW213" s="15"/>
      <c r="FX213" s="15"/>
      <c r="FY213" s="15"/>
      <c r="FZ213" s="15"/>
      <c r="GA213" s="15"/>
      <c r="GB213" s="15"/>
      <c r="GC213" s="15"/>
      <c r="GD213" s="15"/>
      <c r="GE213" s="15"/>
      <c r="GF213" s="15"/>
      <c r="GG213" s="15"/>
      <c r="GH213" s="15"/>
      <c r="GI213" s="15"/>
      <c r="GJ213" s="15"/>
      <c r="GK213" s="15"/>
      <c r="GL213" s="15"/>
      <c r="GM213" s="15"/>
      <c r="GN213" s="15"/>
      <c r="GO213" s="15"/>
      <c r="GP213" s="15"/>
      <c r="GQ213" s="15"/>
      <c r="GR213" s="15"/>
      <c r="GS213" s="15"/>
      <c r="GT213" s="15"/>
      <c r="GU213" s="15"/>
      <c r="GV213" s="15"/>
      <c r="GW213" s="15"/>
      <c r="GX213" s="15"/>
      <c r="GY213" s="15"/>
      <c r="GZ213" s="15"/>
      <c r="HA213" s="15"/>
      <c r="HB213" s="15"/>
      <c r="HC213" s="15"/>
      <c r="HD213" s="15"/>
      <c r="HE213" s="15"/>
      <c r="HF213" s="15"/>
      <c r="HG213" s="15"/>
      <c r="HH213" s="15"/>
      <c r="HI213" s="15"/>
      <c r="HJ213" s="15"/>
      <c r="HK213" s="15"/>
      <c r="HL213" s="15"/>
      <c r="HM213" s="15"/>
      <c r="HN213" s="15"/>
      <c r="HO213" s="15"/>
      <c r="HP213" s="15"/>
      <c r="HQ213" s="15"/>
      <c r="HR213"/>
      <c r="HS213"/>
      <c r="HT213"/>
      <c r="HU213"/>
      <c r="HV213"/>
      <c r="HW213"/>
      <c r="HX213"/>
      <c r="HY213"/>
      <c r="HZ213"/>
      <c r="IA213"/>
      <c r="IB213"/>
      <c r="IC213"/>
      <c r="ID213"/>
      <c r="IE213"/>
      <c r="IF213"/>
      <c r="IG213"/>
      <c r="IH213"/>
      <c r="II213"/>
      <c r="IJ213"/>
      <c r="IK213" s="14"/>
      <c r="IL213" s="14"/>
      <c r="IM213" s="14"/>
      <c r="IN213" s="14"/>
      <c r="IO213" s="14"/>
      <c r="IP213" s="14"/>
      <c r="IQ213" s="14"/>
    </row>
    <row r="214" spans="1:251" s="31" customFormat="1">
      <c r="A214" s="146" t="s">
        <v>363</v>
      </c>
      <c r="B214" s="15"/>
      <c r="C214" s="15"/>
      <c r="D214" s="15"/>
      <c r="E214" s="15"/>
      <c r="F214" s="15"/>
      <c r="G214" s="15"/>
      <c r="H214" s="15"/>
      <c r="I214" s="15"/>
      <c r="J214" s="15"/>
      <c r="K214" s="15"/>
      <c r="L214" s="15"/>
      <c r="M214" s="15"/>
      <c r="N214" s="15"/>
      <c r="O214" s="15"/>
      <c r="P214" s="325">
        <v>3.5000000000000003E-2</v>
      </c>
      <c r="Q214" s="325">
        <v>0.03</v>
      </c>
      <c r="R214" s="325">
        <v>0.01</v>
      </c>
      <c r="S214" s="350">
        <f t="shared" ref="S214:X214" si="238">R214</f>
        <v>0.01</v>
      </c>
      <c r="T214" s="86">
        <f t="shared" si="238"/>
        <v>0.01</v>
      </c>
      <c r="U214" s="86">
        <f t="shared" si="238"/>
        <v>0.01</v>
      </c>
      <c r="V214" s="86">
        <f t="shared" si="238"/>
        <v>0.01</v>
      </c>
      <c r="W214" s="86">
        <f t="shared" si="238"/>
        <v>0.01</v>
      </c>
      <c r="X214" s="86">
        <f t="shared" si="238"/>
        <v>0.01</v>
      </c>
      <c r="Y214" s="86">
        <f t="shared" ref="Y214:AG214" si="239">X214</f>
        <v>0.01</v>
      </c>
      <c r="Z214" s="86">
        <f t="shared" si="239"/>
        <v>0.01</v>
      </c>
      <c r="AA214" s="86">
        <f t="shared" si="239"/>
        <v>0.01</v>
      </c>
      <c r="AB214" s="86">
        <f t="shared" si="239"/>
        <v>0.01</v>
      </c>
      <c r="AC214" s="86">
        <f t="shared" si="239"/>
        <v>0.01</v>
      </c>
      <c r="AD214" s="86">
        <f t="shared" si="239"/>
        <v>0.01</v>
      </c>
      <c r="AE214" s="86">
        <f t="shared" si="239"/>
        <v>0.01</v>
      </c>
      <c r="AF214" s="86">
        <f t="shared" si="239"/>
        <v>0.01</v>
      </c>
      <c r="AG214" s="86">
        <f t="shared" si="239"/>
        <v>0.01</v>
      </c>
      <c r="AH214" s="15"/>
      <c r="AI214" s="15"/>
      <c r="AJ214" s="15"/>
      <c r="AK214" s="15"/>
      <c r="AL214" s="15"/>
      <c r="AM214" s="15"/>
      <c r="AN214" s="15"/>
      <c r="AO214" s="15"/>
      <c r="AP214" s="15"/>
      <c r="AQ214" s="15"/>
      <c r="AR214" s="15"/>
      <c r="AS214" s="15"/>
      <c r="AT214" s="15"/>
      <c r="AU214" s="15"/>
      <c r="AV214" s="15"/>
      <c r="AW214" s="15"/>
      <c r="AX214" s="15"/>
      <c r="AY214" s="15"/>
      <c r="AZ214" s="15"/>
      <c r="BA214" s="15"/>
      <c r="BB214" s="15"/>
      <c r="BC214" s="15"/>
      <c r="BD214" s="15"/>
      <c r="BE214" s="15"/>
      <c r="BF214" s="15"/>
      <c r="BG214" s="15"/>
      <c r="BH214" s="15"/>
      <c r="BI214" s="15"/>
      <c r="BJ214" s="15"/>
      <c r="BK214" s="15"/>
      <c r="BL214" s="15"/>
      <c r="BM214" s="15"/>
      <c r="BN214" s="15"/>
      <c r="BO214" s="15"/>
      <c r="BP214" s="15"/>
      <c r="BQ214" s="15"/>
      <c r="BR214" s="15"/>
      <c r="BS214" s="15"/>
      <c r="BT214" s="15"/>
      <c r="BU214" s="15"/>
      <c r="BV214" s="15"/>
      <c r="BW214" s="15"/>
      <c r="BX214" s="15"/>
      <c r="BY214" s="15"/>
      <c r="BZ214" s="15"/>
      <c r="CA214" s="15"/>
      <c r="CB214" s="15"/>
      <c r="CC214" s="15"/>
      <c r="CD214" s="15"/>
      <c r="CE214" s="15"/>
      <c r="CF214" s="15"/>
      <c r="CG214" s="15"/>
      <c r="CH214" s="15"/>
      <c r="CI214" s="15"/>
      <c r="CJ214" s="15"/>
      <c r="CK214" s="15"/>
      <c r="CL214" s="15"/>
      <c r="CM214" s="15"/>
      <c r="CN214" s="15"/>
      <c r="CO214" s="15"/>
      <c r="CP214" s="15"/>
      <c r="CQ214" s="15"/>
      <c r="CR214" s="15"/>
      <c r="CS214" s="15"/>
      <c r="CT214" s="15"/>
      <c r="CU214" s="15"/>
      <c r="CV214" s="15"/>
      <c r="CW214" s="15"/>
      <c r="CX214" s="15"/>
      <c r="CY214" s="15"/>
      <c r="CZ214" s="15"/>
      <c r="DA214" s="15"/>
      <c r="DB214" s="15"/>
      <c r="DC214" s="15"/>
      <c r="DD214" s="15"/>
      <c r="DE214" s="15"/>
      <c r="DF214" s="15"/>
      <c r="DG214" s="15"/>
      <c r="DH214" s="15"/>
      <c r="DI214" s="15"/>
      <c r="DJ214" s="15"/>
      <c r="DK214" s="15"/>
      <c r="DL214" s="15"/>
      <c r="DM214" s="15"/>
      <c r="DN214" s="15"/>
      <c r="DO214" s="15"/>
      <c r="DP214" s="15"/>
      <c r="DQ214" s="15"/>
      <c r="DR214" s="15"/>
      <c r="DS214" s="15"/>
      <c r="DT214" s="15"/>
      <c r="DU214" s="15"/>
      <c r="DV214" s="15"/>
      <c r="DW214" s="15"/>
      <c r="DX214" s="15"/>
      <c r="DY214" s="15"/>
      <c r="DZ214" s="15"/>
      <c r="EA214" s="15"/>
      <c r="EB214" s="15"/>
      <c r="EC214" s="15"/>
      <c r="ED214" s="15"/>
      <c r="EE214" s="15"/>
      <c r="EF214" s="15"/>
      <c r="EG214" s="15"/>
      <c r="EH214" s="15"/>
      <c r="EI214" s="15"/>
      <c r="EJ214" s="15"/>
      <c r="EK214" s="15"/>
      <c r="EL214" s="15"/>
      <c r="EM214" s="15"/>
      <c r="EN214" s="15"/>
      <c r="EO214" s="15"/>
      <c r="EP214" s="15"/>
      <c r="EQ214" s="15"/>
      <c r="ER214" s="15"/>
      <c r="ES214" s="15"/>
      <c r="ET214" s="15"/>
      <c r="EU214" s="15"/>
      <c r="EV214" s="15"/>
      <c r="EW214" s="15"/>
      <c r="EX214" s="15"/>
      <c r="EY214" s="15"/>
      <c r="EZ214" s="15"/>
      <c r="FA214" s="15"/>
      <c r="FB214" s="15"/>
      <c r="FC214" s="15"/>
      <c r="FD214" s="15"/>
      <c r="FE214" s="15"/>
      <c r="FF214" s="15"/>
      <c r="FG214" s="15"/>
      <c r="FH214" s="15"/>
      <c r="FI214" s="15"/>
      <c r="FJ214" s="15"/>
      <c r="FK214" s="15"/>
      <c r="FL214" s="15"/>
      <c r="FM214" s="15"/>
      <c r="FN214" s="15"/>
      <c r="FO214" s="15"/>
      <c r="FP214" s="15"/>
      <c r="FQ214" s="15"/>
      <c r="FR214" s="15"/>
      <c r="FS214" s="15"/>
      <c r="FT214" s="15"/>
      <c r="FU214" s="15"/>
      <c r="FV214" s="15"/>
      <c r="FW214" s="15"/>
      <c r="FX214" s="15"/>
      <c r="FY214" s="15"/>
      <c r="FZ214" s="15"/>
      <c r="GA214" s="15"/>
      <c r="GB214" s="15"/>
      <c r="GC214" s="15"/>
      <c r="GD214" s="15"/>
      <c r="GE214" s="15"/>
      <c r="GF214" s="15"/>
      <c r="GG214" s="15"/>
      <c r="GH214" s="15"/>
      <c r="GI214" s="15"/>
      <c r="GJ214" s="15"/>
      <c r="GK214" s="15"/>
      <c r="GL214" s="15"/>
      <c r="GM214" s="15"/>
      <c r="GN214" s="15"/>
      <c r="GO214" s="15"/>
      <c r="GP214" s="15"/>
      <c r="GQ214" s="15"/>
      <c r="GR214" s="15"/>
      <c r="GS214" s="15"/>
      <c r="GT214" s="15"/>
      <c r="GU214" s="15"/>
      <c r="GV214" s="15"/>
      <c r="GW214" s="15"/>
      <c r="GX214" s="15"/>
      <c r="GY214" s="15"/>
      <c r="GZ214" s="15"/>
      <c r="HA214" s="15"/>
      <c r="HB214" s="15"/>
      <c r="HC214" s="15"/>
      <c r="HD214" s="15"/>
      <c r="HE214" s="15"/>
      <c r="HF214" s="15"/>
      <c r="HG214" s="15"/>
      <c r="HH214" s="15"/>
      <c r="HI214" s="15"/>
      <c r="HJ214" s="15"/>
      <c r="HK214" s="15"/>
      <c r="HL214" s="15"/>
      <c r="HM214" s="15"/>
      <c r="HN214" s="15"/>
      <c r="HO214" s="15"/>
      <c r="HP214" s="15"/>
      <c r="HQ214" s="15"/>
      <c r="HR214"/>
      <c r="HS214"/>
      <c r="HT214"/>
      <c r="HU214"/>
      <c r="HV214"/>
      <c r="HW214"/>
      <c r="HX214"/>
      <c r="HY214"/>
      <c r="HZ214"/>
      <c r="IA214"/>
      <c r="IB214"/>
      <c r="IC214"/>
      <c r="ID214"/>
      <c r="IE214"/>
      <c r="IF214"/>
      <c r="IG214"/>
      <c r="IH214"/>
      <c r="II214"/>
      <c r="IJ214"/>
      <c r="IK214" s="14"/>
      <c r="IL214" s="14"/>
      <c r="IM214" s="14"/>
      <c r="IN214" s="14"/>
      <c r="IO214" s="14"/>
      <c r="IP214" s="14"/>
      <c r="IQ214" s="14"/>
    </row>
    <row r="215" spans="1:251" s="31" customFormat="1" ht="6" customHeight="1">
      <c r="A215" s="146"/>
      <c r="B215" s="15"/>
      <c r="C215" s="15"/>
      <c r="D215" s="15"/>
      <c r="E215" s="15"/>
      <c r="F215" s="15"/>
      <c r="G215" s="15"/>
      <c r="H215" s="15"/>
      <c r="I215" s="15"/>
      <c r="J215" s="15"/>
      <c r="K215" s="15"/>
      <c r="L215" s="15"/>
      <c r="M215" s="15"/>
      <c r="N215" s="15"/>
      <c r="O215" s="15"/>
      <c r="P215" s="43"/>
      <c r="Q215" s="43"/>
      <c r="R215" s="43"/>
      <c r="S215" s="43"/>
      <c r="T215" s="43"/>
      <c r="U215" s="43"/>
      <c r="V215" s="43"/>
      <c r="W215" s="43"/>
      <c r="X215" s="43"/>
      <c r="Y215" s="43"/>
      <c r="Z215" s="43"/>
      <c r="AA215" s="43"/>
      <c r="AB215" s="43"/>
      <c r="AC215" s="43"/>
      <c r="AD215" s="43"/>
      <c r="AE215" s="43"/>
      <c r="AF215" s="43"/>
      <c r="AG215" s="43"/>
      <c r="AH215" s="15"/>
      <c r="AI215" s="15"/>
      <c r="AJ215" s="15"/>
      <c r="AK215" s="15"/>
      <c r="AL215" s="15"/>
      <c r="AM215" s="15"/>
      <c r="AN215" s="15"/>
      <c r="AO215" s="15"/>
      <c r="AP215" s="15"/>
      <c r="AQ215" s="15"/>
      <c r="AR215" s="15"/>
      <c r="AS215" s="15"/>
      <c r="AT215" s="15"/>
      <c r="AU215" s="15"/>
      <c r="AV215" s="15"/>
      <c r="AW215" s="15"/>
      <c r="AX215" s="15"/>
      <c r="AY215" s="15"/>
      <c r="AZ215" s="15"/>
      <c r="BA215" s="15"/>
      <c r="BB215" s="15"/>
      <c r="BC215" s="15"/>
      <c r="BD215" s="15"/>
      <c r="BE215" s="15"/>
      <c r="BF215" s="15"/>
      <c r="BG215" s="15"/>
      <c r="BH215" s="15"/>
      <c r="BI215" s="15"/>
      <c r="BJ215" s="15"/>
      <c r="BK215" s="15"/>
      <c r="BL215" s="15"/>
      <c r="BM215" s="15"/>
      <c r="BN215" s="15"/>
      <c r="BO215" s="15"/>
      <c r="BP215" s="15"/>
      <c r="BQ215" s="15"/>
      <c r="BR215" s="15"/>
      <c r="BS215" s="15"/>
      <c r="BT215" s="15"/>
      <c r="BU215" s="15"/>
      <c r="BV215" s="15"/>
      <c r="BW215" s="15"/>
      <c r="BX215" s="15"/>
      <c r="BY215" s="15"/>
      <c r="BZ215" s="15"/>
      <c r="CA215" s="15"/>
      <c r="CB215" s="15"/>
      <c r="CC215" s="15"/>
      <c r="CD215" s="15"/>
      <c r="CE215" s="15"/>
      <c r="CF215" s="15"/>
      <c r="CG215" s="15"/>
      <c r="CH215" s="15"/>
      <c r="CI215" s="15"/>
      <c r="CJ215" s="15"/>
      <c r="CK215" s="15"/>
      <c r="CL215" s="15"/>
      <c r="CM215" s="15"/>
      <c r="CN215" s="15"/>
      <c r="CO215" s="15"/>
      <c r="CP215" s="15"/>
      <c r="CQ215" s="15"/>
      <c r="CR215" s="15"/>
      <c r="CS215" s="15"/>
      <c r="CT215" s="15"/>
      <c r="CU215" s="15"/>
      <c r="CV215" s="15"/>
      <c r="CW215" s="15"/>
      <c r="CX215" s="15"/>
      <c r="CY215" s="15"/>
      <c r="CZ215" s="15"/>
      <c r="DA215" s="15"/>
      <c r="DB215" s="15"/>
      <c r="DC215" s="15"/>
      <c r="DD215" s="15"/>
      <c r="DE215" s="15"/>
      <c r="DF215" s="15"/>
      <c r="DG215" s="15"/>
      <c r="DH215" s="15"/>
      <c r="DI215" s="15"/>
      <c r="DJ215" s="15"/>
      <c r="DK215" s="15"/>
      <c r="DL215" s="15"/>
      <c r="DM215" s="15"/>
      <c r="DN215" s="15"/>
      <c r="DO215" s="15"/>
      <c r="DP215" s="15"/>
      <c r="DQ215" s="15"/>
      <c r="DR215" s="15"/>
      <c r="DS215" s="15"/>
      <c r="DT215" s="15"/>
      <c r="DU215" s="15"/>
      <c r="DV215" s="15"/>
      <c r="DW215" s="15"/>
      <c r="DX215" s="15"/>
      <c r="DY215" s="15"/>
      <c r="DZ215" s="15"/>
      <c r="EA215" s="15"/>
      <c r="EB215" s="15"/>
      <c r="EC215" s="15"/>
      <c r="ED215" s="15"/>
      <c r="EE215" s="15"/>
      <c r="EF215" s="15"/>
      <c r="EG215" s="15"/>
      <c r="EH215" s="15"/>
      <c r="EI215" s="15"/>
      <c r="EJ215" s="15"/>
      <c r="EK215" s="15"/>
      <c r="EL215" s="15"/>
      <c r="EM215" s="15"/>
      <c r="EN215" s="15"/>
      <c r="EO215" s="15"/>
      <c r="EP215" s="15"/>
      <c r="EQ215" s="15"/>
      <c r="ER215" s="15"/>
      <c r="ES215" s="15"/>
      <c r="ET215" s="15"/>
      <c r="EU215" s="15"/>
      <c r="EV215" s="15"/>
      <c r="EW215" s="15"/>
      <c r="EX215" s="15"/>
      <c r="EY215" s="15"/>
      <c r="EZ215" s="15"/>
      <c r="FA215" s="15"/>
      <c r="FB215" s="15"/>
      <c r="FC215" s="15"/>
      <c r="FD215" s="15"/>
      <c r="FE215" s="15"/>
      <c r="FF215" s="15"/>
      <c r="FG215" s="15"/>
      <c r="FH215" s="15"/>
      <c r="FI215" s="15"/>
      <c r="FJ215" s="15"/>
      <c r="FK215" s="15"/>
      <c r="FL215" s="15"/>
      <c r="FM215" s="15"/>
      <c r="FN215" s="15"/>
      <c r="FO215" s="15"/>
      <c r="FP215" s="15"/>
      <c r="FQ215" s="15"/>
      <c r="FR215" s="15"/>
      <c r="FS215" s="15"/>
      <c r="FT215" s="15"/>
      <c r="FU215" s="15"/>
      <c r="FV215" s="15"/>
      <c r="FW215" s="15"/>
      <c r="FX215" s="15"/>
      <c r="FY215" s="15"/>
      <c r="FZ215" s="15"/>
      <c r="GA215" s="15"/>
      <c r="GB215" s="15"/>
      <c r="GC215" s="15"/>
      <c r="GD215" s="15"/>
      <c r="GE215" s="15"/>
      <c r="GF215" s="15"/>
      <c r="GG215" s="15"/>
      <c r="GH215" s="15"/>
      <c r="GI215" s="15"/>
      <c r="GJ215" s="15"/>
      <c r="GK215" s="15"/>
      <c r="GL215" s="15"/>
      <c r="GM215" s="15"/>
      <c r="GN215" s="15"/>
      <c r="GO215" s="15"/>
      <c r="GP215" s="15"/>
      <c r="GQ215" s="15"/>
      <c r="GR215" s="15"/>
      <c r="GS215" s="15"/>
      <c r="GT215" s="15"/>
      <c r="GU215" s="15"/>
      <c r="GV215" s="15"/>
      <c r="GW215" s="15"/>
      <c r="GX215" s="15"/>
      <c r="GY215" s="15"/>
      <c r="GZ215" s="15"/>
      <c r="HA215" s="15"/>
      <c r="HB215" s="15"/>
      <c r="HC215" s="15"/>
      <c r="HD215" s="15"/>
      <c r="HE215" s="15"/>
      <c r="HF215" s="15"/>
      <c r="HG215" s="15"/>
      <c r="HH215" s="15"/>
      <c r="HI215" s="15"/>
      <c r="HJ215" s="15"/>
      <c r="HK215" s="15"/>
      <c r="HL215" s="15"/>
      <c r="HM215" s="15"/>
      <c r="HN215" s="15"/>
      <c r="HO215" s="15"/>
      <c r="HP215" s="15"/>
      <c r="HQ215" s="15"/>
      <c r="HR215"/>
      <c r="HS215"/>
      <c r="HT215"/>
      <c r="HU215"/>
      <c r="HV215"/>
      <c r="HW215"/>
      <c r="HX215"/>
      <c r="HY215"/>
      <c r="HZ215"/>
      <c r="IA215"/>
      <c r="IB215"/>
      <c r="IC215"/>
      <c r="ID215"/>
      <c r="IE215"/>
      <c r="IF215"/>
      <c r="IG215"/>
      <c r="IH215"/>
      <c r="II215"/>
      <c r="IJ215"/>
      <c r="IK215" s="14"/>
      <c r="IL215" s="14"/>
      <c r="IM215" s="14"/>
      <c r="IN215" s="14"/>
      <c r="IO215" s="14"/>
      <c r="IP215" s="14"/>
      <c r="IQ215" s="14"/>
    </row>
    <row r="216" spans="1:251" s="31" customFormat="1">
      <c r="A216" s="146" t="s">
        <v>257</v>
      </c>
      <c r="B216" s="15"/>
      <c r="C216" s="15"/>
      <c r="D216" s="15"/>
      <c r="E216" s="15"/>
      <c r="F216" s="15"/>
      <c r="G216" s="15"/>
      <c r="H216" s="15"/>
      <c r="I216" s="15"/>
      <c r="J216" s="15"/>
      <c r="K216" s="15"/>
      <c r="L216" s="15"/>
      <c r="M216" s="15"/>
      <c r="N216" s="15"/>
      <c r="O216" s="15"/>
      <c r="P216" s="81">
        <v>6000</v>
      </c>
      <c r="Q216" s="81">
        <v>0</v>
      </c>
      <c r="R216" s="81">
        <v>0</v>
      </c>
      <c r="S216" s="81">
        <v>0</v>
      </c>
      <c r="T216" s="81">
        <v>0</v>
      </c>
      <c r="U216" s="81">
        <v>0</v>
      </c>
      <c r="V216" s="81">
        <v>0</v>
      </c>
      <c r="W216" s="81">
        <v>0</v>
      </c>
      <c r="X216" s="81">
        <v>0</v>
      </c>
      <c r="Y216" s="81">
        <v>0</v>
      </c>
      <c r="Z216" s="81">
        <v>0</v>
      </c>
      <c r="AA216" s="81">
        <v>0</v>
      </c>
      <c r="AB216" s="81">
        <v>0</v>
      </c>
      <c r="AC216" s="81">
        <v>0</v>
      </c>
      <c r="AD216" s="81">
        <v>0</v>
      </c>
      <c r="AE216" s="81">
        <v>0</v>
      </c>
      <c r="AF216" s="81">
        <v>0</v>
      </c>
      <c r="AG216" s="81">
        <v>0</v>
      </c>
      <c r="AH216" s="15"/>
      <c r="AI216" s="15"/>
      <c r="AJ216" s="15"/>
      <c r="AK216" s="15"/>
      <c r="AL216" s="15"/>
      <c r="AM216" s="15"/>
      <c r="AN216" s="15"/>
      <c r="AO216" s="15"/>
      <c r="AP216" s="15"/>
      <c r="AQ216" s="15"/>
      <c r="AR216" s="15"/>
      <c r="AS216" s="15"/>
      <c r="AT216" s="15"/>
      <c r="AU216" s="15"/>
      <c r="AV216" s="15"/>
      <c r="AW216" s="15"/>
      <c r="AX216" s="15"/>
      <c r="AY216" s="15"/>
      <c r="AZ216" s="15"/>
      <c r="BA216" s="15"/>
      <c r="BB216" s="15"/>
      <c r="BC216" s="15"/>
      <c r="BD216" s="15"/>
      <c r="BE216" s="15"/>
      <c r="BF216" s="15"/>
      <c r="BG216" s="15"/>
      <c r="BH216" s="15"/>
      <c r="BI216" s="15"/>
      <c r="BJ216" s="15"/>
      <c r="BK216" s="15"/>
      <c r="BL216" s="15"/>
      <c r="BM216" s="15"/>
      <c r="BN216" s="15"/>
      <c r="BO216" s="15"/>
      <c r="BP216" s="15"/>
      <c r="BQ216" s="15"/>
      <c r="BR216" s="15"/>
      <c r="BS216" s="15"/>
      <c r="BT216" s="15"/>
      <c r="BU216" s="15"/>
      <c r="BV216" s="15"/>
      <c r="BW216" s="15"/>
      <c r="BX216" s="15"/>
      <c r="BY216" s="15"/>
      <c r="BZ216" s="15"/>
      <c r="CA216" s="15"/>
      <c r="CB216" s="15"/>
      <c r="CC216" s="15"/>
      <c r="CD216" s="15"/>
      <c r="CE216" s="15"/>
      <c r="CF216" s="15"/>
      <c r="CG216" s="15"/>
      <c r="CH216" s="15"/>
      <c r="CI216" s="15"/>
      <c r="CJ216" s="15"/>
      <c r="CK216" s="15"/>
      <c r="CL216" s="15"/>
      <c r="CM216" s="15"/>
      <c r="CN216" s="15"/>
      <c r="CO216" s="15"/>
      <c r="CP216" s="15"/>
      <c r="CQ216" s="15"/>
      <c r="CR216" s="15"/>
      <c r="CS216" s="15"/>
      <c r="CT216" s="15"/>
      <c r="CU216" s="15"/>
      <c r="CV216" s="15"/>
      <c r="CW216" s="15"/>
      <c r="CX216" s="15"/>
      <c r="CY216" s="15"/>
      <c r="CZ216" s="15"/>
      <c r="DA216" s="15"/>
      <c r="DB216" s="15"/>
      <c r="DC216" s="15"/>
      <c r="DD216" s="15"/>
      <c r="DE216" s="15"/>
      <c r="DF216" s="15"/>
      <c r="DG216" s="15"/>
      <c r="DH216" s="15"/>
      <c r="DI216" s="15"/>
      <c r="DJ216" s="15"/>
      <c r="DK216" s="15"/>
      <c r="DL216" s="15"/>
      <c r="DM216" s="15"/>
      <c r="DN216" s="15"/>
      <c r="DO216" s="15"/>
      <c r="DP216" s="15"/>
      <c r="DQ216" s="15"/>
      <c r="DR216" s="15"/>
      <c r="DS216" s="15"/>
      <c r="DT216" s="15"/>
      <c r="DU216" s="15"/>
      <c r="DV216" s="15"/>
      <c r="DW216" s="15"/>
      <c r="DX216" s="15"/>
      <c r="DY216" s="15"/>
      <c r="DZ216" s="15"/>
      <c r="EA216" s="15"/>
      <c r="EB216" s="15"/>
      <c r="EC216" s="15"/>
      <c r="ED216" s="15"/>
      <c r="EE216" s="15"/>
      <c r="EF216" s="15"/>
      <c r="EG216" s="15"/>
      <c r="EH216" s="15"/>
      <c r="EI216" s="15"/>
      <c r="EJ216" s="15"/>
      <c r="EK216" s="15"/>
      <c r="EL216" s="15"/>
      <c r="EM216" s="15"/>
      <c r="EN216" s="15"/>
      <c r="EO216" s="15"/>
      <c r="EP216" s="15"/>
      <c r="EQ216" s="15"/>
      <c r="ER216" s="15"/>
      <c r="ES216" s="15"/>
      <c r="ET216" s="15"/>
      <c r="EU216" s="15"/>
      <c r="EV216" s="15"/>
      <c r="EW216" s="15"/>
      <c r="EX216" s="15"/>
      <c r="EY216" s="15"/>
      <c r="EZ216" s="15"/>
      <c r="FA216" s="15"/>
      <c r="FB216" s="15"/>
      <c r="FC216" s="15"/>
      <c r="FD216" s="15"/>
      <c r="FE216" s="15"/>
      <c r="FF216" s="15"/>
      <c r="FG216" s="15"/>
      <c r="FH216" s="15"/>
      <c r="FI216" s="15"/>
      <c r="FJ216" s="15"/>
      <c r="FK216" s="15"/>
      <c r="FL216" s="15"/>
      <c r="FM216" s="15"/>
      <c r="FN216" s="15"/>
      <c r="FO216" s="15"/>
      <c r="FP216" s="15"/>
      <c r="FQ216" s="15"/>
      <c r="FR216" s="15"/>
      <c r="FS216" s="15"/>
      <c r="FT216" s="15"/>
      <c r="FU216" s="15"/>
      <c r="FV216" s="15"/>
      <c r="FW216" s="15"/>
      <c r="FX216" s="15"/>
      <c r="FY216" s="15"/>
      <c r="FZ216" s="15"/>
      <c r="GA216" s="15"/>
      <c r="GB216" s="15"/>
      <c r="GC216" s="15"/>
      <c r="GD216" s="15"/>
      <c r="GE216" s="15"/>
      <c r="GF216" s="15"/>
      <c r="GG216" s="15"/>
      <c r="GH216" s="15"/>
      <c r="GI216" s="15"/>
      <c r="GJ216" s="15"/>
      <c r="GK216" s="15"/>
      <c r="GL216" s="15"/>
      <c r="GM216" s="15"/>
      <c r="GN216" s="15"/>
      <c r="GO216" s="15"/>
      <c r="GP216" s="15"/>
      <c r="GQ216" s="15"/>
      <c r="GR216" s="15"/>
      <c r="GS216" s="15"/>
      <c r="GT216" s="15"/>
      <c r="GU216" s="15"/>
      <c r="GV216" s="15"/>
      <c r="GW216" s="15"/>
      <c r="GX216" s="15"/>
      <c r="GY216" s="15"/>
      <c r="GZ216" s="15"/>
      <c r="HA216" s="15"/>
      <c r="HB216" s="15"/>
      <c r="HC216" s="15"/>
      <c r="HD216" s="15"/>
      <c r="HE216" s="15"/>
      <c r="HF216" s="15"/>
      <c r="HG216" s="15"/>
      <c r="HH216" s="15"/>
      <c r="HI216" s="15"/>
      <c r="HJ216" s="15"/>
      <c r="HK216" s="15"/>
      <c r="HL216" s="15"/>
      <c r="HM216" s="15"/>
      <c r="HN216" s="15"/>
      <c r="HO216" s="15"/>
      <c r="HP216" s="15"/>
      <c r="HQ216" s="15"/>
      <c r="HR216"/>
      <c r="HS216"/>
      <c r="HT216"/>
      <c r="HU216"/>
      <c r="HV216"/>
      <c r="HW216"/>
      <c r="HX216"/>
      <c r="HY216"/>
      <c r="HZ216"/>
      <c r="IA216"/>
      <c r="IB216"/>
      <c r="IC216"/>
      <c r="ID216"/>
      <c r="IE216"/>
      <c r="IF216"/>
      <c r="IG216"/>
      <c r="IH216"/>
      <c r="II216"/>
      <c r="IJ216"/>
      <c r="IK216" s="14"/>
      <c r="IL216" s="14"/>
      <c r="IM216" s="14"/>
      <c r="IN216" s="14"/>
      <c r="IO216" s="14"/>
      <c r="IP216" s="14"/>
      <c r="IQ216" s="14"/>
    </row>
    <row r="217" spans="1:251" s="31" customFormat="1">
      <c r="A217" s="146" t="s">
        <v>363</v>
      </c>
      <c r="B217" s="15"/>
      <c r="C217" s="15"/>
      <c r="D217" s="15"/>
      <c r="E217" s="15"/>
      <c r="F217" s="15"/>
      <c r="G217" s="15"/>
      <c r="H217" s="15"/>
      <c r="I217" s="15"/>
      <c r="J217" s="15"/>
      <c r="K217" s="15"/>
      <c r="L217" s="15"/>
      <c r="M217" s="15"/>
      <c r="N217" s="15"/>
      <c r="O217" s="15"/>
      <c r="P217" s="86">
        <v>0.02</v>
      </c>
      <c r="Q217" s="86">
        <v>0</v>
      </c>
      <c r="R217" s="86">
        <v>0</v>
      </c>
      <c r="S217" s="86">
        <v>0</v>
      </c>
      <c r="T217" s="86">
        <v>0</v>
      </c>
      <c r="U217" s="86">
        <v>0</v>
      </c>
      <c r="V217" s="86">
        <v>0</v>
      </c>
      <c r="W217" s="86">
        <v>0</v>
      </c>
      <c r="X217" s="86">
        <v>0</v>
      </c>
      <c r="Y217" s="86">
        <v>0</v>
      </c>
      <c r="Z217" s="86">
        <v>0</v>
      </c>
      <c r="AA217" s="86">
        <v>0</v>
      </c>
      <c r="AB217" s="86">
        <v>0</v>
      </c>
      <c r="AC217" s="86">
        <v>0</v>
      </c>
      <c r="AD217" s="86">
        <v>0</v>
      </c>
      <c r="AE217" s="86">
        <v>0</v>
      </c>
      <c r="AF217" s="86">
        <v>0</v>
      </c>
      <c r="AG217" s="86">
        <v>0</v>
      </c>
      <c r="AH217" s="15"/>
      <c r="AI217" s="15"/>
      <c r="AJ217" s="15"/>
      <c r="AK217" s="15"/>
      <c r="AL217" s="15"/>
      <c r="AM217" s="15"/>
      <c r="AN217" s="15"/>
      <c r="AO217" s="15"/>
      <c r="AP217" s="15"/>
      <c r="AQ217" s="15"/>
      <c r="AR217" s="15"/>
      <c r="AS217" s="15"/>
      <c r="AT217" s="15"/>
      <c r="AU217" s="15"/>
      <c r="AV217" s="15"/>
      <c r="AW217" s="15"/>
      <c r="AX217" s="15"/>
      <c r="AY217" s="15"/>
      <c r="AZ217" s="15"/>
      <c r="BA217" s="15"/>
      <c r="BB217" s="15"/>
      <c r="BC217" s="15"/>
      <c r="BD217" s="15"/>
      <c r="BE217" s="15"/>
      <c r="BF217" s="15"/>
      <c r="BG217" s="15"/>
      <c r="BH217" s="15"/>
      <c r="BI217" s="15"/>
      <c r="BJ217" s="15"/>
      <c r="BK217" s="15"/>
      <c r="BL217" s="15"/>
      <c r="BM217" s="15"/>
      <c r="BN217" s="15"/>
      <c r="BO217" s="15"/>
      <c r="BP217" s="15"/>
      <c r="BQ217" s="15"/>
      <c r="BR217" s="15"/>
      <c r="BS217" s="15"/>
      <c r="BT217" s="15"/>
      <c r="BU217" s="15"/>
      <c r="BV217" s="15"/>
      <c r="BW217" s="15"/>
      <c r="BX217" s="15"/>
      <c r="BY217" s="15"/>
      <c r="BZ217" s="15"/>
      <c r="CA217" s="15"/>
      <c r="CB217" s="15"/>
      <c r="CC217" s="15"/>
      <c r="CD217" s="15"/>
      <c r="CE217" s="15"/>
      <c r="CF217" s="15"/>
      <c r="CG217" s="15"/>
      <c r="CH217" s="15"/>
      <c r="CI217" s="15"/>
      <c r="CJ217" s="15"/>
      <c r="CK217" s="15"/>
      <c r="CL217" s="15"/>
      <c r="CM217" s="15"/>
      <c r="CN217" s="15"/>
      <c r="CO217" s="15"/>
      <c r="CP217" s="15"/>
      <c r="CQ217" s="15"/>
      <c r="CR217" s="15"/>
      <c r="CS217" s="15"/>
      <c r="CT217" s="15"/>
      <c r="CU217" s="15"/>
      <c r="CV217" s="15"/>
      <c r="CW217" s="15"/>
      <c r="CX217" s="15"/>
      <c r="CY217" s="15"/>
      <c r="CZ217" s="15"/>
      <c r="DA217" s="15"/>
      <c r="DB217" s="15"/>
      <c r="DC217" s="15"/>
      <c r="DD217" s="15"/>
      <c r="DE217" s="15"/>
      <c r="DF217" s="15"/>
      <c r="DG217" s="15"/>
      <c r="DH217" s="15"/>
      <c r="DI217" s="15"/>
      <c r="DJ217" s="15"/>
      <c r="DK217" s="15"/>
      <c r="DL217" s="15"/>
      <c r="DM217" s="15"/>
      <c r="DN217" s="15"/>
      <c r="DO217" s="15"/>
      <c r="DP217" s="15"/>
      <c r="DQ217" s="15"/>
      <c r="DR217" s="15"/>
      <c r="DS217" s="15"/>
      <c r="DT217" s="15"/>
      <c r="DU217" s="15"/>
      <c r="DV217" s="15"/>
      <c r="DW217" s="15"/>
      <c r="DX217" s="15"/>
      <c r="DY217" s="15"/>
      <c r="DZ217" s="15"/>
      <c r="EA217" s="15"/>
      <c r="EB217" s="15"/>
      <c r="EC217" s="15"/>
      <c r="ED217" s="15"/>
      <c r="EE217" s="15"/>
      <c r="EF217" s="15"/>
      <c r="EG217" s="15"/>
      <c r="EH217" s="15"/>
      <c r="EI217" s="15"/>
      <c r="EJ217" s="15"/>
      <c r="EK217" s="15"/>
      <c r="EL217" s="15"/>
      <c r="EM217" s="15"/>
      <c r="EN217" s="15"/>
      <c r="EO217" s="15"/>
      <c r="EP217" s="15"/>
      <c r="EQ217" s="15"/>
      <c r="ER217" s="15"/>
      <c r="ES217" s="15"/>
      <c r="ET217" s="15"/>
      <c r="EU217" s="15"/>
      <c r="EV217" s="15"/>
      <c r="EW217" s="15"/>
      <c r="EX217" s="15"/>
      <c r="EY217" s="15"/>
      <c r="EZ217" s="15"/>
      <c r="FA217" s="15"/>
      <c r="FB217" s="15"/>
      <c r="FC217" s="15"/>
      <c r="FD217" s="15"/>
      <c r="FE217" s="15"/>
      <c r="FF217" s="15"/>
      <c r="FG217" s="15"/>
      <c r="FH217" s="15"/>
      <c r="FI217" s="15"/>
      <c r="FJ217" s="15"/>
      <c r="FK217" s="15"/>
      <c r="FL217" s="15"/>
      <c r="FM217" s="15"/>
      <c r="FN217" s="15"/>
      <c r="FO217" s="15"/>
      <c r="FP217" s="15"/>
      <c r="FQ217" s="15"/>
      <c r="FR217" s="15"/>
      <c r="FS217" s="15"/>
      <c r="FT217" s="15"/>
      <c r="FU217" s="15"/>
      <c r="FV217" s="15"/>
      <c r="FW217" s="15"/>
      <c r="FX217" s="15"/>
      <c r="FY217" s="15"/>
      <c r="FZ217" s="15"/>
      <c r="GA217" s="15"/>
      <c r="GB217" s="15"/>
      <c r="GC217" s="15"/>
      <c r="GD217" s="15"/>
      <c r="GE217" s="15"/>
      <c r="GF217" s="15"/>
      <c r="GG217" s="15"/>
      <c r="GH217" s="15"/>
      <c r="GI217" s="15"/>
      <c r="GJ217" s="15"/>
      <c r="GK217" s="15"/>
      <c r="GL217" s="15"/>
      <c r="GM217" s="15"/>
      <c r="GN217" s="15"/>
      <c r="GO217" s="15"/>
      <c r="GP217" s="15"/>
      <c r="GQ217" s="15"/>
      <c r="GR217" s="15"/>
      <c r="GS217" s="15"/>
      <c r="GT217" s="15"/>
      <c r="GU217" s="15"/>
      <c r="GV217" s="15"/>
      <c r="GW217" s="15"/>
      <c r="GX217" s="15"/>
      <c r="GY217" s="15"/>
      <c r="GZ217" s="15"/>
      <c r="HA217" s="15"/>
      <c r="HB217" s="15"/>
      <c r="HC217" s="15"/>
      <c r="HD217" s="15"/>
      <c r="HE217" s="15"/>
      <c r="HF217" s="15"/>
      <c r="HG217" s="15"/>
      <c r="HH217" s="15"/>
      <c r="HI217" s="15"/>
      <c r="HJ217" s="15"/>
      <c r="HK217" s="15"/>
      <c r="HL217" s="15"/>
      <c r="HM217" s="15"/>
      <c r="HN217" s="15"/>
      <c r="HO217" s="15"/>
      <c r="HP217" s="15"/>
      <c r="HQ217" s="15"/>
      <c r="HR217"/>
      <c r="HS217"/>
      <c r="HT217"/>
      <c r="HU217"/>
      <c r="HV217"/>
      <c r="HW217"/>
      <c r="HX217"/>
      <c r="HY217"/>
      <c r="HZ217"/>
      <c r="IA217"/>
      <c r="IB217"/>
      <c r="IC217"/>
      <c r="ID217"/>
      <c r="IE217"/>
      <c r="IF217"/>
      <c r="IG217"/>
      <c r="IH217"/>
      <c r="II217"/>
      <c r="IJ217"/>
      <c r="IK217" s="14"/>
      <c r="IL217" s="14"/>
      <c r="IM217" s="14"/>
      <c r="IN217" s="14"/>
      <c r="IO217" s="14"/>
      <c r="IP217" s="14"/>
      <c r="IQ217" s="14"/>
    </row>
    <row r="218" spans="1:251" s="31" customFormat="1">
      <c r="A218" s="146" t="s">
        <v>528</v>
      </c>
      <c r="B218" s="15"/>
      <c r="C218" s="15"/>
      <c r="D218" s="15"/>
      <c r="E218" s="15"/>
      <c r="F218" s="15"/>
      <c r="G218" s="15"/>
      <c r="H218" s="15"/>
      <c r="I218" s="15"/>
      <c r="J218" s="15"/>
      <c r="K218" s="15"/>
      <c r="L218" s="15"/>
      <c r="M218" s="15"/>
      <c r="N218" s="15"/>
      <c r="O218" s="15"/>
      <c r="P218" s="43">
        <v>2</v>
      </c>
      <c r="Q218" s="43">
        <v>0</v>
      </c>
      <c r="R218" s="43">
        <v>0</v>
      </c>
      <c r="S218" s="43">
        <v>0</v>
      </c>
      <c r="T218" s="43">
        <v>0</v>
      </c>
      <c r="U218" s="43">
        <v>0</v>
      </c>
      <c r="V218" s="43">
        <v>0</v>
      </c>
      <c r="W218" s="43">
        <v>0</v>
      </c>
      <c r="X218" s="43">
        <v>0</v>
      </c>
      <c r="Y218" s="43">
        <v>0</v>
      </c>
      <c r="Z218" s="43">
        <v>0</v>
      </c>
      <c r="AA218" s="43">
        <v>0</v>
      </c>
      <c r="AB218" s="43">
        <v>0</v>
      </c>
      <c r="AC218" s="43">
        <v>0</v>
      </c>
      <c r="AD218" s="43">
        <v>0</v>
      </c>
      <c r="AE218" s="43">
        <v>0</v>
      </c>
      <c r="AF218" s="43">
        <v>0</v>
      </c>
      <c r="AG218" s="43">
        <v>0</v>
      </c>
      <c r="AH218" s="15"/>
      <c r="AI218" s="15"/>
      <c r="AJ218" s="15"/>
      <c r="AK218" s="15"/>
      <c r="AL218" s="15"/>
      <c r="AM218" s="15"/>
      <c r="AN218" s="15"/>
      <c r="AO218" s="15"/>
      <c r="AP218" s="15"/>
      <c r="AQ218" s="15"/>
      <c r="AR218" s="15"/>
      <c r="AS218" s="15"/>
      <c r="AT218" s="15"/>
      <c r="AU218" s="15"/>
      <c r="AV218" s="15"/>
      <c r="AW218" s="15"/>
      <c r="AX218" s="15"/>
      <c r="AY218" s="15"/>
      <c r="AZ218" s="15"/>
      <c r="BA218" s="15"/>
      <c r="BB218" s="15"/>
      <c r="BC218" s="15"/>
      <c r="BD218" s="15"/>
      <c r="BE218" s="15"/>
      <c r="BF218" s="15"/>
      <c r="BG218" s="15"/>
      <c r="BH218" s="15"/>
      <c r="BI218" s="15"/>
      <c r="BJ218" s="15"/>
      <c r="BK218" s="15"/>
      <c r="BL218" s="15"/>
      <c r="BM218" s="15"/>
      <c r="BN218" s="15"/>
      <c r="BO218" s="15"/>
      <c r="BP218" s="15"/>
      <c r="BQ218" s="15"/>
      <c r="BR218" s="15"/>
      <c r="BS218" s="15"/>
      <c r="BT218" s="15"/>
      <c r="BU218" s="15"/>
      <c r="BV218" s="15"/>
      <c r="BW218" s="15"/>
      <c r="BX218" s="15"/>
      <c r="BY218" s="15"/>
      <c r="BZ218" s="15"/>
      <c r="CA218" s="15"/>
      <c r="CB218" s="15"/>
      <c r="CC218" s="15"/>
      <c r="CD218" s="15"/>
      <c r="CE218" s="15"/>
      <c r="CF218" s="15"/>
      <c r="CG218" s="15"/>
      <c r="CH218" s="15"/>
      <c r="CI218" s="15"/>
      <c r="CJ218" s="15"/>
      <c r="CK218" s="15"/>
      <c r="CL218" s="15"/>
      <c r="CM218" s="15"/>
      <c r="CN218" s="15"/>
      <c r="CO218" s="15"/>
      <c r="CP218" s="15"/>
      <c r="CQ218" s="15"/>
      <c r="CR218" s="15"/>
      <c r="CS218" s="15"/>
      <c r="CT218" s="15"/>
      <c r="CU218" s="15"/>
      <c r="CV218" s="15"/>
      <c r="CW218" s="15"/>
      <c r="CX218" s="15"/>
      <c r="CY218" s="15"/>
      <c r="CZ218" s="15"/>
      <c r="DA218" s="15"/>
      <c r="DB218" s="15"/>
      <c r="DC218" s="15"/>
      <c r="DD218" s="15"/>
      <c r="DE218" s="15"/>
      <c r="DF218" s="15"/>
      <c r="DG218" s="15"/>
      <c r="DH218" s="15"/>
      <c r="DI218" s="15"/>
      <c r="DJ218" s="15"/>
      <c r="DK218" s="15"/>
      <c r="DL218" s="15"/>
      <c r="DM218" s="15"/>
      <c r="DN218" s="15"/>
      <c r="DO218" s="15"/>
      <c r="DP218" s="15"/>
      <c r="DQ218" s="15"/>
      <c r="DR218" s="15"/>
      <c r="DS218" s="15"/>
      <c r="DT218" s="15"/>
      <c r="DU218" s="15"/>
      <c r="DV218" s="15"/>
      <c r="DW218" s="15"/>
      <c r="DX218" s="15"/>
      <c r="DY218" s="15"/>
      <c r="DZ218" s="15"/>
      <c r="EA218" s="15"/>
      <c r="EB218" s="15"/>
      <c r="EC218" s="15"/>
      <c r="ED218" s="15"/>
      <c r="EE218" s="15"/>
      <c r="EF218" s="15"/>
      <c r="EG218" s="15"/>
      <c r="EH218" s="15"/>
      <c r="EI218" s="15"/>
      <c r="EJ218" s="15"/>
      <c r="EK218" s="15"/>
      <c r="EL218" s="15"/>
      <c r="EM218" s="15"/>
      <c r="EN218" s="15"/>
      <c r="EO218" s="15"/>
      <c r="EP218" s="15"/>
      <c r="EQ218" s="15"/>
      <c r="ER218" s="15"/>
      <c r="ES218" s="15"/>
      <c r="ET218" s="15"/>
      <c r="EU218" s="15"/>
      <c r="EV218" s="15"/>
      <c r="EW218" s="15"/>
      <c r="EX218" s="15"/>
      <c r="EY218" s="15"/>
      <c r="EZ218" s="15"/>
      <c r="FA218" s="15"/>
      <c r="FB218" s="15"/>
      <c r="FC218" s="15"/>
      <c r="FD218" s="15"/>
      <c r="FE218" s="15"/>
      <c r="FF218" s="15"/>
      <c r="FG218" s="15"/>
      <c r="FH218" s="15"/>
      <c r="FI218" s="15"/>
      <c r="FJ218" s="15"/>
      <c r="FK218" s="15"/>
      <c r="FL218" s="15"/>
      <c r="FM218" s="15"/>
      <c r="FN218" s="15"/>
      <c r="FO218" s="15"/>
      <c r="FP218" s="15"/>
      <c r="FQ218" s="15"/>
      <c r="FR218" s="15"/>
      <c r="FS218" s="15"/>
      <c r="FT218" s="15"/>
      <c r="FU218" s="15"/>
      <c r="FV218" s="15"/>
      <c r="FW218" s="15"/>
      <c r="FX218" s="15"/>
      <c r="FY218" s="15"/>
      <c r="FZ218" s="15"/>
      <c r="GA218" s="15"/>
      <c r="GB218" s="15"/>
      <c r="GC218" s="15"/>
      <c r="GD218" s="15"/>
      <c r="GE218" s="15"/>
      <c r="GF218" s="15"/>
      <c r="GG218" s="15"/>
      <c r="GH218" s="15"/>
      <c r="GI218" s="15"/>
      <c r="GJ218" s="15"/>
      <c r="GK218" s="15"/>
      <c r="GL218" s="15"/>
      <c r="GM218" s="15"/>
      <c r="GN218" s="15"/>
      <c r="GO218" s="15"/>
      <c r="GP218" s="15"/>
      <c r="GQ218" s="15"/>
      <c r="GR218" s="15"/>
      <c r="GS218" s="15"/>
      <c r="GT218" s="15"/>
      <c r="GU218" s="15"/>
      <c r="GV218" s="15"/>
      <c r="GW218" s="15"/>
      <c r="GX218" s="15"/>
      <c r="GY218" s="15"/>
      <c r="GZ218" s="15"/>
      <c r="HA218" s="15"/>
      <c r="HB218" s="15"/>
      <c r="HC218" s="15"/>
      <c r="HD218" s="15"/>
      <c r="HE218" s="15"/>
      <c r="HF218" s="15"/>
      <c r="HG218" s="15"/>
      <c r="HH218" s="15"/>
      <c r="HI218" s="15"/>
      <c r="HJ218" s="15"/>
      <c r="HK218" s="15"/>
      <c r="HL218" s="15"/>
      <c r="HM218" s="15"/>
      <c r="HN218" s="15"/>
      <c r="HO218" s="15"/>
      <c r="HP218" s="15"/>
      <c r="HQ218" s="15"/>
      <c r="HR218"/>
      <c r="HS218"/>
      <c r="HT218"/>
      <c r="HU218"/>
      <c r="HV218"/>
      <c r="HW218"/>
      <c r="HX218"/>
      <c r="HY218"/>
      <c r="HZ218"/>
      <c r="IA218"/>
      <c r="IB218"/>
      <c r="IC218"/>
      <c r="ID218"/>
      <c r="IE218"/>
      <c r="IF218"/>
      <c r="IG218"/>
      <c r="IH218"/>
      <c r="II218"/>
      <c r="IJ218"/>
      <c r="IK218" s="14"/>
      <c r="IL218" s="14"/>
      <c r="IM218" s="14"/>
      <c r="IN218" s="14"/>
      <c r="IO218" s="14"/>
      <c r="IP218" s="14"/>
      <c r="IQ218" s="14"/>
    </row>
    <row r="219" spans="1:251" s="31" customFormat="1" ht="6" customHeight="1">
      <c r="A219" s="146"/>
      <c r="B219" s="15"/>
      <c r="C219" s="15"/>
      <c r="D219" s="15"/>
      <c r="E219" s="15"/>
      <c r="F219" s="15"/>
      <c r="G219" s="15"/>
      <c r="H219" s="15"/>
      <c r="I219" s="15"/>
      <c r="J219" s="15"/>
      <c r="K219" s="15"/>
      <c r="L219" s="15"/>
      <c r="M219" s="15"/>
      <c r="N219" s="15"/>
      <c r="O219" s="15"/>
      <c r="P219" s="43"/>
      <c r="Q219" s="43"/>
      <c r="R219" s="43"/>
      <c r="S219" s="43"/>
      <c r="T219" s="43"/>
      <c r="U219" s="43"/>
      <c r="V219" s="43"/>
      <c r="W219" s="43"/>
      <c r="X219" s="43"/>
      <c r="Y219" s="43"/>
      <c r="Z219" s="43"/>
      <c r="AA219" s="43"/>
      <c r="AB219" s="43"/>
      <c r="AC219" s="43"/>
      <c r="AD219" s="43"/>
      <c r="AE219" s="43"/>
      <c r="AF219" s="43"/>
      <c r="AG219" s="43"/>
      <c r="AH219" s="15"/>
      <c r="AI219" s="15"/>
      <c r="AJ219" s="15"/>
      <c r="AK219" s="15"/>
      <c r="AL219" s="15"/>
      <c r="AM219" s="15"/>
      <c r="AN219" s="15"/>
      <c r="AO219" s="15"/>
      <c r="AP219" s="15"/>
      <c r="AQ219" s="15"/>
      <c r="AR219" s="15"/>
      <c r="AS219" s="15"/>
      <c r="AT219" s="15"/>
      <c r="AU219" s="15"/>
      <c r="AV219" s="15"/>
      <c r="AW219" s="15"/>
      <c r="AX219" s="15"/>
      <c r="AY219" s="15"/>
      <c r="AZ219" s="15"/>
      <c r="BA219" s="15"/>
      <c r="BB219" s="15"/>
      <c r="BC219" s="15"/>
      <c r="BD219" s="15"/>
      <c r="BE219" s="15"/>
      <c r="BF219" s="15"/>
      <c r="BG219" s="15"/>
      <c r="BH219" s="15"/>
      <c r="BI219" s="15"/>
      <c r="BJ219" s="15"/>
      <c r="BK219" s="15"/>
      <c r="BL219" s="15"/>
      <c r="BM219" s="15"/>
      <c r="BN219" s="15"/>
      <c r="BO219" s="15"/>
      <c r="BP219" s="15"/>
      <c r="BQ219" s="15"/>
      <c r="BR219" s="15"/>
      <c r="BS219" s="15"/>
      <c r="BT219" s="15"/>
      <c r="BU219" s="15"/>
      <c r="BV219" s="15"/>
      <c r="BW219" s="15"/>
      <c r="BX219" s="15"/>
      <c r="BY219" s="15"/>
      <c r="BZ219" s="15"/>
      <c r="CA219" s="15"/>
      <c r="CB219" s="15"/>
      <c r="CC219" s="15"/>
      <c r="CD219" s="15"/>
      <c r="CE219" s="15"/>
      <c r="CF219" s="15"/>
      <c r="CG219" s="15"/>
      <c r="CH219" s="15"/>
      <c r="CI219" s="15"/>
      <c r="CJ219" s="15"/>
      <c r="CK219" s="15"/>
      <c r="CL219" s="15"/>
      <c r="CM219" s="15"/>
      <c r="CN219" s="15"/>
      <c r="CO219" s="15"/>
      <c r="CP219" s="15"/>
      <c r="CQ219" s="15"/>
      <c r="CR219" s="15"/>
      <c r="CS219" s="15"/>
      <c r="CT219" s="15"/>
      <c r="CU219" s="15"/>
      <c r="CV219" s="15"/>
      <c r="CW219" s="15"/>
      <c r="CX219" s="15"/>
      <c r="CY219" s="15"/>
      <c r="CZ219" s="15"/>
      <c r="DA219" s="15"/>
      <c r="DB219" s="15"/>
      <c r="DC219" s="15"/>
      <c r="DD219" s="15"/>
      <c r="DE219" s="15"/>
      <c r="DF219" s="15"/>
      <c r="DG219" s="15"/>
      <c r="DH219" s="15"/>
      <c r="DI219" s="15"/>
      <c r="DJ219" s="15"/>
      <c r="DK219" s="15"/>
      <c r="DL219" s="15"/>
      <c r="DM219" s="15"/>
      <c r="DN219" s="15"/>
      <c r="DO219" s="15"/>
      <c r="DP219" s="15"/>
      <c r="DQ219" s="15"/>
      <c r="DR219" s="15"/>
      <c r="DS219" s="15"/>
      <c r="DT219" s="15"/>
      <c r="DU219" s="15"/>
      <c r="DV219" s="15"/>
      <c r="DW219" s="15"/>
      <c r="DX219" s="15"/>
      <c r="DY219" s="15"/>
      <c r="DZ219" s="15"/>
      <c r="EA219" s="15"/>
      <c r="EB219" s="15"/>
      <c r="EC219" s="15"/>
      <c r="ED219" s="15"/>
      <c r="EE219" s="15"/>
      <c r="EF219" s="15"/>
      <c r="EG219" s="15"/>
      <c r="EH219" s="15"/>
      <c r="EI219" s="15"/>
      <c r="EJ219" s="15"/>
      <c r="EK219" s="15"/>
      <c r="EL219" s="15"/>
      <c r="EM219" s="15"/>
      <c r="EN219" s="15"/>
      <c r="EO219" s="15"/>
      <c r="EP219" s="15"/>
      <c r="EQ219" s="15"/>
      <c r="ER219" s="15"/>
      <c r="ES219" s="15"/>
      <c r="ET219" s="15"/>
      <c r="EU219" s="15"/>
      <c r="EV219" s="15"/>
      <c r="EW219" s="15"/>
      <c r="EX219" s="15"/>
      <c r="EY219" s="15"/>
      <c r="EZ219" s="15"/>
      <c r="FA219" s="15"/>
      <c r="FB219" s="15"/>
      <c r="FC219" s="15"/>
      <c r="FD219" s="15"/>
      <c r="FE219" s="15"/>
      <c r="FF219" s="15"/>
      <c r="FG219" s="15"/>
      <c r="FH219" s="15"/>
      <c r="FI219" s="15"/>
      <c r="FJ219" s="15"/>
      <c r="FK219" s="15"/>
      <c r="FL219" s="15"/>
      <c r="FM219" s="15"/>
      <c r="FN219" s="15"/>
      <c r="FO219" s="15"/>
      <c r="FP219" s="15"/>
      <c r="FQ219" s="15"/>
      <c r="FR219" s="15"/>
      <c r="FS219" s="15"/>
      <c r="FT219" s="15"/>
      <c r="FU219" s="15"/>
      <c r="FV219" s="15"/>
      <c r="FW219" s="15"/>
      <c r="FX219" s="15"/>
      <c r="FY219" s="15"/>
      <c r="FZ219" s="15"/>
      <c r="GA219" s="15"/>
      <c r="GB219" s="15"/>
      <c r="GC219" s="15"/>
      <c r="GD219" s="15"/>
      <c r="GE219" s="15"/>
      <c r="GF219" s="15"/>
      <c r="GG219" s="15"/>
      <c r="GH219" s="15"/>
      <c r="GI219" s="15"/>
      <c r="GJ219" s="15"/>
      <c r="GK219" s="15"/>
      <c r="GL219" s="15"/>
      <c r="GM219" s="15"/>
      <c r="GN219" s="15"/>
      <c r="GO219" s="15"/>
      <c r="GP219" s="15"/>
      <c r="GQ219" s="15"/>
      <c r="GR219" s="15"/>
      <c r="GS219" s="15"/>
      <c r="GT219" s="15"/>
      <c r="GU219" s="15"/>
      <c r="GV219" s="15"/>
      <c r="GW219" s="15"/>
      <c r="GX219" s="15"/>
      <c r="GY219" s="15"/>
      <c r="GZ219" s="15"/>
      <c r="HA219" s="15"/>
      <c r="HB219" s="15"/>
      <c r="HC219" s="15"/>
      <c r="HD219" s="15"/>
      <c r="HE219" s="15"/>
      <c r="HF219" s="15"/>
      <c r="HG219" s="15"/>
      <c r="HH219" s="15"/>
      <c r="HI219" s="15"/>
      <c r="HJ219" s="15"/>
      <c r="HK219" s="15"/>
      <c r="HL219" s="15"/>
      <c r="HM219" s="15"/>
      <c r="HN219" s="15"/>
      <c r="HO219" s="15"/>
      <c r="HP219" s="15"/>
      <c r="HQ219" s="15"/>
      <c r="HR219"/>
      <c r="HS219"/>
      <c r="HT219"/>
      <c r="HU219"/>
      <c r="HV219"/>
      <c r="HW219"/>
      <c r="HX219"/>
      <c r="HY219"/>
      <c r="HZ219"/>
      <c r="IA219"/>
      <c r="IB219"/>
      <c r="IC219"/>
      <c r="ID219"/>
      <c r="IE219"/>
      <c r="IF219"/>
      <c r="IG219"/>
      <c r="IH219"/>
      <c r="II219"/>
      <c r="IJ219"/>
      <c r="IK219" s="14"/>
      <c r="IL219" s="14"/>
      <c r="IM219" s="14"/>
      <c r="IN219" s="14"/>
      <c r="IO219" s="14"/>
      <c r="IP219" s="14"/>
      <c r="IQ219" s="14"/>
    </row>
    <row r="220" spans="1:251" s="31" customFormat="1">
      <c r="A220" s="146" t="s">
        <v>616</v>
      </c>
      <c r="B220" s="15"/>
      <c r="C220" s="15"/>
      <c r="D220" s="15"/>
      <c r="E220" s="15"/>
      <c r="F220" s="15"/>
      <c r="G220" s="15"/>
      <c r="H220" s="15"/>
      <c r="I220" s="15"/>
      <c r="J220" s="15"/>
      <c r="K220" s="15"/>
      <c r="L220" s="15"/>
      <c r="M220" s="15"/>
      <c r="N220" s="15"/>
      <c r="O220" s="15"/>
      <c r="P220" s="81">
        <f t="shared" ref="P220:U220" si="240">AVERAGE(P212:P213)*P214+P216*P217*P218/12</f>
        <v>138.26500000000001</v>
      </c>
      <c r="Q220" s="81">
        <f t="shared" si="240"/>
        <v>56.805</v>
      </c>
      <c r="R220" s="81">
        <f t="shared" si="240"/>
        <v>20.925000000000001</v>
      </c>
      <c r="S220" s="81">
        <f t="shared" si="240"/>
        <v>27.92</v>
      </c>
      <c r="T220" s="81">
        <f t="shared" si="240"/>
        <v>30.85</v>
      </c>
      <c r="U220" s="81">
        <f t="shared" si="240"/>
        <v>30.375</v>
      </c>
      <c r="V220" s="81">
        <f t="shared" ref="V220:AB220" si="241">AVERAGE(V212:V213)*V214+V216*V217*V218/12</f>
        <v>32.480000000000004</v>
      </c>
      <c r="W220" s="81">
        <f t="shared" si="241"/>
        <v>28.45</v>
      </c>
      <c r="X220" s="81">
        <f t="shared" ref="X220" si="242">AVERAGE(X212:X213)*X214+X216*X217*X218/12</f>
        <v>34.69</v>
      </c>
      <c r="Y220" s="81">
        <f t="shared" si="241"/>
        <v>35.605733816546547</v>
      </c>
      <c r="Z220" s="81">
        <f t="shared" ca="1" si="241"/>
        <v>25.826900824380235</v>
      </c>
      <c r="AA220" s="81">
        <f t="shared" ca="1" si="241"/>
        <v>21.774969645342264</v>
      </c>
      <c r="AB220" s="81">
        <f t="shared" ca="1" si="241"/>
        <v>18.841377938355034</v>
      </c>
      <c r="AC220" s="81">
        <f ca="1">AVERAGE(AC212:AC213)*AC214+AC216*AC217*AC218/12</f>
        <v>21.625766818376977</v>
      </c>
      <c r="AD220" s="81">
        <f ca="1">AVERAGE(AD212:AD213)*AD214+AD216*AD217*AD218/12</f>
        <v>24.844676715795977</v>
      </c>
      <c r="AE220" s="81">
        <f ca="1">AVERAGE(AE212:AE213)*AE214+AE216*AE217*AE218/12</f>
        <v>29.080572399993553</v>
      </c>
      <c r="AF220" s="81">
        <f ca="1">AVERAGE(AF212:AF213)*AF214+AF216*AF217*AF218/12</f>
        <v>34.376331600163262</v>
      </c>
      <c r="AG220" s="81">
        <f ca="1">AVERAGE(AG212:AG213)*AG214+AG216*AG217*AG218/12</f>
        <v>40.774841794241084</v>
      </c>
      <c r="AH220" s="15"/>
      <c r="AI220" s="15"/>
      <c r="AJ220" s="15"/>
      <c r="AK220" s="15"/>
      <c r="AL220" s="15"/>
      <c r="AM220" s="15"/>
      <c r="AN220" s="15"/>
      <c r="AO220" s="15"/>
      <c r="AP220" s="15"/>
      <c r="AQ220" s="15"/>
      <c r="AR220" s="15"/>
      <c r="AS220" s="15"/>
      <c r="AT220" s="15"/>
      <c r="AU220" s="15"/>
      <c r="AV220" s="15"/>
      <c r="AW220" s="15"/>
      <c r="AX220" s="15"/>
      <c r="AY220" s="15"/>
      <c r="AZ220" s="15"/>
      <c r="BA220" s="15"/>
      <c r="BB220" s="15"/>
      <c r="BC220" s="15"/>
      <c r="BD220" s="15"/>
      <c r="BE220" s="15"/>
      <c r="BF220" s="15"/>
      <c r="BG220" s="15"/>
      <c r="BH220" s="15"/>
      <c r="BI220" s="15"/>
      <c r="BJ220" s="15"/>
      <c r="BK220" s="15"/>
      <c r="BL220" s="15"/>
      <c r="BM220" s="15"/>
      <c r="BN220" s="15"/>
      <c r="BO220" s="15"/>
      <c r="BP220" s="15"/>
      <c r="BQ220" s="15"/>
      <c r="BR220" s="15"/>
      <c r="BS220" s="15"/>
      <c r="BT220" s="15"/>
      <c r="BU220" s="15"/>
      <c r="BV220" s="15"/>
      <c r="BW220" s="15"/>
      <c r="BX220" s="15"/>
      <c r="BY220" s="15"/>
      <c r="BZ220" s="15"/>
      <c r="CA220" s="15"/>
      <c r="CB220" s="15"/>
      <c r="CC220" s="15"/>
      <c r="CD220" s="15"/>
      <c r="CE220" s="15"/>
      <c r="CF220" s="15"/>
      <c r="CG220" s="15"/>
      <c r="CH220" s="15"/>
      <c r="CI220" s="15"/>
      <c r="CJ220" s="15"/>
      <c r="CK220" s="15"/>
      <c r="CL220" s="15"/>
      <c r="CM220" s="15"/>
      <c r="CN220" s="15"/>
      <c r="CO220" s="15"/>
      <c r="CP220" s="15"/>
      <c r="CQ220" s="15"/>
      <c r="CR220" s="15"/>
      <c r="CS220" s="15"/>
      <c r="CT220" s="15"/>
      <c r="CU220" s="15"/>
      <c r="CV220" s="15"/>
      <c r="CW220" s="15"/>
      <c r="CX220" s="15"/>
      <c r="CY220" s="15"/>
      <c r="CZ220" s="15"/>
      <c r="DA220" s="15"/>
      <c r="DB220" s="15"/>
      <c r="DC220" s="15"/>
      <c r="DD220" s="15"/>
      <c r="DE220" s="15"/>
      <c r="DF220" s="15"/>
      <c r="DG220" s="15"/>
      <c r="DH220" s="15"/>
      <c r="DI220" s="15"/>
      <c r="DJ220" s="15"/>
      <c r="DK220" s="15"/>
      <c r="DL220" s="15"/>
      <c r="DM220" s="15"/>
      <c r="DN220" s="15"/>
      <c r="DO220" s="15"/>
      <c r="DP220" s="15"/>
      <c r="DQ220" s="15"/>
      <c r="DR220" s="15"/>
      <c r="DS220" s="15"/>
      <c r="DT220" s="15"/>
      <c r="DU220" s="15"/>
      <c r="DV220" s="15"/>
      <c r="DW220" s="15"/>
      <c r="DX220" s="15"/>
      <c r="DY220" s="15"/>
      <c r="DZ220" s="15"/>
      <c r="EA220" s="15"/>
      <c r="EB220" s="15"/>
      <c r="EC220" s="15"/>
      <c r="ED220" s="15"/>
      <c r="EE220" s="15"/>
      <c r="EF220" s="15"/>
      <c r="EG220" s="15"/>
      <c r="EH220" s="15"/>
      <c r="EI220" s="15"/>
      <c r="EJ220" s="15"/>
      <c r="EK220" s="15"/>
      <c r="EL220" s="15"/>
      <c r="EM220" s="15"/>
      <c r="EN220" s="15"/>
      <c r="EO220" s="15"/>
      <c r="EP220" s="15"/>
      <c r="EQ220" s="15"/>
      <c r="ER220" s="15"/>
      <c r="ES220" s="15"/>
      <c r="ET220" s="15"/>
      <c r="EU220" s="15"/>
      <c r="EV220" s="15"/>
      <c r="EW220" s="15"/>
      <c r="EX220" s="15"/>
      <c r="EY220" s="15"/>
      <c r="EZ220" s="15"/>
      <c r="FA220" s="15"/>
      <c r="FB220" s="15"/>
      <c r="FC220" s="15"/>
      <c r="FD220" s="15"/>
      <c r="FE220" s="15"/>
      <c r="FF220" s="15"/>
      <c r="FG220" s="15"/>
      <c r="FH220" s="15"/>
      <c r="FI220" s="15"/>
      <c r="FJ220" s="15"/>
      <c r="FK220" s="15"/>
      <c r="FL220" s="15"/>
      <c r="FM220" s="15"/>
      <c r="FN220" s="15"/>
      <c r="FO220" s="15"/>
      <c r="FP220" s="15"/>
      <c r="FQ220" s="15"/>
      <c r="FR220" s="15"/>
      <c r="FS220" s="15"/>
      <c r="FT220" s="15"/>
      <c r="FU220" s="15"/>
      <c r="FV220" s="15"/>
      <c r="FW220" s="15"/>
      <c r="FX220" s="15"/>
      <c r="FY220" s="15"/>
      <c r="FZ220" s="15"/>
      <c r="GA220" s="15"/>
      <c r="GB220" s="15"/>
      <c r="GC220" s="15"/>
      <c r="GD220" s="15"/>
      <c r="GE220" s="15"/>
      <c r="GF220" s="15"/>
      <c r="GG220" s="15"/>
      <c r="GH220" s="15"/>
      <c r="GI220" s="15"/>
      <c r="GJ220" s="15"/>
      <c r="GK220" s="15"/>
      <c r="GL220" s="15"/>
      <c r="GM220" s="15"/>
      <c r="GN220" s="15"/>
      <c r="GO220" s="15"/>
      <c r="GP220" s="15"/>
      <c r="GQ220" s="15"/>
      <c r="GR220" s="15"/>
      <c r="GS220" s="15"/>
      <c r="GT220" s="15"/>
      <c r="GU220" s="15"/>
      <c r="GV220" s="15"/>
      <c r="GW220" s="15"/>
      <c r="GX220" s="15"/>
      <c r="GY220" s="15"/>
      <c r="GZ220" s="15"/>
      <c r="HA220" s="15"/>
      <c r="HB220" s="15"/>
      <c r="HC220" s="15"/>
      <c r="HD220" s="15"/>
      <c r="HE220" s="15"/>
      <c r="HF220" s="15"/>
      <c r="HG220" s="15"/>
      <c r="HH220" s="15"/>
      <c r="HI220" s="15"/>
      <c r="HJ220" s="15"/>
      <c r="HK220" s="15"/>
      <c r="HL220" s="15"/>
      <c r="HM220" s="15"/>
      <c r="HN220" s="15"/>
      <c r="HO220" s="15"/>
      <c r="HP220" s="15"/>
      <c r="HQ220" s="15"/>
      <c r="HR220"/>
      <c r="HS220"/>
      <c r="HT220"/>
      <c r="HU220"/>
      <c r="HV220"/>
      <c r="HW220"/>
      <c r="HX220"/>
      <c r="HY220"/>
      <c r="HZ220"/>
      <c r="IA220"/>
      <c r="IB220"/>
      <c r="IC220"/>
      <c r="ID220"/>
      <c r="IE220"/>
      <c r="IF220"/>
      <c r="IG220"/>
      <c r="IH220"/>
      <c r="II220"/>
      <c r="IJ220"/>
      <c r="IK220" s="14"/>
      <c r="IL220" s="14"/>
      <c r="IM220" s="14"/>
      <c r="IN220" s="14"/>
      <c r="IO220" s="14"/>
      <c r="IP220" s="14"/>
      <c r="IQ220" s="14"/>
    </row>
    <row r="221" spans="1:251" s="31" customFormat="1">
      <c r="A221" s="146" t="s">
        <v>629</v>
      </c>
      <c r="B221" s="15"/>
      <c r="C221" s="15"/>
      <c r="D221" s="15"/>
      <c r="E221" s="15"/>
      <c r="F221" s="15"/>
      <c r="G221" s="15"/>
      <c r="H221" s="15"/>
      <c r="I221" s="15"/>
      <c r="J221" s="15"/>
      <c r="K221" s="15"/>
      <c r="L221" s="15"/>
      <c r="M221" s="15"/>
      <c r="N221" s="15"/>
      <c r="O221" s="15"/>
      <c r="P221" s="43">
        <f t="shared" ref="P221:U221" si="243">P216*P217*(P218/12)</f>
        <v>20</v>
      </c>
      <c r="Q221" s="43">
        <f t="shared" si="243"/>
        <v>0</v>
      </c>
      <c r="R221" s="43">
        <f t="shared" si="243"/>
        <v>0</v>
      </c>
      <c r="S221" s="43">
        <f t="shared" si="243"/>
        <v>0</v>
      </c>
      <c r="T221" s="43">
        <f t="shared" si="243"/>
        <v>0</v>
      </c>
      <c r="U221" s="43">
        <f t="shared" si="243"/>
        <v>0</v>
      </c>
      <c r="V221" s="43">
        <f t="shared" ref="V221:AB221" si="244">V216*V217*(V218/12)</f>
        <v>0</v>
      </c>
      <c r="W221" s="43">
        <f t="shared" si="244"/>
        <v>0</v>
      </c>
      <c r="X221" s="43">
        <f t="shared" ref="X221" si="245">X216*X217*(X218/12)</f>
        <v>0</v>
      </c>
      <c r="Y221" s="43">
        <f t="shared" si="244"/>
        <v>0</v>
      </c>
      <c r="Z221" s="43">
        <f t="shared" si="244"/>
        <v>0</v>
      </c>
      <c r="AA221" s="43">
        <f t="shared" si="244"/>
        <v>0</v>
      </c>
      <c r="AB221" s="43">
        <f t="shared" si="244"/>
        <v>0</v>
      </c>
      <c r="AC221" s="43">
        <f>AC216*AC217*(AC218/12)</f>
        <v>0</v>
      </c>
      <c r="AD221" s="43">
        <f>AD216*AD217*(AD218/12)</f>
        <v>0</v>
      </c>
      <c r="AE221" s="43">
        <f>AE216*AE217*(AE218/12)</f>
        <v>0</v>
      </c>
      <c r="AF221" s="43">
        <f>AF216*AF217*(AF218/12)</f>
        <v>0</v>
      </c>
      <c r="AG221" s="43">
        <f>AG216*AG217*(AG218/12)</f>
        <v>0</v>
      </c>
      <c r="AH221" s="15"/>
      <c r="AI221" s="15"/>
      <c r="AJ221" s="15"/>
      <c r="AK221" s="15"/>
      <c r="AL221" s="15"/>
      <c r="AM221" s="15"/>
      <c r="AN221" s="15"/>
      <c r="AO221" s="15"/>
      <c r="AP221" s="15"/>
      <c r="AQ221" s="15"/>
      <c r="AR221" s="15"/>
      <c r="AS221" s="15"/>
      <c r="AT221" s="15"/>
      <c r="AU221" s="15"/>
      <c r="AV221" s="15"/>
      <c r="AW221" s="15"/>
      <c r="AX221" s="15"/>
      <c r="AY221" s="15"/>
      <c r="AZ221" s="15"/>
      <c r="BA221" s="15"/>
      <c r="BB221" s="15"/>
      <c r="BC221" s="15"/>
      <c r="BD221" s="15"/>
      <c r="BE221" s="15"/>
      <c r="BF221" s="15"/>
      <c r="BG221" s="15"/>
      <c r="BH221" s="15"/>
      <c r="BI221" s="15"/>
      <c r="BJ221" s="15"/>
      <c r="BK221" s="15"/>
      <c r="BL221" s="15"/>
      <c r="BM221" s="15"/>
      <c r="BN221" s="15"/>
      <c r="BO221" s="15"/>
      <c r="BP221" s="15"/>
      <c r="BQ221" s="15"/>
      <c r="BR221" s="15"/>
      <c r="BS221" s="15"/>
      <c r="BT221" s="15"/>
      <c r="BU221" s="15"/>
      <c r="BV221" s="15"/>
      <c r="BW221" s="15"/>
      <c r="BX221" s="15"/>
      <c r="BY221" s="15"/>
      <c r="BZ221" s="15"/>
      <c r="CA221" s="15"/>
      <c r="CB221" s="15"/>
      <c r="CC221" s="15"/>
      <c r="CD221" s="15"/>
      <c r="CE221" s="15"/>
      <c r="CF221" s="15"/>
      <c r="CG221" s="15"/>
      <c r="CH221" s="15"/>
      <c r="CI221" s="15"/>
      <c r="CJ221" s="15"/>
      <c r="CK221" s="15"/>
      <c r="CL221" s="15"/>
      <c r="CM221" s="15"/>
      <c r="CN221" s="15"/>
      <c r="CO221" s="15"/>
      <c r="CP221" s="15"/>
      <c r="CQ221" s="15"/>
      <c r="CR221" s="15"/>
      <c r="CS221" s="15"/>
      <c r="CT221" s="15"/>
      <c r="CU221" s="15"/>
      <c r="CV221" s="15"/>
      <c r="CW221" s="15"/>
      <c r="CX221" s="15"/>
      <c r="CY221" s="15"/>
      <c r="CZ221" s="15"/>
      <c r="DA221" s="15"/>
      <c r="DB221" s="15"/>
      <c r="DC221" s="15"/>
      <c r="DD221" s="15"/>
      <c r="DE221" s="15"/>
      <c r="DF221" s="15"/>
      <c r="DG221" s="15"/>
      <c r="DH221" s="15"/>
      <c r="DI221" s="15"/>
      <c r="DJ221" s="15"/>
      <c r="DK221" s="15"/>
      <c r="DL221" s="15"/>
      <c r="DM221" s="15"/>
      <c r="DN221" s="15"/>
      <c r="DO221" s="15"/>
      <c r="DP221" s="15"/>
      <c r="DQ221" s="15"/>
      <c r="DR221" s="15"/>
      <c r="DS221" s="15"/>
      <c r="DT221" s="15"/>
      <c r="DU221" s="15"/>
      <c r="DV221" s="15"/>
      <c r="DW221" s="15"/>
      <c r="DX221" s="15"/>
      <c r="DY221" s="15"/>
      <c r="DZ221" s="15"/>
      <c r="EA221" s="15"/>
      <c r="EB221" s="15"/>
      <c r="EC221" s="15"/>
      <c r="ED221" s="15"/>
      <c r="EE221" s="15"/>
      <c r="EF221" s="15"/>
      <c r="EG221" s="15"/>
      <c r="EH221" s="15"/>
      <c r="EI221" s="15"/>
      <c r="EJ221" s="15"/>
      <c r="EK221" s="15"/>
      <c r="EL221" s="15"/>
      <c r="EM221" s="15"/>
      <c r="EN221" s="15"/>
      <c r="EO221" s="15"/>
      <c r="EP221" s="15"/>
      <c r="EQ221" s="15"/>
      <c r="ER221" s="15"/>
      <c r="ES221" s="15"/>
      <c r="ET221" s="15"/>
      <c r="EU221" s="15"/>
      <c r="EV221" s="15"/>
      <c r="EW221" s="15"/>
      <c r="EX221" s="15"/>
      <c r="EY221" s="15"/>
      <c r="EZ221" s="15"/>
      <c r="FA221" s="15"/>
      <c r="FB221" s="15"/>
      <c r="FC221" s="15"/>
      <c r="FD221" s="15"/>
      <c r="FE221" s="15"/>
      <c r="FF221" s="15"/>
      <c r="FG221" s="15"/>
      <c r="FH221" s="15"/>
      <c r="FI221" s="15"/>
      <c r="FJ221" s="15"/>
      <c r="FK221" s="15"/>
      <c r="FL221" s="15"/>
      <c r="FM221" s="15"/>
      <c r="FN221" s="15"/>
      <c r="FO221" s="15"/>
      <c r="FP221" s="15"/>
      <c r="FQ221" s="15"/>
      <c r="FR221" s="15"/>
      <c r="FS221" s="15"/>
      <c r="FT221" s="15"/>
      <c r="FU221" s="15"/>
      <c r="FV221" s="15"/>
      <c r="FW221" s="15"/>
      <c r="FX221" s="15"/>
      <c r="FY221" s="15"/>
      <c r="FZ221" s="15"/>
      <c r="GA221" s="15"/>
      <c r="GB221" s="15"/>
      <c r="GC221" s="15"/>
      <c r="GD221" s="15"/>
      <c r="GE221" s="15"/>
      <c r="GF221" s="15"/>
      <c r="GG221" s="15"/>
      <c r="GH221" s="15"/>
      <c r="GI221" s="15"/>
      <c r="GJ221" s="15"/>
      <c r="GK221" s="15"/>
      <c r="GL221" s="15"/>
      <c r="GM221" s="15"/>
      <c r="GN221" s="15"/>
      <c r="GO221" s="15"/>
      <c r="GP221" s="15"/>
      <c r="GQ221" s="15"/>
      <c r="GR221" s="15"/>
      <c r="GS221" s="15"/>
      <c r="GT221" s="15"/>
      <c r="GU221" s="15"/>
      <c r="GV221" s="15"/>
      <c r="GW221" s="15"/>
      <c r="GX221" s="15"/>
      <c r="GY221" s="15"/>
      <c r="GZ221" s="15"/>
      <c r="HA221" s="15"/>
      <c r="HB221" s="15"/>
      <c r="HC221" s="15"/>
      <c r="HD221" s="15"/>
      <c r="HE221" s="15"/>
      <c r="HF221" s="15"/>
      <c r="HG221" s="15"/>
      <c r="HH221" s="15"/>
      <c r="HI221" s="15"/>
      <c r="HJ221" s="15"/>
      <c r="HK221" s="15"/>
      <c r="HL221" s="15"/>
      <c r="HM221" s="15"/>
      <c r="HN221" s="15"/>
      <c r="HO221" s="15"/>
      <c r="HP221" s="15"/>
      <c r="HQ221" s="15"/>
      <c r="HR221"/>
      <c r="HS221"/>
      <c r="HT221"/>
      <c r="HU221"/>
      <c r="HV221"/>
      <c r="HW221"/>
      <c r="HX221"/>
      <c r="HY221"/>
      <c r="HZ221"/>
      <c r="IA221"/>
      <c r="IB221"/>
      <c r="IC221"/>
      <c r="ID221"/>
      <c r="IE221"/>
      <c r="IF221"/>
      <c r="IG221"/>
      <c r="IH221"/>
      <c r="II221"/>
      <c r="IJ221"/>
      <c r="IK221" s="14"/>
      <c r="IL221" s="14"/>
      <c r="IM221" s="14"/>
      <c r="IN221" s="14"/>
      <c r="IO221" s="14"/>
      <c r="IP221" s="14"/>
      <c r="IQ221" s="14"/>
    </row>
    <row r="222" spans="1:251" s="31" customFormat="1">
      <c r="A222" s="146"/>
      <c r="B222" s="15"/>
      <c r="C222" s="15"/>
      <c r="D222" s="15"/>
      <c r="E222" s="15"/>
      <c r="F222" s="15"/>
      <c r="G222" s="15"/>
      <c r="H222" s="15"/>
      <c r="I222" s="15"/>
      <c r="J222" s="15"/>
      <c r="K222" s="15"/>
      <c r="L222" s="15"/>
      <c r="M222" s="15"/>
      <c r="N222" s="15"/>
      <c r="O222" s="15"/>
      <c r="P222" s="43"/>
      <c r="Q222" s="43"/>
      <c r="R222" s="43"/>
      <c r="S222" s="43"/>
      <c r="T222" s="43"/>
      <c r="U222" s="43"/>
      <c r="V222" s="43"/>
      <c r="W222" s="43"/>
      <c r="X222" s="43"/>
      <c r="Y222" s="43"/>
      <c r="Z222" s="43"/>
      <c r="AA222" s="43"/>
      <c r="AB222" s="43"/>
      <c r="AC222" s="43"/>
      <c r="AD222" s="43"/>
      <c r="AE222" s="43"/>
      <c r="AF222" s="43"/>
      <c r="AG222" s="43"/>
      <c r="AH222" s="15"/>
      <c r="AI222" s="15"/>
      <c r="AJ222" s="15"/>
      <c r="AK222" s="15"/>
      <c r="AL222" s="15"/>
      <c r="AM222" s="15"/>
      <c r="AN222" s="15"/>
      <c r="AO222" s="15"/>
      <c r="AP222" s="15"/>
      <c r="AQ222" s="15"/>
      <c r="AR222" s="15"/>
      <c r="AS222" s="15"/>
      <c r="AT222" s="15"/>
      <c r="AU222" s="15"/>
      <c r="AV222" s="15"/>
      <c r="AW222" s="15"/>
      <c r="AX222" s="15"/>
      <c r="AY222" s="15"/>
      <c r="AZ222" s="15"/>
      <c r="BA222" s="15"/>
      <c r="BB222" s="15"/>
      <c r="BC222" s="15"/>
      <c r="BD222" s="15"/>
      <c r="BE222" s="15"/>
      <c r="BF222" s="15"/>
      <c r="BG222" s="15"/>
      <c r="BH222" s="15"/>
      <c r="BI222" s="15"/>
      <c r="BJ222" s="15"/>
      <c r="BK222" s="15"/>
      <c r="BL222" s="15"/>
      <c r="BM222" s="15"/>
      <c r="BN222" s="15"/>
      <c r="BO222" s="15"/>
      <c r="BP222" s="15"/>
      <c r="BQ222" s="15"/>
      <c r="BR222" s="15"/>
      <c r="BS222" s="15"/>
      <c r="BT222" s="15"/>
      <c r="BU222" s="15"/>
      <c r="BV222" s="15"/>
      <c r="BW222" s="15"/>
      <c r="BX222" s="15"/>
      <c r="BY222" s="15"/>
      <c r="BZ222" s="15"/>
      <c r="CA222" s="15"/>
      <c r="CB222" s="15"/>
      <c r="CC222" s="15"/>
      <c r="CD222" s="15"/>
      <c r="CE222" s="15"/>
      <c r="CF222" s="15"/>
      <c r="CG222" s="15"/>
      <c r="CH222" s="15"/>
      <c r="CI222" s="15"/>
      <c r="CJ222" s="15"/>
      <c r="CK222" s="15"/>
      <c r="CL222" s="15"/>
      <c r="CM222" s="15"/>
      <c r="CN222" s="15"/>
      <c r="CO222" s="15"/>
      <c r="CP222" s="15"/>
      <c r="CQ222" s="15"/>
      <c r="CR222" s="15"/>
      <c r="CS222" s="15"/>
      <c r="CT222" s="15"/>
      <c r="CU222" s="15"/>
      <c r="CV222" s="15"/>
      <c r="CW222" s="15"/>
      <c r="CX222" s="15"/>
      <c r="CY222" s="15"/>
      <c r="CZ222" s="15"/>
      <c r="DA222" s="15"/>
      <c r="DB222" s="15"/>
      <c r="DC222" s="15"/>
      <c r="DD222" s="15"/>
      <c r="DE222" s="15"/>
      <c r="DF222" s="15"/>
      <c r="DG222" s="15"/>
      <c r="DH222" s="15"/>
      <c r="DI222" s="15"/>
      <c r="DJ222" s="15"/>
      <c r="DK222" s="15"/>
      <c r="DL222" s="15"/>
      <c r="DM222" s="15"/>
      <c r="DN222" s="15"/>
      <c r="DO222" s="15"/>
      <c r="DP222" s="15"/>
      <c r="DQ222" s="15"/>
      <c r="DR222" s="15"/>
      <c r="DS222" s="15"/>
      <c r="DT222" s="15"/>
      <c r="DU222" s="15"/>
      <c r="DV222" s="15"/>
      <c r="DW222" s="15"/>
      <c r="DX222" s="15"/>
      <c r="DY222" s="15"/>
      <c r="DZ222" s="15"/>
      <c r="EA222" s="15"/>
      <c r="EB222" s="15"/>
      <c r="EC222" s="15"/>
      <c r="ED222" s="15"/>
      <c r="EE222" s="15"/>
      <c r="EF222" s="15"/>
      <c r="EG222" s="15"/>
      <c r="EH222" s="15"/>
      <c r="EI222" s="15"/>
      <c r="EJ222" s="15"/>
      <c r="EK222" s="15"/>
      <c r="EL222" s="15"/>
      <c r="EM222" s="15"/>
      <c r="EN222" s="15"/>
      <c r="EO222" s="15"/>
      <c r="EP222" s="15"/>
      <c r="EQ222" s="15"/>
      <c r="ER222" s="15"/>
      <c r="ES222" s="15"/>
      <c r="ET222" s="15"/>
      <c r="EU222" s="15"/>
      <c r="EV222" s="15"/>
      <c r="EW222" s="15"/>
      <c r="EX222" s="15"/>
      <c r="EY222" s="15"/>
      <c r="EZ222" s="15"/>
      <c r="FA222" s="15"/>
      <c r="FB222" s="15"/>
      <c r="FC222" s="15"/>
      <c r="FD222" s="15"/>
      <c r="FE222" s="15"/>
      <c r="FF222" s="15"/>
      <c r="FG222" s="15"/>
      <c r="FH222" s="15"/>
      <c r="FI222" s="15"/>
      <c r="FJ222" s="15"/>
      <c r="FK222" s="15"/>
      <c r="FL222" s="15"/>
      <c r="FM222" s="15"/>
      <c r="FN222" s="15"/>
      <c r="FO222" s="15"/>
      <c r="FP222" s="15"/>
      <c r="FQ222" s="15"/>
      <c r="FR222" s="15"/>
      <c r="FS222" s="15"/>
      <c r="FT222" s="15"/>
      <c r="FU222" s="15"/>
      <c r="FV222" s="15"/>
      <c r="FW222" s="15"/>
      <c r="FX222" s="15"/>
      <c r="FY222" s="15"/>
      <c r="FZ222" s="15"/>
      <c r="GA222" s="15"/>
      <c r="GB222" s="15"/>
      <c r="GC222" s="15"/>
      <c r="GD222" s="15"/>
      <c r="GE222" s="15"/>
      <c r="GF222" s="15"/>
      <c r="GG222" s="15"/>
      <c r="GH222" s="15"/>
      <c r="GI222" s="15"/>
      <c r="GJ222" s="15"/>
      <c r="GK222" s="15"/>
      <c r="GL222" s="15"/>
      <c r="GM222" s="15"/>
      <c r="GN222" s="15"/>
      <c r="GO222" s="15"/>
      <c r="GP222" s="15"/>
      <c r="GQ222" s="15"/>
      <c r="GR222" s="15"/>
      <c r="GS222" s="15"/>
      <c r="GT222" s="15"/>
      <c r="GU222" s="15"/>
      <c r="GV222" s="15"/>
      <c r="GW222" s="15"/>
      <c r="GX222" s="15"/>
      <c r="GY222" s="15"/>
      <c r="GZ222" s="15"/>
      <c r="HA222" s="15"/>
      <c r="HB222" s="15"/>
      <c r="HC222" s="15"/>
      <c r="HD222" s="15"/>
      <c r="HE222" s="15"/>
      <c r="HF222" s="15"/>
      <c r="HG222" s="15"/>
      <c r="HH222" s="15"/>
      <c r="HI222" s="15"/>
      <c r="HJ222" s="15"/>
      <c r="HK222" s="15"/>
      <c r="HL222" s="15"/>
      <c r="HM222" s="15"/>
      <c r="HN222" s="15"/>
      <c r="HO222" s="15"/>
      <c r="HP222" s="15"/>
      <c r="HQ222" s="15"/>
      <c r="HR222"/>
      <c r="HS222"/>
      <c r="HT222"/>
      <c r="HU222"/>
      <c r="HV222"/>
      <c r="HW222"/>
      <c r="HX222"/>
      <c r="HY222"/>
      <c r="HZ222"/>
      <c r="IA222"/>
      <c r="IB222"/>
      <c r="IC222"/>
      <c r="ID222"/>
      <c r="IE222"/>
      <c r="IF222"/>
      <c r="IG222"/>
      <c r="IH222"/>
      <c r="II222"/>
      <c r="IJ222"/>
      <c r="IK222" s="14"/>
      <c r="IL222" s="14"/>
      <c r="IM222" s="14"/>
      <c r="IN222" s="14"/>
      <c r="IO222" s="14"/>
      <c r="IP222" s="14"/>
      <c r="IQ222" s="14"/>
    </row>
    <row r="223" spans="1:251" s="31" customFormat="1">
      <c r="A223" s="146"/>
      <c r="B223" s="15"/>
      <c r="C223" s="15"/>
      <c r="D223" s="15"/>
      <c r="E223" s="15"/>
      <c r="F223" s="15"/>
      <c r="G223" s="15"/>
      <c r="H223" s="15"/>
      <c r="I223" s="15"/>
      <c r="J223" s="15"/>
      <c r="K223" s="15"/>
      <c r="L223" s="15"/>
      <c r="M223" s="15"/>
      <c r="N223" s="15"/>
      <c r="O223" s="15"/>
      <c r="P223" s="43"/>
      <c r="Q223" s="43"/>
      <c r="R223" s="43"/>
      <c r="S223" s="43"/>
      <c r="T223" s="43"/>
      <c r="U223" s="43"/>
      <c r="V223" s="43"/>
      <c r="W223" s="43"/>
      <c r="X223" s="43"/>
      <c r="Y223" s="43"/>
      <c r="Z223" s="43"/>
      <c r="AA223" s="43"/>
      <c r="AB223" s="43"/>
      <c r="AC223" s="43"/>
      <c r="AD223" s="43"/>
      <c r="AE223" s="43"/>
      <c r="AF223" s="43"/>
      <c r="AG223" s="43"/>
      <c r="AH223" s="15"/>
      <c r="AI223" s="15"/>
      <c r="AJ223" s="15"/>
      <c r="AK223" s="15"/>
      <c r="AL223" s="15"/>
      <c r="AM223" s="15"/>
      <c r="AN223" s="15"/>
      <c r="AO223" s="15"/>
      <c r="AP223" s="15"/>
      <c r="AQ223" s="15"/>
      <c r="AR223" s="15"/>
      <c r="AS223" s="15"/>
      <c r="AT223" s="15"/>
      <c r="AU223" s="15"/>
      <c r="AV223" s="15"/>
      <c r="AW223" s="15"/>
      <c r="AX223" s="15"/>
      <c r="AY223" s="15"/>
      <c r="AZ223" s="15"/>
      <c r="BA223" s="15"/>
      <c r="BB223" s="15"/>
      <c r="BC223" s="15"/>
      <c r="BD223" s="15"/>
      <c r="BE223" s="15"/>
      <c r="BF223" s="15"/>
      <c r="BG223" s="15"/>
      <c r="BH223" s="15"/>
      <c r="BI223" s="15"/>
      <c r="BJ223" s="15"/>
      <c r="BK223" s="15"/>
      <c r="BL223" s="15"/>
      <c r="BM223" s="15"/>
      <c r="BN223" s="15"/>
      <c r="BO223" s="15"/>
      <c r="BP223" s="15"/>
      <c r="BQ223" s="15"/>
      <c r="BR223" s="15"/>
      <c r="BS223" s="15"/>
      <c r="BT223" s="15"/>
      <c r="BU223" s="15"/>
      <c r="BV223" s="15"/>
      <c r="BW223" s="15"/>
      <c r="BX223" s="15"/>
      <c r="BY223" s="15"/>
      <c r="BZ223" s="15"/>
      <c r="CA223" s="15"/>
      <c r="CB223" s="15"/>
      <c r="CC223" s="15"/>
      <c r="CD223" s="15"/>
      <c r="CE223" s="15"/>
      <c r="CF223" s="15"/>
      <c r="CG223" s="15"/>
      <c r="CH223" s="15"/>
      <c r="CI223" s="15"/>
      <c r="CJ223" s="15"/>
      <c r="CK223" s="15"/>
      <c r="CL223" s="15"/>
      <c r="CM223" s="15"/>
      <c r="CN223" s="15"/>
      <c r="CO223" s="15"/>
      <c r="CP223" s="15"/>
      <c r="CQ223" s="15"/>
      <c r="CR223" s="15"/>
      <c r="CS223" s="15"/>
      <c r="CT223" s="15"/>
      <c r="CU223" s="15"/>
      <c r="CV223" s="15"/>
      <c r="CW223" s="15"/>
      <c r="CX223" s="15"/>
      <c r="CY223" s="15"/>
      <c r="CZ223" s="15"/>
      <c r="DA223" s="15"/>
      <c r="DB223" s="15"/>
      <c r="DC223" s="15"/>
      <c r="DD223" s="15"/>
      <c r="DE223" s="15"/>
      <c r="DF223" s="15"/>
      <c r="DG223" s="15"/>
      <c r="DH223" s="15"/>
      <c r="DI223" s="15"/>
      <c r="DJ223" s="15"/>
      <c r="DK223" s="15"/>
      <c r="DL223" s="15"/>
      <c r="DM223" s="15"/>
      <c r="DN223" s="15"/>
      <c r="DO223" s="15"/>
      <c r="DP223" s="15"/>
      <c r="DQ223" s="15"/>
      <c r="DR223" s="15"/>
      <c r="DS223" s="15"/>
      <c r="DT223" s="15"/>
      <c r="DU223" s="15"/>
      <c r="DV223" s="15"/>
      <c r="DW223" s="15"/>
      <c r="DX223" s="15"/>
      <c r="DY223" s="15"/>
      <c r="DZ223" s="15"/>
      <c r="EA223" s="15"/>
      <c r="EB223" s="15"/>
      <c r="EC223" s="15"/>
      <c r="ED223" s="15"/>
      <c r="EE223" s="15"/>
      <c r="EF223" s="15"/>
      <c r="EG223" s="15"/>
      <c r="EH223" s="15"/>
      <c r="EI223" s="15"/>
      <c r="EJ223" s="15"/>
      <c r="EK223" s="15"/>
      <c r="EL223" s="15"/>
      <c r="EM223" s="15"/>
      <c r="EN223" s="15"/>
      <c r="EO223" s="15"/>
      <c r="EP223" s="15"/>
      <c r="EQ223" s="15"/>
      <c r="ER223" s="15"/>
      <c r="ES223" s="15"/>
      <c r="ET223" s="15"/>
      <c r="EU223" s="15"/>
      <c r="EV223" s="15"/>
      <c r="EW223" s="15"/>
      <c r="EX223" s="15"/>
      <c r="EY223" s="15"/>
      <c r="EZ223" s="15"/>
      <c r="FA223" s="15"/>
      <c r="FB223" s="15"/>
      <c r="FC223" s="15"/>
      <c r="FD223" s="15"/>
      <c r="FE223" s="15"/>
      <c r="FF223" s="15"/>
      <c r="FG223" s="15"/>
      <c r="FH223" s="15"/>
      <c r="FI223" s="15"/>
      <c r="FJ223" s="15"/>
      <c r="FK223" s="15"/>
      <c r="FL223" s="15"/>
      <c r="FM223" s="15"/>
      <c r="FN223" s="15"/>
      <c r="FO223" s="15"/>
      <c r="FP223" s="15"/>
      <c r="FQ223" s="15"/>
      <c r="FR223" s="15"/>
      <c r="FS223" s="15"/>
      <c r="FT223" s="15"/>
      <c r="FU223" s="15"/>
      <c r="FV223" s="15"/>
      <c r="FW223" s="15"/>
      <c r="FX223" s="15"/>
      <c r="FY223" s="15"/>
      <c r="FZ223" s="15"/>
      <c r="GA223" s="15"/>
      <c r="GB223" s="15"/>
      <c r="GC223" s="15"/>
      <c r="GD223" s="15"/>
      <c r="GE223" s="15"/>
      <c r="GF223" s="15"/>
      <c r="GG223" s="15"/>
      <c r="GH223" s="15"/>
      <c r="GI223" s="15"/>
      <c r="GJ223" s="15"/>
      <c r="GK223" s="15"/>
      <c r="GL223" s="15"/>
      <c r="GM223" s="15"/>
      <c r="GN223" s="15"/>
      <c r="GO223" s="15"/>
      <c r="GP223" s="15"/>
      <c r="GQ223" s="15"/>
      <c r="GR223" s="15"/>
      <c r="GS223" s="15"/>
      <c r="GT223" s="15"/>
      <c r="GU223" s="15"/>
      <c r="GV223" s="15"/>
      <c r="GW223" s="15"/>
      <c r="GX223" s="15"/>
      <c r="GY223" s="15"/>
      <c r="GZ223" s="15"/>
      <c r="HA223" s="15"/>
      <c r="HB223" s="15"/>
      <c r="HC223" s="15"/>
      <c r="HD223" s="15"/>
      <c r="HE223" s="15"/>
      <c r="HF223" s="15"/>
      <c r="HG223" s="15"/>
      <c r="HH223" s="15"/>
      <c r="HI223" s="15"/>
      <c r="HJ223" s="15"/>
      <c r="HK223" s="15"/>
      <c r="HL223" s="15"/>
      <c r="HM223" s="15"/>
      <c r="HN223" s="15"/>
      <c r="HO223" s="15"/>
      <c r="HP223" s="15"/>
      <c r="HQ223" s="15"/>
      <c r="HR223"/>
      <c r="HS223"/>
      <c r="HT223"/>
      <c r="HU223"/>
      <c r="HV223"/>
      <c r="HW223"/>
      <c r="HX223"/>
      <c r="HY223"/>
      <c r="HZ223"/>
      <c r="IA223"/>
      <c r="IB223"/>
      <c r="IC223"/>
      <c r="ID223"/>
      <c r="IE223"/>
      <c r="IF223"/>
      <c r="IG223"/>
      <c r="IH223"/>
      <c r="II223"/>
      <c r="IJ223"/>
      <c r="IK223" s="14"/>
      <c r="IL223" s="14"/>
      <c r="IM223" s="14"/>
      <c r="IN223" s="14"/>
      <c r="IO223" s="14"/>
      <c r="IP223" s="14"/>
      <c r="IQ223" s="14"/>
    </row>
    <row r="224" spans="1:251" s="31" customFormat="1">
      <c r="A224" s="145" t="s">
        <v>594</v>
      </c>
      <c r="B224" s="161"/>
      <c r="C224" s="161"/>
      <c r="D224" s="161"/>
      <c r="E224" s="161"/>
      <c r="F224" s="161"/>
      <c r="G224" s="161"/>
      <c r="H224" s="161"/>
      <c r="I224" s="161"/>
      <c r="J224" s="161"/>
      <c r="K224" s="161"/>
      <c r="L224" s="161"/>
      <c r="M224" s="161"/>
      <c r="N224" s="161"/>
      <c r="O224" s="161"/>
      <c r="P224" s="162"/>
      <c r="Q224" s="162"/>
      <c r="R224" s="162"/>
      <c r="S224" s="162"/>
      <c r="T224" s="43"/>
      <c r="U224" s="43"/>
      <c r="V224" s="43"/>
      <c r="W224" s="43"/>
      <c r="X224" s="43"/>
      <c r="Y224" s="43"/>
      <c r="Z224" s="43"/>
      <c r="AA224" s="43"/>
      <c r="AB224" s="43"/>
      <c r="AC224" s="43"/>
      <c r="AD224" s="43"/>
      <c r="AE224" s="43"/>
      <c r="AF224" s="43"/>
      <c r="AG224" s="43"/>
      <c r="AH224" s="15"/>
      <c r="AI224" s="15"/>
      <c r="AJ224" s="15"/>
      <c r="AK224" s="15"/>
      <c r="AL224" s="15"/>
      <c r="AM224" s="15"/>
      <c r="AN224" s="15"/>
      <c r="AO224" s="15"/>
      <c r="AP224" s="15"/>
      <c r="AQ224" s="15"/>
      <c r="AR224" s="15"/>
      <c r="AS224" s="15"/>
      <c r="AT224" s="15"/>
      <c r="AU224" s="15"/>
      <c r="AV224" s="15"/>
      <c r="AW224" s="15"/>
      <c r="AX224" s="15"/>
      <c r="AY224" s="15"/>
      <c r="AZ224" s="15"/>
      <c r="BA224" s="15"/>
      <c r="BB224" s="15"/>
      <c r="BC224" s="15"/>
      <c r="BD224" s="15"/>
      <c r="BE224" s="15"/>
      <c r="BF224" s="15"/>
      <c r="BG224" s="15"/>
      <c r="BH224" s="15"/>
      <c r="BI224" s="15"/>
      <c r="BJ224" s="15"/>
      <c r="BK224" s="15"/>
      <c r="BL224" s="15"/>
      <c r="BM224" s="15"/>
      <c r="BN224" s="15"/>
      <c r="BO224" s="15"/>
      <c r="BP224" s="15"/>
      <c r="BQ224" s="15"/>
      <c r="BR224" s="15"/>
      <c r="BS224" s="15"/>
      <c r="BT224" s="15"/>
      <c r="BU224" s="15"/>
      <c r="BV224" s="15"/>
      <c r="BW224" s="15"/>
      <c r="BX224" s="15"/>
      <c r="BY224" s="15"/>
      <c r="BZ224" s="15"/>
      <c r="CA224" s="15"/>
      <c r="CB224" s="15"/>
      <c r="CC224" s="15"/>
      <c r="CD224" s="15"/>
      <c r="CE224" s="15"/>
      <c r="CF224" s="15"/>
      <c r="CG224" s="15"/>
      <c r="CH224" s="15"/>
      <c r="CI224" s="15"/>
      <c r="CJ224" s="15"/>
      <c r="CK224" s="15"/>
      <c r="CL224" s="15"/>
      <c r="CM224" s="15"/>
      <c r="CN224" s="15"/>
      <c r="CO224" s="15"/>
      <c r="CP224" s="15"/>
      <c r="CQ224" s="15"/>
      <c r="CR224" s="15"/>
      <c r="CS224" s="15"/>
      <c r="CT224" s="15"/>
      <c r="CU224" s="15"/>
      <c r="CV224" s="15"/>
      <c r="CW224" s="15"/>
      <c r="CX224" s="15"/>
      <c r="CY224" s="15"/>
      <c r="CZ224" s="15"/>
      <c r="DA224" s="15"/>
      <c r="DB224" s="15"/>
      <c r="DC224" s="15"/>
      <c r="DD224" s="15"/>
      <c r="DE224" s="15"/>
      <c r="DF224" s="15"/>
      <c r="DG224" s="15"/>
      <c r="DH224" s="15"/>
      <c r="DI224" s="15"/>
      <c r="DJ224" s="15"/>
      <c r="DK224" s="15"/>
      <c r="DL224" s="15"/>
      <c r="DM224" s="15"/>
      <c r="DN224" s="15"/>
      <c r="DO224" s="15"/>
      <c r="DP224" s="15"/>
      <c r="DQ224" s="15"/>
      <c r="DR224" s="15"/>
      <c r="DS224" s="15"/>
      <c r="DT224" s="15"/>
      <c r="DU224" s="15"/>
      <c r="DV224" s="15"/>
      <c r="DW224" s="15"/>
      <c r="DX224" s="15"/>
      <c r="DY224" s="15"/>
      <c r="DZ224" s="15"/>
      <c r="EA224" s="15"/>
      <c r="EB224" s="15"/>
      <c r="EC224" s="15"/>
      <c r="ED224" s="15"/>
      <c r="EE224" s="15"/>
      <c r="EF224" s="15"/>
      <c r="EG224" s="15"/>
      <c r="EH224" s="15"/>
      <c r="EI224" s="15"/>
      <c r="EJ224" s="15"/>
      <c r="EK224" s="15"/>
      <c r="EL224" s="15"/>
      <c r="EM224" s="15"/>
      <c r="EN224" s="15"/>
      <c r="EO224" s="15"/>
      <c r="EP224" s="15"/>
      <c r="EQ224" s="15"/>
      <c r="ER224" s="15"/>
      <c r="ES224" s="15"/>
      <c r="ET224" s="15"/>
      <c r="EU224" s="15"/>
      <c r="EV224" s="15"/>
      <c r="EW224" s="15"/>
      <c r="EX224" s="15"/>
      <c r="EY224" s="15"/>
      <c r="EZ224" s="15"/>
      <c r="FA224" s="15"/>
      <c r="FB224" s="15"/>
      <c r="FC224" s="15"/>
      <c r="FD224" s="15"/>
      <c r="FE224" s="15"/>
      <c r="FF224" s="15"/>
      <c r="FG224" s="15"/>
      <c r="FH224" s="15"/>
      <c r="FI224" s="15"/>
      <c r="FJ224" s="15"/>
      <c r="FK224" s="15"/>
      <c r="FL224" s="15"/>
      <c r="FM224" s="15"/>
      <c r="FN224" s="15"/>
      <c r="FO224" s="15"/>
      <c r="FP224" s="15"/>
      <c r="FQ224" s="15"/>
      <c r="FR224" s="15"/>
      <c r="FS224" s="15"/>
      <c r="FT224" s="15"/>
      <c r="FU224" s="15"/>
      <c r="FV224" s="15"/>
      <c r="FW224" s="15"/>
      <c r="FX224" s="15"/>
      <c r="FY224" s="15"/>
      <c r="FZ224" s="15"/>
      <c r="GA224" s="15"/>
      <c r="GB224" s="15"/>
      <c r="GC224" s="15"/>
      <c r="GD224" s="15"/>
      <c r="GE224" s="15"/>
      <c r="GF224" s="15"/>
      <c r="GG224" s="15"/>
      <c r="GH224" s="15"/>
      <c r="GI224" s="15"/>
      <c r="GJ224" s="15"/>
      <c r="GK224" s="15"/>
      <c r="GL224" s="15"/>
      <c r="GM224" s="15"/>
      <c r="GN224" s="15"/>
      <c r="GO224" s="15"/>
      <c r="GP224" s="15"/>
      <c r="GQ224" s="15"/>
      <c r="GR224" s="15"/>
      <c r="GS224" s="15"/>
      <c r="GT224" s="15"/>
      <c r="GU224" s="15"/>
      <c r="GV224" s="15"/>
      <c r="GW224" s="15"/>
      <c r="GX224" s="15"/>
      <c r="GY224" s="15"/>
      <c r="GZ224" s="15"/>
      <c r="HA224" s="15"/>
      <c r="HB224" s="15"/>
      <c r="HC224" s="15"/>
      <c r="HD224" s="15"/>
      <c r="HE224" s="15"/>
      <c r="HF224" s="15"/>
      <c r="HG224" s="15"/>
      <c r="HH224" s="15"/>
      <c r="HI224" s="15"/>
      <c r="HJ224" s="15"/>
      <c r="HK224" s="15"/>
      <c r="HL224" s="15"/>
      <c r="HM224" s="15"/>
      <c r="HN224" s="15"/>
      <c r="HO224" s="15"/>
      <c r="HP224" s="15"/>
      <c r="HQ224" s="15"/>
      <c r="HR224"/>
      <c r="HS224"/>
      <c r="HT224"/>
      <c r="HU224"/>
      <c r="HV224"/>
      <c r="HW224"/>
      <c r="HX224"/>
      <c r="HY224"/>
      <c r="HZ224"/>
      <c r="IA224"/>
      <c r="IB224"/>
      <c r="IC224"/>
      <c r="ID224"/>
      <c r="IE224"/>
      <c r="IF224"/>
      <c r="IG224"/>
      <c r="IH224"/>
      <c r="II224"/>
      <c r="IJ224"/>
      <c r="IK224" s="14"/>
      <c r="IL224" s="14"/>
      <c r="IM224" s="14"/>
      <c r="IN224" s="14"/>
      <c r="IO224" s="14"/>
      <c r="IP224" s="14"/>
      <c r="IQ224" s="14"/>
    </row>
    <row r="225" spans="1:251" s="31" customFormat="1">
      <c r="A225" s="146" t="s">
        <v>101</v>
      </c>
      <c r="B225" s="15"/>
      <c r="C225" s="15"/>
      <c r="D225" s="15"/>
      <c r="E225" s="15"/>
      <c r="F225" s="15"/>
      <c r="G225" s="15"/>
      <c r="H225" s="15"/>
      <c r="I225" s="15"/>
      <c r="J225" s="15"/>
      <c r="K225" s="15"/>
      <c r="L225" s="15"/>
      <c r="M225" s="15"/>
      <c r="N225" s="15"/>
      <c r="O225" s="15"/>
      <c r="P225" s="81">
        <f>O199</f>
        <v>4739</v>
      </c>
      <c r="Q225" s="175">
        <f>P226+775</f>
        <v>1474</v>
      </c>
      <c r="R225" s="81">
        <f t="shared" ref="R225:X225" si="246">Q226</f>
        <v>775</v>
      </c>
      <c r="S225" s="81">
        <f t="shared" si="246"/>
        <v>1007</v>
      </c>
      <c r="T225" s="81">
        <f t="shared" si="246"/>
        <v>2501</v>
      </c>
      <c r="U225" s="81">
        <f t="shared" si="246"/>
        <v>2688</v>
      </c>
      <c r="V225" s="81">
        <f t="shared" si="246"/>
        <v>2688</v>
      </c>
      <c r="W225" s="81">
        <f t="shared" si="246"/>
        <v>2688</v>
      </c>
      <c r="X225" s="81">
        <f t="shared" si="246"/>
        <v>2688</v>
      </c>
      <c r="Y225" s="81">
        <f t="shared" ref="Y225:AG225" si="247">X226</f>
        <v>2688</v>
      </c>
      <c r="Z225" s="81">
        <f t="shared" si="247"/>
        <v>2688</v>
      </c>
      <c r="AA225" s="81">
        <f t="shared" si="247"/>
        <v>2688</v>
      </c>
      <c r="AB225" s="81">
        <f t="shared" si="247"/>
        <v>2688</v>
      </c>
      <c r="AC225" s="81">
        <f t="shared" si="247"/>
        <v>2688</v>
      </c>
      <c r="AD225" s="81">
        <f t="shared" si="247"/>
        <v>2688</v>
      </c>
      <c r="AE225" s="81">
        <f t="shared" si="247"/>
        <v>2688</v>
      </c>
      <c r="AF225" s="81">
        <f t="shared" si="247"/>
        <v>2688</v>
      </c>
      <c r="AG225" s="81">
        <f t="shared" si="247"/>
        <v>2688</v>
      </c>
      <c r="AH225" s="15"/>
      <c r="AI225" s="15"/>
      <c r="AJ225" s="15"/>
      <c r="AK225" s="15"/>
      <c r="AL225" s="15"/>
      <c r="AM225" s="15"/>
      <c r="AN225" s="15"/>
      <c r="AO225" s="15"/>
      <c r="AP225" s="15"/>
      <c r="AQ225" s="15"/>
      <c r="AR225" s="15"/>
      <c r="AS225" s="15"/>
      <c r="AT225" s="15"/>
      <c r="AU225" s="15"/>
      <c r="AV225" s="15"/>
      <c r="AW225" s="15"/>
      <c r="AX225" s="15"/>
      <c r="AY225" s="15"/>
      <c r="AZ225" s="15"/>
      <c r="BA225" s="15"/>
      <c r="BB225" s="15"/>
      <c r="BC225" s="15"/>
      <c r="BD225" s="15"/>
      <c r="BE225" s="15"/>
      <c r="BF225" s="15"/>
      <c r="BG225" s="15"/>
      <c r="BH225" s="15"/>
      <c r="BI225" s="15"/>
      <c r="BJ225" s="15"/>
      <c r="BK225" s="15"/>
      <c r="BL225" s="15"/>
      <c r="BM225" s="15"/>
      <c r="BN225" s="15"/>
      <c r="BO225" s="15"/>
      <c r="BP225" s="15"/>
      <c r="BQ225" s="15"/>
      <c r="BR225" s="15"/>
      <c r="BS225" s="15"/>
      <c r="BT225" s="15"/>
      <c r="BU225" s="15"/>
      <c r="BV225" s="15"/>
      <c r="BW225" s="15"/>
      <c r="BX225" s="15"/>
      <c r="BY225" s="15"/>
      <c r="BZ225" s="15"/>
      <c r="CA225" s="15"/>
      <c r="CB225" s="15"/>
      <c r="CC225" s="15"/>
      <c r="CD225" s="15"/>
      <c r="CE225" s="15"/>
      <c r="CF225" s="15"/>
      <c r="CG225" s="15"/>
      <c r="CH225" s="15"/>
      <c r="CI225" s="15"/>
      <c r="CJ225" s="15"/>
      <c r="CK225" s="15"/>
      <c r="CL225" s="15"/>
      <c r="CM225" s="15"/>
      <c r="CN225" s="15"/>
      <c r="CO225" s="15"/>
      <c r="CP225" s="15"/>
      <c r="CQ225" s="15"/>
      <c r="CR225" s="15"/>
      <c r="CS225" s="15"/>
      <c r="CT225" s="15"/>
      <c r="CU225" s="15"/>
      <c r="CV225" s="15"/>
      <c r="CW225" s="15"/>
      <c r="CX225" s="15"/>
      <c r="CY225" s="15"/>
      <c r="CZ225" s="15"/>
      <c r="DA225" s="15"/>
      <c r="DB225" s="15"/>
      <c r="DC225" s="15"/>
      <c r="DD225" s="15"/>
      <c r="DE225" s="15"/>
      <c r="DF225" s="15"/>
      <c r="DG225" s="15"/>
      <c r="DH225" s="15"/>
      <c r="DI225" s="15"/>
      <c r="DJ225" s="15"/>
      <c r="DK225" s="15"/>
      <c r="DL225" s="15"/>
      <c r="DM225" s="15"/>
      <c r="DN225" s="15"/>
      <c r="DO225" s="15"/>
      <c r="DP225" s="15"/>
      <c r="DQ225" s="15"/>
      <c r="DR225" s="15"/>
      <c r="DS225" s="15"/>
      <c r="DT225" s="15"/>
      <c r="DU225" s="15"/>
      <c r="DV225" s="15"/>
      <c r="DW225" s="15"/>
      <c r="DX225" s="15"/>
      <c r="DY225" s="15"/>
      <c r="DZ225" s="15"/>
      <c r="EA225" s="15"/>
      <c r="EB225" s="15"/>
      <c r="EC225" s="15"/>
      <c r="ED225" s="15"/>
      <c r="EE225" s="15"/>
      <c r="EF225" s="15"/>
      <c r="EG225" s="15"/>
      <c r="EH225" s="15"/>
      <c r="EI225" s="15"/>
      <c r="EJ225" s="15"/>
      <c r="EK225" s="15"/>
      <c r="EL225" s="15"/>
      <c r="EM225" s="15"/>
      <c r="EN225" s="15"/>
      <c r="EO225" s="15"/>
      <c r="EP225" s="15"/>
      <c r="EQ225" s="15"/>
      <c r="ER225" s="15"/>
      <c r="ES225" s="15"/>
      <c r="ET225" s="15"/>
      <c r="EU225" s="15"/>
      <c r="EV225" s="15"/>
      <c r="EW225" s="15"/>
      <c r="EX225" s="15"/>
      <c r="EY225" s="15"/>
      <c r="EZ225" s="15"/>
      <c r="FA225" s="15"/>
      <c r="FB225" s="15"/>
      <c r="FC225" s="15"/>
      <c r="FD225" s="15"/>
      <c r="FE225" s="15"/>
      <c r="FF225" s="15"/>
      <c r="FG225" s="15"/>
      <c r="FH225" s="15"/>
      <c r="FI225" s="15"/>
      <c r="FJ225" s="15"/>
      <c r="FK225" s="15"/>
      <c r="FL225" s="15"/>
      <c r="FM225" s="15"/>
      <c r="FN225" s="15"/>
      <c r="FO225" s="15"/>
      <c r="FP225" s="15"/>
      <c r="FQ225" s="15"/>
      <c r="FR225" s="15"/>
      <c r="FS225" s="15"/>
      <c r="FT225" s="15"/>
      <c r="FU225" s="15"/>
      <c r="FV225" s="15"/>
      <c r="FW225" s="15"/>
      <c r="FX225" s="15"/>
      <c r="FY225" s="15"/>
      <c r="FZ225" s="15"/>
      <c r="GA225" s="15"/>
      <c r="GB225" s="15"/>
      <c r="GC225" s="15"/>
      <c r="GD225" s="15"/>
      <c r="GE225" s="15"/>
      <c r="GF225" s="15"/>
      <c r="GG225" s="15"/>
      <c r="GH225" s="15"/>
      <c r="GI225" s="15"/>
      <c r="GJ225" s="15"/>
      <c r="GK225" s="15"/>
      <c r="GL225" s="15"/>
      <c r="GM225" s="15"/>
      <c r="GN225" s="15"/>
      <c r="GO225" s="15"/>
      <c r="GP225" s="15"/>
      <c r="GQ225" s="15"/>
      <c r="GR225" s="15"/>
      <c r="GS225" s="15"/>
      <c r="GT225" s="15"/>
      <c r="GU225" s="15"/>
      <c r="GV225" s="15"/>
      <c r="GW225" s="15"/>
      <c r="GX225" s="15"/>
      <c r="GY225" s="15"/>
      <c r="GZ225" s="15"/>
      <c r="HA225" s="15"/>
      <c r="HB225" s="15"/>
      <c r="HC225" s="15"/>
      <c r="HD225" s="15"/>
      <c r="HE225" s="15"/>
      <c r="HF225" s="15"/>
      <c r="HG225" s="15"/>
      <c r="HH225" s="15"/>
      <c r="HI225" s="15"/>
      <c r="HJ225" s="15"/>
      <c r="HK225" s="15"/>
      <c r="HL225" s="15"/>
      <c r="HM225" s="15"/>
      <c r="HN225" s="15"/>
      <c r="HO225" s="15"/>
      <c r="HP225" s="15"/>
      <c r="HQ225" s="15"/>
      <c r="HR225"/>
      <c r="HS225"/>
      <c r="HT225"/>
      <c r="HU225"/>
      <c r="HV225"/>
      <c r="HW225"/>
      <c r="HX225"/>
      <c r="HY225"/>
      <c r="HZ225"/>
      <c r="IA225"/>
      <c r="IB225"/>
      <c r="IC225"/>
      <c r="ID225"/>
      <c r="IE225"/>
      <c r="IF225"/>
      <c r="IG225"/>
      <c r="IH225"/>
      <c r="II225"/>
      <c r="IJ225"/>
      <c r="IK225" s="14"/>
      <c r="IL225" s="14"/>
      <c r="IM225" s="14"/>
      <c r="IN225" s="14"/>
      <c r="IO225" s="14"/>
      <c r="IP225" s="14"/>
      <c r="IQ225" s="14"/>
    </row>
    <row r="226" spans="1:251" s="31" customFormat="1">
      <c r="A226" s="146" t="s">
        <v>367</v>
      </c>
      <c r="B226" s="15"/>
      <c r="C226" s="15"/>
      <c r="D226" s="15"/>
      <c r="E226" s="15"/>
      <c r="F226" s="15"/>
      <c r="G226" s="15"/>
      <c r="H226" s="15"/>
      <c r="I226" s="15"/>
      <c r="J226" s="15"/>
      <c r="K226" s="15"/>
      <c r="L226" s="15"/>
      <c r="M226" s="15"/>
      <c r="N226" s="15"/>
      <c r="O226" s="15"/>
      <c r="P226" s="58">
        <f>P199-P234-P242</f>
        <v>699</v>
      </c>
      <c r="Q226" s="320">
        <v>775</v>
      </c>
      <c r="R226" s="58">
        <f>R225+CFS!Q38</f>
        <v>1007</v>
      </c>
      <c r="S226" s="58">
        <f>S225+CFS!R38</f>
        <v>2501</v>
      </c>
      <c r="T226" s="58">
        <f>T225+CFS!S38</f>
        <v>2688</v>
      </c>
      <c r="U226" s="58">
        <f t="shared" ref="U226:AB226" si="248">U225</f>
        <v>2688</v>
      </c>
      <c r="V226" s="58">
        <f t="shared" si="248"/>
        <v>2688</v>
      </c>
      <c r="W226" s="58">
        <f t="shared" si="248"/>
        <v>2688</v>
      </c>
      <c r="X226" s="58">
        <f t="shared" ref="X226" si="249">X225</f>
        <v>2688</v>
      </c>
      <c r="Y226" s="58">
        <f t="shared" si="248"/>
        <v>2688</v>
      </c>
      <c r="Z226" s="58">
        <f t="shared" si="248"/>
        <v>2688</v>
      </c>
      <c r="AA226" s="58">
        <f t="shared" si="248"/>
        <v>2688</v>
      </c>
      <c r="AB226" s="58">
        <f t="shared" si="248"/>
        <v>2688</v>
      </c>
      <c r="AC226" s="58">
        <f>AC225</f>
        <v>2688</v>
      </c>
      <c r="AD226" s="58">
        <f>AD225</f>
        <v>2688</v>
      </c>
      <c r="AE226" s="58">
        <f>AE225</f>
        <v>2688</v>
      </c>
      <c r="AF226" s="58">
        <f>AF225</f>
        <v>2688</v>
      </c>
      <c r="AG226" s="58">
        <f>AG225</f>
        <v>2688</v>
      </c>
      <c r="AH226" s="15"/>
      <c r="AI226" s="15"/>
      <c r="AJ226" s="15"/>
      <c r="AK226" s="15"/>
      <c r="AL226" s="15"/>
      <c r="AM226" s="15"/>
      <c r="AN226" s="15"/>
      <c r="AO226" s="15"/>
      <c r="AP226" s="15"/>
      <c r="AQ226" s="15"/>
      <c r="AR226" s="15"/>
      <c r="AS226" s="15"/>
      <c r="AT226" s="15"/>
      <c r="AU226" s="15"/>
      <c r="AV226" s="15"/>
      <c r="AW226" s="15"/>
      <c r="AX226" s="15"/>
      <c r="AY226" s="15"/>
      <c r="AZ226" s="15"/>
      <c r="BA226" s="15"/>
      <c r="BB226" s="15"/>
      <c r="BC226" s="15"/>
      <c r="BD226" s="15"/>
      <c r="BE226" s="15"/>
      <c r="BF226" s="15"/>
      <c r="BG226" s="15"/>
      <c r="BH226" s="15"/>
      <c r="BI226" s="15"/>
      <c r="BJ226" s="15"/>
      <c r="BK226" s="15"/>
      <c r="BL226" s="15"/>
      <c r="BM226" s="15"/>
      <c r="BN226" s="15"/>
      <c r="BO226" s="15"/>
      <c r="BP226" s="15"/>
      <c r="BQ226" s="15"/>
      <c r="BR226" s="15"/>
      <c r="BS226" s="15"/>
      <c r="BT226" s="15"/>
      <c r="BU226" s="15"/>
      <c r="BV226" s="15"/>
      <c r="BW226" s="15"/>
      <c r="BX226" s="15"/>
      <c r="BY226" s="15"/>
      <c r="BZ226" s="15"/>
      <c r="CA226" s="15"/>
      <c r="CB226" s="15"/>
      <c r="CC226" s="15"/>
      <c r="CD226" s="15"/>
      <c r="CE226" s="15"/>
      <c r="CF226" s="15"/>
      <c r="CG226" s="15"/>
      <c r="CH226" s="15"/>
      <c r="CI226" s="15"/>
      <c r="CJ226" s="15"/>
      <c r="CK226" s="15"/>
      <c r="CL226" s="15"/>
      <c r="CM226" s="15"/>
      <c r="CN226" s="15"/>
      <c r="CO226" s="15"/>
      <c r="CP226" s="15"/>
      <c r="CQ226" s="15"/>
      <c r="CR226" s="15"/>
      <c r="CS226" s="15"/>
      <c r="CT226" s="15"/>
      <c r="CU226" s="15"/>
      <c r="CV226" s="15"/>
      <c r="CW226" s="15"/>
      <c r="CX226" s="15"/>
      <c r="CY226" s="15"/>
      <c r="CZ226" s="15"/>
      <c r="DA226" s="15"/>
      <c r="DB226" s="15"/>
      <c r="DC226" s="15"/>
      <c r="DD226" s="15"/>
      <c r="DE226" s="15"/>
      <c r="DF226" s="15"/>
      <c r="DG226" s="15"/>
      <c r="DH226" s="15"/>
      <c r="DI226" s="15"/>
      <c r="DJ226" s="15"/>
      <c r="DK226" s="15"/>
      <c r="DL226" s="15"/>
      <c r="DM226" s="15"/>
      <c r="DN226" s="15"/>
      <c r="DO226" s="15"/>
      <c r="DP226" s="15"/>
      <c r="DQ226" s="15"/>
      <c r="DR226" s="15"/>
      <c r="DS226" s="15"/>
      <c r="DT226" s="15"/>
      <c r="DU226" s="15"/>
      <c r="DV226" s="15"/>
      <c r="DW226" s="15"/>
      <c r="DX226" s="15"/>
      <c r="DY226" s="15"/>
      <c r="DZ226" s="15"/>
      <c r="EA226" s="15"/>
      <c r="EB226" s="15"/>
      <c r="EC226" s="15"/>
      <c r="ED226" s="15"/>
      <c r="EE226" s="15"/>
      <c r="EF226" s="15"/>
      <c r="EG226" s="15"/>
      <c r="EH226" s="15"/>
      <c r="EI226" s="15"/>
      <c r="EJ226" s="15"/>
      <c r="EK226" s="15"/>
      <c r="EL226" s="15"/>
      <c r="EM226" s="15"/>
      <c r="EN226" s="15"/>
      <c r="EO226" s="15"/>
      <c r="EP226" s="15"/>
      <c r="EQ226" s="15"/>
      <c r="ER226" s="15"/>
      <c r="ES226" s="15"/>
      <c r="ET226" s="15"/>
      <c r="EU226" s="15"/>
      <c r="EV226" s="15"/>
      <c r="EW226" s="15"/>
      <c r="EX226" s="15"/>
      <c r="EY226" s="15"/>
      <c r="EZ226" s="15"/>
      <c r="FA226" s="15"/>
      <c r="FB226" s="15"/>
      <c r="FC226" s="15"/>
      <c r="FD226" s="15"/>
      <c r="FE226" s="15"/>
      <c r="FF226" s="15"/>
      <c r="FG226" s="15"/>
      <c r="FH226" s="15"/>
      <c r="FI226" s="15"/>
      <c r="FJ226" s="15"/>
      <c r="FK226" s="15"/>
      <c r="FL226" s="15"/>
      <c r="FM226" s="15"/>
      <c r="FN226" s="15"/>
      <c r="FO226" s="15"/>
      <c r="FP226" s="15"/>
      <c r="FQ226" s="15"/>
      <c r="FR226" s="15"/>
      <c r="FS226" s="15"/>
      <c r="FT226" s="15"/>
      <c r="FU226" s="15"/>
      <c r="FV226" s="15"/>
      <c r="FW226" s="15"/>
      <c r="FX226" s="15"/>
      <c r="FY226" s="15"/>
      <c r="FZ226" s="15"/>
      <c r="GA226" s="15"/>
      <c r="GB226" s="15"/>
      <c r="GC226" s="15"/>
      <c r="GD226" s="15"/>
      <c r="GE226" s="15"/>
      <c r="GF226" s="15"/>
      <c r="GG226" s="15"/>
      <c r="GH226" s="15"/>
      <c r="GI226" s="15"/>
      <c r="GJ226" s="15"/>
      <c r="GK226" s="15"/>
      <c r="GL226" s="15"/>
      <c r="GM226" s="15"/>
      <c r="GN226" s="15"/>
      <c r="GO226" s="15"/>
      <c r="GP226" s="15"/>
      <c r="GQ226" s="15"/>
      <c r="GR226" s="15"/>
      <c r="GS226" s="15"/>
      <c r="GT226" s="15"/>
      <c r="GU226" s="15"/>
      <c r="GV226" s="15"/>
      <c r="GW226" s="15"/>
      <c r="GX226" s="15"/>
      <c r="GY226" s="15"/>
      <c r="GZ226" s="15"/>
      <c r="HA226" s="15"/>
      <c r="HB226" s="15"/>
      <c r="HC226" s="15"/>
      <c r="HD226" s="15"/>
      <c r="HE226" s="15"/>
      <c r="HF226" s="15"/>
      <c r="HG226" s="15"/>
      <c r="HH226" s="15"/>
      <c r="HI226" s="15"/>
      <c r="HJ226" s="15"/>
      <c r="HK226" s="15"/>
      <c r="HL226" s="15"/>
      <c r="HM226" s="15"/>
      <c r="HN226" s="15"/>
      <c r="HO226" s="15"/>
      <c r="HP226" s="15"/>
      <c r="HQ226" s="15"/>
      <c r="HR226"/>
      <c r="HS226"/>
      <c r="HT226"/>
      <c r="HU226"/>
      <c r="HV226"/>
      <c r="HW226"/>
      <c r="HX226"/>
      <c r="HY226"/>
      <c r="HZ226"/>
      <c r="IA226"/>
      <c r="IB226"/>
      <c r="IC226"/>
      <c r="ID226"/>
      <c r="IE226"/>
      <c r="IF226"/>
      <c r="IG226"/>
      <c r="IH226"/>
      <c r="II226"/>
      <c r="IJ226"/>
      <c r="IK226" s="14"/>
      <c r="IL226" s="14"/>
      <c r="IM226" s="14"/>
      <c r="IN226" s="14"/>
      <c r="IO226" s="14"/>
      <c r="IP226" s="14"/>
      <c r="IQ226" s="14"/>
    </row>
    <row r="227" spans="1:251" s="31" customFormat="1">
      <c r="A227" s="146" t="s">
        <v>491</v>
      </c>
      <c r="B227" s="15"/>
      <c r="C227" s="15"/>
      <c r="D227" s="15"/>
      <c r="E227" s="15"/>
      <c r="F227" s="15"/>
      <c r="G227" s="15"/>
      <c r="H227" s="15"/>
      <c r="I227" s="15"/>
      <c r="J227" s="15"/>
      <c r="K227" s="15"/>
      <c r="L227" s="15"/>
      <c r="M227" s="15"/>
      <c r="N227" s="15"/>
      <c r="O227" s="15"/>
      <c r="P227" s="89">
        <v>6.5000000000000002E-2</v>
      </c>
      <c r="Q227" s="89">
        <v>6.5000000000000002E-2</v>
      </c>
      <c r="R227" s="322">
        <f>Q227</f>
        <v>6.5000000000000002E-2</v>
      </c>
      <c r="S227" s="89">
        <v>6.5000000000000002E-2</v>
      </c>
      <c r="T227" s="89">
        <v>6.5000000000000002E-2</v>
      </c>
      <c r="U227" s="89">
        <v>6.5000000000000002E-2</v>
      </c>
      <c r="V227" s="89">
        <v>6.5000000000000002E-2</v>
      </c>
      <c r="W227" s="89">
        <v>6.5000000000000002E-2</v>
      </c>
      <c r="X227" s="89">
        <v>6.5000000000000002E-2</v>
      </c>
      <c r="Y227" s="89">
        <v>6.5000000000000002E-2</v>
      </c>
      <c r="Z227" s="89">
        <v>6.5000000000000002E-2</v>
      </c>
      <c r="AA227" s="89">
        <v>6.5000000000000002E-2</v>
      </c>
      <c r="AB227" s="89">
        <v>6.5000000000000002E-2</v>
      </c>
      <c r="AC227" s="89">
        <v>6.5000000000000002E-2</v>
      </c>
      <c r="AD227" s="89">
        <v>6.5000000000000002E-2</v>
      </c>
      <c r="AE227" s="89">
        <v>6.5000000000000002E-2</v>
      </c>
      <c r="AF227" s="89">
        <v>6.5000000000000002E-2</v>
      </c>
      <c r="AG227" s="89">
        <v>6.5000000000000002E-2</v>
      </c>
      <c r="AH227" s="15"/>
      <c r="AI227" s="15"/>
      <c r="AJ227" s="15"/>
      <c r="AK227" s="15"/>
      <c r="AL227" s="15"/>
      <c r="AM227" s="15"/>
      <c r="AN227" s="15"/>
      <c r="AO227" s="15"/>
      <c r="AP227" s="15"/>
      <c r="AQ227" s="15"/>
      <c r="AR227" s="15"/>
      <c r="AS227" s="15"/>
      <c r="AT227" s="15"/>
      <c r="AU227" s="15"/>
      <c r="AV227" s="15"/>
      <c r="AW227" s="15"/>
      <c r="AX227" s="15"/>
      <c r="AY227" s="15"/>
      <c r="AZ227" s="15"/>
      <c r="BA227" s="15"/>
      <c r="BB227" s="15"/>
      <c r="BC227" s="15"/>
      <c r="BD227" s="15"/>
      <c r="BE227" s="15"/>
      <c r="BF227" s="15"/>
      <c r="BG227" s="15"/>
      <c r="BH227" s="15"/>
      <c r="BI227" s="15"/>
      <c r="BJ227" s="15"/>
      <c r="BK227" s="15"/>
      <c r="BL227" s="15"/>
      <c r="BM227" s="15"/>
      <c r="BN227" s="15"/>
      <c r="BO227" s="15"/>
      <c r="BP227" s="15"/>
      <c r="BQ227" s="15"/>
      <c r="BR227" s="15"/>
      <c r="BS227" s="15"/>
      <c r="BT227" s="15"/>
      <c r="BU227" s="15"/>
      <c r="BV227" s="15"/>
      <c r="BW227" s="15"/>
      <c r="BX227" s="15"/>
      <c r="BY227" s="15"/>
      <c r="BZ227" s="15"/>
      <c r="CA227" s="15"/>
      <c r="CB227" s="15"/>
      <c r="CC227" s="15"/>
      <c r="CD227" s="15"/>
      <c r="CE227" s="15"/>
      <c r="CF227" s="15"/>
      <c r="CG227" s="15"/>
      <c r="CH227" s="15"/>
      <c r="CI227" s="15"/>
      <c r="CJ227" s="15"/>
      <c r="CK227" s="15"/>
      <c r="CL227" s="15"/>
      <c r="CM227" s="15"/>
      <c r="CN227" s="15"/>
      <c r="CO227" s="15"/>
      <c r="CP227" s="15"/>
      <c r="CQ227" s="15"/>
      <c r="CR227" s="15"/>
      <c r="CS227" s="15"/>
      <c r="CT227" s="15"/>
      <c r="CU227" s="15"/>
      <c r="CV227" s="15"/>
      <c r="CW227" s="15"/>
      <c r="CX227" s="15"/>
      <c r="CY227" s="15"/>
      <c r="CZ227" s="15"/>
      <c r="DA227" s="15"/>
      <c r="DB227" s="15"/>
      <c r="DC227" s="15"/>
      <c r="DD227" s="15"/>
      <c r="DE227" s="15"/>
      <c r="DF227" s="15"/>
      <c r="DG227" s="15"/>
      <c r="DH227" s="15"/>
      <c r="DI227" s="15"/>
      <c r="DJ227" s="15"/>
      <c r="DK227" s="15"/>
      <c r="DL227" s="15"/>
      <c r="DM227" s="15"/>
      <c r="DN227" s="15"/>
      <c r="DO227" s="15"/>
      <c r="DP227" s="15"/>
      <c r="DQ227" s="15"/>
      <c r="DR227" s="15"/>
      <c r="DS227" s="15"/>
      <c r="DT227" s="15"/>
      <c r="DU227" s="15"/>
      <c r="DV227" s="15"/>
      <c r="DW227" s="15"/>
      <c r="DX227" s="15"/>
      <c r="DY227" s="15"/>
      <c r="DZ227" s="15"/>
      <c r="EA227" s="15"/>
      <c r="EB227" s="15"/>
      <c r="EC227" s="15"/>
      <c r="ED227" s="15"/>
      <c r="EE227" s="15"/>
      <c r="EF227" s="15"/>
      <c r="EG227" s="15"/>
      <c r="EH227" s="15"/>
      <c r="EI227" s="15"/>
      <c r="EJ227" s="15"/>
      <c r="EK227" s="15"/>
      <c r="EL227" s="15"/>
      <c r="EM227" s="15"/>
      <c r="EN227" s="15"/>
      <c r="EO227" s="15"/>
      <c r="EP227" s="15"/>
      <c r="EQ227" s="15"/>
      <c r="ER227" s="15"/>
      <c r="ES227" s="15"/>
      <c r="ET227" s="15"/>
      <c r="EU227" s="15"/>
      <c r="EV227" s="15"/>
      <c r="EW227" s="15"/>
      <c r="EX227" s="15"/>
      <c r="EY227" s="15"/>
      <c r="EZ227" s="15"/>
      <c r="FA227" s="15"/>
      <c r="FB227" s="15"/>
      <c r="FC227" s="15"/>
      <c r="FD227" s="15"/>
      <c r="FE227" s="15"/>
      <c r="FF227" s="15"/>
      <c r="FG227" s="15"/>
      <c r="FH227" s="15"/>
      <c r="FI227" s="15"/>
      <c r="FJ227" s="15"/>
      <c r="FK227" s="15"/>
      <c r="FL227" s="15"/>
      <c r="FM227" s="15"/>
      <c r="FN227" s="15"/>
      <c r="FO227" s="15"/>
      <c r="FP227" s="15"/>
      <c r="FQ227" s="15"/>
      <c r="FR227" s="15"/>
      <c r="FS227" s="15"/>
      <c r="FT227" s="15"/>
      <c r="FU227" s="15"/>
      <c r="FV227" s="15"/>
      <c r="FW227" s="15"/>
      <c r="FX227" s="15"/>
      <c r="FY227" s="15"/>
      <c r="FZ227" s="15"/>
      <c r="GA227" s="15"/>
      <c r="GB227" s="15"/>
      <c r="GC227" s="15"/>
      <c r="GD227" s="15"/>
      <c r="GE227" s="15"/>
      <c r="GF227" s="15"/>
      <c r="GG227" s="15"/>
      <c r="GH227" s="15"/>
      <c r="GI227" s="15"/>
      <c r="GJ227" s="15"/>
      <c r="GK227" s="15"/>
      <c r="GL227" s="15"/>
      <c r="GM227" s="15"/>
      <c r="GN227" s="15"/>
      <c r="GO227" s="15"/>
      <c r="GP227" s="15"/>
      <c r="GQ227" s="15"/>
      <c r="GR227" s="15"/>
      <c r="GS227" s="15"/>
      <c r="GT227" s="15"/>
      <c r="GU227" s="15"/>
      <c r="GV227" s="15"/>
      <c r="GW227" s="15"/>
      <c r="GX227" s="15"/>
      <c r="GY227" s="15"/>
      <c r="GZ227" s="15"/>
      <c r="HA227" s="15"/>
      <c r="HB227" s="15"/>
      <c r="HC227" s="15"/>
      <c r="HD227" s="15"/>
      <c r="HE227" s="15"/>
      <c r="HF227" s="15"/>
      <c r="HG227" s="15"/>
      <c r="HH227" s="15"/>
      <c r="HI227" s="15"/>
      <c r="HJ227" s="15"/>
      <c r="HK227" s="15"/>
      <c r="HL227" s="15"/>
      <c r="HM227" s="15"/>
      <c r="HN227" s="15"/>
      <c r="HO227" s="15"/>
      <c r="HP227" s="15"/>
      <c r="HQ227" s="15"/>
      <c r="HR227"/>
      <c r="HS227"/>
      <c r="HT227"/>
      <c r="HU227"/>
      <c r="HV227"/>
      <c r="HW227"/>
      <c r="HX227"/>
      <c r="HY227"/>
      <c r="HZ227"/>
      <c r="IA227"/>
      <c r="IB227"/>
      <c r="IC227"/>
      <c r="ID227"/>
      <c r="IE227"/>
      <c r="IF227"/>
      <c r="IG227"/>
      <c r="IH227"/>
      <c r="II227"/>
      <c r="IJ227"/>
      <c r="IK227" s="14"/>
      <c r="IL227" s="14"/>
      <c r="IM227" s="14"/>
      <c r="IN227" s="14"/>
      <c r="IO227" s="14"/>
      <c r="IP227" s="14"/>
      <c r="IQ227" s="14"/>
    </row>
    <row r="228" spans="1:251" s="31" customFormat="1">
      <c r="A228" s="146" t="s">
        <v>368</v>
      </c>
      <c r="B228" s="15"/>
      <c r="C228" s="15"/>
      <c r="D228" s="15"/>
      <c r="E228" s="15"/>
      <c r="F228" s="15"/>
      <c r="G228" s="15"/>
      <c r="H228" s="15"/>
      <c r="I228" s="15"/>
      <c r="J228" s="15"/>
      <c r="K228" s="15"/>
      <c r="L228" s="15"/>
      <c r="M228" s="15"/>
      <c r="N228" s="15"/>
      <c r="O228" s="15"/>
      <c r="P228" s="32">
        <v>0</v>
      </c>
      <c r="Q228" s="32">
        <v>0</v>
      </c>
      <c r="R228" s="32">
        <v>12</v>
      </c>
      <c r="S228" s="32">
        <v>12</v>
      </c>
      <c r="T228" s="32">
        <v>12</v>
      </c>
      <c r="U228" s="32">
        <v>0</v>
      </c>
      <c r="V228" s="32">
        <v>0</v>
      </c>
      <c r="W228" s="32">
        <v>0</v>
      </c>
      <c r="X228" s="32">
        <v>0</v>
      </c>
      <c r="Y228" s="32">
        <v>0</v>
      </c>
      <c r="Z228" s="32">
        <v>0</v>
      </c>
      <c r="AA228" s="32">
        <v>0</v>
      </c>
      <c r="AB228" s="32">
        <v>0</v>
      </c>
      <c r="AC228" s="32">
        <v>0</v>
      </c>
      <c r="AD228" s="32">
        <v>0</v>
      </c>
      <c r="AE228" s="32">
        <v>0</v>
      </c>
      <c r="AF228" s="32">
        <v>0</v>
      </c>
      <c r="AG228" s="32">
        <v>0</v>
      </c>
      <c r="AH228" s="15"/>
      <c r="AI228" s="15"/>
      <c r="AJ228" s="15"/>
      <c r="AK228" s="15"/>
      <c r="AL228" s="15"/>
      <c r="AM228" s="15"/>
      <c r="AN228" s="15"/>
      <c r="AO228" s="15"/>
      <c r="AP228" s="15"/>
      <c r="AQ228" s="15"/>
      <c r="AR228" s="15"/>
      <c r="AS228" s="15"/>
      <c r="AT228" s="15"/>
      <c r="AU228" s="15"/>
      <c r="AV228" s="15"/>
      <c r="AW228" s="15"/>
      <c r="AX228" s="15"/>
      <c r="AY228" s="15"/>
      <c r="AZ228" s="15"/>
      <c r="BA228" s="15"/>
      <c r="BB228" s="15"/>
      <c r="BC228" s="15"/>
      <c r="BD228" s="15"/>
      <c r="BE228" s="15"/>
      <c r="BF228" s="15"/>
      <c r="BG228" s="15"/>
      <c r="BH228" s="15"/>
      <c r="BI228" s="15"/>
      <c r="BJ228" s="15"/>
      <c r="BK228" s="15"/>
      <c r="BL228" s="15"/>
      <c r="BM228" s="15"/>
      <c r="BN228" s="15"/>
      <c r="BO228" s="15"/>
      <c r="BP228" s="15"/>
      <c r="BQ228" s="15"/>
      <c r="BR228" s="15"/>
      <c r="BS228" s="15"/>
      <c r="BT228" s="15"/>
      <c r="BU228" s="15"/>
      <c r="BV228" s="15"/>
      <c r="BW228" s="15"/>
      <c r="BX228" s="15"/>
      <c r="BY228" s="15"/>
      <c r="BZ228" s="15"/>
      <c r="CA228" s="15"/>
      <c r="CB228" s="15"/>
      <c r="CC228" s="15"/>
      <c r="CD228" s="15"/>
      <c r="CE228" s="15"/>
      <c r="CF228" s="15"/>
      <c r="CG228" s="15"/>
      <c r="CH228" s="15"/>
      <c r="CI228" s="15"/>
      <c r="CJ228" s="15"/>
      <c r="CK228" s="15"/>
      <c r="CL228" s="15"/>
      <c r="CM228" s="15"/>
      <c r="CN228" s="15"/>
      <c r="CO228" s="15"/>
      <c r="CP228" s="15"/>
      <c r="CQ228" s="15"/>
      <c r="CR228" s="15"/>
      <c r="CS228" s="15"/>
      <c r="CT228" s="15"/>
      <c r="CU228" s="15"/>
      <c r="CV228" s="15"/>
      <c r="CW228" s="15"/>
      <c r="CX228" s="15"/>
      <c r="CY228" s="15"/>
      <c r="CZ228" s="15"/>
      <c r="DA228" s="15"/>
      <c r="DB228" s="15"/>
      <c r="DC228" s="15"/>
      <c r="DD228" s="15"/>
      <c r="DE228" s="15"/>
      <c r="DF228" s="15"/>
      <c r="DG228" s="15"/>
      <c r="DH228" s="15"/>
      <c r="DI228" s="15"/>
      <c r="DJ228" s="15"/>
      <c r="DK228" s="15"/>
      <c r="DL228" s="15"/>
      <c r="DM228" s="15"/>
      <c r="DN228" s="15"/>
      <c r="DO228" s="15"/>
      <c r="DP228" s="15"/>
      <c r="DQ228" s="15"/>
      <c r="DR228" s="15"/>
      <c r="DS228" s="15"/>
      <c r="DT228" s="15"/>
      <c r="DU228" s="15"/>
      <c r="DV228" s="15"/>
      <c r="DW228" s="15"/>
      <c r="DX228" s="15"/>
      <c r="DY228" s="15"/>
      <c r="DZ228" s="15"/>
      <c r="EA228" s="15"/>
      <c r="EB228" s="15"/>
      <c r="EC228" s="15"/>
      <c r="ED228" s="15"/>
      <c r="EE228" s="15"/>
      <c r="EF228" s="15"/>
      <c r="EG228" s="15"/>
      <c r="EH228" s="15"/>
      <c r="EI228" s="15"/>
      <c r="EJ228" s="15"/>
      <c r="EK228" s="15"/>
      <c r="EL228" s="15"/>
      <c r="EM228" s="15"/>
      <c r="EN228" s="15"/>
      <c r="EO228" s="15"/>
      <c r="EP228" s="15"/>
      <c r="EQ228" s="15"/>
      <c r="ER228" s="15"/>
      <c r="ES228" s="15"/>
      <c r="ET228" s="15"/>
      <c r="EU228" s="15"/>
      <c r="EV228" s="15"/>
      <c r="EW228" s="15"/>
      <c r="EX228" s="15"/>
      <c r="EY228" s="15"/>
      <c r="EZ228" s="15"/>
      <c r="FA228" s="15"/>
      <c r="FB228" s="15"/>
      <c r="FC228" s="15"/>
      <c r="FD228" s="15"/>
      <c r="FE228" s="15"/>
      <c r="FF228" s="15"/>
      <c r="FG228" s="15"/>
      <c r="FH228" s="15"/>
      <c r="FI228" s="15"/>
      <c r="FJ228" s="15"/>
      <c r="FK228" s="15"/>
      <c r="FL228" s="15"/>
      <c r="FM228" s="15"/>
      <c r="FN228" s="15"/>
      <c r="FO228" s="15"/>
      <c r="FP228" s="15"/>
      <c r="FQ228" s="15"/>
      <c r="FR228" s="15"/>
      <c r="FS228" s="15"/>
      <c r="FT228" s="15"/>
      <c r="FU228" s="15"/>
      <c r="FV228" s="15"/>
      <c r="FW228" s="15"/>
      <c r="FX228" s="15"/>
      <c r="FY228" s="15"/>
      <c r="FZ228" s="15"/>
      <c r="GA228" s="15"/>
      <c r="GB228" s="15"/>
      <c r="GC228" s="15"/>
      <c r="GD228" s="15"/>
      <c r="GE228" s="15"/>
      <c r="GF228" s="15"/>
      <c r="GG228" s="15"/>
      <c r="GH228" s="15"/>
      <c r="GI228" s="15"/>
      <c r="GJ228" s="15"/>
      <c r="GK228" s="15"/>
      <c r="GL228" s="15"/>
      <c r="GM228" s="15"/>
      <c r="GN228" s="15"/>
      <c r="GO228" s="15"/>
      <c r="GP228" s="15"/>
      <c r="GQ228" s="15"/>
      <c r="GR228" s="15"/>
      <c r="GS228" s="15"/>
      <c r="GT228" s="15"/>
      <c r="GU228" s="15"/>
      <c r="GV228" s="15"/>
      <c r="GW228" s="15"/>
      <c r="GX228" s="15"/>
      <c r="GY228" s="15"/>
      <c r="GZ228" s="15"/>
      <c r="HA228" s="15"/>
      <c r="HB228" s="15"/>
      <c r="HC228" s="15"/>
      <c r="HD228" s="15"/>
      <c r="HE228" s="15"/>
      <c r="HF228" s="15"/>
      <c r="HG228" s="15"/>
      <c r="HH228" s="15"/>
      <c r="HI228" s="15"/>
      <c r="HJ228" s="15"/>
      <c r="HK228" s="15"/>
      <c r="HL228" s="15"/>
      <c r="HM228" s="15"/>
      <c r="HN228" s="15"/>
      <c r="HO228" s="15"/>
      <c r="HP228" s="15"/>
      <c r="HQ228" s="15"/>
      <c r="HR228"/>
      <c r="HS228"/>
      <c r="HT228"/>
      <c r="HU228"/>
      <c r="HV228"/>
      <c r="HW228"/>
      <c r="HX228"/>
      <c r="HY228"/>
      <c r="HZ228"/>
      <c r="IA228"/>
      <c r="IB228"/>
      <c r="IC228"/>
      <c r="ID228"/>
      <c r="IE228"/>
      <c r="IF228"/>
      <c r="IG228"/>
      <c r="IH228"/>
      <c r="II228"/>
      <c r="IJ228"/>
      <c r="IK228" s="14"/>
      <c r="IL228" s="14"/>
      <c r="IM228" s="14"/>
      <c r="IN228" s="14"/>
      <c r="IO228" s="14"/>
      <c r="IP228" s="14"/>
      <c r="IQ228" s="14"/>
    </row>
    <row r="229" spans="1:251" s="31" customFormat="1" ht="6" customHeight="1">
      <c r="A229" s="146"/>
      <c r="B229" s="15"/>
      <c r="C229" s="15"/>
      <c r="D229" s="15"/>
      <c r="E229" s="15"/>
      <c r="F229" s="15"/>
      <c r="G229" s="15"/>
      <c r="H229" s="15"/>
      <c r="I229" s="15"/>
      <c r="J229" s="15"/>
      <c r="K229" s="15"/>
      <c r="L229" s="15"/>
      <c r="M229" s="15"/>
      <c r="N229" s="15"/>
      <c r="O229" s="15"/>
      <c r="P229" s="43"/>
      <c r="Q229" s="43"/>
      <c r="R229" s="43"/>
      <c r="S229" s="43"/>
      <c r="T229" s="43"/>
      <c r="U229" s="43"/>
      <c r="V229" s="43"/>
      <c r="W229" s="43"/>
      <c r="X229" s="43"/>
      <c r="Y229" s="43"/>
      <c r="Z229" s="43"/>
      <c r="AA229" s="43"/>
      <c r="AB229" s="43"/>
      <c r="AC229" s="43"/>
      <c r="AD229" s="43"/>
      <c r="AE229" s="43"/>
      <c r="AF229" s="43"/>
      <c r="AG229" s="43"/>
      <c r="AH229" s="15"/>
      <c r="AI229" s="15"/>
      <c r="AJ229" s="15"/>
      <c r="AK229" s="15"/>
      <c r="AL229" s="15"/>
      <c r="AM229" s="15"/>
      <c r="AN229" s="15"/>
      <c r="AO229" s="15"/>
      <c r="AP229" s="15"/>
      <c r="AQ229" s="15"/>
      <c r="AR229" s="15"/>
      <c r="AS229" s="15"/>
      <c r="AT229" s="15"/>
      <c r="AU229" s="15"/>
      <c r="AV229" s="15"/>
      <c r="AW229" s="15"/>
      <c r="AX229" s="15"/>
      <c r="AY229" s="15"/>
      <c r="AZ229" s="15"/>
      <c r="BA229" s="15"/>
      <c r="BB229" s="15"/>
      <c r="BC229" s="15"/>
      <c r="BD229" s="15"/>
      <c r="BE229" s="15"/>
      <c r="BF229" s="15"/>
      <c r="BG229" s="15"/>
      <c r="BH229" s="15"/>
      <c r="BI229" s="15"/>
      <c r="BJ229" s="15"/>
      <c r="BK229" s="15"/>
      <c r="BL229" s="15"/>
      <c r="BM229" s="15"/>
      <c r="BN229" s="15"/>
      <c r="BO229" s="15"/>
      <c r="BP229" s="15"/>
      <c r="BQ229" s="15"/>
      <c r="BR229" s="15"/>
      <c r="BS229" s="15"/>
      <c r="BT229" s="15"/>
      <c r="BU229" s="15"/>
      <c r="BV229" s="15"/>
      <c r="BW229" s="15"/>
      <c r="BX229" s="15"/>
      <c r="BY229" s="15"/>
      <c r="BZ229" s="15"/>
      <c r="CA229" s="15"/>
      <c r="CB229" s="15"/>
      <c r="CC229" s="15"/>
      <c r="CD229" s="15"/>
      <c r="CE229" s="15"/>
      <c r="CF229" s="15"/>
      <c r="CG229" s="15"/>
      <c r="CH229" s="15"/>
      <c r="CI229" s="15"/>
      <c r="CJ229" s="15"/>
      <c r="CK229" s="15"/>
      <c r="CL229" s="15"/>
      <c r="CM229" s="15"/>
      <c r="CN229" s="15"/>
      <c r="CO229" s="15"/>
      <c r="CP229" s="15"/>
      <c r="CQ229" s="15"/>
      <c r="CR229" s="15"/>
      <c r="CS229" s="15"/>
      <c r="CT229" s="15"/>
      <c r="CU229" s="15"/>
      <c r="CV229" s="15"/>
      <c r="CW229" s="15"/>
      <c r="CX229" s="15"/>
      <c r="CY229" s="15"/>
      <c r="CZ229" s="15"/>
      <c r="DA229" s="15"/>
      <c r="DB229" s="15"/>
      <c r="DC229" s="15"/>
      <c r="DD229" s="15"/>
      <c r="DE229" s="15"/>
      <c r="DF229" s="15"/>
      <c r="DG229" s="15"/>
      <c r="DH229" s="15"/>
      <c r="DI229" s="15"/>
      <c r="DJ229" s="15"/>
      <c r="DK229" s="15"/>
      <c r="DL229" s="15"/>
      <c r="DM229" s="15"/>
      <c r="DN229" s="15"/>
      <c r="DO229" s="15"/>
      <c r="DP229" s="15"/>
      <c r="DQ229" s="15"/>
      <c r="DR229" s="15"/>
      <c r="DS229" s="15"/>
      <c r="DT229" s="15"/>
      <c r="DU229" s="15"/>
      <c r="DV229" s="15"/>
      <c r="DW229" s="15"/>
      <c r="DX229" s="15"/>
      <c r="DY229" s="15"/>
      <c r="DZ229" s="15"/>
      <c r="EA229" s="15"/>
      <c r="EB229" s="15"/>
      <c r="EC229" s="15"/>
      <c r="ED229" s="15"/>
      <c r="EE229" s="15"/>
      <c r="EF229" s="15"/>
      <c r="EG229" s="15"/>
      <c r="EH229" s="15"/>
      <c r="EI229" s="15"/>
      <c r="EJ229" s="15"/>
      <c r="EK229" s="15"/>
      <c r="EL229" s="15"/>
      <c r="EM229" s="15"/>
      <c r="EN229" s="15"/>
      <c r="EO229" s="15"/>
      <c r="EP229" s="15"/>
      <c r="EQ229" s="15"/>
      <c r="ER229" s="15"/>
      <c r="ES229" s="15"/>
      <c r="ET229" s="15"/>
      <c r="EU229" s="15"/>
      <c r="EV229" s="15"/>
      <c r="EW229" s="15"/>
      <c r="EX229" s="15"/>
      <c r="EY229" s="15"/>
      <c r="EZ229" s="15"/>
      <c r="FA229" s="15"/>
      <c r="FB229" s="15"/>
      <c r="FC229" s="15"/>
      <c r="FD229" s="15"/>
      <c r="FE229" s="15"/>
      <c r="FF229" s="15"/>
      <c r="FG229" s="15"/>
      <c r="FH229" s="15"/>
      <c r="FI229" s="15"/>
      <c r="FJ229" s="15"/>
      <c r="FK229" s="15"/>
      <c r="FL229" s="15"/>
      <c r="FM229" s="15"/>
      <c r="FN229" s="15"/>
      <c r="FO229" s="15"/>
      <c r="FP229" s="15"/>
      <c r="FQ229" s="15"/>
      <c r="FR229" s="15"/>
      <c r="FS229" s="15"/>
      <c r="FT229" s="15"/>
      <c r="FU229" s="15"/>
      <c r="FV229" s="15"/>
      <c r="FW229" s="15"/>
      <c r="FX229" s="15"/>
      <c r="FY229" s="15"/>
      <c r="FZ229" s="15"/>
      <c r="GA229" s="15"/>
      <c r="GB229" s="15"/>
      <c r="GC229" s="15"/>
      <c r="GD229" s="15"/>
      <c r="GE229" s="15"/>
      <c r="GF229" s="15"/>
      <c r="GG229" s="15"/>
      <c r="GH229" s="15"/>
      <c r="GI229" s="15"/>
      <c r="GJ229" s="15"/>
      <c r="GK229" s="15"/>
      <c r="GL229" s="15"/>
      <c r="GM229" s="15"/>
      <c r="GN229" s="15"/>
      <c r="GO229" s="15"/>
      <c r="GP229" s="15"/>
      <c r="GQ229" s="15"/>
      <c r="GR229" s="15"/>
      <c r="GS229" s="15"/>
      <c r="GT229" s="15"/>
      <c r="GU229" s="15"/>
      <c r="GV229" s="15"/>
      <c r="GW229" s="15"/>
      <c r="GX229" s="15"/>
      <c r="GY229" s="15"/>
      <c r="GZ229" s="15"/>
      <c r="HA229" s="15"/>
      <c r="HB229" s="15"/>
      <c r="HC229" s="15"/>
      <c r="HD229" s="15"/>
      <c r="HE229" s="15"/>
      <c r="HF229" s="15"/>
      <c r="HG229" s="15"/>
      <c r="HH229" s="15"/>
      <c r="HI229" s="15"/>
      <c r="HJ229" s="15"/>
      <c r="HK229" s="15"/>
      <c r="HL229" s="15"/>
      <c r="HM229" s="15"/>
      <c r="HN229" s="15"/>
      <c r="HO229" s="15"/>
      <c r="HP229" s="15"/>
      <c r="HQ229" s="15"/>
      <c r="HR229"/>
      <c r="HS229"/>
      <c r="HT229"/>
      <c r="HU229"/>
      <c r="HV229"/>
      <c r="HW229"/>
      <c r="HX229"/>
      <c r="HY229"/>
      <c r="HZ229"/>
      <c r="IA229"/>
      <c r="IB229"/>
      <c r="IC229"/>
      <c r="ID229"/>
      <c r="IE229"/>
      <c r="IF229"/>
      <c r="IG229"/>
      <c r="IH229"/>
      <c r="II229"/>
      <c r="IJ229"/>
      <c r="IK229" s="14"/>
      <c r="IL229" s="14"/>
      <c r="IM229" s="14"/>
      <c r="IN229" s="14"/>
      <c r="IO229" s="14"/>
      <c r="IP229" s="14"/>
      <c r="IQ229" s="14"/>
    </row>
    <row r="230" spans="1:251" s="31" customFormat="1">
      <c r="A230" s="146" t="s">
        <v>113</v>
      </c>
      <c r="B230" s="15"/>
      <c r="C230" s="15"/>
      <c r="D230" s="15"/>
      <c r="E230" s="15"/>
      <c r="F230" s="15"/>
      <c r="G230" s="15"/>
      <c r="H230" s="15"/>
      <c r="I230" s="15"/>
      <c r="J230" s="15"/>
      <c r="K230" s="15"/>
      <c r="L230" s="15"/>
      <c r="M230" s="15"/>
      <c r="N230" s="15"/>
      <c r="O230" s="15"/>
      <c r="P230" s="147">
        <v>0</v>
      </c>
      <c r="Q230" s="147">
        <v>4300</v>
      </c>
      <c r="R230" s="147">
        <v>0</v>
      </c>
      <c r="S230" s="147">
        <v>0</v>
      </c>
      <c r="T230" s="147">
        <v>0</v>
      </c>
      <c r="U230" s="147">
        <v>0</v>
      </c>
      <c r="V230" s="147">
        <v>0</v>
      </c>
      <c r="W230" s="147">
        <v>0</v>
      </c>
      <c r="X230" s="147">
        <v>0</v>
      </c>
      <c r="Y230" s="147">
        <v>0</v>
      </c>
      <c r="Z230" s="147">
        <v>0</v>
      </c>
      <c r="AA230" s="147">
        <v>0</v>
      </c>
      <c r="AB230" s="147">
        <v>0</v>
      </c>
      <c r="AC230" s="147">
        <v>0</v>
      </c>
      <c r="AD230" s="147">
        <v>0</v>
      </c>
      <c r="AE230" s="147">
        <v>0</v>
      </c>
      <c r="AF230" s="147">
        <v>0</v>
      </c>
      <c r="AG230" s="147">
        <v>0</v>
      </c>
      <c r="AH230" s="15"/>
      <c r="AI230" s="15"/>
      <c r="AJ230" s="15"/>
      <c r="AK230" s="15"/>
      <c r="AL230" s="15"/>
      <c r="AM230" s="15"/>
      <c r="AN230" s="15"/>
      <c r="AO230" s="15"/>
      <c r="AP230" s="15"/>
      <c r="AQ230" s="15"/>
      <c r="AR230" s="15"/>
      <c r="AS230" s="15"/>
      <c r="AT230" s="15"/>
      <c r="AU230" s="15"/>
      <c r="AV230" s="15"/>
      <c r="AW230" s="15"/>
      <c r="AX230" s="15"/>
      <c r="AY230" s="15"/>
      <c r="AZ230" s="15"/>
      <c r="BA230" s="15"/>
      <c r="BB230" s="15"/>
      <c r="BC230" s="15"/>
      <c r="BD230" s="15"/>
      <c r="BE230" s="15"/>
      <c r="BF230" s="15"/>
      <c r="BG230" s="15"/>
      <c r="BH230" s="15"/>
      <c r="BI230" s="15"/>
      <c r="BJ230" s="15"/>
      <c r="BK230" s="15"/>
      <c r="BL230" s="15"/>
      <c r="BM230" s="15"/>
      <c r="BN230" s="15"/>
      <c r="BO230" s="15"/>
      <c r="BP230" s="15"/>
      <c r="BQ230" s="15"/>
      <c r="BR230" s="15"/>
      <c r="BS230" s="15"/>
      <c r="BT230" s="15"/>
      <c r="BU230" s="15"/>
      <c r="BV230" s="15"/>
      <c r="BW230" s="15"/>
      <c r="BX230" s="15"/>
      <c r="BY230" s="15"/>
      <c r="BZ230" s="15"/>
      <c r="CA230" s="15"/>
      <c r="CB230" s="15"/>
      <c r="CC230" s="15"/>
      <c r="CD230" s="15"/>
      <c r="CE230" s="15"/>
      <c r="CF230" s="15"/>
      <c r="CG230" s="15"/>
      <c r="CH230" s="15"/>
      <c r="CI230" s="15"/>
      <c r="CJ230" s="15"/>
      <c r="CK230" s="15"/>
      <c r="CL230" s="15"/>
      <c r="CM230" s="15"/>
      <c r="CN230" s="15"/>
      <c r="CO230" s="15"/>
      <c r="CP230" s="15"/>
      <c r="CQ230" s="15"/>
      <c r="CR230" s="15"/>
      <c r="CS230" s="15"/>
      <c r="CT230" s="15"/>
      <c r="CU230" s="15"/>
      <c r="CV230" s="15"/>
      <c r="CW230" s="15"/>
      <c r="CX230" s="15"/>
      <c r="CY230" s="15"/>
      <c r="CZ230" s="15"/>
      <c r="DA230" s="15"/>
      <c r="DB230" s="15"/>
      <c r="DC230" s="15"/>
      <c r="DD230" s="15"/>
      <c r="DE230" s="15"/>
      <c r="DF230" s="15"/>
      <c r="DG230" s="15"/>
      <c r="DH230" s="15"/>
      <c r="DI230" s="15"/>
      <c r="DJ230" s="15"/>
      <c r="DK230" s="15"/>
      <c r="DL230" s="15"/>
      <c r="DM230" s="15"/>
      <c r="DN230" s="15"/>
      <c r="DO230" s="15"/>
      <c r="DP230" s="15"/>
      <c r="DQ230" s="15"/>
      <c r="DR230" s="15"/>
      <c r="DS230" s="15"/>
      <c r="DT230" s="15"/>
      <c r="DU230" s="15"/>
      <c r="DV230" s="15"/>
      <c r="DW230" s="15"/>
      <c r="DX230" s="15"/>
      <c r="DY230" s="15"/>
      <c r="DZ230" s="15"/>
      <c r="EA230" s="15"/>
      <c r="EB230" s="15"/>
      <c r="EC230" s="15"/>
      <c r="ED230" s="15"/>
      <c r="EE230" s="15"/>
      <c r="EF230" s="15"/>
      <c r="EG230" s="15"/>
      <c r="EH230" s="15"/>
      <c r="EI230" s="15"/>
      <c r="EJ230" s="15"/>
      <c r="EK230" s="15"/>
      <c r="EL230" s="15"/>
      <c r="EM230" s="15"/>
      <c r="EN230" s="15"/>
      <c r="EO230" s="15"/>
      <c r="EP230" s="15"/>
      <c r="EQ230" s="15"/>
      <c r="ER230" s="15"/>
      <c r="ES230" s="15"/>
      <c r="ET230" s="15"/>
      <c r="EU230" s="15"/>
      <c r="EV230" s="15"/>
      <c r="EW230" s="15"/>
      <c r="EX230" s="15"/>
      <c r="EY230" s="15"/>
      <c r="EZ230" s="15"/>
      <c r="FA230" s="15"/>
      <c r="FB230" s="15"/>
      <c r="FC230" s="15"/>
      <c r="FD230" s="15"/>
      <c r="FE230" s="15"/>
      <c r="FF230" s="15"/>
      <c r="FG230" s="15"/>
      <c r="FH230" s="15"/>
      <c r="FI230" s="15"/>
      <c r="FJ230" s="15"/>
      <c r="FK230" s="15"/>
      <c r="FL230" s="15"/>
      <c r="FM230" s="15"/>
      <c r="FN230" s="15"/>
      <c r="FO230" s="15"/>
      <c r="FP230" s="15"/>
      <c r="FQ230" s="15"/>
      <c r="FR230" s="15"/>
      <c r="FS230" s="15"/>
      <c r="FT230" s="15"/>
      <c r="FU230" s="15"/>
      <c r="FV230" s="15"/>
      <c r="FW230" s="15"/>
      <c r="FX230" s="15"/>
      <c r="FY230" s="15"/>
      <c r="FZ230" s="15"/>
      <c r="GA230" s="15"/>
      <c r="GB230" s="15"/>
      <c r="GC230" s="15"/>
      <c r="GD230" s="15"/>
      <c r="GE230" s="15"/>
      <c r="GF230" s="15"/>
      <c r="GG230" s="15"/>
      <c r="GH230" s="15"/>
      <c r="GI230" s="15"/>
      <c r="GJ230" s="15"/>
      <c r="GK230" s="15"/>
      <c r="GL230" s="15"/>
      <c r="GM230" s="15"/>
      <c r="GN230" s="15"/>
      <c r="GO230" s="15"/>
      <c r="GP230" s="15"/>
      <c r="GQ230" s="15"/>
      <c r="GR230" s="15"/>
      <c r="GS230" s="15"/>
      <c r="GT230" s="15"/>
      <c r="GU230" s="15"/>
      <c r="GV230" s="15"/>
      <c r="GW230" s="15"/>
      <c r="GX230" s="15"/>
      <c r="GY230" s="15"/>
      <c r="GZ230" s="15"/>
      <c r="HA230" s="15"/>
      <c r="HB230" s="15"/>
      <c r="HC230" s="15"/>
      <c r="HD230" s="15"/>
      <c r="HE230" s="15"/>
      <c r="HF230" s="15"/>
      <c r="HG230" s="15"/>
      <c r="HH230" s="15"/>
      <c r="HI230" s="15"/>
      <c r="HJ230" s="15"/>
      <c r="HK230" s="15"/>
      <c r="HL230" s="15"/>
      <c r="HM230" s="15"/>
      <c r="HN230" s="15"/>
      <c r="HO230" s="15"/>
      <c r="HP230" s="15"/>
      <c r="HQ230" s="15"/>
      <c r="HR230"/>
      <c r="HS230"/>
      <c r="HT230"/>
      <c r="HU230"/>
      <c r="HV230"/>
      <c r="HW230"/>
      <c r="HX230"/>
      <c r="HY230"/>
      <c r="HZ230"/>
      <c r="IA230"/>
      <c r="IB230"/>
      <c r="IC230"/>
      <c r="ID230"/>
      <c r="IE230"/>
      <c r="IF230"/>
      <c r="IG230"/>
      <c r="IH230"/>
      <c r="II230"/>
      <c r="IJ230"/>
      <c r="IK230" s="14"/>
      <c r="IL230" s="14"/>
      <c r="IM230" s="14"/>
      <c r="IN230" s="14"/>
      <c r="IO230" s="14"/>
      <c r="IP230" s="14"/>
      <c r="IQ230" s="14"/>
    </row>
    <row r="231" spans="1:251" s="31" customFormat="1">
      <c r="A231" s="146" t="s">
        <v>491</v>
      </c>
      <c r="B231" s="15"/>
      <c r="C231" s="15"/>
      <c r="D231" s="15"/>
      <c r="E231" s="15"/>
      <c r="F231" s="15"/>
      <c r="G231" s="15"/>
      <c r="H231" s="15"/>
      <c r="I231" s="15"/>
      <c r="J231" s="15"/>
      <c r="K231" s="15"/>
      <c r="L231" s="15"/>
      <c r="M231" s="15"/>
      <c r="N231" s="15"/>
      <c r="O231" s="15"/>
      <c r="P231" s="249">
        <v>0</v>
      </c>
      <c r="Q231" s="249">
        <v>6.5000000000000002E-2</v>
      </c>
      <c r="R231" s="249">
        <v>6.5000000000000002E-2</v>
      </c>
      <c r="S231" s="249">
        <v>0</v>
      </c>
      <c r="T231" s="249">
        <v>0</v>
      </c>
      <c r="U231" s="249">
        <v>0</v>
      </c>
      <c r="V231" s="249">
        <v>0</v>
      </c>
      <c r="W231" s="249">
        <v>0</v>
      </c>
      <c r="X231" s="249">
        <v>0</v>
      </c>
      <c r="Y231" s="249">
        <v>0</v>
      </c>
      <c r="Z231" s="249">
        <v>0</v>
      </c>
      <c r="AA231" s="249">
        <v>0</v>
      </c>
      <c r="AB231" s="249">
        <v>0</v>
      </c>
      <c r="AC231" s="249">
        <v>0</v>
      </c>
      <c r="AD231" s="249">
        <v>0</v>
      </c>
      <c r="AE231" s="249">
        <v>0</v>
      </c>
      <c r="AF231" s="249">
        <v>0</v>
      </c>
      <c r="AG231" s="249">
        <v>0</v>
      </c>
      <c r="AH231" s="15"/>
      <c r="AI231" s="15"/>
      <c r="AJ231" s="15"/>
      <c r="AK231" s="15"/>
      <c r="AL231" s="15"/>
      <c r="AM231" s="15"/>
      <c r="AN231" s="15"/>
      <c r="AO231" s="15"/>
      <c r="AP231" s="15"/>
      <c r="AQ231" s="15"/>
      <c r="AR231" s="15"/>
      <c r="AS231" s="15"/>
      <c r="AT231" s="15"/>
      <c r="AU231" s="15"/>
      <c r="AV231" s="15"/>
      <c r="AW231" s="15"/>
      <c r="AX231" s="15"/>
      <c r="AY231" s="15"/>
      <c r="AZ231" s="15"/>
      <c r="BA231" s="15"/>
      <c r="BB231" s="15"/>
      <c r="BC231" s="15"/>
      <c r="BD231" s="15"/>
      <c r="BE231" s="15"/>
      <c r="BF231" s="15"/>
      <c r="BG231" s="15"/>
      <c r="BH231" s="15"/>
      <c r="BI231" s="15"/>
      <c r="BJ231" s="15"/>
      <c r="BK231" s="15"/>
      <c r="BL231" s="15"/>
      <c r="BM231" s="15"/>
      <c r="BN231" s="15"/>
      <c r="BO231" s="15"/>
      <c r="BP231" s="15"/>
      <c r="BQ231" s="15"/>
      <c r="BR231" s="15"/>
      <c r="BS231" s="15"/>
      <c r="BT231" s="15"/>
      <c r="BU231" s="15"/>
      <c r="BV231" s="15"/>
      <c r="BW231" s="15"/>
      <c r="BX231" s="15"/>
      <c r="BY231" s="15"/>
      <c r="BZ231" s="15"/>
      <c r="CA231" s="15"/>
      <c r="CB231" s="15"/>
      <c r="CC231" s="15"/>
      <c r="CD231" s="15"/>
      <c r="CE231" s="15"/>
      <c r="CF231" s="15"/>
      <c r="CG231" s="15"/>
      <c r="CH231" s="15"/>
      <c r="CI231" s="15"/>
      <c r="CJ231" s="15"/>
      <c r="CK231" s="15"/>
      <c r="CL231" s="15"/>
      <c r="CM231" s="15"/>
      <c r="CN231" s="15"/>
      <c r="CO231" s="15"/>
      <c r="CP231" s="15"/>
      <c r="CQ231" s="15"/>
      <c r="CR231" s="15"/>
      <c r="CS231" s="15"/>
      <c r="CT231" s="15"/>
      <c r="CU231" s="15"/>
      <c r="CV231" s="15"/>
      <c r="CW231" s="15"/>
      <c r="CX231" s="15"/>
      <c r="CY231" s="15"/>
      <c r="CZ231" s="15"/>
      <c r="DA231" s="15"/>
      <c r="DB231" s="15"/>
      <c r="DC231" s="15"/>
      <c r="DD231" s="15"/>
      <c r="DE231" s="15"/>
      <c r="DF231" s="15"/>
      <c r="DG231" s="15"/>
      <c r="DH231" s="15"/>
      <c r="DI231" s="15"/>
      <c r="DJ231" s="15"/>
      <c r="DK231" s="15"/>
      <c r="DL231" s="15"/>
      <c r="DM231" s="15"/>
      <c r="DN231" s="15"/>
      <c r="DO231" s="15"/>
      <c r="DP231" s="15"/>
      <c r="DQ231" s="15"/>
      <c r="DR231" s="15"/>
      <c r="DS231" s="15"/>
      <c r="DT231" s="15"/>
      <c r="DU231" s="15"/>
      <c r="DV231" s="15"/>
      <c r="DW231" s="15"/>
      <c r="DX231" s="15"/>
      <c r="DY231" s="15"/>
      <c r="DZ231" s="15"/>
      <c r="EA231" s="15"/>
      <c r="EB231" s="15"/>
      <c r="EC231" s="15"/>
      <c r="ED231" s="15"/>
      <c r="EE231" s="15"/>
      <c r="EF231" s="15"/>
      <c r="EG231" s="15"/>
      <c r="EH231" s="15"/>
      <c r="EI231" s="15"/>
      <c r="EJ231" s="15"/>
      <c r="EK231" s="15"/>
      <c r="EL231" s="15"/>
      <c r="EM231" s="15"/>
      <c r="EN231" s="15"/>
      <c r="EO231" s="15"/>
      <c r="EP231" s="15"/>
      <c r="EQ231" s="15"/>
      <c r="ER231" s="15"/>
      <c r="ES231" s="15"/>
      <c r="ET231" s="15"/>
      <c r="EU231" s="15"/>
      <c r="EV231" s="15"/>
      <c r="EW231" s="15"/>
      <c r="EX231" s="15"/>
      <c r="EY231" s="15"/>
      <c r="EZ231" s="15"/>
      <c r="FA231" s="15"/>
      <c r="FB231" s="15"/>
      <c r="FC231" s="15"/>
      <c r="FD231" s="15"/>
      <c r="FE231" s="15"/>
      <c r="FF231" s="15"/>
      <c r="FG231" s="15"/>
      <c r="FH231" s="15"/>
      <c r="FI231" s="15"/>
      <c r="FJ231" s="15"/>
      <c r="FK231" s="15"/>
      <c r="FL231" s="15"/>
      <c r="FM231" s="15"/>
      <c r="FN231" s="15"/>
      <c r="FO231" s="15"/>
      <c r="FP231" s="15"/>
      <c r="FQ231" s="15"/>
      <c r="FR231" s="15"/>
      <c r="FS231" s="15"/>
      <c r="FT231" s="15"/>
      <c r="FU231" s="15"/>
      <c r="FV231" s="15"/>
      <c r="FW231" s="15"/>
      <c r="FX231" s="15"/>
      <c r="FY231" s="15"/>
      <c r="FZ231" s="15"/>
      <c r="GA231" s="15"/>
      <c r="GB231" s="15"/>
      <c r="GC231" s="15"/>
      <c r="GD231" s="15"/>
      <c r="GE231" s="15"/>
      <c r="GF231" s="15"/>
      <c r="GG231" s="15"/>
      <c r="GH231" s="15"/>
      <c r="GI231" s="15"/>
      <c r="GJ231" s="15"/>
      <c r="GK231" s="15"/>
      <c r="GL231" s="15"/>
      <c r="GM231" s="15"/>
      <c r="GN231" s="15"/>
      <c r="GO231" s="15"/>
      <c r="GP231" s="15"/>
      <c r="GQ231" s="15"/>
      <c r="GR231" s="15"/>
      <c r="GS231" s="15"/>
      <c r="GT231" s="15"/>
      <c r="GU231" s="15"/>
      <c r="GV231" s="15"/>
      <c r="GW231" s="15"/>
      <c r="GX231" s="15"/>
      <c r="GY231" s="15"/>
      <c r="GZ231" s="15"/>
      <c r="HA231" s="15"/>
      <c r="HB231" s="15"/>
      <c r="HC231" s="15"/>
      <c r="HD231" s="15"/>
      <c r="HE231" s="15"/>
      <c r="HF231" s="15"/>
      <c r="HG231" s="15"/>
      <c r="HH231" s="15"/>
      <c r="HI231" s="15"/>
      <c r="HJ231" s="15"/>
      <c r="HK231" s="15"/>
      <c r="HL231" s="15"/>
      <c r="HM231" s="15"/>
      <c r="HN231" s="15"/>
      <c r="HO231" s="15"/>
      <c r="HP231" s="15"/>
      <c r="HQ231" s="15"/>
      <c r="HR231"/>
      <c r="HS231"/>
      <c r="HT231"/>
      <c r="HU231"/>
      <c r="HV231"/>
      <c r="HW231"/>
      <c r="HX231"/>
      <c r="HY231"/>
      <c r="HZ231"/>
      <c r="IA231"/>
      <c r="IB231"/>
      <c r="IC231"/>
      <c r="ID231"/>
      <c r="IE231"/>
      <c r="IF231"/>
      <c r="IG231"/>
      <c r="IH231"/>
      <c r="II231"/>
      <c r="IJ231"/>
      <c r="IK231" s="14"/>
      <c r="IL231" s="14"/>
      <c r="IM231" s="14"/>
      <c r="IN231" s="14"/>
      <c r="IO231" s="14"/>
      <c r="IP231" s="14"/>
      <c r="IQ231" s="14"/>
    </row>
    <row r="232" spans="1:251" s="31" customFormat="1">
      <c r="A232" s="146" t="s">
        <v>368</v>
      </c>
      <c r="B232" s="15"/>
      <c r="C232" s="15"/>
      <c r="D232" s="15"/>
      <c r="E232" s="15"/>
      <c r="F232" s="15"/>
      <c r="G232" s="15"/>
      <c r="H232" s="15"/>
      <c r="I232" s="15"/>
      <c r="J232" s="15"/>
      <c r="K232" s="15"/>
      <c r="L232" s="15"/>
      <c r="M232" s="15"/>
      <c r="N232" s="15"/>
      <c r="O232" s="15"/>
      <c r="P232" s="32">
        <v>0</v>
      </c>
      <c r="Q232" s="32">
        <v>1</v>
      </c>
      <c r="R232" s="32">
        <v>12</v>
      </c>
      <c r="S232" s="32">
        <v>0</v>
      </c>
      <c r="T232" s="32">
        <v>0</v>
      </c>
      <c r="U232" s="32">
        <v>0</v>
      </c>
      <c r="V232" s="32">
        <v>0</v>
      </c>
      <c r="W232" s="32">
        <v>0</v>
      </c>
      <c r="X232" s="32">
        <v>0</v>
      </c>
      <c r="Y232" s="32">
        <v>0</v>
      </c>
      <c r="Z232" s="32">
        <v>0</v>
      </c>
      <c r="AA232" s="32">
        <v>0</v>
      </c>
      <c r="AB232" s="32">
        <v>0</v>
      </c>
      <c r="AC232" s="32">
        <v>0</v>
      </c>
      <c r="AD232" s="32">
        <v>0</v>
      </c>
      <c r="AE232" s="32">
        <v>0</v>
      </c>
      <c r="AF232" s="32">
        <v>0</v>
      </c>
      <c r="AG232" s="32">
        <v>0</v>
      </c>
      <c r="AH232" s="15"/>
      <c r="AI232" s="15"/>
      <c r="AJ232" s="15"/>
      <c r="AK232" s="15"/>
      <c r="AL232" s="15"/>
      <c r="AM232" s="15"/>
      <c r="AN232" s="15"/>
      <c r="AO232" s="15"/>
      <c r="AP232" s="15"/>
      <c r="AQ232" s="15"/>
      <c r="AR232" s="15"/>
      <c r="AS232" s="15"/>
      <c r="AT232" s="15"/>
      <c r="AU232" s="15"/>
      <c r="AV232" s="15"/>
      <c r="AW232" s="15"/>
      <c r="AX232" s="15"/>
      <c r="AY232" s="15"/>
      <c r="AZ232" s="15"/>
      <c r="BA232" s="15"/>
      <c r="BB232" s="15"/>
      <c r="BC232" s="15"/>
      <c r="BD232" s="15"/>
      <c r="BE232" s="15"/>
      <c r="BF232" s="15"/>
      <c r="BG232" s="15"/>
      <c r="BH232" s="15"/>
      <c r="BI232" s="15"/>
      <c r="BJ232" s="15"/>
      <c r="BK232" s="15"/>
      <c r="BL232" s="15"/>
      <c r="BM232" s="15"/>
      <c r="BN232" s="15"/>
      <c r="BO232" s="15"/>
      <c r="BP232" s="15"/>
      <c r="BQ232" s="15"/>
      <c r="BR232" s="15"/>
      <c r="BS232" s="15"/>
      <c r="BT232" s="15"/>
      <c r="BU232" s="15"/>
      <c r="BV232" s="15"/>
      <c r="BW232" s="15"/>
      <c r="BX232" s="15"/>
      <c r="BY232" s="15"/>
      <c r="BZ232" s="15"/>
      <c r="CA232" s="15"/>
      <c r="CB232" s="15"/>
      <c r="CC232" s="15"/>
      <c r="CD232" s="15"/>
      <c r="CE232" s="15"/>
      <c r="CF232" s="15"/>
      <c r="CG232" s="15"/>
      <c r="CH232" s="15"/>
      <c r="CI232" s="15"/>
      <c r="CJ232" s="15"/>
      <c r="CK232" s="15"/>
      <c r="CL232" s="15"/>
      <c r="CM232" s="15"/>
      <c r="CN232" s="15"/>
      <c r="CO232" s="15"/>
      <c r="CP232" s="15"/>
      <c r="CQ232" s="15"/>
      <c r="CR232" s="15"/>
      <c r="CS232" s="15"/>
      <c r="CT232" s="15"/>
      <c r="CU232" s="15"/>
      <c r="CV232" s="15"/>
      <c r="CW232" s="15"/>
      <c r="CX232" s="15"/>
      <c r="CY232" s="15"/>
      <c r="CZ232" s="15"/>
      <c r="DA232" s="15"/>
      <c r="DB232" s="15"/>
      <c r="DC232" s="15"/>
      <c r="DD232" s="15"/>
      <c r="DE232" s="15"/>
      <c r="DF232" s="15"/>
      <c r="DG232" s="15"/>
      <c r="DH232" s="15"/>
      <c r="DI232" s="15"/>
      <c r="DJ232" s="15"/>
      <c r="DK232" s="15"/>
      <c r="DL232" s="15"/>
      <c r="DM232" s="15"/>
      <c r="DN232" s="15"/>
      <c r="DO232" s="15"/>
      <c r="DP232" s="15"/>
      <c r="DQ232" s="15"/>
      <c r="DR232" s="15"/>
      <c r="DS232" s="15"/>
      <c r="DT232" s="15"/>
      <c r="DU232" s="15"/>
      <c r="DV232" s="15"/>
      <c r="DW232" s="15"/>
      <c r="DX232" s="15"/>
      <c r="DY232" s="15"/>
      <c r="DZ232" s="15"/>
      <c r="EA232" s="15"/>
      <c r="EB232" s="15"/>
      <c r="EC232" s="15"/>
      <c r="ED232" s="15"/>
      <c r="EE232" s="15"/>
      <c r="EF232" s="15"/>
      <c r="EG232" s="15"/>
      <c r="EH232" s="15"/>
      <c r="EI232" s="15"/>
      <c r="EJ232" s="15"/>
      <c r="EK232" s="15"/>
      <c r="EL232" s="15"/>
      <c r="EM232" s="15"/>
      <c r="EN232" s="15"/>
      <c r="EO232" s="15"/>
      <c r="EP232" s="15"/>
      <c r="EQ232" s="15"/>
      <c r="ER232" s="15"/>
      <c r="ES232" s="15"/>
      <c r="ET232" s="15"/>
      <c r="EU232" s="15"/>
      <c r="EV232" s="15"/>
      <c r="EW232" s="15"/>
      <c r="EX232" s="15"/>
      <c r="EY232" s="15"/>
      <c r="EZ232" s="15"/>
      <c r="FA232" s="15"/>
      <c r="FB232" s="15"/>
      <c r="FC232" s="15"/>
      <c r="FD232" s="15"/>
      <c r="FE232" s="15"/>
      <c r="FF232" s="15"/>
      <c r="FG232" s="15"/>
      <c r="FH232" s="15"/>
      <c r="FI232" s="15"/>
      <c r="FJ232" s="15"/>
      <c r="FK232" s="15"/>
      <c r="FL232" s="15"/>
      <c r="FM232" s="15"/>
      <c r="FN232" s="15"/>
      <c r="FO232" s="15"/>
      <c r="FP232" s="15"/>
      <c r="FQ232" s="15"/>
      <c r="FR232" s="15"/>
      <c r="FS232" s="15"/>
      <c r="FT232" s="15"/>
      <c r="FU232" s="15"/>
      <c r="FV232" s="15"/>
      <c r="FW232" s="15"/>
      <c r="FX232" s="15"/>
      <c r="FY232" s="15"/>
      <c r="FZ232" s="15"/>
      <c r="GA232" s="15"/>
      <c r="GB232" s="15"/>
      <c r="GC232" s="15"/>
      <c r="GD232" s="15"/>
      <c r="GE232" s="15"/>
      <c r="GF232" s="15"/>
      <c r="GG232" s="15"/>
      <c r="GH232" s="15"/>
      <c r="GI232" s="15"/>
      <c r="GJ232" s="15"/>
      <c r="GK232" s="15"/>
      <c r="GL232" s="15"/>
      <c r="GM232" s="15"/>
      <c r="GN232" s="15"/>
      <c r="GO232" s="15"/>
      <c r="GP232" s="15"/>
      <c r="GQ232" s="15"/>
      <c r="GR232" s="15"/>
      <c r="GS232" s="15"/>
      <c r="GT232" s="15"/>
      <c r="GU232" s="15"/>
      <c r="GV232" s="15"/>
      <c r="GW232" s="15"/>
      <c r="GX232" s="15"/>
      <c r="GY232" s="15"/>
      <c r="GZ232" s="15"/>
      <c r="HA232" s="15"/>
      <c r="HB232" s="15"/>
      <c r="HC232" s="15"/>
      <c r="HD232" s="15"/>
      <c r="HE232" s="15"/>
      <c r="HF232" s="15"/>
      <c r="HG232" s="15"/>
      <c r="HH232" s="15"/>
      <c r="HI232" s="15"/>
      <c r="HJ232" s="15"/>
      <c r="HK232" s="15"/>
      <c r="HL232" s="15"/>
      <c r="HM232" s="15"/>
      <c r="HN232" s="15"/>
      <c r="HO232" s="15"/>
      <c r="HP232" s="15"/>
      <c r="HQ232" s="15"/>
      <c r="HR232"/>
      <c r="HS232"/>
      <c r="HT232"/>
      <c r="HU232"/>
      <c r="HV232"/>
      <c r="HW232"/>
      <c r="HX232"/>
      <c r="HY232"/>
      <c r="HZ232"/>
      <c r="IA232"/>
      <c r="IB232"/>
      <c r="IC232"/>
      <c r="ID232"/>
      <c r="IE232"/>
      <c r="IF232"/>
      <c r="IG232"/>
      <c r="IH232"/>
      <c r="II232"/>
      <c r="IJ232"/>
      <c r="IK232" s="14"/>
      <c r="IL232" s="14"/>
      <c r="IM232" s="14"/>
      <c r="IN232" s="14"/>
      <c r="IO232" s="14"/>
      <c r="IP232" s="14"/>
      <c r="IQ232" s="14"/>
    </row>
    <row r="233" spans="1:251" s="31" customFormat="1" ht="6" customHeight="1">
      <c r="A233" s="48"/>
      <c r="B233" s="15"/>
      <c r="C233" s="15"/>
      <c r="D233" s="15"/>
      <c r="E233" s="15"/>
      <c r="F233" s="15"/>
      <c r="G233" s="15"/>
      <c r="H233" s="15"/>
      <c r="I233" s="15"/>
      <c r="J233" s="15"/>
      <c r="K233" s="15"/>
      <c r="L233" s="15"/>
      <c r="M233" s="15"/>
      <c r="N233" s="15"/>
      <c r="O233" s="15"/>
      <c r="P233" s="250"/>
      <c r="Q233" s="250"/>
      <c r="R233" s="250"/>
      <c r="S233" s="250"/>
      <c r="T233" s="250"/>
      <c r="U233" s="250"/>
      <c r="V233" s="250"/>
      <c r="W233" s="250"/>
      <c r="X233" s="250"/>
      <c r="Y233" s="250"/>
      <c r="Z233" s="250"/>
      <c r="AA233" s="250"/>
      <c r="AB233" s="250"/>
      <c r="AC233" s="250"/>
      <c r="AD233" s="250"/>
      <c r="AE233" s="250"/>
      <c r="AF233" s="250"/>
      <c r="AG233" s="250"/>
      <c r="AH233" s="15"/>
      <c r="AI233" s="15"/>
      <c r="AJ233" s="15"/>
      <c r="AK233" s="15"/>
      <c r="AL233" s="15"/>
      <c r="AM233" s="15"/>
      <c r="AN233" s="15"/>
      <c r="AO233" s="15"/>
      <c r="AP233" s="15"/>
      <c r="AQ233" s="15"/>
      <c r="AR233" s="15"/>
      <c r="AS233" s="15"/>
      <c r="AT233" s="15"/>
      <c r="AU233" s="15"/>
      <c r="AV233" s="15"/>
      <c r="AW233" s="15"/>
      <c r="AX233" s="15"/>
      <c r="AY233" s="15"/>
      <c r="AZ233" s="15"/>
      <c r="BA233" s="15"/>
      <c r="BB233" s="15"/>
      <c r="BC233" s="15"/>
      <c r="BD233" s="15"/>
      <c r="BE233" s="15"/>
      <c r="BF233" s="15"/>
      <c r="BG233" s="15"/>
      <c r="BH233" s="15"/>
      <c r="BI233" s="15"/>
      <c r="BJ233" s="15"/>
      <c r="BK233" s="15"/>
      <c r="BL233" s="15"/>
      <c r="BM233" s="15"/>
      <c r="BN233" s="15"/>
      <c r="BO233" s="15"/>
      <c r="BP233" s="15"/>
      <c r="BQ233" s="15"/>
      <c r="BR233" s="15"/>
      <c r="BS233" s="15"/>
      <c r="BT233" s="15"/>
      <c r="BU233" s="15"/>
      <c r="BV233" s="15"/>
      <c r="BW233" s="15"/>
      <c r="BX233" s="15"/>
      <c r="BY233" s="15"/>
      <c r="BZ233" s="15"/>
      <c r="CA233" s="15"/>
      <c r="CB233" s="15"/>
      <c r="CC233" s="15"/>
      <c r="CD233" s="15"/>
      <c r="CE233" s="15"/>
      <c r="CF233" s="15"/>
      <c r="CG233" s="15"/>
      <c r="CH233" s="15"/>
      <c r="CI233" s="15"/>
      <c r="CJ233" s="15"/>
      <c r="CK233" s="15"/>
      <c r="CL233" s="15"/>
      <c r="CM233" s="15"/>
      <c r="CN233" s="15"/>
      <c r="CO233" s="15"/>
      <c r="CP233" s="15"/>
      <c r="CQ233" s="15"/>
      <c r="CR233" s="15"/>
      <c r="CS233" s="15"/>
      <c r="CT233" s="15"/>
      <c r="CU233" s="15"/>
      <c r="CV233" s="15"/>
      <c r="CW233" s="15"/>
      <c r="CX233" s="15"/>
      <c r="CY233" s="15"/>
      <c r="CZ233" s="15"/>
      <c r="DA233" s="15"/>
      <c r="DB233" s="15"/>
      <c r="DC233" s="15"/>
      <c r="DD233" s="15"/>
      <c r="DE233" s="15"/>
      <c r="DF233" s="15"/>
      <c r="DG233" s="15"/>
      <c r="DH233" s="15"/>
      <c r="DI233" s="15"/>
      <c r="DJ233" s="15"/>
      <c r="DK233" s="15"/>
      <c r="DL233" s="15"/>
      <c r="DM233" s="15"/>
      <c r="DN233" s="15"/>
      <c r="DO233" s="15"/>
      <c r="DP233" s="15"/>
      <c r="DQ233" s="15"/>
      <c r="DR233" s="15"/>
      <c r="DS233" s="15"/>
      <c r="DT233" s="15"/>
      <c r="DU233" s="15"/>
      <c r="DV233" s="15"/>
      <c r="DW233" s="15"/>
      <c r="DX233" s="15"/>
      <c r="DY233" s="15"/>
      <c r="DZ233" s="15"/>
      <c r="EA233" s="15"/>
      <c r="EB233" s="15"/>
      <c r="EC233" s="15"/>
      <c r="ED233" s="15"/>
      <c r="EE233" s="15"/>
      <c r="EF233" s="15"/>
      <c r="EG233" s="15"/>
      <c r="EH233" s="15"/>
      <c r="EI233" s="15"/>
      <c r="EJ233" s="15"/>
      <c r="EK233" s="15"/>
      <c r="EL233" s="15"/>
      <c r="EM233" s="15"/>
      <c r="EN233" s="15"/>
      <c r="EO233" s="15"/>
      <c r="EP233" s="15"/>
      <c r="EQ233" s="15"/>
      <c r="ER233" s="15"/>
      <c r="ES233" s="15"/>
      <c r="ET233" s="15"/>
      <c r="EU233" s="15"/>
      <c r="EV233" s="15"/>
      <c r="EW233" s="15"/>
      <c r="EX233" s="15"/>
      <c r="EY233" s="15"/>
      <c r="EZ233" s="15"/>
      <c r="FA233" s="15"/>
      <c r="FB233" s="15"/>
      <c r="FC233" s="15"/>
      <c r="FD233" s="15"/>
      <c r="FE233" s="15"/>
      <c r="FF233" s="15"/>
      <c r="FG233" s="15"/>
      <c r="FH233" s="15"/>
      <c r="FI233" s="15"/>
      <c r="FJ233" s="15"/>
      <c r="FK233" s="15"/>
      <c r="FL233" s="15"/>
      <c r="FM233" s="15"/>
      <c r="FN233" s="15"/>
      <c r="FO233" s="15"/>
      <c r="FP233" s="15"/>
      <c r="FQ233" s="15"/>
      <c r="FR233" s="15"/>
      <c r="FS233" s="15"/>
      <c r="FT233" s="15"/>
      <c r="FU233" s="15"/>
      <c r="FV233" s="15"/>
      <c r="FW233" s="15"/>
      <c r="FX233" s="15"/>
      <c r="FY233" s="15"/>
      <c r="FZ233" s="15"/>
      <c r="GA233" s="15"/>
      <c r="GB233" s="15"/>
      <c r="GC233" s="15"/>
      <c r="GD233" s="15"/>
      <c r="GE233" s="15"/>
      <c r="GF233" s="15"/>
      <c r="GG233" s="15"/>
      <c r="GH233" s="15"/>
      <c r="GI233" s="15"/>
      <c r="GJ233" s="15"/>
      <c r="GK233" s="15"/>
      <c r="GL233" s="15"/>
      <c r="GM233" s="15"/>
      <c r="GN233" s="15"/>
      <c r="GO233" s="15"/>
      <c r="GP233" s="15"/>
      <c r="GQ233" s="15"/>
      <c r="GR233" s="15"/>
      <c r="GS233" s="15"/>
      <c r="GT233" s="15"/>
      <c r="GU233" s="15"/>
      <c r="GV233" s="15"/>
      <c r="GW233" s="15"/>
      <c r="GX233" s="15"/>
      <c r="GY233" s="15"/>
      <c r="GZ233" s="15"/>
      <c r="HA233" s="15"/>
      <c r="HB233" s="15"/>
      <c r="HC233" s="15"/>
      <c r="HD233" s="15"/>
      <c r="HE233" s="15"/>
      <c r="HF233" s="15"/>
      <c r="HG233" s="15"/>
      <c r="HH233" s="15"/>
      <c r="HI233" s="15"/>
      <c r="HJ233" s="15"/>
      <c r="HK233" s="15"/>
      <c r="HL233" s="15"/>
      <c r="HM233" s="15"/>
      <c r="HN233" s="15"/>
      <c r="HO233" s="15"/>
      <c r="HP233" s="15"/>
      <c r="HQ233" s="15"/>
      <c r="HR233"/>
      <c r="HS233"/>
      <c r="HT233"/>
      <c r="HU233"/>
      <c r="HV233"/>
      <c r="HW233"/>
      <c r="HX233"/>
      <c r="HY233"/>
      <c r="HZ233"/>
      <c r="IA233"/>
      <c r="IB233"/>
      <c r="IC233"/>
      <c r="ID233"/>
      <c r="IE233"/>
      <c r="IF233"/>
      <c r="IG233"/>
      <c r="IH233"/>
      <c r="II233"/>
      <c r="IJ233"/>
      <c r="IK233" s="14"/>
      <c r="IL233" s="14"/>
      <c r="IM233" s="14"/>
      <c r="IN233" s="14"/>
      <c r="IO233" s="14"/>
      <c r="IP233" s="14"/>
      <c r="IQ233" s="14"/>
    </row>
    <row r="234" spans="1:251" s="31" customFormat="1">
      <c r="A234" s="146" t="s">
        <v>613</v>
      </c>
      <c r="B234" s="15"/>
      <c r="C234" s="15"/>
      <c r="D234" s="15"/>
      <c r="E234" s="15"/>
      <c r="F234" s="15"/>
      <c r="G234" s="15"/>
      <c r="H234" s="15"/>
      <c r="I234" s="15"/>
      <c r="J234" s="15"/>
      <c r="K234" s="15"/>
      <c r="L234" s="15"/>
      <c r="M234" s="15"/>
      <c r="N234" s="15"/>
      <c r="O234" s="15"/>
      <c r="P234" s="147">
        <v>6000</v>
      </c>
      <c r="Q234" s="147">
        <v>6000</v>
      </c>
      <c r="R234" s="324">
        <f>Q234</f>
        <v>6000</v>
      </c>
      <c r="S234" s="147">
        <v>6000</v>
      </c>
      <c r="T234" s="147">
        <v>6000</v>
      </c>
      <c r="U234" s="147">
        <v>6000</v>
      </c>
      <c r="V234" s="147">
        <v>6000</v>
      </c>
      <c r="W234" s="147">
        <v>6000</v>
      </c>
      <c r="X234" s="147">
        <v>6000</v>
      </c>
      <c r="Y234" s="147">
        <v>6000</v>
      </c>
      <c r="Z234" s="147">
        <v>6000</v>
      </c>
      <c r="AA234" s="147">
        <v>6000</v>
      </c>
      <c r="AB234" s="147">
        <v>6000</v>
      </c>
      <c r="AC234" s="147">
        <v>6000</v>
      </c>
      <c r="AD234" s="147">
        <v>6000</v>
      </c>
      <c r="AE234" s="147">
        <v>6000</v>
      </c>
      <c r="AF234" s="147">
        <v>6000</v>
      </c>
      <c r="AG234" s="147">
        <v>6000</v>
      </c>
      <c r="AH234" s="15"/>
      <c r="AI234" s="15"/>
      <c r="AJ234" s="15"/>
      <c r="AK234" s="15"/>
      <c r="AL234" s="15"/>
      <c r="AM234" s="15"/>
      <c r="AN234" s="15"/>
      <c r="AO234" s="15"/>
      <c r="AP234" s="15"/>
      <c r="AQ234" s="15"/>
      <c r="AR234" s="15"/>
      <c r="AS234" s="15"/>
      <c r="AT234" s="15"/>
      <c r="AU234" s="15"/>
      <c r="AV234" s="15"/>
      <c r="AW234" s="15"/>
      <c r="AX234" s="15"/>
      <c r="AY234" s="15"/>
      <c r="AZ234" s="15"/>
      <c r="BA234" s="15"/>
      <c r="BB234" s="15"/>
      <c r="BC234" s="15"/>
      <c r="BD234" s="15"/>
      <c r="BE234" s="15"/>
      <c r="BF234" s="15"/>
      <c r="BG234" s="15"/>
      <c r="BH234" s="15"/>
      <c r="BI234" s="15"/>
      <c r="BJ234" s="15"/>
      <c r="BK234" s="15"/>
      <c r="BL234" s="15"/>
      <c r="BM234" s="15"/>
      <c r="BN234" s="15"/>
      <c r="BO234" s="15"/>
      <c r="BP234" s="15"/>
      <c r="BQ234" s="15"/>
      <c r="BR234" s="15"/>
      <c r="BS234" s="15"/>
      <c r="BT234" s="15"/>
      <c r="BU234" s="15"/>
      <c r="BV234" s="15"/>
      <c r="BW234" s="15"/>
      <c r="BX234" s="15"/>
      <c r="BY234" s="15"/>
      <c r="BZ234" s="15"/>
      <c r="CA234" s="15"/>
      <c r="CB234" s="15"/>
      <c r="CC234" s="15"/>
      <c r="CD234" s="15"/>
      <c r="CE234" s="15"/>
      <c r="CF234" s="15"/>
      <c r="CG234" s="15"/>
      <c r="CH234" s="15"/>
      <c r="CI234" s="15"/>
      <c r="CJ234" s="15"/>
      <c r="CK234" s="15"/>
      <c r="CL234" s="15"/>
      <c r="CM234" s="15"/>
      <c r="CN234" s="15"/>
      <c r="CO234" s="15"/>
      <c r="CP234" s="15"/>
      <c r="CQ234" s="15"/>
      <c r="CR234" s="15"/>
      <c r="CS234" s="15"/>
      <c r="CT234" s="15"/>
      <c r="CU234" s="15"/>
      <c r="CV234" s="15"/>
      <c r="CW234" s="15"/>
      <c r="CX234" s="15"/>
      <c r="CY234" s="15"/>
      <c r="CZ234" s="15"/>
      <c r="DA234" s="15"/>
      <c r="DB234" s="15"/>
      <c r="DC234" s="15"/>
      <c r="DD234" s="15"/>
      <c r="DE234" s="15"/>
      <c r="DF234" s="15"/>
      <c r="DG234" s="15"/>
      <c r="DH234" s="15"/>
      <c r="DI234" s="15"/>
      <c r="DJ234" s="15"/>
      <c r="DK234" s="15"/>
      <c r="DL234" s="15"/>
      <c r="DM234" s="15"/>
      <c r="DN234" s="15"/>
      <c r="DO234" s="15"/>
      <c r="DP234" s="15"/>
      <c r="DQ234" s="15"/>
      <c r="DR234" s="15"/>
      <c r="DS234" s="15"/>
      <c r="DT234" s="15"/>
      <c r="DU234" s="15"/>
      <c r="DV234" s="15"/>
      <c r="DW234" s="15"/>
      <c r="DX234" s="15"/>
      <c r="DY234" s="15"/>
      <c r="DZ234" s="15"/>
      <c r="EA234" s="15"/>
      <c r="EB234" s="15"/>
      <c r="EC234" s="15"/>
      <c r="ED234" s="15"/>
      <c r="EE234" s="15"/>
      <c r="EF234" s="15"/>
      <c r="EG234" s="15"/>
      <c r="EH234" s="15"/>
      <c r="EI234" s="15"/>
      <c r="EJ234" s="15"/>
      <c r="EK234" s="15"/>
      <c r="EL234" s="15"/>
      <c r="EM234" s="15"/>
      <c r="EN234" s="15"/>
      <c r="EO234" s="15"/>
      <c r="EP234" s="15"/>
      <c r="EQ234" s="15"/>
      <c r="ER234" s="15"/>
      <c r="ES234" s="15"/>
      <c r="ET234" s="15"/>
      <c r="EU234" s="15"/>
      <c r="EV234" s="15"/>
      <c r="EW234" s="15"/>
      <c r="EX234" s="15"/>
      <c r="EY234" s="15"/>
      <c r="EZ234" s="15"/>
      <c r="FA234" s="15"/>
      <c r="FB234" s="15"/>
      <c r="FC234" s="15"/>
      <c r="FD234" s="15"/>
      <c r="FE234" s="15"/>
      <c r="FF234" s="15"/>
      <c r="FG234" s="15"/>
      <c r="FH234" s="15"/>
      <c r="FI234" s="15"/>
      <c r="FJ234" s="15"/>
      <c r="FK234" s="15"/>
      <c r="FL234" s="15"/>
      <c r="FM234" s="15"/>
      <c r="FN234" s="15"/>
      <c r="FO234" s="15"/>
      <c r="FP234" s="15"/>
      <c r="FQ234" s="15"/>
      <c r="FR234" s="15"/>
      <c r="FS234" s="15"/>
      <c r="FT234" s="15"/>
      <c r="FU234" s="15"/>
      <c r="FV234" s="15"/>
      <c r="FW234" s="15"/>
      <c r="FX234" s="15"/>
      <c r="FY234" s="15"/>
      <c r="FZ234" s="15"/>
      <c r="GA234" s="15"/>
      <c r="GB234" s="15"/>
      <c r="GC234" s="15"/>
      <c r="GD234" s="15"/>
      <c r="GE234" s="15"/>
      <c r="GF234" s="15"/>
      <c r="GG234" s="15"/>
      <c r="GH234" s="15"/>
      <c r="GI234" s="15"/>
      <c r="GJ234" s="15"/>
      <c r="GK234" s="15"/>
      <c r="GL234" s="15"/>
      <c r="GM234" s="15"/>
      <c r="GN234" s="15"/>
      <c r="GO234" s="15"/>
      <c r="GP234" s="15"/>
      <c r="GQ234" s="15"/>
      <c r="GR234" s="15"/>
      <c r="GS234" s="15"/>
      <c r="GT234" s="15"/>
      <c r="GU234" s="15"/>
      <c r="GV234" s="15"/>
      <c r="GW234" s="15"/>
      <c r="GX234" s="15"/>
      <c r="GY234" s="15"/>
      <c r="GZ234" s="15"/>
      <c r="HA234" s="15"/>
      <c r="HB234" s="15"/>
      <c r="HC234" s="15"/>
      <c r="HD234" s="15"/>
      <c r="HE234" s="15"/>
      <c r="HF234" s="15"/>
      <c r="HG234" s="15"/>
      <c r="HH234" s="15"/>
      <c r="HI234" s="15"/>
      <c r="HJ234" s="15"/>
      <c r="HK234" s="15"/>
      <c r="HL234" s="15"/>
      <c r="HM234" s="15"/>
      <c r="HN234" s="15"/>
      <c r="HO234" s="15"/>
      <c r="HP234" s="15"/>
      <c r="HQ234" s="15"/>
      <c r="HR234"/>
      <c r="HS234"/>
      <c r="HT234"/>
      <c r="HU234"/>
      <c r="HV234"/>
      <c r="HW234"/>
      <c r="HX234"/>
      <c r="HY234"/>
      <c r="HZ234"/>
      <c r="IA234"/>
      <c r="IB234"/>
      <c r="IC234"/>
      <c r="ID234"/>
      <c r="IE234"/>
      <c r="IF234"/>
      <c r="IG234"/>
      <c r="IH234"/>
      <c r="II234"/>
      <c r="IJ234"/>
      <c r="IK234" s="14"/>
      <c r="IL234" s="14"/>
      <c r="IM234" s="14"/>
      <c r="IN234" s="14"/>
      <c r="IO234" s="14"/>
      <c r="IP234" s="14"/>
      <c r="IQ234" s="14"/>
    </row>
    <row r="235" spans="1:251" s="31" customFormat="1">
      <c r="A235" s="146" t="s">
        <v>491</v>
      </c>
      <c r="B235" s="15"/>
      <c r="C235" s="15"/>
      <c r="D235" s="15"/>
      <c r="E235" s="15"/>
      <c r="F235" s="15"/>
      <c r="G235" s="15"/>
      <c r="H235" s="15"/>
      <c r="I235" s="15"/>
      <c r="J235" s="15"/>
      <c r="K235" s="15"/>
      <c r="L235" s="15"/>
      <c r="M235" s="15"/>
      <c r="N235" s="15"/>
      <c r="O235" s="15"/>
      <c r="P235" s="249">
        <f t="shared" ref="P235:AG235" si="250">(1.4*0.085+3.1*0.097+1.5*0.0995)/6</f>
        <v>9.4825000000000007E-2</v>
      </c>
      <c r="Q235" s="249">
        <f t="shared" si="250"/>
        <v>9.4825000000000007E-2</v>
      </c>
      <c r="R235" s="249">
        <f t="shared" si="250"/>
        <v>9.4825000000000007E-2</v>
      </c>
      <c r="S235" s="249">
        <f t="shared" si="250"/>
        <v>9.4825000000000007E-2</v>
      </c>
      <c r="T235" s="249">
        <f t="shared" si="250"/>
        <v>9.4825000000000007E-2</v>
      </c>
      <c r="U235" s="249">
        <f t="shared" si="250"/>
        <v>9.4825000000000007E-2</v>
      </c>
      <c r="V235" s="249">
        <f t="shared" si="250"/>
        <v>9.4825000000000007E-2</v>
      </c>
      <c r="W235" s="249">
        <f t="shared" si="250"/>
        <v>9.4825000000000007E-2</v>
      </c>
      <c r="X235" s="249">
        <f t="shared" si="250"/>
        <v>9.4825000000000007E-2</v>
      </c>
      <c r="Y235" s="249">
        <f t="shared" si="250"/>
        <v>9.4825000000000007E-2</v>
      </c>
      <c r="Z235" s="249">
        <f t="shared" si="250"/>
        <v>9.4825000000000007E-2</v>
      </c>
      <c r="AA235" s="249">
        <f t="shared" si="250"/>
        <v>9.4825000000000007E-2</v>
      </c>
      <c r="AB235" s="249">
        <f t="shared" si="250"/>
        <v>9.4825000000000007E-2</v>
      </c>
      <c r="AC235" s="249">
        <f t="shared" si="250"/>
        <v>9.4825000000000007E-2</v>
      </c>
      <c r="AD235" s="249">
        <f t="shared" si="250"/>
        <v>9.4825000000000007E-2</v>
      </c>
      <c r="AE235" s="249">
        <f t="shared" si="250"/>
        <v>9.4825000000000007E-2</v>
      </c>
      <c r="AF235" s="249">
        <f t="shared" si="250"/>
        <v>9.4825000000000007E-2</v>
      </c>
      <c r="AG235" s="249">
        <f t="shared" si="250"/>
        <v>9.4825000000000007E-2</v>
      </c>
      <c r="AH235" s="15"/>
      <c r="AI235" s="15"/>
      <c r="AJ235" s="15"/>
      <c r="AK235" s="15"/>
      <c r="AL235" s="15"/>
      <c r="AM235" s="15"/>
      <c r="AN235" s="15"/>
      <c r="AO235" s="15"/>
      <c r="AP235" s="15"/>
      <c r="AQ235" s="15"/>
      <c r="AR235" s="15"/>
      <c r="AS235" s="15"/>
      <c r="AT235" s="15"/>
      <c r="AU235" s="15"/>
      <c r="AV235" s="15"/>
      <c r="AW235" s="15"/>
      <c r="AX235" s="15"/>
      <c r="AY235" s="15"/>
      <c r="AZ235" s="15"/>
      <c r="BA235" s="15"/>
      <c r="BB235" s="15"/>
      <c r="BC235" s="15"/>
      <c r="BD235" s="15"/>
      <c r="BE235" s="15"/>
      <c r="BF235" s="15"/>
      <c r="BG235" s="15"/>
      <c r="BH235" s="15"/>
      <c r="BI235" s="15"/>
      <c r="BJ235" s="15"/>
      <c r="BK235" s="15"/>
      <c r="BL235" s="15"/>
      <c r="BM235" s="15"/>
      <c r="BN235" s="15"/>
      <c r="BO235" s="15"/>
      <c r="BP235" s="15"/>
      <c r="BQ235" s="15"/>
      <c r="BR235" s="15"/>
      <c r="BS235" s="15"/>
      <c r="BT235" s="15"/>
      <c r="BU235" s="15"/>
      <c r="BV235" s="15"/>
      <c r="BW235" s="15"/>
      <c r="BX235" s="15"/>
      <c r="BY235" s="15"/>
      <c r="BZ235" s="15"/>
      <c r="CA235" s="15"/>
      <c r="CB235" s="15"/>
      <c r="CC235" s="15"/>
      <c r="CD235" s="15"/>
      <c r="CE235" s="15"/>
      <c r="CF235" s="15"/>
      <c r="CG235" s="15"/>
      <c r="CH235" s="15"/>
      <c r="CI235" s="15"/>
      <c r="CJ235" s="15"/>
      <c r="CK235" s="15"/>
      <c r="CL235" s="15"/>
      <c r="CM235" s="15"/>
      <c r="CN235" s="15"/>
      <c r="CO235" s="15"/>
      <c r="CP235" s="15"/>
      <c r="CQ235" s="15"/>
      <c r="CR235" s="15"/>
      <c r="CS235" s="15"/>
      <c r="CT235" s="15"/>
      <c r="CU235" s="15"/>
      <c r="CV235" s="15"/>
      <c r="CW235" s="15"/>
      <c r="CX235" s="15"/>
      <c r="CY235" s="15"/>
      <c r="CZ235" s="15"/>
      <c r="DA235" s="15"/>
      <c r="DB235" s="15"/>
      <c r="DC235" s="15"/>
      <c r="DD235" s="15"/>
      <c r="DE235" s="15"/>
      <c r="DF235" s="15"/>
      <c r="DG235" s="15"/>
      <c r="DH235" s="15"/>
      <c r="DI235" s="15"/>
      <c r="DJ235" s="15"/>
      <c r="DK235" s="15"/>
      <c r="DL235" s="15"/>
      <c r="DM235" s="15"/>
      <c r="DN235" s="15"/>
      <c r="DO235" s="15"/>
      <c r="DP235" s="15"/>
      <c r="DQ235" s="15"/>
      <c r="DR235" s="15"/>
      <c r="DS235" s="15"/>
      <c r="DT235" s="15"/>
      <c r="DU235" s="15"/>
      <c r="DV235" s="15"/>
      <c r="DW235" s="15"/>
      <c r="DX235" s="15"/>
      <c r="DY235" s="15"/>
      <c r="DZ235" s="15"/>
      <c r="EA235" s="15"/>
      <c r="EB235" s="15"/>
      <c r="EC235" s="15"/>
      <c r="ED235" s="15"/>
      <c r="EE235" s="15"/>
      <c r="EF235" s="15"/>
      <c r="EG235" s="15"/>
      <c r="EH235" s="15"/>
      <c r="EI235" s="15"/>
      <c r="EJ235" s="15"/>
      <c r="EK235" s="15"/>
      <c r="EL235" s="15"/>
      <c r="EM235" s="15"/>
      <c r="EN235" s="15"/>
      <c r="EO235" s="15"/>
      <c r="EP235" s="15"/>
      <c r="EQ235" s="15"/>
      <c r="ER235" s="15"/>
      <c r="ES235" s="15"/>
      <c r="ET235" s="15"/>
      <c r="EU235" s="15"/>
      <c r="EV235" s="15"/>
      <c r="EW235" s="15"/>
      <c r="EX235" s="15"/>
      <c r="EY235" s="15"/>
      <c r="EZ235" s="15"/>
      <c r="FA235" s="15"/>
      <c r="FB235" s="15"/>
      <c r="FC235" s="15"/>
      <c r="FD235" s="15"/>
      <c r="FE235" s="15"/>
      <c r="FF235" s="15"/>
      <c r="FG235" s="15"/>
      <c r="FH235" s="15"/>
      <c r="FI235" s="15"/>
      <c r="FJ235" s="15"/>
      <c r="FK235" s="15"/>
      <c r="FL235" s="15"/>
      <c r="FM235" s="15"/>
      <c r="FN235" s="15"/>
      <c r="FO235" s="15"/>
      <c r="FP235" s="15"/>
      <c r="FQ235" s="15"/>
      <c r="FR235" s="15"/>
      <c r="FS235" s="15"/>
      <c r="FT235" s="15"/>
      <c r="FU235" s="15"/>
      <c r="FV235" s="15"/>
      <c r="FW235" s="15"/>
      <c r="FX235" s="15"/>
      <c r="FY235" s="15"/>
      <c r="FZ235" s="15"/>
      <c r="GA235" s="15"/>
      <c r="GB235" s="15"/>
      <c r="GC235" s="15"/>
      <c r="GD235" s="15"/>
      <c r="GE235" s="15"/>
      <c r="GF235" s="15"/>
      <c r="GG235" s="15"/>
      <c r="GH235" s="15"/>
      <c r="GI235" s="15"/>
      <c r="GJ235" s="15"/>
      <c r="GK235" s="15"/>
      <c r="GL235" s="15"/>
      <c r="GM235" s="15"/>
      <c r="GN235" s="15"/>
      <c r="GO235" s="15"/>
      <c r="GP235" s="15"/>
      <c r="GQ235" s="15"/>
      <c r="GR235" s="15"/>
      <c r="GS235" s="15"/>
      <c r="GT235" s="15"/>
      <c r="GU235" s="15"/>
      <c r="GV235" s="15"/>
      <c r="GW235" s="15"/>
      <c r="GX235" s="15"/>
      <c r="GY235" s="15"/>
      <c r="GZ235" s="15"/>
      <c r="HA235" s="15"/>
      <c r="HB235" s="15"/>
      <c r="HC235" s="15"/>
      <c r="HD235" s="15"/>
      <c r="HE235" s="15"/>
      <c r="HF235" s="15"/>
      <c r="HG235" s="15"/>
      <c r="HH235" s="15"/>
      <c r="HI235" s="15"/>
      <c r="HJ235" s="15"/>
      <c r="HK235" s="15"/>
      <c r="HL235" s="15"/>
      <c r="HM235" s="15"/>
      <c r="HN235" s="15"/>
      <c r="HO235" s="15"/>
      <c r="HP235" s="15"/>
      <c r="HQ235" s="15"/>
      <c r="HR235"/>
      <c r="HS235"/>
      <c r="HT235"/>
      <c r="HU235"/>
      <c r="HV235"/>
      <c r="HW235"/>
      <c r="HX235"/>
      <c r="HY235"/>
      <c r="HZ235"/>
      <c r="IA235"/>
      <c r="IB235"/>
      <c r="IC235"/>
      <c r="ID235"/>
      <c r="IE235"/>
      <c r="IF235"/>
      <c r="IG235"/>
      <c r="IH235"/>
      <c r="II235"/>
      <c r="IJ235"/>
      <c r="IK235" s="14"/>
      <c r="IL235" s="14"/>
      <c r="IM235" s="14"/>
      <c r="IN235" s="14"/>
      <c r="IO235" s="14"/>
      <c r="IP235" s="14"/>
      <c r="IQ235" s="14"/>
    </row>
    <row r="236" spans="1:251" s="31" customFormat="1">
      <c r="A236" s="146" t="s">
        <v>368</v>
      </c>
      <c r="B236" s="15"/>
      <c r="C236" s="15"/>
      <c r="D236" s="15"/>
      <c r="E236" s="15"/>
      <c r="F236" s="15"/>
      <c r="G236" s="15"/>
      <c r="H236" s="15"/>
      <c r="I236" s="15"/>
      <c r="J236" s="15"/>
      <c r="K236" s="15"/>
      <c r="L236" s="15"/>
      <c r="M236" s="15"/>
      <c r="N236" s="15"/>
      <c r="O236" s="15"/>
      <c r="P236" s="32">
        <v>2</v>
      </c>
      <c r="Q236" s="32">
        <v>12</v>
      </c>
      <c r="R236" s="32">
        <v>12</v>
      </c>
      <c r="S236" s="32">
        <v>12</v>
      </c>
      <c r="T236" s="32">
        <v>12</v>
      </c>
      <c r="U236" s="32">
        <v>12</v>
      </c>
      <c r="V236" s="32">
        <v>12</v>
      </c>
      <c r="W236" s="32">
        <v>12</v>
      </c>
      <c r="X236" s="32">
        <v>12</v>
      </c>
      <c r="Y236" s="32">
        <v>12</v>
      </c>
      <c r="Z236" s="32">
        <v>12</v>
      </c>
      <c r="AA236" s="32">
        <v>12</v>
      </c>
      <c r="AB236" s="32">
        <v>12</v>
      </c>
      <c r="AC236" s="32">
        <v>12</v>
      </c>
      <c r="AD236" s="32">
        <v>12</v>
      </c>
      <c r="AE236" s="32">
        <v>12</v>
      </c>
      <c r="AF236" s="32">
        <v>12</v>
      </c>
      <c r="AG236" s="32">
        <v>12</v>
      </c>
      <c r="AH236" s="15"/>
      <c r="AI236" s="15"/>
      <c r="AJ236" s="15"/>
      <c r="AK236" s="15"/>
      <c r="AL236" s="15"/>
      <c r="AM236" s="15"/>
      <c r="AN236" s="15"/>
      <c r="AO236" s="15"/>
      <c r="AP236" s="15"/>
      <c r="AQ236" s="15"/>
      <c r="AR236" s="15"/>
      <c r="AS236" s="15"/>
      <c r="AT236" s="15"/>
      <c r="AU236" s="15"/>
      <c r="AV236" s="15"/>
      <c r="AW236" s="15"/>
      <c r="AX236" s="15"/>
      <c r="AY236" s="15"/>
      <c r="AZ236" s="15"/>
      <c r="BA236" s="15"/>
      <c r="BB236" s="15"/>
      <c r="BC236" s="15"/>
      <c r="BD236" s="15"/>
      <c r="BE236" s="15"/>
      <c r="BF236" s="15"/>
      <c r="BG236" s="15"/>
      <c r="BH236" s="15"/>
      <c r="BI236" s="15"/>
      <c r="BJ236" s="15"/>
      <c r="BK236" s="15"/>
      <c r="BL236" s="15"/>
      <c r="BM236" s="15"/>
      <c r="BN236" s="15"/>
      <c r="BO236" s="15"/>
      <c r="BP236" s="15"/>
      <c r="BQ236" s="15"/>
      <c r="BR236" s="15"/>
      <c r="BS236" s="15"/>
      <c r="BT236" s="15"/>
      <c r="BU236" s="15"/>
      <c r="BV236" s="15"/>
      <c r="BW236" s="15"/>
      <c r="BX236" s="15"/>
      <c r="BY236" s="15"/>
      <c r="BZ236" s="15"/>
      <c r="CA236" s="15"/>
      <c r="CB236" s="15"/>
      <c r="CC236" s="15"/>
      <c r="CD236" s="15"/>
      <c r="CE236" s="15"/>
      <c r="CF236" s="15"/>
      <c r="CG236" s="15"/>
      <c r="CH236" s="15"/>
      <c r="CI236" s="15"/>
      <c r="CJ236" s="15"/>
      <c r="CK236" s="15"/>
      <c r="CL236" s="15"/>
      <c r="CM236" s="15"/>
      <c r="CN236" s="15"/>
      <c r="CO236" s="15"/>
      <c r="CP236" s="15"/>
      <c r="CQ236" s="15"/>
      <c r="CR236" s="15"/>
      <c r="CS236" s="15"/>
      <c r="CT236" s="15"/>
      <c r="CU236" s="15"/>
      <c r="CV236" s="15"/>
      <c r="CW236" s="15"/>
      <c r="CX236" s="15"/>
      <c r="CY236" s="15"/>
      <c r="CZ236" s="15"/>
      <c r="DA236" s="15"/>
      <c r="DB236" s="15"/>
      <c r="DC236" s="15"/>
      <c r="DD236" s="15"/>
      <c r="DE236" s="15"/>
      <c r="DF236" s="15"/>
      <c r="DG236" s="15"/>
      <c r="DH236" s="15"/>
      <c r="DI236" s="15"/>
      <c r="DJ236" s="15"/>
      <c r="DK236" s="15"/>
      <c r="DL236" s="15"/>
      <c r="DM236" s="15"/>
      <c r="DN236" s="15"/>
      <c r="DO236" s="15"/>
      <c r="DP236" s="15"/>
      <c r="DQ236" s="15"/>
      <c r="DR236" s="15"/>
      <c r="DS236" s="15"/>
      <c r="DT236" s="15"/>
      <c r="DU236" s="15"/>
      <c r="DV236" s="15"/>
      <c r="DW236" s="15"/>
      <c r="DX236" s="15"/>
      <c r="DY236" s="15"/>
      <c r="DZ236" s="15"/>
      <c r="EA236" s="15"/>
      <c r="EB236" s="15"/>
      <c r="EC236" s="15"/>
      <c r="ED236" s="15"/>
      <c r="EE236" s="15"/>
      <c r="EF236" s="15"/>
      <c r="EG236" s="15"/>
      <c r="EH236" s="15"/>
      <c r="EI236" s="15"/>
      <c r="EJ236" s="15"/>
      <c r="EK236" s="15"/>
      <c r="EL236" s="15"/>
      <c r="EM236" s="15"/>
      <c r="EN236" s="15"/>
      <c r="EO236" s="15"/>
      <c r="EP236" s="15"/>
      <c r="EQ236" s="15"/>
      <c r="ER236" s="15"/>
      <c r="ES236" s="15"/>
      <c r="ET236" s="15"/>
      <c r="EU236" s="15"/>
      <c r="EV236" s="15"/>
      <c r="EW236" s="15"/>
      <c r="EX236" s="15"/>
      <c r="EY236" s="15"/>
      <c r="EZ236" s="15"/>
      <c r="FA236" s="15"/>
      <c r="FB236" s="15"/>
      <c r="FC236" s="15"/>
      <c r="FD236" s="15"/>
      <c r="FE236" s="15"/>
      <c r="FF236" s="15"/>
      <c r="FG236" s="15"/>
      <c r="FH236" s="15"/>
      <c r="FI236" s="15"/>
      <c r="FJ236" s="15"/>
      <c r="FK236" s="15"/>
      <c r="FL236" s="15"/>
      <c r="FM236" s="15"/>
      <c r="FN236" s="15"/>
      <c r="FO236" s="15"/>
      <c r="FP236" s="15"/>
      <c r="FQ236" s="15"/>
      <c r="FR236" s="15"/>
      <c r="FS236" s="15"/>
      <c r="FT236" s="15"/>
      <c r="FU236" s="15"/>
      <c r="FV236" s="15"/>
      <c r="FW236" s="15"/>
      <c r="FX236" s="15"/>
      <c r="FY236" s="15"/>
      <c r="FZ236" s="15"/>
      <c r="GA236" s="15"/>
      <c r="GB236" s="15"/>
      <c r="GC236" s="15"/>
      <c r="GD236" s="15"/>
      <c r="GE236" s="15"/>
      <c r="GF236" s="15"/>
      <c r="GG236" s="15"/>
      <c r="GH236" s="15"/>
      <c r="GI236" s="15"/>
      <c r="GJ236" s="15"/>
      <c r="GK236" s="15"/>
      <c r="GL236" s="15"/>
      <c r="GM236" s="15"/>
      <c r="GN236" s="15"/>
      <c r="GO236" s="15"/>
      <c r="GP236" s="15"/>
      <c r="GQ236" s="15"/>
      <c r="GR236" s="15"/>
      <c r="GS236" s="15"/>
      <c r="GT236" s="15"/>
      <c r="GU236" s="15"/>
      <c r="GV236" s="15"/>
      <c r="GW236" s="15"/>
      <c r="GX236" s="15"/>
      <c r="GY236" s="15"/>
      <c r="GZ236" s="15"/>
      <c r="HA236" s="15"/>
      <c r="HB236" s="15"/>
      <c r="HC236" s="15"/>
      <c r="HD236" s="15"/>
      <c r="HE236" s="15"/>
      <c r="HF236" s="15"/>
      <c r="HG236" s="15"/>
      <c r="HH236" s="15"/>
      <c r="HI236" s="15"/>
      <c r="HJ236" s="15"/>
      <c r="HK236" s="15"/>
      <c r="HL236" s="15"/>
      <c r="HM236" s="15"/>
      <c r="HN236" s="15"/>
      <c r="HO236" s="15"/>
      <c r="HP236" s="15"/>
      <c r="HQ236" s="15"/>
      <c r="HR236"/>
      <c r="HS236"/>
      <c r="HT236"/>
      <c r="HU236"/>
      <c r="HV236"/>
      <c r="HW236"/>
      <c r="HX236"/>
      <c r="HY236"/>
      <c r="HZ236"/>
      <c r="IA236"/>
      <c r="IB236"/>
      <c r="IC236"/>
      <c r="ID236"/>
      <c r="IE236"/>
      <c r="IF236"/>
      <c r="IG236"/>
      <c r="IH236"/>
      <c r="II236"/>
      <c r="IJ236"/>
      <c r="IK236" s="14"/>
      <c r="IL236" s="14"/>
      <c r="IM236" s="14"/>
      <c r="IN236" s="14"/>
      <c r="IO236" s="14"/>
      <c r="IP236" s="14"/>
      <c r="IQ236" s="14"/>
    </row>
    <row r="237" spans="1:251" s="31" customFormat="1" ht="6" customHeight="1">
      <c r="A237" s="146"/>
      <c r="B237" s="15"/>
      <c r="C237" s="15"/>
      <c r="D237" s="15"/>
      <c r="E237" s="15"/>
      <c r="F237" s="15"/>
      <c r="G237" s="15"/>
      <c r="H237" s="15"/>
      <c r="I237" s="15"/>
      <c r="J237" s="15"/>
      <c r="K237" s="15"/>
      <c r="L237" s="15"/>
      <c r="M237" s="15"/>
      <c r="N237" s="15"/>
      <c r="O237" s="15"/>
      <c r="P237" s="43"/>
      <c r="Q237" s="43"/>
      <c r="R237" s="43"/>
      <c r="S237" s="43"/>
      <c r="T237" s="43"/>
      <c r="U237" s="43"/>
      <c r="V237" s="43"/>
      <c r="W237" s="43"/>
      <c r="X237" s="43"/>
      <c r="Y237" s="43"/>
      <c r="Z237" s="43"/>
      <c r="AA237" s="43"/>
      <c r="AB237" s="43"/>
      <c r="AC237" s="43"/>
      <c r="AD237" s="43"/>
      <c r="AE237" s="43"/>
      <c r="AF237" s="43"/>
      <c r="AG237" s="43"/>
      <c r="AH237" s="15"/>
      <c r="AI237" s="15"/>
      <c r="AJ237" s="15"/>
      <c r="AK237" s="15"/>
      <c r="AL237" s="15"/>
      <c r="AM237" s="15"/>
      <c r="AN237" s="15"/>
      <c r="AO237" s="15"/>
      <c r="AP237" s="15"/>
      <c r="AQ237" s="15"/>
      <c r="AR237" s="15"/>
      <c r="AS237" s="15"/>
      <c r="AT237" s="15"/>
      <c r="AU237" s="15"/>
      <c r="AV237" s="15"/>
      <c r="AW237" s="15"/>
      <c r="AX237" s="15"/>
      <c r="AY237" s="15"/>
      <c r="AZ237" s="15"/>
      <c r="BA237" s="15"/>
      <c r="BB237" s="15"/>
      <c r="BC237" s="15"/>
      <c r="BD237" s="15"/>
      <c r="BE237" s="15"/>
      <c r="BF237" s="15"/>
      <c r="BG237" s="15"/>
      <c r="BH237" s="15"/>
      <c r="BI237" s="15"/>
      <c r="BJ237" s="15"/>
      <c r="BK237" s="15"/>
      <c r="BL237" s="15"/>
      <c r="BM237" s="15"/>
      <c r="BN237" s="15"/>
      <c r="BO237" s="15"/>
      <c r="BP237" s="15"/>
      <c r="BQ237" s="15"/>
      <c r="BR237" s="15"/>
      <c r="BS237" s="15"/>
      <c r="BT237" s="15"/>
      <c r="BU237" s="15"/>
      <c r="BV237" s="15"/>
      <c r="BW237" s="15"/>
      <c r="BX237" s="15"/>
      <c r="BY237" s="15"/>
      <c r="BZ237" s="15"/>
      <c r="CA237" s="15"/>
      <c r="CB237" s="15"/>
      <c r="CC237" s="15"/>
      <c r="CD237" s="15"/>
      <c r="CE237" s="15"/>
      <c r="CF237" s="15"/>
      <c r="CG237" s="15"/>
      <c r="CH237" s="15"/>
      <c r="CI237" s="15"/>
      <c r="CJ237" s="15"/>
      <c r="CK237" s="15"/>
      <c r="CL237" s="15"/>
      <c r="CM237" s="15"/>
      <c r="CN237" s="15"/>
      <c r="CO237" s="15"/>
      <c r="CP237" s="15"/>
      <c r="CQ237" s="15"/>
      <c r="CR237" s="15"/>
      <c r="CS237" s="15"/>
      <c r="CT237" s="15"/>
      <c r="CU237" s="15"/>
      <c r="CV237" s="15"/>
      <c r="CW237" s="15"/>
      <c r="CX237" s="15"/>
      <c r="CY237" s="15"/>
      <c r="CZ237" s="15"/>
      <c r="DA237" s="15"/>
      <c r="DB237" s="15"/>
      <c r="DC237" s="15"/>
      <c r="DD237" s="15"/>
      <c r="DE237" s="15"/>
      <c r="DF237" s="15"/>
      <c r="DG237" s="15"/>
      <c r="DH237" s="15"/>
      <c r="DI237" s="15"/>
      <c r="DJ237" s="15"/>
      <c r="DK237" s="15"/>
      <c r="DL237" s="15"/>
      <c r="DM237" s="15"/>
      <c r="DN237" s="15"/>
      <c r="DO237" s="15"/>
      <c r="DP237" s="15"/>
      <c r="DQ237" s="15"/>
      <c r="DR237" s="15"/>
      <c r="DS237" s="15"/>
      <c r="DT237" s="15"/>
      <c r="DU237" s="15"/>
      <c r="DV237" s="15"/>
      <c r="DW237" s="15"/>
      <c r="DX237" s="15"/>
      <c r="DY237" s="15"/>
      <c r="DZ237" s="15"/>
      <c r="EA237" s="15"/>
      <c r="EB237" s="15"/>
      <c r="EC237" s="15"/>
      <c r="ED237" s="15"/>
      <c r="EE237" s="15"/>
      <c r="EF237" s="15"/>
      <c r="EG237" s="15"/>
      <c r="EH237" s="15"/>
      <c r="EI237" s="15"/>
      <c r="EJ237" s="15"/>
      <c r="EK237" s="15"/>
      <c r="EL237" s="15"/>
      <c r="EM237" s="15"/>
      <c r="EN237" s="15"/>
      <c r="EO237" s="15"/>
      <c r="EP237" s="15"/>
      <c r="EQ237" s="15"/>
      <c r="ER237" s="15"/>
      <c r="ES237" s="15"/>
      <c r="ET237" s="15"/>
      <c r="EU237" s="15"/>
      <c r="EV237" s="15"/>
      <c r="EW237" s="15"/>
      <c r="EX237" s="15"/>
      <c r="EY237" s="15"/>
      <c r="EZ237" s="15"/>
      <c r="FA237" s="15"/>
      <c r="FB237" s="15"/>
      <c r="FC237" s="15"/>
      <c r="FD237" s="15"/>
      <c r="FE237" s="15"/>
      <c r="FF237" s="15"/>
      <c r="FG237" s="15"/>
      <c r="FH237" s="15"/>
      <c r="FI237" s="15"/>
      <c r="FJ237" s="15"/>
      <c r="FK237" s="15"/>
      <c r="FL237" s="15"/>
      <c r="FM237" s="15"/>
      <c r="FN237" s="15"/>
      <c r="FO237" s="15"/>
      <c r="FP237" s="15"/>
      <c r="FQ237" s="15"/>
      <c r="FR237" s="15"/>
      <c r="FS237" s="15"/>
      <c r="FT237" s="15"/>
      <c r="FU237" s="15"/>
      <c r="FV237" s="15"/>
      <c r="FW237" s="15"/>
      <c r="FX237" s="15"/>
      <c r="FY237" s="15"/>
      <c r="FZ237" s="15"/>
      <c r="GA237" s="15"/>
      <c r="GB237" s="15"/>
      <c r="GC237" s="15"/>
      <c r="GD237" s="15"/>
      <c r="GE237" s="15"/>
      <c r="GF237" s="15"/>
      <c r="GG237" s="15"/>
      <c r="GH237" s="15"/>
      <c r="GI237" s="15"/>
      <c r="GJ237" s="15"/>
      <c r="GK237" s="15"/>
      <c r="GL237" s="15"/>
      <c r="GM237" s="15"/>
      <c r="GN237" s="15"/>
      <c r="GO237" s="15"/>
      <c r="GP237" s="15"/>
      <c r="GQ237" s="15"/>
      <c r="GR237" s="15"/>
      <c r="GS237" s="15"/>
      <c r="GT237" s="15"/>
      <c r="GU237" s="15"/>
      <c r="GV237" s="15"/>
      <c r="GW237" s="15"/>
      <c r="GX237" s="15"/>
      <c r="GY237" s="15"/>
      <c r="GZ237" s="15"/>
      <c r="HA237" s="15"/>
      <c r="HB237" s="15"/>
      <c r="HC237" s="15"/>
      <c r="HD237" s="15"/>
      <c r="HE237" s="15"/>
      <c r="HF237" s="15"/>
      <c r="HG237" s="15"/>
      <c r="HH237" s="15"/>
      <c r="HI237" s="15"/>
      <c r="HJ237" s="15"/>
      <c r="HK237" s="15"/>
      <c r="HL237" s="15"/>
      <c r="HM237" s="15"/>
      <c r="HN237" s="15"/>
      <c r="HO237" s="15"/>
      <c r="HP237" s="15"/>
      <c r="HQ237" s="15"/>
      <c r="HR237"/>
      <c r="HS237"/>
      <c r="HT237"/>
      <c r="HU237"/>
      <c r="HV237"/>
      <c r="HW237"/>
      <c r="HX237"/>
      <c r="HY237"/>
      <c r="HZ237"/>
      <c r="IA237"/>
      <c r="IB237"/>
      <c r="IC237"/>
      <c r="ID237"/>
      <c r="IE237"/>
      <c r="IF237"/>
      <c r="IG237"/>
      <c r="IH237"/>
      <c r="II237"/>
      <c r="IJ237"/>
      <c r="IK237" s="14"/>
      <c r="IL237" s="14"/>
      <c r="IM237" s="14"/>
      <c r="IN237" s="14"/>
      <c r="IO237" s="14"/>
      <c r="IP237" s="14"/>
      <c r="IQ237" s="14"/>
    </row>
    <row r="238" spans="1:251" s="31" customFormat="1">
      <c r="A238" s="146" t="s">
        <v>75</v>
      </c>
      <c r="B238" s="15"/>
      <c r="C238" s="15"/>
      <c r="D238" s="15"/>
      <c r="E238" s="15"/>
      <c r="F238" s="15"/>
      <c r="G238" s="15"/>
      <c r="H238" s="15"/>
      <c r="I238" s="15"/>
      <c r="J238" s="15"/>
      <c r="K238" s="15"/>
      <c r="L238" s="15"/>
      <c r="M238" s="15"/>
      <c r="N238" s="15"/>
      <c r="O238" s="15"/>
      <c r="P238" s="147">
        <v>0</v>
      </c>
      <c r="Q238" s="147">
        <v>4225</v>
      </c>
      <c r="R238" s="324">
        <f t="shared" ref="R238:X238" si="251">Q238</f>
        <v>4225</v>
      </c>
      <c r="S238" s="147">
        <f t="shared" si="251"/>
        <v>4225</v>
      </c>
      <c r="T238" s="147">
        <f t="shared" si="251"/>
        <v>4225</v>
      </c>
      <c r="U238" s="147">
        <f t="shared" si="251"/>
        <v>4225</v>
      </c>
      <c r="V238" s="147">
        <f t="shared" si="251"/>
        <v>4225</v>
      </c>
      <c r="W238" s="147">
        <f t="shared" si="251"/>
        <v>4225</v>
      </c>
      <c r="X238" s="147">
        <f t="shared" si="251"/>
        <v>4225</v>
      </c>
      <c r="Y238" s="147">
        <f t="shared" ref="Y238:AB239" si="252">X238</f>
        <v>4225</v>
      </c>
      <c r="Z238" s="147">
        <f t="shared" si="252"/>
        <v>4225</v>
      </c>
      <c r="AA238" s="147">
        <f t="shared" si="252"/>
        <v>4225</v>
      </c>
      <c r="AB238" s="147">
        <f t="shared" si="252"/>
        <v>4225</v>
      </c>
      <c r="AC238" s="147">
        <f t="shared" ref="AC238:AG239" si="253">AB238</f>
        <v>4225</v>
      </c>
      <c r="AD238" s="147">
        <f t="shared" si="253"/>
        <v>4225</v>
      </c>
      <c r="AE238" s="147">
        <f t="shared" si="253"/>
        <v>4225</v>
      </c>
      <c r="AF238" s="147">
        <f t="shared" si="253"/>
        <v>4225</v>
      </c>
      <c r="AG238" s="147">
        <f t="shared" si="253"/>
        <v>4225</v>
      </c>
      <c r="AH238" s="15"/>
      <c r="AI238" s="15"/>
      <c r="AJ238" s="15"/>
      <c r="AK238" s="15"/>
      <c r="AL238" s="15"/>
      <c r="AM238" s="15"/>
      <c r="AN238" s="15"/>
      <c r="AO238" s="15"/>
      <c r="AP238" s="15"/>
      <c r="AQ238" s="15"/>
      <c r="AR238" s="15"/>
      <c r="AS238" s="15"/>
      <c r="AT238" s="15"/>
      <c r="AU238" s="15"/>
      <c r="AV238" s="15"/>
      <c r="AW238" s="15"/>
      <c r="AX238" s="15"/>
      <c r="AY238" s="15"/>
      <c r="AZ238" s="15"/>
      <c r="BA238" s="15"/>
      <c r="BB238" s="15"/>
      <c r="BC238" s="15"/>
      <c r="BD238" s="15"/>
      <c r="BE238" s="15"/>
      <c r="BF238" s="15"/>
      <c r="BG238" s="15"/>
      <c r="BH238" s="15"/>
      <c r="BI238" s="15"/>
      <c r="BJ238" s="15"/>
      <c r="BK238" s="15"/>
      <c r="BL238" s="15"/>
      <c r="BM238" s="15"/>
      <c r="BN238" s="15"/>
      <c r="BO238" s="15"/>
      <c r="BP238" s="15"/>
      <c r="BQ238" s="15"/>
      <c r="BR238" s="15"/>
      <c r="BS238" s="15"/>
      <c r="BT238" s="15"/>
      <c r="BU238" s="15"/>
      <c r="BV238" s="15"/>
      <c r="BW238" s="15"/>
      <c r="BX238" s="15"/>
      <c r="BY238" s="15"/>
      <c r="BZ238" s="15"/>
      <c r="CA238" s="15"/>
      <c r="CB238" s="15"/>
      <c r="CC238" s="15"/>
      <c r="CD238" s="15"/>
      <c r="CE238" s="15"/>
      <c r="CF238" s="15"/>
      <c r="CG238" s="15"/>
      <c r="CH238" s="15"/>
      <c r="CI238" s="15"/>
      <c r="CJ238" s="15"/>
      <c r="CK238" s="15"/>
      <c r="CL238" s="15"/>
      <c r="CM238" s="15"/>
      <c r="CN238" s="15"/>
      <c r="CO238" s="15"/>
      <c r="CP238" s="15"/>
      <c r="CQ238" s="15"/>
      <c r="CR238" s="15"/>
      <c r="CS238" s="15"/>
      <c r="CT238" s="15"/>
      <c r="CU238" s="15"/>
      <c r="CV238" s="15"/>
      <c r="CW238" s="15"/>
      <c r="CX238" s="15"/>
      <c r="CY238" s="15"/>
      <c r="CZ238" s="15"/>
      <c r="DA238" s="15"/>
      <c r="DB238" s="15"/>
      <c r="DC238" s="15"/>
      <c r="DD238" s="15"/>
      <c r="DE238" s="15"/>
      <c r="DF238" s="15"/>
      <c r="DG238" s="15"/>
      <c r="DH238" s="15"/>
      <c r="DI238" s="15"/>
      <c r="DJ238" s="15"/>
      <c r="DK238" s="15"/>
      <c r="DL238" s="15"/>
      <c r="DM238" s="15"/>
      <c r="DN238" s="15"/>
      <c r="DO238" s="15"/>
      <c r="DP238" s="15"/>
      <c r="DQ238" s="15"/>
      <c r="DR238" s="15"/>
      <c r="DS238" s="15"/>
      <c r="DT238" s="15"/>
      <c r="DU238" s="15"/>
      <c r="DV238" s="15"/>
      <c r="DW238" s="15"/>
      <c r="DX238" s="15"/>
      <c r="DY238" s="15"/>
      <c r="DZ238" s="15"/>
      <c r="EA238" s="15"/>
      <c r="EB238" s="15"/>
      <c r="EC238" s="15"/>
      <c r="ED238" s="15"/>
      <c r="EE238" s="15"/>
      <c r="EF238" s="15"/>
      <c r="EG238" s="15"/>
      <c r="EH238" s="15"/>
      <c r="EI238" s="15"/>
      <c r="EJ238" s="15"/>
      <c r="EK238" s="15"/>
      <c r="EL238" s="15"/>
      <c r="EM238" s="15"/>
      <c r="EN238" s="15"/>
      <c r="EO238" s="15"/>
      <c r="EP238" s="15"/>
      <c r="EQ238" s="15"/>
      <c r="ER238" s="15"/>
      <c r="ES238" s="15"/>
      <c r="ET238" s="15"/>
      <c r="EU238" s="15"/>
      <c r="EV238" s="15"/>
      <c r="EW238" s="15"/>
      <c r="EX238" s="15"/>
      <c r="EY238" s="15"/>
      <c r="EZ238" s="15"/>
      <c r="FA238" s="15"/>
      <c r="FB238" s="15"/>
      <c r="FC238" s="15"/>
      <c r="FD238" s="15"/>
      <c r="FE238" s="15"/>
      <c r="FF238" s="15"/>
      <c r="FG238" s="15"/>
      <c r="FH238" s="15"/>
      <c r="FI238" s="15"/>
      <c r="FJ238" s="15"/>
      <c r="FK238" s="15"/>
      <c r="FL238" s="15"/>
      <c r="FM238" s="15"/>
      <c r="FN238" s="15"/>
      <c r="FO238" s="15"/>
      <c r="FP238" s="15"/>
      <c r="FQ238" s="15"/>
      <c r="FR238" s="15"/>
      <c r="FS238" s="15"/>
      <c r="FT238" s="15"/>
      <c r="FU238" s="15"/>
      <c r="FV238" s="15"/>
      <c r="FW238" s="15"/>
      <c r="FX238" s="15"/>
      <c r="FY238" s="15"/>
      <c r="FZ238" s="15"/>
      <c r="GA238" s="15"/>
      <c r="GB238" s="15"/>
      <c r="GC238" s="15"/>
      <c r="GD238" s="15"/>
      <c r="GE238" s="15"/>
      <c r="GF238" s="15"/>
      <c r="GG238" s="15"/>
      <c r="GH238" s="15"/>
      <c r="GI238" s="15"/>
      <c r="GJ238" s="15"/>
      <c r="GK238" s="15"/>
      <c r="GL238" s="15"/>
      <c r="GM238" s="15"/>
      <c r="GN238" s="15"/>
      <c r="GO238" s="15"/>
      <c r="GP238" s="15"/>
      <c r="GQ238" s="15"/>
      <c r="GR238" s="15"/>
      <c r="GS238" s="15"/>
      <c r="GT238" s="15"/>
      <c r="GU238" s="15"/>
      <c r="GV238" s="15"/>
      <c r="GW238" s="15"/>
      <c r="GX238" s="15"/>
      <c r="GY238" s="15"/>
      <c r="GZ238" s="15"/>
      <c r="HA238" s="15"/>
      <c r="HB238" s="15"/>
      <c r="HC238" s="15"/>
      <c r="HD238" s="15"/>
      <c r="HE238" s="15"/>
      <c r="HF238" s="15"/>
      <c r="HG238" s="15"/>
      <c r="HH238" s="15"/>
      <c r="HI238" s="15"/>
      <c r="HJ238" s="15"/>
      <c r="HK238" s="15"/>
      <c r="HL238" s="15"/>
      <c r="HM238" s="15"/>
      <c r="HN238" s="15"/>
      <c r="HO238" s="15"/>
      <c r="HP238" s="15"/>
      <c r="HQ238" s="15"/>
      <c r="HR238"/>
      <c r="HS238"/>
      <c r="HT238"/>
      <c r="HU238"/>
      <c r="HV238"/>
      <c r="HW238"/>
      <c r="HX238"/>
      <c r="HY238"/>
      <c r="HZ238"/>
      <c r="IA238"/>
      <c r="IB238"/>
      <c r="IC238"/>
      <c r="ID238"/>
      <c r="IE238"/>
      <c r="IF238"/>
      <c r="IG238"/>
      <c r="IH238"/>
      <c r="II238"/>
      <c r="IJ238"/>
      <c r="IK238" s="14"/>
      <c r="IL238" s="14"/>
      <c r="IM238" s="14"/>
      <c r="IN238" s="14"/>
      <c r="IO238" s="14"/>
      <c r="IP238" s="14"/>
      <c r="IQ238" s="14"/>
    </row>
    <row r="239" spans="1:251" s="31" customFormat="1">
      <c r="A239" s="146" t="s">
        <v>491</v>
      </c>
      <c r="B239" s="15"/>
      <c r="C239" s="15"/>
      <c r="D239" s="15"/>
      <c r="E239" s="15"/>
      <c r="F239" s="15"/>
      <c r="G239" s="15"/>
      <c r="H239" s="15"/>
      <c r="I239" s="15"/>
      <c r="J239" s="15"/>
      <c r="K239" s="15"/>
      <c r="L239" s="15"/>
      <c r="M239" s="15"/>
      <c r="N239" s="15"/>
      <c r="O239" s="15"/>
      <c r="P239" s="249">
        <v>0</v>
      </c>
      <c r="Q239" s="249">
        <v>9.4E-2</v>
      </c>
      <c r="R239" s="249">
        <v>9.4E-2</v>
      </c>
      <c r="S239" s="249">
        <v>9.4E-2</v>
      </c>
      <c r="T239" s="249">
        <f>S239</f>
        <v>9.4E-2</v>
      </c>
      <c r="U239" s="249">
        <f>T239</f>
        <v>9.4E-2</v>
      </c>
      <c r="V239" s="249">
        <f>U239</f>
        <v>9.4E-2</v>
      </c>
      <c r="W239" s="249">
        <f>V239</f>
        <v>9.4E-2</v>
      </c>
      <c r="X239" s="249">
        <f>W239</f>
        <v>9.4E-2</v>
      </c>
      <c r="Y239" s="249">
        <f t="shared" si="252"/>
        <v>9.4E-2</v>
      </c>
      <c r="Z239" s="249">
        <f t="shared" si="252"/>
        <v>9.4E-2</v>
      </c>
      <c r="AA239" s="249">
        <f t="shared" si="252"/>
        <v>9.4E-2</v>
      </c>
      <c r="AB239" s="249">
        <f t="shared" si="252"/>
        <v>9.4E-2</v>
      </c>
      <c r="AC239" s="249">
        <f t="shared" si="253"/>
        <v>9.4E-2</v>
      </c>
      <c r="AD239" s="249">
        <f t="shared" si="253"/>
        <v>9.4E-2</v>
      </c>
      <c r="AE239" s="249">
        <f t="shared" si="253"/>
        <v>9.4E-2</v>
      </c>
      <c r="AF239" s="249">
        <f t="shared" si="253"/>
        <v>9.4E-2</v>
      </c>
      <c r="AG239" s="249">
        <f t="shared" si="253"/>
        <v>9.4E-2</v>
      </c>
      <c r="AH239" s="15"/>
      <c r="AI239" s="15"/>
      <c r="AJ239" s="15"/>
      <c r="AK239" s="15"/>
      <c r="AL239" s="15"/>
      <c r="AM239" s="15"/>
      <c r="AN239" s="15"/>
      <c r="AO239" s="15"/>
      <c r="AP239" s="15"/>
      <c r="AQ239" s="15"/>
      <c r="AR239" s="15"/>
      <c r="AS239" s="15"/>
      <c r="AT239" s="15"/>
      <c r="AU239" s="15"/>
      <c r="AV239" s="15"/>
      <c r="AW239" s="15"/>
      <c r="AX239" s="15"/>
      <c r="AY239" s="15"/>
      <c r="AZ239" s="15"/>
      <c r="BA239" s="15"/>
      <c r="BB239" s="15"/>
      <c r="BC239" s="15"/>
      <c r="BD239" s="15"/>
      <c r="BE239" s="15"/>
      <c r="BF239" s="15"/>
      <c r="BG239" s="15"/>
      <c r="BH239" s="15"/>
      <c r="BI239" s="15"/>
      <c r="BJ239" s="15"/>
      <c r="BK239" s="15"/>
      <c r="BL239" s="15"/>
      <c r="BM239" s="15"/>
      <c r="BN239" s="15"/>
      <c r="BO239" s="15"/>
      <c r="BP239" s="15"/>
      <c r="BQ239" s="15"/>
      <c r="BR239" s="15"/>
      <c r="BS239" s="15"/>
      <c r="BT239" s="15"/>
      <c r="BU239" s="15"/>
      <c r="BV239" s="15"/>
      <c r="BW239" s="15"/>
      <c r="BX239" s="15"/>
      <c r="BY239" s="15"/>
      <c r="BZ239" s="15"/>
      <c r="CA239" s="15"/>
      <c r="CB239" s="15"/>
      <c r="CC239" s="15"/>
      <c r="CD239" s="15"/>
      <c r="CE239" s="15"/>
      <c r="CF239" s="15"/>
      <c r="CG239" s="15"/>
      <c r="CH239" s="15"/>
      <c r="CI239" s="15"/>
      <c r="CJ239" s="15"/>
      <c r="CK239" s="15"/>
      <c r="CL239" s="15"/>
      <c r="CM239" s="15"/>
      <c r="CN239" s="15"/>
      <c r="CO239" s="15"/>
      <c r="CP239" s="15"/>
      <c r="CQ239" s="15"/>
      <c r="CR239" s="15"/>
      <c r="CS239" s="15"/>
      <c r="CT239" s="15"/>
      <c r="CU239" s="15"/>
      <c r="CV239" s="15"/>
      <c r="CW239" s="15"/>
      <c r="CX239" s="15"/>
      <c r="CY239" s="15"/>
      <c r="CZ239" s="15"/>
      <c r="DA239" s="15"/>
      <c r="DB239" s="15"/>
      <c r="DC239" s="15"/>
      <c r="DD239" s="15"/>
      <c r="DE239" s="15"/>
      <c r="DF239" s="15"/>
      <c r="DG239" s="15"/>
      <c r="DH239" s="15"/>
      <c r="DI239" s="15"/>
      <c r="DJ239" s="15"/>
      <c r="DK239" s="15"/>
      <c r="DL239" s="15"/>
      <c r="DM239" s="15"/>
      <c r="DN239" s="15"/>
      <c r="DO239" s="15"/>
      <c r="DP239" s="15"/>
      <c r="DQ239" s="15"/>
      <c r="DR239" s="15"/>
      <c r="DS239" s="15"/>
      <c r="DT239" s="15"/>
      <c r="DU239" s="15"/>
      <c r="DV239" s="15"/>
      <c r="DW239" s="15"/>
      <c r="DX239" s="15"/>
      <c r="DY239" s="15"/>
      <c r="DZ239" s="15"/>
      <c r="EA239" s="15"/>
      <c r="EB239" s="15"/>
      <c r="EC239" s="15"/>
      <c r="ED239" s="15"/>
      <c r="EE239" s="15"/>
      <c r="EF239" s="15"/>
      <c r="EG239" s="15"/>
      <c r="EH239" s="15"/>
      <c r="EI239" s="15"/>
      <c r="EJ239" s="15"/>
      <c r="EK239" s="15"/>
      <c r="EL239" s="15"/>
      <c r="EM239" s="15"/>
      <c r="EN239" s="15"/>
      <c r="EO239" s="15"/>
      <c r="EP239" s="15"/>
      <c r="EQ239" s="15"/>
      <c r="ER239" s="15"/>
      <c r="ES239" s="15"/>
      <c r="ET239" s="15"/>
      <c r="EU239" s="15"/>
      <c r="EV239" s="15"/>
      <c r="EW239" s="15"/>
      <c r="EX239" s="15"/>
      <c r="EY239" s="15"/>
      <c r="EZ239" s="15"/>
      <c r="FA239" s="15"/>
      <c r="FB239" s="15"/>
      <c r="FC239" s="15"/>
      <c r="FD239" s="15"/>
      <c r="FE239" s="15"/>
      <c r="FF239" s="15"/>
      <c r="FG239" s="15"/>
      <c r="FH239" s="15"/>
      <c r="FI239" s="15"/>
      <c r="FJ239" s="15"/>
      <c r="FK239" s="15"/>
      <c r="FL239" s="15"/>
      <c r="FM239" s="15"/>
      <c r="FN239" s="15"/>
      <c r="FO239" s="15"/>
      <c r="FP239" s="15"/>
      <c r="FQ239" s="15"/>
      <c r="FR239" s="15"/>
      <c r="FS239" s="15"/>
      <c r="FT239" s="15"/>
      <c r="FU239" s="15"/>
      <c r="FV239" s="15"/>
      <c r="FW239" s="15"/>
      <c r="FX239" s="15"/>
      <c r="FY239" s="15"/>
      <c r="FZ239" s="15"/>
      <c r="GA239" s="15"/>
      <c r="GB239" s="15"/>
      <c r="GC239" s="15"/>
      <c r="GD239" s="15"/>
      <c r="GE239" s="15"/>
      <c r="GF239" s="15"/>
      <c r="GG239" s="15"/>
      <c r="GH239" s="15"/>
      <c r="GI239" s="15"/>
      <c r="GJ239" s="15"/>
      <c r="GK239" s="15"/>
      <c r="GL239" s="15"/>
      <c r="GM239" s="15"/>
      <c r="GN239" s="15"/>
      <c r="GO239" s="15"/>
      <c r="GP239" s="15"/>
      <c r="GQ239" s="15"/>
      <c r="GR239" s="15"/>
      <c r="GS239" s="15"/>
      <c r="GT239" s="15"/>
      <c r="GU239" s="15"/>
      <c r="GV239" s="15"/>
      <c r="GW239" s="15"/>
      <c r="GX239" s="15"/>
      <c r="GY239" s="15"/>
      <c r="GZ239" s="15"/>
      <c r="HA239" s="15"/>
      <c r="HB239" s="15"/>
      <c r="HC239" s="15"/>
      <c r="HD239" s="15"/>
      <c r="HE239" s="15"/>
      <c r="HF239" s="15"/>
      <c r="HG239" s="15"/>
      <c r="HH239" s="15"/>
      <c r="HI239" s="15"/>
      <c r="HJ239" s="15"/>
      <c r="HK239" s="15"/>
      <c r="HL239" s="15"/>
      <c r="HM239" s="15"/>
      <c r="HN239" s="15"/>
      <c r="HO239" s="15"/>
      <c r="HP239" s="15"/>
      <c r="HQ239" s="15"/>
      <c r="HR239"/>
      <c r="HS239"/>
      <c r="HT239"/>
      <c r="HU239"/>
      <c r="HV239"/>
      <c r="HW239"/>
      <c r="HX239"/>
      <c r="HY239"/>
      <c r="HZ239"/>
      <c r="IA239"/>
      <c r="IB239"/>
      <c r="IC239"/>
      <c r="ID239"/>
      <c r="IE239"/>
      <c r="IF239"/>
      <c r="IG239"/>
      <c r="IH239"/>
      <c r="II239"/>
      <c r="IJ239"/>
      <c r="IK239" s="14"/>
      <c r="IL239" s="14"/>
      <c r="IM239" s="14"/>
      <c r="IN239" s="14"/>
      <c r="IO239" s="14"/>
      <c r="IP239" s="14"/>
      <c r="IQ239" s="14"/>
    </row>
    <row r="240" spans="1:251" s="31" customFormat="1">
      <c r="A240" s="146" t="s">
        <v>368</v>
      </c>
      <c r="B240" s="15"/>
      <c r="C240" s="15"/>
      <c r="D240" s="15"/>
      <c r="E240" s="15"/>
      <c r="F240" s="15"/>
      <c r="G240" s="15"/>
      <c r="H240" s="15"/>
      <c r="I240" s="15"/>
      <c r="J240" s="15"/>
      <c r="K240" s="15"/>
      <c r="L240" s="15"/>
      <c r="M240" s="15"/>
      <c r="N240" s="15"/>
      <c r="O240" s="15"/>
      <c r="P240" s="32">
        <v>0</v>
      </c>
      <c r="Q240" s="32">
        <v>11</v>
      </c>
      <c r="R240" s="32">
        <v>12</v>
      </c>
      <c r="S240" s="32">
        <v>12</v>
      </c>
      <c r="T240" s="32">
        <v>12</v>
      </c>
      <c r="U240" s="32">
        <v>12</v>
      </c>
      <c r="V240" s="32">
        <v>12</v>
      </c>
      <c r="W240" s="32">
        <v>12</v>
      </c>
      <c r="X240" s="32">
        <v>12</v>
      </c>
      <c r="Y240" s="32">
        <v>12</v>
      </c>
      <c r="Z240" s="32">
        <v>12</v>
      </c>
      <c r="AA240" s="32">
        <v>12</v>
      </c>
      <c r="AB240" s="32">
        <v>12</v>
      </c>
      <c r="AC240" s="32">
        <v>12</v>
      </c>
      <c r="AD240" s="32">
        <v>12</v>
      </c>
      <c r="AE240" s="32">
        <v>12</v>
      </c>
      <c r="AF240" s="32">
        <v>12</v>
      </c>
      <c r="AG240" s="32">
        <v>12</v>
      </c>
      <c r="AH240" s="15"/>
      <c r="AI240" s="15"/>
      <c r="AJ240" s="15"/>
      <c r="AK240" s="15"/>
      <c r="AL240" s="15"/>
      <c r="AM240" s="15"/>
      <c r="AN240" s="15"/>
      <c r="AO240" s="15"/>
      <c r="AP240" s="15"/>
      <c r="AQ240" s="15"/>
      <c r="AR240" s="15"/>
      <c r="AS240" s="15"/>
      <c r="AT240" s="15"/>
      <c r="AU240" s="15"/>
      <c r="AV240" s="15"/>
      <c r="AW240" s="15"/>
      <c r="AX240" s="15"/>
      <c r="AY240" s="15"/>
      <c r="AZ240" s="15"/>
      <c r="BA240" s="15"/>
      <c r="BB240" s="15"/>
      <c r="BC240" s="15"/>
      <c r="BD240" s="15"/>
      <c r="BE240" s="15"/>
      <c r="BF240" s="15"/>
      <c r="BG240" s="15"/>
      <c r="BH240" s="15"/>
      <c r="BI240" s="15"/>
      <c r="BJ240" s="15"/>
      <c r="BK240" s="15"/>
      <c r="BL240" s="15"/>
      <c r="BM240" s="15"/>
      <c r="BN240" s="15"/>
      <c r="BO240" s="15"/>
      <c r="BP240" s="15"/>
      <c r="BQ240" s="15"/>
      <c r="BR240" s="15"/>
      <c r="BS240" s="15"/>
      <c r="BT240" s="15"/>
      <c r="BU240" s="15"/>
      <c r="BV240" s="15"/>
      <c r="BW240" s="15"/>
      <c r="BX240" s="15"/>
      <c r="BY240" s="15"/>
      <c r="BZ240" s="15"/>
      <c r="CA240" s="15"/>
      <c r="CB240" s="15"/>
      <c r="CC240" s="15"/>
      <c r="CD240" s="15"/>
      <c r="CE240" s="15"/>
      <c r="CF240" s="15"/>
      <c r="CG240" s="15"/>
      <c r="CH240" s="15"/>
      <c r="CI240" s="15"/>
      <c r="CJ240" s="15"/>
      <c r="CK240" s="15"/>
      <c r="CL240" s="15"/>
      <c r="CM240" s="15"/>
      <c r="CN240" s="15"/>
      <c r="CO240" s="15"/>
      <c r="CP240" s="15"/>
      <c r="CQ240" s="15"/>
      <c r="CR240" s="15"/>
      <c r="CS240" s="15"/>
      <c r="CT240" s="15"/>
      <c r="CU240" s="15"/>
      <c r="CV240" s="15"/>
      <c r="CW240" s="15"/>
      <c r="CX240" s="15"/>
      <c r="CY240" s="15"/>
      <c r="CZ240" s="15"/>
      <c r="DA240" s="15"/>
      <c r="DB240" s="15"/>
      <c r="DC240" s="15"/>
      <c r="DD240" s="15"/>
      <c r="DE240" s="15"/>
      <c r="DF240" s="15"/>
      <c r="DG240" s="15"/>
      <c r="DH240" s="15"/>
      <c r="DI240" s="15"/>
      <c r="DJ240" s="15"/>
      <c r="DK240" s="15"/>
      <c r="DL240" s="15"/>
      <c r="DM240" s="15"/>
      <c r="DN240" s="15"/>
      <c r="DO240" s="15"/>
      <c r="DP240" s="15"/>
      <c r="DQ240" s="15"/>
      <c r="DR240" s="15"/>
      <c r="DS240" s="15"/>
      <c r="DT240" s="15"/>
      <c r="DU240" s="15"/>
      <c r="DV240" s="15"/>
      <c r="DW240" s="15"/>
      <c r="DX240" s="15"/>
      <c r="DY240" s="15"/>
      <c r="DZ240" s="15"/>
      <c r="EA240" s="15"/>
      <c r="EB240" s="15"/>
      <c r="EC240" s="15"/>
      <c r="ED240" s="15"/>
      <c r="EE240" s="15"/>
      <c r="EF240" s="15"/>
      <c r="EG240" s="15"/>
      <c r="EH240" s="15"/>
      <c r="EI240" s="15"/>
      <c r="EJ240" s="15"/>
      <c r="EK240" s="15"/>
      <c r="EL240" s="15"/>
      <c r="EM240" s="15"/>
      <c r="EN240" s="15"/>
      <c r="EO240" s="15"/>
      <c r="EP240" s="15"/>
      <c r="EQ240" s="15"/>
      <c r="ER240" s="15"/>
      <c r="ES240" s="15"/>
      <c r="ET240" s="15"/>
      <c r="EU240" s="15"/>
      <c r="EV240" s="15"/>
      <c r="EW240" s="15"/>
      <c r="EX240" s="15"/>
      <c r="EY240" s="15"/>
      <c r="EZ240" s="15"/>
      <c r="FA240" s="15"/>
      <c r="FB240" s="15"/>
      <c r="FC240" s="15"/>
      <c r="FD240" s="15"/>
      <c r="FE240" s="15"/>
      <c r="FF240" s="15"/>
      <c r="FG240" s="15"/>
      <c r="FH240" s="15"/>
      <c r="FI240" s="15"/>
      <c r="FJ240" s="15"/>
      <c r="FK240" s="15"/>
      <c r="FL240" s="15"/>
      <c r="FM240" s="15"/>
      <c r="FN240" s="15"/>
      <c r="FO240" s="15"/>
      <c r="FP240" s="15"/>
      <c r="FQ240" s="15"/>
      <c r="FR240" s="15"/>
      <c r="FS240" s="15"/>
      <c r="FT240" s="15"/>
      <c r="FU240" s="15"/>
      <c r="FV240" s="15"/>
      <c r="FW240" s="15"/>
      <c r="FX240" s="15"/>
      <c r="FY240" s="15"/>
      <c r="FZ240" s="15"/>
      <c r="GA240" s="15"/>
      <c r="GB240" s="15"/>
      <c r="GC240" s="15"/>
      <c r="GD240" s="15"/>
      <c r="GE240" s="15"/>
      <c r="GF240" s="15"/>
      <c r="GG240" s="15"/>
      <c r="GH240" s="15"/>
      <c r="GI240" s="15"/>
      <c r="GJ240" s="15"/>
      <c r="GK240" s="15"/>
      <c r="GL240" s="15"/>
      <c r="GM240" s="15"/>
      <c r="GN240" s="15"/>
      <c r="GO240" s="15"/>
      <c r="GP240" s="15"/>
      <c r="GQ240" s="15"/>
      <c r="GR240" s="15"/>
      <c r="GS240" s="15"/>
      <c r="GT240" s="15"/>
      <c r="GU240" s="15"/>
      <c r="GV240" s="15"/>
      <c r="GW240" s="15"/>
      <c r="GX240" s="15"/>
      <c r="GY240" s="15"/>
      <c r="GZ240" s="15"/>
      <c r="HA240" s="15"/>
      <c r="HB240" s="15"/>
      <c r="HC240" s="15"/>
      <c r="HD240" s="15"/>
      <c r="HE240" s="15"/>
      <c r="HF240" s="15"/>
      <c r="HG240" s="15"/>
      <c r="HH240" s="15"/>
      <c r="HI240" s="15"/>
      <c r="HJ240" s="15"/>
      <c r="HK240" s="15"/>
      <c r="HL240" s="15"/>
      <c r="HM240" s="15"/>
      <c r="HN240" s="15"/>
      <c r="HO240" s="15"/>
      <c r="HP240" s="15"/>
      <c r="HQ240" s="15"/>
      <c r="HR240"/>
      <c r="HS240"/>
      <c r="HT240"/>
      <c r="HU240"/>
      <c r="HV240"/>
      <c r="HW240"/>
      <c r="HX240"/>
      <c r="HY240"/>
      <c r="HZ240"/>
      <c r="IA240"/>
      <c r="IB240"/>
      <c r="IC240"/>
      <c r="ID240"/>
      <c r="IE240"/>
      <c r="IF240"/>
      <c r="IG240"/>
      <c r="IH240"/>
      <c r="II240"/>
      <c r="IJ240"/>
      <c r="IK240" s="14"/>
      <c r="IL240" s="14"/>
      <c r="IM240" s="14"/>
      <c r="IN240" s="14"/>
      <c r="IO240" s="14"/>
      <c r="IP240" s="14"/>
      <c r="IQ240" s="14"/>
    </row>
    <row r="241" spans="1:251" s="31" customFormat="1" ht="6" customHeight="1">
      <c r="A241" s="146"/>
      <c r="B241" s="15"/>
      <c r="C241" s="15"/>
      <c r="D241" s="15"/>
      <c r="E241" s="15"/>
      <c r="F241" s="15"/>
      <c r="G241" s="15"/>
      <c r="H241" s="15"/>
      <c r="I241" s="15"/>
      <c r="J241" s="15"/>
      <c r="K241" s="15"/>
      <c r="L241" s="15"/>
      <c r="M241" s="15"/>
      <c r="N241" s="15"/>
      <c r="O241" s="15"/>
      <c r="P241" s="43"/>
      <c r="Q241" s="43"/>
      <c r="R241" s="43"/>
      <c r="S241" s="43"/>
      <c r="T241" s="43"/>
      <c r="U241" s="43"/>
      <c r="V241" s="43"/>
      <c r="W241" s="43"/>
      <c r="X241" s="43"/>
      <c r="Y241" s="43"/>
      <c r="Z241" s="43"/>
      <c r="AA241" s="43"/>
      <c r="AB241" s="43"/>
      <c r="AC241" s="43"/>
      <c r="AD241" s="43"/>
      <c r="AE241" s="43"/>
      <c r="AF241" s="43"/>
      <c r="AG241" s="43"/>
      <c r="AH241" s="15"/>
      <c r="AI241" s="15"/>
      <c r="AJ241" s="15"/>
      <c r="AK241" s="15"/>
      <c r="AL241" s="15"/>
      <c r="AM241" s="15"/>
      <c r="AN241" s="15"/>
      <c r="AO241" s="15"/>
      <c r="AP241" s="15"/>
      <c r="AQ241" s="15"/>
      <c r="AR241" s="15"/>
      <c r="AS241" s="15"/>
      <c r="AT241" s="15"/>
      <c r="AU241" s="15"/>
      <c r="AV241" s="15"/>
      <c r="AW241" s="15"/>
      <c r="AX241" s="15"/>
      <c r="AY241" s="15"/>
      <c r="AZ241" s="15"/>
      <c r="BA241" s="15"/>
      <c r="BB241" s="15"/>
      <c r="BC241" s="15"/>
      <c r="BD241" s="15"/>
      <c r="BE241" s="15"/>
      <c r="BF241" s="15"/>
      <c r="BG241" s="15"/>
      <c r="BH241" s="15"/>
      <c r="BI241" s="15"/>
      <c r="BJ241" s="15"/>
      <c r="BK241" s="15"/>
      <c r="BL241" s="15"/>
      <c r="BM241" s="15"/>
      <c r="BN241" s="15"/>
      <c r="BO241" s="15"/>
      <c r="BP241" s="15"/>
      <c r="BQ241" s="15"/>
      <c r="BR241" s="15"/>
      <c r="BS241" s="15"/>
      <c r="BT241" s="15"/>
      <c r="BU241" s="15"/>
      <c r="BV241" s="15"/>
      <c r="BW241" s="15"/>
      <c r="BX241" s="15"/>
      <c r="BY241" s="15"/>
      <c r="BZ241" s="15"/>
      <c r="CA241" s="15"/>
      <c r="CB241" s="15"/>
      <c r="CC241" s="15"/>
      <c r="CD241" s="15"/>
      <c r="CE241" s="15"/>
      <c r="CF241" s="15"/>
      <c r="CG241" s="15"/>
      <c r="CH241" s="15"/>
      <c r="CI241" s="15"/>
      <c r="CJ241" s="15"/>
      <c r="CK241" s="15"/>
      <c r="CL241" s="15"/>
      <c r="CM241" s="15"/>
      <c r="CN241" s="15"/>
      <c r="CO241" s="15"/>
      <c r="CP241" s="15"/>
      <c r="CQ241" s="15"/>
      <c r="CR241" s="15"/>
      <c r="CS241" s="15"/>
      <c r="CT241" s="15"/>
      <c r="CU241" s="15"/>
      <c r="CV241" s="15"/>
      <c r="CW241" s="15"/>
      <c r="CX241" s="15"/>
      <c r="CY241" s="15"/>
      <c r="CZ241" s="15"/>
      <c r="DA241" s="15"/>
      <c r="DB241" s="15"/>
      <c r="DC241" s="15"/>
      <c r="DD241" s="15"/>
      <c r="DE241" s="15"/>
      <c r="DF241" s="15"/>
      <c r="DG241" s="15"/>
      <c r="DH241" s="15"/>
      <c r="DI241" s="15"/>
      <c r="DJ241" s="15"/>
      <c r="DK241" s="15"/>
      <c r="DL241" s="15"/>
      <c r="DM241" s="15"/>
      <c r="DN241" s="15"/>
      <c r="DO241" s="15"/>
      <c r="DP241" s="15"/>
      <c r="DQ241" s="15"/>
      <c r="DR241" s="15"/>
      <c r="DS241" s="15"/>
      <c r="DT241" s="15"/>
      <c r="DU241" s="15"/>
      <c r="DV241" s="15"/>
      <c r="DW241" s="15"/>
      <c r="DX241" s="15"/>
      <c r="DY241" s="15"/>
      <c r="DZ241" s="15"/>
      <c r="EA241" s="15"/>
      <c r="EB241" s="15"/>
      <c r="EC241" s="15"/>
      <c r="ED241" s="15"/>
      <c r="EE241" s="15"/>
      <c r="EF241" s="15"/>
      <c r="EG241" s="15"/>
      <c r="EH241" s="15"/>
      <c r="EI241" s="15"/>
      <c r="EJ241" s="15"/>
      <c r="EK241" s="15"/>
      <c r="EL241" s="15"/>
      <c r="EM241" s="15"/>
      <c r="EN241" s="15"/>
      <c r="EO241" s="15"/>
      <c r="EP241" s="15"/>
      <c r="EQ241" s="15"/>
      <c r="ER241" s="15"/>
      <c r="ES241" s="15"/>
      <c r="ET241" s="15"/>
      <c r="EU241" s="15"/>
      <c r="EV241" s="15"/>
      <c r="EW241" s="15"/>
      <c r="EX241" s="15"/>
      <c r="EY241" s="15"/>
      <c r="EZ241" s="15"/>
      <c r="FA241" s="15"/>
      <c r="FB241" s="15"/>
      <c r="FC241" s="15"/>
      <c r="FD241" s="15"/>
      <c r="FE241" s="15"/>
      <c r="FF241" s="15"/>
      <c r="FG241" s="15"/>
      <c r="FH241" s="15"/>
      <c r="FI241" s="15"/>
      <c r="FJ241" s="15"/>
      <c r="FK241" s="15"/>
      <c r="FL241" s="15"/>
      <c r="FM241" s="15"/>
      <c r="FN241" s="15"/>
      <c r="FO241" s="15"/>
      <c r="FP241" s="15"/>
      <c r="FQ241" s="15"/>
      <c r="FR241" s="15"/>
      <c r="FS241" s="15"/>
      <c r="FT241" s="15"/>
      <c r="FU241" s="15"/>
      <c r="FV241" s="15"/>
      <c r="FW241" s="15"/>
      <c r="FX241" s="15"/>
      <c r="FY241" s="15"/>
      <c r="FZ241" s="15"/>
      <c r="GA241" s="15"/>
      <c r="GB241" s="15"/>
      <c r="GC241" s="15"/>
      <c r="GD241" s="15"/>
      <c r="GE241" s="15"/>
      <c r="GF241" s="15"/>
      <c r="GG241" s="15"/>
      <c r="GH241" s="15"/>
      <c r="GI241" s="15"/>
      <c r="GJ241" s="15"/>
      <c r="GK241" s="15"/>
      <c r="GL241" s="15"/>
      <c r="GM241" s="15"/>
      <c r="GN241" s="15"/>
      <c r="GO241" s="15"/>
      <c r="GP241" s="15"/>
      <c r="GQ241" s="15"/>
      <c r="GR241" s="15"/>
      <c r="GS241" s="15"/>
      <c r="GT241" s="15"/>
      <c r="GU241" s="15"/>
      <c r="GV241" s="15"/>
      <c r="GW241" s="15"/>
      <c r="GX241" s="15"/>
      <c r="GY241" s="15"/>
      <c r="GZ241" s="15"/>
      <c r="HA241" s="15"/>
      <c r="HB241" s="15"/>
      <c r="HC241" s="15"/>
      <c r="HD241" s="15"/>
      <c r="HE241" s="15"/>
      <c r="HF241" s="15"/>
      <c r="HG241" s="15"/>
      <c r="HH241" s="15"/>
      <c r="HI241" s="15"/>
      <c r="HJ241" s="15"/>
      <c r="HK241" s="15"/>
      <c r="HL241" s="15"/>
      <c r="HM241" s="15"/>
      <c r="HN241" s="15"/>
      <c r="HO241" s="15"/>
      <c r="HP241" s="15"/>
      <c r="HQ241" s="15"/>
      <c r="HR241"/>
      <c r="HS241"/>
      <c r="HT241"/>
      <c r="HU241"/>
      <c r="HV241"/>
      <c r="HW241"/>
      <c r="HX241"/>
      <c r="HY241"/>
      <c r="HZ241"/>
      <c r="IA241"/>
      <c r="IB241"/>
      <c r="IC241"/>
      <c r="ID241"/>
      <c r="IE241"/>
      <c r="IF241"/>
      <c r="IG241"/>
      <c r="IH241"/>
      <c r="II241"/>
      <c r="IJ241"/>
      <c r="IK241" s="14"/>
      <c r="IL241" s="14"/>
      <c r="IM241" s="14"/>
      <c r="IN241" s="14"/>
      <c r="IO241" s="14"/>
      <c r="IP241" s="14"/>
      <c r="IQ241" s="14"/>
    </row>
    <row r="242" spans="1:251" s="31" customFormat="1">
      <c r="A242" s="146" t="s">
        <v>595</v>
      </c>
      <c r="B242" s="15"/>
      <c r="C242" s="15"/>
      <c r="D242" s="15"/>
      <c r="E242" s="15"/>
      <c r="F242" s="15"/>
      <c r="G242" s="15"/>
      <c r="H242" s="15"/>
      <c r="I242" s="15"/>
      <c r="J242" s="15"/>
      <c r="K242" s="15"/>
      <c r="L242" s="15"/>
      <c r="M242" s="15"/>
      <c r="N242" s="15"/>
      <c r="O242" s="15"/>
      <c r="P242" s="147">
        <v>775</v>
      </c>
      <c r="Q242" s="147">
        <v>775</v>
      </c>
      <c r="R242" s="147">
        <f t="shared" ref="R242:U243" si="254">Q242</f>
        <v>775</v>
      </c>
      <c r="S242" s="147">
        <f t="shared" si="254"/>
        <v>775</v>
      </c>
      <c r="T242" s="147">
        <f t="shared" si="254"/>
        <v>775</v>
      </c>
      <c r="U242" s="147">
        <f t="shared" si="254"/>
        <v>775</v>
      </c>
      <c r="V242" s="147">
        <f t="shared" ref="V242:X243" si="255">U242</f>
        <v>775</v>
      </c>
      <c r="W242" s="147">
        <f t="shared" si="255"/>
        <v>775</v>
      </c>
      <c r="X242" s="147">
        <f t="shared" si="255"/>
        <v>775</v>
      </c>
      <c r="Y242" s="147">
        <f t="shared" ref="Y242:AB243" si="256">X242</f>
        <v>775</v>
      </c>
      <c r="Z242" s="147">
        <f t="shared" si="256"/>
        <v>775</v>
      </c>
      <c r="AA242" s="147">
        <f t="shared" si="256"/>
        <v>775</v>
      </c>
      <c r="AB242" s="147">
        <f t="shared" si="256"/>
        <v>775</v>
      </c>
      <c r="AC242" s="147">
        <f t="shared" ref="AC242:AG243" si="257">AB242</f>
        <v>775</v>
      </c>
      <c r="AD242" s="147">
        <f t="shared" si="257"/>
        <v>775</v>
      </c>
      <c r="AE242" s="147">
        <f t="shared" si="257"/>
        <v>775</v>
      </c>
      <c r="AF242" s="147">
        <f t="shared" si="257"/>
        <v>775</v>
      </c>
      <c r="AG242" s="147">
        <f t="shared" si="257"/>
        <v>775</v>
      </c>
      <c r="AH242" s="15"/>
      <c r="AI242" s="15"/>
      <c r="AJ242" s="15"/>
      <c r="AK242" s="15"/>
      <c r="AL242" s="15"/>
      <c r="AM242" s="15"/>
      <c r="AN242" s="15"/>
      <c r="AO242" s="15"/>
      <c r="AP242" s="15"/>
      <c r="AQ242" s="15"/>
      <c r="AR242" s="15"/>
      <c r="AS242" s="15"/>
      <c r="AT242" s="15"/>
      <c r="AU242" s="15"/>
      <c r="AV242" s="15"/>
      <c r="AW242" s="15"/>
      <c r="AX242" s="15"/>
      <c r="AY242" s="15"/>
      <c r="AZ242" s="15"/>
      <c r="BA242" s="15"/>
      <c r="BB242" s="15"/>
      <c r="BC242" s="15"/>
      <c r="BD242" s="15"/>
      <c r="BE242" s="15"/>
      <c r="BF242" s="15"/>
      <c r="BG242" s="15"/>
      <c r="BH242" s="15"/>
      <c r="BI242" s="15"/>
      <c r="BJ242" s="15"/>
      <c r="BK242" s="15"/>
      <c r="BL242" s="15"/>
      <c r="BM242" s="15"/>
      <c r="BN242" s="15"/>
      <c r="BO242" s="15"/>
      <c r="BP242" s="15"/>
      <c r="BQ242" s="15"/>
      <c r="BR242" s="15"/>
      <c r="BS242" s="15"/>
      <c r="BT242" s="15"/>
      <c r="BU242" s="15"/>
      <c r="BV242" s="15"/>
      <c r="BW242" s="15"/>
      <c r="BX242" s="15"/>
      <c r="BY242" s="15"/>
      <c r="BZ242" s="15"/>
      <c r="CA242" s="15"/>
      <c r="CB242" s="15"/>
      <c r="CC242" s="15"/>
      <c r="CD242" s="15"/>
      <c r="CE242" s="15"/>
      <c r="CF242" s="15"/>
      <c r="CG242" s="15"/>
      <c r="CH242" s="15"/>
      <c r="CI242" s="15"/>
      <c r="CJ242" s="15"/>
      <c r="CK242" s="15"/>
      <c r="CL242" s="15"/>
      <c r="CM242" s="15"/>
      <c r="CN242" s="15"/>
      <c r="CO242" s="15"/>
      <c r="CP242" s="15"/>
      <c r="CQ242" s="15"/>
      <c r="CR242" s="15"/>
      <c r="CS242" s="15"/>
      <c r="CT242" s="15"/>
      <c r="CU242" s="15"/>
      <c r="CV242" s="15"/>
      <c r="CW242" s="15"/>
      <c r="CX242" s="15"/>
      <c r="CY242" s="15"/>
      <c r="CZ242" s="15"/>
      <c r="DA242" s="15"/>
      <c r="DB242" s="15"/>
      <c r="DC242" s="15"/>
      <c r="DD242" s="15"/>
      <c r="DE242" s="15"/>
      <c r="DF242" s="15"/>
      <c r="DG242" s="15"/>
      <c r="DH242" s="15"/>
      <c r="DI242" s="15"/>
      <c r="DJ242" s="15"/>
      <c r="DK242" s="15"/>
      <c r="DL242" s="15"/>
      <c r="DM242" s="15"/>
      <c r="DN242" s="15"/>
      <c r="DO242" s="15"/>
      <c r="DP242" s="15"/>
      <c r="DQ242" s="15"/>
      <c r="DR242" s="15"/>
      <c r="DS242" s="15"/>
      <c r="DT242" s="15"/>
      <c r="DU242" s="15"/>
      <c r="DV242" s="15"/>
      <c r="DW242" s="15"/>
      <c r="DX242" s="15"/>
      <c r="DY242" s="15"/>
      <c r="DZ242" s="15"/>
      <c r="EA242" s="15"/>
      <c r="EB242" s="15"/>
      <c r="EC242" s="15"/>
      <c r="ED242" s="15"/>
      <c r="EE242" s="15"/>
      <c r="EF242" s="15"/>
      <c r="EG242" s="15"/>
      <c r="EH242" s="15"/>
      <c r="EI242" s="15"/>
      <c r="EJ242" s="15"/>
      <c r="EK242" s="15"/>
      <c r="EL242" s="15"/>
      <c r="EM242" s="15"/>
      <c r="EN242" s="15"/>
      <c r="EO242" s="15"/>
      <c r="EP242" s="15"/>
      <c r="EQ242" s="15"/>
      <c r="ER242" s="15"/>
      <c r="ES242" s="15"/>
      <c r="ET242" s="15"/>
      <c r="EU242" s="15"/>
      <c r="EV242" s="15"/>
      <c r="EW242" s="15"/>
      <c r="EX242" s="15"/>
      <c r="EY242" s="15"/>
      <c r="EZ242" s="15"/>
      <c r="FA242" s="15"/>
      <c r="FB242" s="15"/>
      <c r="FC242" s="15"/>
      <c r="FD242" s="15"/>
      <c r="FE242" s="15"/>
      <c r="FF242" s="15"/>
      <c r="FG242" s="15"/>
      <c r="FH242" s="15"/>
      <c r="FI242" s="15"/>
      <c r="FJ242" s="15"/>
      <c r="FK242" s="15"/>
      <c r="FL242" s="15"/>
      <c r="FM242" s="15"/>
      <c r="FN242" s="15"/>
      <c r="FO242" s="15"/>
      <c r="FP242" s="15"/>
      <c r="FQ242" s="15"/>
      <c r="FR242" s="15"/>
      <c r="FS242" s="15"/>
      <c r="FT242" s="15"/>
      <c r="FU242" s="15"/>
      <c r="FV242" s="15"/>
      <c r="FW242" s="15"/>
      <c r="FX242" s="15"/>
      <c r="FY242" s="15"/>
      <c r="FZ242" s="15"/>
      <c r="GA242" s="15"/>
      <c r="GB242" s="15"/>
      <c r="GC242" s="15"/>
      <c r="GD242" s="15"/>
      <c r="GE242" s="15"/>
      <c r="GF242" s="15"/>
      <c r="GG242" s="15"/>
      <c r="GH242" s="15"/>
      <c r="GI242" s="15"/>
      <c r="GJ242" s="15"/>
      <c r="GK242" s="15"/>
      <c r="GL242" s="15"/>
      <c r="GM242" s="15"/>
      <c r="GN242" s="15"/>
      <c r="GO242" s="15"/>
      <c r="GP242" s="15"/>
      <c r="GQ242" s="15"/>
      <c r="GR242" s="15"/>
      <c r="GS242" s="15"/>
      <c r="GT242" s="15"/>
      <c r="GU242" s="15"/>
      <c r="GV242" s="15"/>
      <c r="GW242" s="15"/>
      <c r="GX242" s="15"/>
      <c r="GY242" s="15"/>
      <c r="GZ242" s="15"/>
      <c r="HA242" s="15"/>
      <c r="HB242" s="15"/>
      <c r="HC242" s="15"/>
      <c r="HD242" s="15"/>
      <c r="HE242" s="15"/>
      <c r="HF242" s="15"/>
      <c r="HG242" s="15"/>
      <c r="HH242" s="15"/>
      <c r="HI242" s="15"/>
      <c r="HJ242" s="15"/>
      <c r="HK242" s="15"/>
      <c r="HL242" s="15"/>
      <c r="HM242" s="15"/>
      <c r="HN242" s="15"/>
      <c r="HO242" s="15"/>
      <c r="HP242" s="15"/>
      <c r="HQ242" s="15"/>
      <c r="HR242"/>
      <c r="HS242"/>
      <c r="HT242"/>
      <c r="HU242"/>
      <c r="HV242"/>
      <c r="HW242"/>
      <c r="HX242"/>
      <c r="HY242"/>
      <c r="HZ242"/>
      <c r="IA242"/>
      <c r="IB242"/>
      <c r="IC242"/>
      <c r="ID242"/>
      <c r="IE242"/>
      <c r="IF242"/>
      <c r="IG242"/>
      <c r="IH242"/>
      <c r="II242"/>
      <c r="IJ242"/>
      <c r="IK242" s="14"/>
      <c r="IL242" s="14"/>
      <c r="IM242" s="14"/>
      <c r="IN242" s="14"/>
      <c r="IO242" s="14"/>
      <c r="IP242" s="14"/>
      <c r="IQ242" s="14"/>
    </row>
    <row r="243" spans="1:251" s="31" customFormat="1">
      <c r="A243" s="146" t="s">
        <v>491</v>
      </c>
      <c r="B243" s="15"/>
      <c r="C243" s="15"/>
      <c r="D243" s="15"/>
      <c r="E243" s="15"/>
      <c r="F243" s="15"/>
      <c r="G243" s="15"/>
      <c r="H243" s="15"/>
      <c r="I243" s="15"/>
      <c r="J243" s="15"/>
      <c r="K243" s="15"/>
      <c r="L243" s="15"/>
      <c r="M243" s="15"/>
      <c r="N243" s="15"/>
      <c r="O243" s="15"/>
      <c r="P243" s="49">
        <v>7.1249999999999994E-2</v>
      </c>
      <c r="Q243" s="49">
        <v>7.1249999999999994E-2</v>
      </c>
      <c r="R243" s="326">
        <v>7.0999999999999994E-2</v>
      </c>
      <c r="S243" s="49">
        <f t="shared" si="254"/>
        <v>7.0999999999999994E-2</v>
      </c>
      <c r="T243" s="49">
        <f t="shared" si="254"/>
        <v>7.0999999999999994E-2</v>
      </c>
      <c r="U243" s="49">
        <f t="shared" si="254"/>
        <v>7.0999999999999994E-2</v>
      </c>
      <c r="V243" s="49">
        <f t="shared" si="255"/>
        <v>7.0999999999999994E-2</v>
      </c>
      <c r="W243" s="49">
        <f t="shared" si="255"/>
        <v>7.0999999999999994E-2</v>
      </c>
      <c r="X243" s="49">
        <f t="shared" si="255"/>
        <v>7.0999999999999994E-2</v>
      </c>
      <c r="Y243" s="49">
        <f t="shared" si="256"/>
        <v>7.0999999999999994E-2</v>
      </c>
      <c r="Z243" s="49">
        <f t="shared" si="256"/>
        <v>7.0999999999999994E-2</v>
      </c>
      <c r="AA243" s="49">
        <f t="shared" si="256"/>
        <v>7.0999999999999994E-2</v>
      </c>
      <c r="AB243" s="49">
        <f t="shared" si="256"/>
        <v>7.0999999999999994E-2</v>
      </c>
      <c r="AC243" s="49">
        <f t="shared" si="257"/>
        <v>7.0999999999999994E-2</v>
      </c>
      <c r="AD243" s="49">
        <f t="shared" si="257"/>
        <v>7.0999999999999994E-2</v>
      </c>
      <c r="AE243" s="49">
        <f t="shared" si="257"/>
        <v>7.0999999999999994E-2</v>
      </c>
      <c r="AF243" s="49">
        <f t="shared" si="257"/>
        <v>7.0999999999999994E-2</v>
      </c>
      <c r="AG243" s="49">
        <f t="shared" si="257"/>
        <v>7.0999999999999994E-2</v>
      </c>
      <c r="AH243" s="15"/>
      <c r="AI243" s="15"/>
      <c r="AJ243" s="15"/>
      <c r="AK243" s="15"/>
      <c r="AL243" s="15"/>
      <c r="AM243" s="15"/>
      <c r="AN243" s="15"/>
      <c r="AO243" s="15"/>
      <c r="AP243" s="15"/>
      <c r="AQ243" s="15"/>
      <c r="AR243" s="15"/>
      <c r="AS243" s="15"/>
      <c r="AT243" s="15"/>
      <c r="AU243" s="15"/>
      <c r="AV243" s="15"/>
      <c r="AW243" s="15"/>
      <c r="AX243" s="15"/>
      <c r="AY243" s="15"/>
      <c r="AZ243" s="15"/>
      <c r="BA243" s="15"/>
      <c r="BB243" s="15"/>
      <c r="BC243" s="15"/>
      <c r="BD243" s="15"/>
      <c r="BE243" s="15"/>
      <c r="BF243" s="15"/>
      <c r="BG243" s="15"/>
      <c r="BH243" s="15"/>
      <c r="BI243" s="15"/>
      <c r="BJ243" s="15"/>
      <c r="BK243" s="15"/>
      <c r="BL243" s="15"/>
      <c r="BM243" s="15"/>
      <c r="BN243" s="15"/>
      <c r="BO243" s="15"/>
      <c r="BP243" s="15"/>
      <c r="BQ243" s="15"/>
      <c r="BR243" s="15"/>
      <c r="BS243" s="15"/>
      <c r="BT243" s="15"/>
      <c r="BU243" s="15"/>
      <c r="BV243" s="15"/>
      <c r="BW243" s="15"/>
      <c r="BX243" s="15"/>
      <c r="BY243" s="15"/>
      <c r="BZ243" s="15"/>
      <c r="CA243" s="15"/>
      <c r="CB243" s="15"/>
      <c r="CC243" s="15"/>
      <c r="CD243" s="15"/>
      <c r="CE243" s="15"/>
      <c r="CF243" s="15"/>
      <c r="CG243" s="15"/>
      <c r="CH243" s="15"/>
      <c r="CI243" s="15"/>
      <c r="CJ243" s="15"/>
      <c r="CK243" s="15"/>
      <c r="CL243" s="15"/>
      <c r="CM243" s="15"/>
      <c r="CN243" s="15"/>
      <c r="CO243" s="15"/>
      <c r="CP243" s="15"/>
      <c r="CQ243" s="15"/>
      <c r="CR243" s="15"/>
      <c r="CS243" s="15"/>
      <c r="CT243" s="15"/>
      <c r="CU243" s="15"/>
      <c r="CV243" s="15"/>
      <c r="CW243" s="15"/>
      <c r="CX243" s="15"/>
      <c r="CY243" s="15"/>
      <c r="CZ243" s="15"/>
      <c r="DA243" s="15"/>
      <c r="DB243" s="15"/>
      <c r="DC243" s="15"/>
      <c r="DD243" s="15"/>
      <c r="DE243" s="15"/>
      <c r="DF243" s="15"/>
      <c r="DG243" s="15"/>
      <c r="DH243" s="15"/>
      <c r="DI243" s="15"/>
      <c r="DJ243" s="15"/>
      <c r="DK243" s="15"/>
      <c r="DL243" s="15"/>
      <c r="DM243" s="15"/>
      <c r="DN243" s="15"/>
      <c r="DO243" s="15"/>
      <c r="DP243" s="15"/>
      <c r="DQ243" s="15"/>
      <c r="DR243" s="15"/>
      <c r="DS243" s="15"/>
      <c r="DT243" s="15"/>
      <c r="DU243" s="15"/>
      <c r="DV243" s="15"/>
      <c r="DW243" s="15"/>
      <c r="DX243" s="15"/>
      <c r="DY243" s="15"/>
      <c r="DZ243" s="15"/>
      <c r="EA243" s="15"/>
      <c r="EB243" s="15"/>
      <c r="EC243" s="15"/>
      <c r="ED243" s="15"/>
      <c r="EE243" s="15"/>
      <c r="EF243" s="15"/>
      <c r="EG243" s="15"/>
      <c r="EH243" s="15"/>
      <c r="EI243" s="15"/>
      <c r="EJ243" s="15"/>
      <c r="EK243" s="15"/>
      <c r="EL243" s="15"/>
      <c r="EM243" s="15"/>
      <c r="EN243" s="15"/>
      <c r="EO243" s="15"/>
      <c r="EP243" s="15"/>
      <c r="EQ243" s="15"/>
      <c r="ER243" s="15"/>
      <c r="ES243" s="15"/>
      <c r="ET243" s="15"/>
      <c r="EU243" s="15"/>
      <c r="EV243" s="15"/>
      <c r="EW243" s="15"/>
      <c r="EX243" s="15"/>
      <c r="EY243" s="15"/>
      <c r="EZ243" s="15"/>
      <c r="FA243" s="15"/>
      <c r="FB243" s="15"/>
      <c r="FC243" s="15"/>
      <c r="FD243" s="15"/>
      <c r="FE243" s="15"/>
      <c r="FF243" s="15"/>
      <c r="FG243" s="15"/>
      <c r="FH243" s="15"/>
      <c r="FI243" s="15"/>
      <c r="FJ243" s="15"/>
      <c r="FK243" s="15"/>
      <c r="FL243" s="15"/>
      <c r="FM243" s="15"/>
      <c r="FN243" s="15"/>
      <c r="FO243" s="15"/>
      <c r="FP243" s="15"/>
      <c r="FQ243" s="15"/>
      <c r="FR243" s="15"/>
      <c r="FS243" s="15"/>
      <c r="FT243" s="15"/>
      <c r="FU243" s="15"/>
      <c r="FV243" s="15"/>
      <c r="FW243" s="15"/>
      <c r="FX243" s="15"/>
      <c r="FY243" s="15"/>
      <c r="FZ243" s="15"/>
      <c r="GA243" s="15"/>
      <c r="GB243" s="15"/>
      <c r="GC243" s="15"/>
      <c r="GD243" s="15"/>
      <c r="GE243" s="15"/>
      <c r="GF243" s="15"/>
      <c r="GG243" s="15"/>
      <c r="GH243" s="15"/>
      <c r="GI243" s="15"/>
      <c r="GJ243" s="15"/>
      <c r="GK243" s="15"/>
      <c r="GL243" s="15"/>
      <c r="GM243" s="15"/>
      <c r="GN243" s="15"/>
      <c r="GO243" s="15"/>
      <c r="GP243" s="15"/>
      <c r="GQ243" s="15"/>
      <c r="GR243" s="15"/>
      <c r="GS243" s="15"/>
      <c r="GT243" s="15"/>
      <c r="GU243" s="15"/>
      <c r="GV243" s="15"/>
      <c r="GW243" s="15"/>
      <c r="GX243" s="15"/>
      <c r="GY243" s="15"/>
      <c r="GZ243" s="15"/>
      <c r="HA243" s="15"/>
      <c r="HB243" s="15"/>
      <c r="HC243" s="15"/>
      <c r="HD243" s="15"/>
      <c r="HE243" s="15"/>
      <c r="HF243" s="15"/>
      <c r="HG243" s="15"/>
      <c r="HH243" s="15"/>
      <c r="HI243" s="15"/>
      <c r="HJ243" s="15"/>
      <c r="HK243" s="15"/>
      <c r="HL243" s="15"/>
      <c r="HM243" s="15"/>
      <c r="HN243" s="15"/>
      <c r="HO243" s="15"/>
      <c r="HP243" s="15"/>
      <c r="HQ243" s="15"/>
      <c r="HR243"/>
      <c r="HS243"/>
      <c r="HT243"/>
      <c r="HU243"/>
      <c r="HV243"/>
      <c r="HW243"/>
      <c r="HX243"/>
      <c r="HY243"/>
      <c r="HZ243"/>
      <c r="IA243"/>
      <c r="IB243"/>
      <c r="IC243"/>
      <c r="ID243"/>
      <c r="IE243"/>
      <c r="IF243"/>
      <c r="IG243"/>
      <c r="IH243"/>
      <c r="II243"/>
      <c r="IJ243"/>
      <c r="IK243" s="14"/>
      <c r="IL243" s="14"/>
      <c r="IM243" s="14"/>
      <c r="IN243" s="14"/>
      <c r="IO243" s="14"/>
      <c r="IP243" s="14"/>
      <c r="IQ243" s="14"/>
    </row>
    <row r="244" spans="1:251" s="31" customFormat="1">
      <c r="A244" s="146" t="s">
        <v>368</v>
      </c>
      <c r="B244" s="15"/>
      <c r="C244" s="15"/>
      <c r="D244" s="15"/>
      <c r="E244" s="15"/>
      <c r="F244" s="15"/>
      <c r="G244" s="15"/>
      <c r="H244" s="15"/>
      <c r="I244" s="15"/>
      <c r="J244" s="15"/>
      <c r="K244" s="15"/>
      <c r="L244" s="15"/>
      <c r="M244" s="15"/>
      <c r="N244" s="15"/>
      <c r="O244" s="15"/>
      <c r="P244" s="32">
        <v>0</v>
      </c>
      <c r="Q244" s="32">
        <v>12</v>
      </c>
      <c r="R244" s="32">
        <v>5</v>
      </c>
      <c r="S244" s="32">
        <v>0</v>
      </c>
      <c r="T244" s="32">
        <v>0</v>
      </c>
      <c r="U244" s="32">
        <v>0</v>
      </c>
      <c r="V244" s="32">
        <v>0</v>
      </c>
      <c r="W244" s="32">
        <v>0</v>
      </c>
      <c r="X244" s="32">
        <v>0</v>
      </c>
      <c r="Y244" s="32">
        <v>0</v>
      </c>
      <c r="Z244" s="32">
        <v>0</v>
      </c>
      <c r="AA244" s="32">
        <v>0</v>
      </c>
      <c r="AB244" s="32">
        <v>0</v>
      </c>
      <c r="AC244" s="32">
        <v>0</v>
      </c>
      <c r="AD244" s="32">
        <v>0</v>
      </c>
      <c r="AE244" s="32">
        <v>0</v>
      </c>
      <c r="AF244" s="32">
        <v>0</v>
      </c>
      <c r="AG244" s="32">
        <v>0</v>
      </c>
      <c r="AH244" s="15"/>
      <c r="AI244" s="15"/>
      <c r="AJ244" s="15"/>
      <c r="AK244" s="15"/>
      <c r="AL244" s="15"/>
      <c r="AM244" s="15"/>
      <c r="AN244" s="15"/>
      <c r="AO244" s="15"/>
      <c r="AP244" s="15"/>
      <c r="AQ244" s="15"/>
      <c r="AR244" s="15"/>
      <c r="AS244" s="15"/>
      <c r="AT244" s="15"/>
      <c r="AU244" s="15"/>
      <c r="AV244" s="15"/>
      <c r="AW244" s="15"/>
      <c r="AX244" s="15"/>
      <c r="AY244" s="15"/>
      <c r="AZ244" s="15"/>
      <c r="BA244" s="15"/>
      <c r="BB244" s="15"/>
      <c r="BC244" s="15"/>
      <c r="BD244" s="15"/>
      <c r="BE244" s="15"/>
      <c r="BF244" s="15"/>
      <c r="BG244" s="15"/>
      <c r="BH244" s="15"/>
      <c r="BI244" s="15"/>
      <c r="BJ244" s="15"/>
      <c r="BK244" s="15"/>
      <c r="BL244" s="15"/>
      <c r="BM244" s="15"/>
      <c r="BN244" s="15"/>
      <c r="BO244" s="15"/>
      <c r="BP244" s="15"/>
      <c r="BQ244" s="15"/>
      <c r="BR244" s="15"/>
      <c r="BS244" s="15"/>
      <c r="BT244" s="15"/>
      <c r="BU244" s="15"/>
      <c r="BV244" s="15"/>
      <c r="BW244" s="15"/>
      <c r="BX244" s="15"/>
      <c r="BY244" s="15"/>
      <c r="BZ244" s="15"/>
      <c r="CA244" s="15"/>
      <c r="CB244" s="15"/>
      <c r="CC244" s="15"/>
      <c r="CD244" s="15"/>
      <c r="CE244" s="15"/>
      <c r="CF244" s="15"/>
      <c r="CG244" s="15"/>
      <c r="CH244" s="15"/>
      <c r="CI244" s="15"/>
      <c r="CJ244" s="15"/>
      <c r="CK244" s="15"/>
      <c r="CL244" s="15"/>
      <c r="CM244" s="15"/>
      <c r="CN244" s="15"/>
      <c r="CO244" s="15"/>
      <c r="CP244" s="15"/>
      <c r="CQ244" s="15"/>
      <c r="CR244" s="15"/>
      <c r="CS244" s="15"/>
      <c r="CT244" s="15"/>
      <c r="CU244" s="15"/>
      <c r="CV244" s="15"/>
      <c r="CW244" s="15"/>
      <c r="CX244" s="15"/>
      <c r="CY244" s="15"/>
      <c r="CZ244" s="15"/>
      <c r="DA244" s="15"/>
      <c r="DB244" s="15"/>
      <c r="DC244" s="15"/>
      <c r="DD244" s="15"/>
      <c r="DE244" s="15"/>
      <c r="DF244" s="15"/>
      <c r="DG244" s="15"/>
      <c r="DH244" s="15"/>
      <c r="DI244" s="15"/>
      <c r="DJ244" s="15"/>
      <c r="DK244" s="15"/>
      <c r="DL244" s="15"/>
      <c r="DM244" s="15"/>
      <c r="DN244" s="15"/>
      <c r="DO244" s="15"/>
      <c r="DP244" s="15"/>
      <c r="DQ244" s="15"/>
      <c r="DR244" s="15"/>
      <c r="DS244" s="15"/>
      <c r="DT244" s="15"/>
      <c r="DU244" s="15"/>
      <c r="DV244" s="15"/>
      <c r="DW244" s="15"/>
      <c r="DX244" s="15"/>
      <c r="DY244" s="15"/>
      <c r="DZ244" s="15"/>
      <c r="EA244" s="15"/>
      <c r="EB244" s="15"/>
      <c r="EC244" s="15"/>
      <c r="ED244" s="15"/>
      <c r="EE244" s="15"/>
      <c r="EF244" s="15"/>
      <c r="EG244" s="15"/>
      <c r="EH244" s="15"/>
      <c r="EI244" s="15"/>
      <c r="EJ244" s="15"/>
      <c r="EK244" s="15"/>
      <c r="EL244" s="15"/>
      <c r="EM244" s="15"/>
      <c r="EN244" s="15"/>
      <c r="EO244" s="15"/>
      <c r="EP244" s="15"/>
      <c r="EQ244" s="15"/>
      <c r="ER244" s="15"/>
      <c r="ES244" s="15"/>
      <c r="ET244" s="15"/>
      <c r="EU244" s="15"/>
      <c r="EV244" s="15"/>
      <c r="EW244" s="15"/>
      <c r="EX244" s="15"/>
      <c r="EY244" s="15"/>
      <c r="EZ244" s="15"/>
      <c r="FA244" s="15"/>
      <c r="FB244" s="15"/>
      <c r="FC244" s="15"/>
      <c r="FD244" s="15"/>
      <c r="FE244" s="15"/>
      <c r="FF244" s="15"/>
      <c r="FG244" s="15"/>
      <c r="FH244" s="15"/>
      <c r="FI244" s="15"/>
      <c r="FJ244" s="15"/>
      <c r="FK244" s="15"/>
      <c r="FL244" s="15"/>
      <c r="FM244" s="15"/>
      <c r="FN244" s="15"/>
      <c r="FO244" s="15"/>
      <c r="FP244" s="15"/>
      <c r="FQ244" s="15"/>
      <c r="FR244" s="15"/>
      <c r="FS244" s="15"/>
      <c r="FT244" s="15"/>
      <c r="FU244" s="15"/>
      <c r="FV244" s="15"/>
      <c r="FW244" s="15"/>
      <c r="FX244" s="15"/>
      <c r="FY244" s="15"/>
      <c r="FZ244" s="15"/>
      <c r="GA244" s="15"/>
      <c r="GB244" s="15"/>
      <c r="GC244" s="15"/>
      <c r="GD244" s="15"/>
      <c r="GE244" s="15"/>
      <c r="GF244" s="15"/>
      <c r="GG244" s="15"/>
      <c r="GH244" s="15"/>
      <c r="GI244" s="15"/>
      <c r="GJ244" s="15"/>
      <c r="GK244" s="15"/>
      <c r="GL244" s="15"/>
      <c r="GM244" s="15"/>
      <c r="GN244" s="15"/>
      <c r="GO244" s="15"/>
      <c r="GP244" s="15"/>
      <c r="GQ244" s="15"/>
      <c r="GR244" s="15"/>
      <c r="GS244" s="15"/>
      <c r="GT244" s="15"/>
      <c r="GU244" s="15"/>
      <c r="GV244" s="15"/>
      <c r="GW244" s="15"/>
      <c r="GX244" s="15"/>
      <c r="GY244" s="15"/>
      <c r="GZ244" s="15"/>
      <c r="HA244" s="15"/>
      <c r="HB244" s="15"/>
      <c r="HC244" s="15"/>
      <c r="HD244" s="15"/>
      <c r="HE244" s="15"/>
      <c r="HF244" s="15"/>
      <c r="HG244" s="15"/>
      <c r="HH244" s="15"/>
      <c r="HI244" s="15"/>
      <c r="HJ244" s="15"/>
      <c r="HK244" s="15"/>
      <c r="HL244" s="15"/>
      <c r="HM244" s="15"/>
      <c r="HN244" s="15"/>
      <c r="HO244" s="15"/>
      <c r="HP244" s="15"/>
      <c r="HQ244" s="15"/>
      <c r="HR244"/>
      <c r="HS244"/>
      <c r="HT244"/>
      <c r="HU244"/>
      <c r="HV244"/>
      <c r="HW244"/>
      <c r="HX244"/>
      <c r="HY244"/>
      <c r="HZ244"/>
      <c r="IA244"/>
      <c r="IB244"/>
      <c r="IC244"/>
      <c r="ID244"/>
      <c r="IE244"/>
      <c r="IF244"/>
      <c r="IG244"/>
      <c r="IH244"/>
      <c r="II244"/>
      <c r="IJ244"/>
      <c r="IK244" s="14"/>
      <c r="IL244" s="14"/>
      <c r="IM244" s="14"/>
      <c r="IN244" s="14"/>
      <c r="IO244" s="14"/>
      <c r="IP244" s="14"/>
      <c r="IQ244" s="14"/>
    </row>
    <row r="245" spans="1:251" s="31" customFormat="1" ht="6" customHeight="1">
      <c r="A245" s="146"/>
      <c r="B245" s="15"/>
      <c r="C245" s="15"/>
      <c r="D245" s="15"/>
      <c r="E245" s="15"/>
      <c r="F245" s="15"/>
      <c r="G245" s="15"/>
      <c r="H245" s="15"/>
      <c r="I245" s="15"/>
      <c r="J245" s="15"/>
      <c r="K245" s="15"/>
      <c r="L245" s="15"/>
      <c r="M245" s="15"/>
      <c r="N245" s="15"/>
      <c r="O245" s="15"/>
      <c r="P245" s="43"/>
      <c r="Q245" s="43"/>
      <c r="R245" s="43"/>
      <c r="S245" s="43"/>
      <c r="T245" s="43"/>
      <c r="U245" s="43"/>
      <c r="V245" s="43"/>
      <c r="W245" s="43"/>
      <c r="X245" s="43"/>
      <c r="Y245" s="43"/>
      <c r="Z245" s="43"/>
      <c r="AA245" s="43"/>
      <c r="AB245" s="43"/>
      <c r="AC245" s="43"/>
      <c r="AD245" s="43"/>
      <c r="AE245" s="43"/>
      <c r="AF245" s="43"/>
      <c r="AG245" s="43"/>
      <c r="AH245" s="15"/>
      <c r="AI245" s="15"/>
      <c r="AJ245" s="15"/>
      <c r="AK245" s="15"/>
      <c r="AL245" s="15"/>
      <c r="AM245" s="15"/>
      <c r="AN245" s="15"/>
      <c r="AO245" s="15"/>
      <c r="AP245" s="15"/>
      <c r="AQ245" s="15"/>
      <c r="AR245" s="15"/>
      <c r="AS245" s="15"/>
      <c r="AT245" s="15"/>
      <c r="AU245" s="15"/>
      <c r="AV245" s="15"/>
      <c r="AW245" s="15"/>
      <c r="AX245" s="15"/>
      <c r="AY245" s="15"/>
      <c r="AZ245" s="15"/>
      <c r="BA245" s="15"/>
      <c r="BB245" s="15"/>
      <c r="BC245" s="15"/>
      <c r="BD245" s="15"/>
      <c r="BE245" s="15"/>
      <c r="BF245" s="15"/>
      <c r="BG245" s="15"/>
      <c r="BH245" s="15"/>
      <c r="BI245" s="15"/>
      <c r="BJ245" s="15"/>
      <c r="BK245" s="15"/>
      <c r="BL245" s="15"/>
      <c r="BM245" s="15"/>
      <c r="BN245" s="15"/>
      <c r="BO245" s="15"/>
      <c r="BP245" s="15"/>
      <c r="BQ245" s="15"/>
      <c r="BR245" s="15"/>
      <c r="BS245" s="15"/>
      <c r="BT245" s="15"/>
      <c r="BU245" s="15"/>
      <c r="BV245" s="15"/>
      <c r="BW245" s="15"/>
      <c r="BX245" s="15"/>
      <c r="BY245" s="15"/>
      <c r="BZ245" s="15"/>
      <c r="CA245" s="15"/>
      <c r="CB245" s="15"/>
      <c r="CC245" s="15"/>
      <c r="CD245" s="15"/>
      <c r="CE245" s="15"/>
      <c r="CF245" s="15"/>
      <c r="CG245" s="15"/>
      <c r="CH245" s="15"/>
      <c r="CI245" s="15"/>
      <c r="CJ245" s="15"/>
      <c r="CK245" s="15"/>
      <c r="CL245" s="15"/>
      <c r="CM245" s="15"/>
      <c r="CN245" s="15"/>
      <c r="CO245" s="15"/>
      <c r="CP245" s="15"/>
      <c r="CQ245" s="15"/>
      <c r="CR245" s="15"/>
      <c r="CS245" s="15"/>
      <c r="CT245" s="15"/>
      <c r="CU245" s="15"/>
      <c r="CV245" s="15"/>
      <c r="CW245" s="15"/>
      <c r="CX245" s="15"/>
      <c r="CY245" s="15"/>
      <c r="CZ245" s="15"/>
      <c r="DA245" s="15"/>
      <c r="DB245" s="15"/>
      <c r="DC245" s="15"/>
      <c r="DD245" s="15"/>
      <c r="DE245" s="15"/>
      <c r="DF245" s="15"/>
      <c r="DG245" s="15"/>
      <c r="DH245" s="15"/>
      <c r="DI245" s="15"/>
      <c r="DJ245" s="15"/>
      <c r="DK245" s="15"/>
      <c r="DL245" s="15"/>
      <c r="DM245" s="15"/>
      <c r="DN245" s="15"/>
      <c r="DO245" s="15"/>
      <c r="DP245" s="15"/>
      <c r="DQ245" s="15"/>
      <c r="DR245" s="15"/>
      <c r="DS245" s="15"/>
      <c r="DT245" s="15"/>
      <c r="DU245" s="15"/>
      <c r="DV245" s="15"/>
      <c r="DW245" s="15"/>
      <c r="DX245" s="15"/>
      <c r="DY245" s="15"/>
      <c r="DZ245" s="15"/>
      <c r="EA245" s="15"/>
      <c r="EB245" s="15"/>
      <c r="EC245" s="15"/>
      <c r="ED245" s="15"/>
      <c r="EE245" s="15"/>
      <c r="EF245" s="15"/>
      <c r="EG245" s="15"/>
      <c r="EH245" s="15"/>
      <c r="EI245" s="15"/>
      <c r="EJ245" s="15"/>
      <c r="EK245" s="15"/>
      <c r="EL245" s="15"/>
      <c r="EM245" s="15"/>
      <c r="EN245" s="15"/>
      <c r="EO245" s="15"/>
      <c r="EP245" s="15"/>
      <c r="EQ245" s="15"/>
      <c r="ER245" s="15"/>
      <c r="ES245" s="15"/>
      <c r="ET245" s="15"/>
      <c r="EU245" s="15"/>
      <c r="EV245" s="15"/>
      <c r="EW245" s="15"/>
      <c r="EX245" s="15"/>
      <c r="EY245" s="15"/>
      <c r="EZ245" s="15"/>
      <c r="FA245" s="15"/>
      <c r="FB245" s="15"/>
      <c r="FC245" s="15"/>
      <c r="FD245" s="15"/>
      <c r="FE245" s="15"/>
      <c r="FF245" s="15"/>
      <c r="FG245" s="15"/>
      <c r="FH245" s="15"/>
      <c r="FI245" s="15"/>
      <c r="FJ245" s="15"/>
      <c r="FK245" s="15"/>
      <c r="FL245" s="15"/>
      <c r="FM245" s="15"/>
      <c r="FN245" s="15"/>
      <c r="FO245" s="15"/>
      <c r="FP245" s="15"/>
      <c r="FQ245" s="15"/>
      <c r="FR245" s="15"/>
      <c r="FS245" s="15"/>
      <c r="FT245" s="15"/>
      <c r="FU245" s="15"/>
      <c r="FV245" s="15"/>
      <c r="FW245" s="15"/>
      <c r="FX245" s="15"/>
      <c r="FY245" s="15"/>
      <c r="FZ245" s="15"/>
      <c r="GA245" s="15"/>
      <c r="GB245" s="15"/>
      <c r="GC245" s="15"/>
      <c r="GD245" s="15"/>
      <c r="GE245" s="15"/>
      <c r="GF245" s="15"/>
      <c r="GG245" s="15"/>
      <c r="GH245" s="15"/>
      <c r="GI245" s="15"/>
      <c r="GJ245" s="15"/>
      <c r="GK245" s="15"/>
      <c r="GL245" s="15"/>
      <c r="GM245" s="15"/>
      <c r="GN245" s="15"/>
      <c r="GO245" s="15"/>
      <c r="GP245" s="15"/>
      <c r="GQ245" s="15"/>
      <c r="GR245" s="15"/>
      <c r="GS245" s="15"/>
      <c r="GT245" s="15"/>
      <c r="GU245" s="15"/>
      <c r="GV245" s="15"/>
      <c r="GW245" s="15"/>
      <c r="GX245" s="15"/>
      <c r="GY245" s="15"/>
      <c r="GZ245" s="15"/>
      <c r="HA245" s="15"/>
      <c r="HB245" s="15"/>
      <c r="HC245" s="15"/>
      <c r="HD245" s="15"/>
      <c r="HE245" s="15"/>
      <c r="HF245" s="15"/>
      <c r="HG245" s="15"/>
      <c r="HH245" s="15"/>
      <c r="HI245" s="15"/>
      <c r="HJ245" s="15"/>
      <c r="HK245" s="15"/>
      <c r="HL245" s="15"/>
      <c r="HM245" s="15"/>
      <c r="HN245" s="15"/>
      <c r="HO245" s="15"/>
      <c r="HP245" s="15"/>
      <c r="HQ245" s="15"/>
      <c r="HR245"/>
      <c r="HS245"/>
      <c r="HT245"/>
      <c r="HU245"/>
      <c r="HV245"/>
      <c r="HW245"/>
      <c r="HX245"/>
      <c r="HY245"/>
      <c r="HZ245"/>
      <c r="IA245"/>
      <c r="IB245"/>
      <c r="IC245"/>
      <c r="ID245"/>
      <c r="IE245"/>
      <c r="IF245"/>
      <c r="IG245"/>
      <c r="IH245"/>
      <c r="II245"/>
      <c r="IJ245"/>
      <c r="IK245" s="14"/>
      <c r="IL245" s="14"/>
      <c r="IM245" s="14"/>
      <c r="IN245" s="14"/>
      <c r="IO245" s="14"/>
      <c r="IP245" s="14"/>
      <c r="IQ245" s="14"/>
    </row>
    <row r="246" spans="1:251" s="31" customFormat="1">
      <c r="A246" s="146" t="s">
        <v>417</v>
      </c>
      <c r="B246" s="15"/>
      <c r="C246" s="15"/>
      <c r="D246" s="15"/>
      <c r="E246" s="15"/>
      <c r="F246" s="15"/>
      <c r="G246" s="15"/>
      <c r="H246" s="15"/>
      <c r="I246" s="15"/>
      <c r="J246" s="15"/>
      <c r="K246" s="15"/>
      <c r="L246" s="15"/>
      <c r="M246" s="15"/>
      <c r="N246" s="15"/>
      <c r="O246" s="15"/>
      <c r="P246" s="147">
        <v>0</v>
      </c>
      <c r="Q246" s="147">
        <v>0</v>
      </c>
      <c r="R246" s="147">
        <v>1000</v>
      </c>
      <c r="S246" s="147">
        <f>R246+CFS!R37</f>
        <v>1000</v>
      </c>
      <c r="T246" s="147">
        <f t="shared" ref="S246:V247" si="258">S246</f>
        <v>1000</v>
      </c>
      <c r="U246" s="147">
        <f t="shared" si="258"/>
        <v>1000</v>
      </c>
      <c r="V246" s="147">
        <f t="shared" si="258"/>
        <v>1000</v>
      </c>
      <c r="W246" s="147">
        <f t="shared" ref="W246:Y247" si="259">V246</f>
        <v>1000</v>
      </c>
      <c r="X246" s="147">
        <f t="shared" si="259"/>
        <v>1000</v>
      </c>
      <c r="Y246" s="147">
        <f t="shared" si="259"/>
        <v>1000</v>
      </c>
      <c r="Z246" s="147">
        <f t="shared" ref="Z246:AB247" si="260">Y246</f>
        <v>1000</v>
      </c>
      <c r="AA246" s="147">
        <f t="shared" si="260"/>
        <v>1000</v>
      </c>
      <c r="AB246" s="147">
        <f t="shared" si="260"/>
        <v>1000</v>
      </c>
      <c r="AC246" s="147">
        <f t="shared" ref="AC246:AG247" si="261">AB246</f>
        <v>1000</v>
      </c>
      <c r="AD246" s="147">
        <f t="shared" si="261"/>
        <v>1000</v>
      </c>
      <c r="AE246" s="147">
        <f t="shared" si="261"/>
        <v>1000</v>
      </c>
      <c r="AF246" s="147">
        <f t="shared" si="261"/>
        <v>1000</v>
      </c>
      <c r="AG246" s="147">
        <f t="shared" si="261"/>
        <v>1000</v>
      </c>
      <c r="AH246" s="15"/>
      <c r="AI246" s="15"/>
      <c r="AJ246" s="15"/>
      <c r="AK246" s="15"/>
      <c r="AL246" s="15"/>
      <c r="AM246" s="15"/>
      <c r="AN246" s="15"/>
      <c r="AO246" s="15"/>
      <c r="AP246" s="15"/>
      <c r="AQ246" s="15"/>
      <c r="AR246" s="15"/>
      <c r="AS246" s="15"/>
      <c r="AT246" s="15"/>
      <c r="AU246" s="15"/>
      <c r="AV246" s="15"/>
      <c r="AW246" s="15"/>
      <c r="AX246" s="15"/>
      <c r="AY246" s="15"/>
      <c r="AZ246" s="15"/>
      <c r="BA246" s="15"/>
      <c r="BB246" s="15"/>
      <c r="BC246" s="15"/>
      <c r="BD246" s="15"/>
      <c r="BE246" s="15"/>
      <c r="BF246" s="15"/>
      <c r="BG246" s="15"/>
      <c r="BH246" s="15"/>
      <c r="BI246" s="15"/>
      <c r="BJ246" s="15"/>
      <c r="BK246" s="15"/>
      <c r="BL246" s="15"/>
      <c r="BM246" s="15"/>
      <c r="BN246" s="15"/>
      <c r="BO246" s="15"/>
      <c r="BP246" s="15"/>
      <c r="BQ246" s="15"/>
      <c r="BR246" s="15"/>
      <c r="BS246" s="15"/>
      <c r="BT246" s="15"/>
      <c r="BU246" s="15"/>
      <c r="BV246" s="15"/>
      <c r="BW246" s="15"/>
      <c r="BX246" s="15"/>
      <c r="BY246" s="15"/>
      <c r="BZ246" s="15"/>
      <c r="CA246" s="15"/>
      <c r="CB246" s="15"/>
      <c r="CC246" s="15"/>
      <c r="CD246" s="15"/>
      <c r="CE246" s="15"/>
      <c r="CF246" s="15"/>
      <c r="CG246" s="15"/>
      <c r="CH246" s="15"/>
      <c r="CI246" s="15"/>
      <c r="CJ246" s="15"/>
      <c r="CK246" s="15"/>
      <c r="CL246" s="15"/>
      <c r="CM246" s="15"/>
      <c r="CN246" s="15"/>
      <c r="CO246" s="15"/>
      <c r="CP246" s="15"/>
      <c r="CQ246" s="15"/>
      <c r="CR246" s="15"/>
      <c r="CS246" s="15"/>
      <c r="CT246" s="15"/>
      <c r="CU246" s="15"/>
      <c r="CV246" s="15"/>
      <c r="CW246" s="15"/>
      <c r="CX246" s="15"/>
      <c r="CY246" s="15"/>
      <c r="CZ246" s="15"/>
      <c r="DA246" s="15"/>
      <c r="DB246" s="15"/>
      <c r="DC246" s="15"/>
      <c r="DD246" s="15"/>
      <c r="DE246" s="15"/>
      <c r="DF246" s="15"/>
      <c r="DG246" s="15"/>
      <c r="DH246" s="15"/>
      <c r="DI246" s="15"/>
      <c r="DJ246" s="15"/>
      <c r="DK246" s="15"/>
      <c r="DL246" s="15"/>
      <c r="DM246" s="15"/>
      <c r="DN246" s="15"/>
      <c r="DO246" s="15"/>
      <c r="DP246" s="15"/>
      <c r="DQ246" s="15"/>
      <c r="DR246" s="15"/>
      <c r="DS246" s="15"/>
      <c r="DT246" s="15"/>
      <c r="DU246" s="15"/>
      <c r="DV246" s="15"/>
      <c r="DW246" s="15"/>
      <c r="DX246" s="15"/>
      <c r="DY246" s="15"/>
      <c r="DZ246" s="15"/>
      <c r="EA246" s="15"/>
      <c r="EB246" s="15"/>
      <c r="EC246" s="15"/>
      <c r="ED246" s="15"/>
      <c r="EE246" s="15"/>
      <c r="EF246" s="15"/>
      <c r="EG246" s="15"/>
      <c r="EH246" s="15"/>
      <c r="EI246" s="15"/>
      <c r="EJ246" s="15"/>
      <c r="EK246" s="15"/>
      <c r="EL246" s="15"/>
      <c r="EM246" s="15"/>
      <c r="EN246" s="15"/>
      <c r="EO246" s="15"/>
      <c r="EP246" s="15"/>
      <c r="EQ246" s="15"/>
      <c r="ER246" s="15"/>
      <c r="ES246" s="15"/>
      <c r="ET246" s="15"/>
      <c r="EU246" s="15"/>
      <c r="EV246" s="15"/>
      <c r="EW246" s="15"/>
      <c r="EX246" s="15"/>
      <c r="EY246" s="15"/>
      <c r="EZ246" s="15"/>
      <c r="FA246" s="15"/>
      <c r="FB246" s="15"/>
      <c r="FC246" s="15"/>
      <c r="FD246" s="15"/>
      <c r="FE246" s="15"/>
      <c r="FF246" s="15"/>
      <c r="FG246" s="15"/>
      <c r="FH246" s="15"/>
      <c r="FI246" s="15"/>
      <c r="FJ246" s="15"/>
      <c r="FK246" s="15"/>
      <c r="FL246" s="15"/>
      <c r="FM246" s="15"/>
      <c r="FN246" s="15"/>
      <c r="FO246" s="15"/>
      <c r="FP246" s="15"/>
      <c r="FQ246" s="15"/>
      <c r="FR246" s="15"/>
      <c r="FS246" s="15"/>
      <c r="FT246" s="15"/>
      <c r="FU246" s="15"/>
      <c r="FV246" s="15"/>
      <c r="FW246" s="15"/>
      <c r="FX246" s="15"/>
      <c r="FY246" s="15"/>
      <c r="FZ246" s="15"/>
      <c r="GA246" s="15"/>
      <c r="GB246" s="15"/>
      <c r="GC246" s="15"/>
      <c r="GD246" s="15"/>
      <c r="GE246" s="15"/>
      <c r="GF246" s="15"/>
      <c r="GG246" s="15"/>
      <c r="GH246" s="15"/>
      <c r="GI246" s="15"/>
      <c r="GJ246" s="15"/>
      <c r="GK246" s="15"/>
      <c r="GL246" s="15"/>
      <c r="GM246" s="15"/>
      <c r="GN246" s="15"/>
      <c r="GO246" s="15"/>
      <c r="GP246" s="15"/>
      <c r="GQ246" s="15"/>
      <c r="GR246" s="15"/>
      <c r="GS246" s="15"/>
      <c r="GT246" s="15"/>
      <c r="GU246" s="15"/>
      <c r="GV246" s="15"/>
      <c r="GW246" s="15"/>
      <c r="GX246" s="15"/>
      <c r="GY246" s="15"/>
      <c r="GZ246" s="15"/>
      <c r="HA246" s="15"/>
      <c r="HB246" s="15"/>
      <c r="HC246" s="15"/>
      <c r="HD246" s="15"/>
      <c r="HE246" s="15"/>
      <c r="HF246" s="15"/>
      <c r="HG246" s="15"/>
      <c r="HH246" s="15"/>
      <c r="HI246" s="15"/>
      <c r="HJ246" s="15"/>
      <c r="HK246" s="15"/>
      <c r="HL246" s="15"/>
      <c r="HM246" s="15"/>
      <c r="HN246" s="15"/>
      <c r="HO246" s="15"/>
      <c r="HP246" s="15"/>
      <c r="HQ246" s="15"/>
      <c r="HR246"/>
      <c r="HS246"/>
      <c r="HT246"/>
      <c r="HU246"/>
      <c r="HV246"/>
      <c r="HW246"/>
      <c r="HX246"/>
      <c r="HY246"/>
      <c r="HZ246"/>
      <c r="IA246"/>
      <c r="IB246"/>
      <c r="IC246"/>
      <c r="ID246"/>
      <c r="IE246"/>
      <c r="IF246"/>
      <c r="IG246"/>
      <c r="IH246"/>
      <c r="II246"/>
      <c r="IJ246"/>
      <c r="IK246" s="14"/>
      <c r="IL246" s="14"/>
      <c r="IM246" s="14"/>
      <c r="IN246" s="14"/>
      <c r="IO246" s="14"/>
      <c r="IP246" s="14"/>
      <c r="IQ246" s="14"/>
    </row>
    <row r="247" spans="1:251" s="31" customFormat="1">
      <c r="A247" s="146" t="s">
        <v>491</v>
      </c>
      <c r="B247" s="15"/>
      <c r="C247" s="15"/>
      <c r="D247" s="15"/>
      <c r="E247" s="15"/>
      <c r="F247" s="15"/>
      <c r="G247" s="15"/>
      <c r="H247" s="15"/>
      <c r="I247" s="15"/>
      <c r="J247" s="15"/>
      <c r="K247" s="15"/>
      <c r="L247" s="15"/>
      <c r="M247" s="15"/>
      <c r="N247" s="15"/>
      <c r="O247" s="15"/>
      <c r="P247" s="49">
        <v>0</v>
      </c>
      <c r="Q247" s="49">
        <v>0</v>
      </c>
      <c r="R247" s="326">
        <v>4.1250000000000002E-2</v>
      </c>
      <c r="S247" s="49">
        <f t="shared" si="258"/>
        <v>4.1250000000000002E-2</v>
      </c>
      <c r="T247" s="49">
        <f t="shared" si="258"/>
        <v>4.1250000000000002E-2</v>
      </c>
      <c r="U247" s="49">
        <f t="shared" si="258"/>
        <v>4.1250000000000002E-2</v>
      </c>
      <c r="V247" s="49">
        <f t="shared" si="258"/>
        <v>4.1250000000000002E-2</v>
      </c>
      <c r="W247" s="49">
        <f t="shared" si="259"/>
        <v>4.1250000000000002E-2</v>
      </c>
      <c r="X247" s="49">
        <f t="shared" si="259"/>
        <v>4.1250000000000002E-2</v>
      </c>
      <c r="Y247" s="49">
        <f t="shared" si="259"/>
        <v>4.1250000000000002E-2</v>
      </c>
      <c r="Z247" s="49">
        <f t="shared" si="260"/>
        <v>4.1250000000000002E-2</v>
      </c>
      <c r="AA247" s="49">
        <f t="shared" si="260"/>
        <v>4.1250000000000002E-2</v>
      </c>
      <c r="AB247" s="49">
        <f t="shared" si="260"/>
        <v>4.1250000000000002E-2</v>
      </c>
      <c r="AC247" s="49">
        <f t="shared" si="261"/>
        <v>4.1250000000000002E-2</v>
      </c>
      <c r="AD247" s="49">
        <f t="shared" si="261"/>
        <v>4.1250000000000002E-2</v>
      </c>
      <c r="AE247" s="49">
        <f t="shared" si="261"/>
        <v>4.1250000000000002E-2</v>
      </c>
      <c r="AF247" s="49">
        <f t="shared" si="261"/>
        <v>4.1250000000000002E-2</v>
      </c>
      <c r="AG247" s="49">
        <f t="shared" si="261"/>
        <v>4.1250000000000002E-2</v>
      </c>
      <c r="AH247" s="15"/>
      <c r="AI247" s="15"/>
      <c r="AJ247" s="15"/>
      <c r="AK247" s="15"/>
      <c r="AL247" s="15"/>
      <c r="AM247" s="15"/>
      <c r="AN247" s="15"/>
      <c r="AO247" s="15"/>
      <c r="AP247" s="15"/>
      <c r="AQ247" s="15"/>
      <c r="AR247" s="15"/>
      <c r="AS247" s="15"/>
      <c r="AT247" s="15"/>
      <c r="AU247" s="15"/>
      <c r="AV247" s="15"/>
      <c r="AW247" s="15"/>
      <c r="AX247" s="15"/>
      <c r="AY247" s="15"/>
      <c r="AZ247" s="15"/>
      <c r="BA247" s="15"/>
      <c r="BB247" s="15"/>
      <c r="BC247" s="15"/>
      <c r="BD247" s="15"/>
      <c r="BE247" s="15"/>
      <c r="BF247" s="15"/>
      <c r="BG247" s="15"/>
      <c r="BH247" s="15"/>
      <c r="BI247" s="15"/>
      <c r="BJ247" s="15"/>
      <c r="BK247" s="15"/>
      <c r="BL247" s="15"/>
      <c r="BM247" s="15"/>
      <c r="BN247" s="15"/>
      <c r="BO247" s="15"/>
      <c r="BP247" s="15"/>
      <c r="BQ247" s="15"/>
      <c r="BR247" s="15"/>
      <c r="BS247" s="15"/>
      <c r="BT247" s="15"/>
      <c r="BU247" s="15"/>
      <c r="BV247" s="15"/>
      <c r="BW247" s="15"/>
      <c r="BX247" s="15"/>
      <c r="BY247" s="15"/>
      <c r="BZ247" s="15"/>
      <c r="CA247" s="15"/>
      <c r="CB247" s="15"/>
      <c r="CC247" s="15"/>
      <c r="CD247" s="15"/>
      <c r="CE247" s="15"/>
      <c r="CF247" s="15"/>
      <c r="CG247" s="15"/>
      <c r="CH247" s="15"/>
      <c r="CI247" s="15"/>
      <c r="CJ247" s="15"/>
      <c r="CK247" s="15"/>
      <c r="CL247" s="15"/>
      <c r="CM247" s="15"/>
      <c r="CN247" s="15"/>
      <c r="CO247" s="15"/>
      <c r="CP247" s="15"/>
      <c r="CQ247" s="15"/>
      <c r="CR247" s="15"/>
      <c r="CS247" s="15"/>
      <c r="CT247" s="15"/>
      <c r="CU247" s="15"/>
      <c r="CV247" s="15"/>
      <c r="CW247" s="15"/>
      <c r="CX247" s="15"/>
      <c r="CY247" s="15"/>
      <c r="CZ247" s="15"/>
      <c r="DA247" s="15"/>
      <c r="DB247" s="15"/>
      <c r="DC247" s="15"/>
      <c r="DD247" s="15"/>
      <c r="DE247" s="15"/>
      <c r="DF247" s="15"/>
      <c r="DG247" s="15"/>
      <c r="DH247" s="15"/>
      <c r="DI247" s="15"/>
      <c r="DJ247" s="15"/>
      <c r="DK247" s="15"/>
      <c r="DL247" s="15"/>
      <c r="DM247" s="15"/>
      <c r="DN247" s="15"/>
      <c r="DO247" s="15"/>
      <c r="DP247" s="15"/>
      <c r="DQ247" s="15"/>
      <c r="DR247" s="15"/>
      <c r="DS247" s="15"/>
      <c r="DT247" s="15"/>
      <c r="DU247" s="15"/>
      <c r="DV247" s="15"/>
      <c r="DW247" s="15"/>
      <c r="DX247" s="15"/>
      <c r="DY247" s="15"/>
      <c r="DZ247" s="15"/>
      <c r="EA247" s="15"/>
      <c r="EB247" s="15"/>
      <c r="EC247" s="15"/>
      <c r="ED247" s="15"/>
      <c r="EE247" s="15"/>
      <c r="EF247" s="15"/>
      <c r="EG247" s="15"/>
      <c r="EH247" s="15"/>
      <c r="EI247" s="15"/>
      <c r="EJ247" s="15"/>
      <c r="EK247" s="15"/>
      <c r="EL247" s="15"/>
      <c r="EM247" s="15"/>
      <c r="EN247" s="15"/>
      <c r="EO247" s="15"/>
      <c r="EP247" s="15"/>
      <c r="EQ247" s="15"/>
      <c r="ER247" s="15"/>
      <c r="ES247" s="15"/>
      <c r="ET247" s="15"/>
      <c r="EU247" s="15"/>
      <c r="EV247" s="15"/>
      <c r="EW247" s="15"/>
      <c r="EX247" s="15"/>
      <c r="EY247" s="15"/>
      <c r="EZ247" s="15"/>
      <c r="FA247" s="15"/>
      <c r="FB247" s="15"/>
      <c r="FC247" s="15"/>
      <c r="FD247" s="15"/>
      <c r="FE247" s="15"/>
      <c r="FF247" s="15"/>
      <c r="FG247" s="15"/>
      <c r="FH247" s="15"/>
      <c r="FI247" s="15"/>
      <c r="FJ247" s="15"/>
      <c r="FK247" s="15"/>
      <c r="FL247" s="15"/>
      <c r="FM247" s="15"/>
      <c r="FN247" s="15"/>
      <c r="FO247" s="15"/>
      <c r="FP247" s="15"/>
      <c r="FQ247" s="15"/>
      <c r="FR247" s="15"/>
      <c r="FS247" s="15"/>
      <c r="FT247" s="15"/>
      <c r="FU247" s="15"/>
      <c r="FV247" s="15"/>
      <c r="FW247" s="15"/>
      <c r="FX247" s="15"/>
      <c r="FY247" s="15"/>
      <c r="FZ247" s="15"/>
      <c r="GA247" s="15"/>
      <c r="GB247" s="15"/>
      <c r="GC247" s="15"/>
      <c r="GD247" s="15"/>
      <c r="GE247" s="15"/>
      <c r="GF247" s="15"/>
      <c r="GG247" s="15"/>
      <c r="GH247" s="15"/>
      <c r="GI247" s="15"/>
      <c r="GJ247" s="15"/>
      <c r="GK247" s="15"/>
      <c r="GL247" s="15"/>
      <c r="GM247" s="15"/>
      <c r="GN247" s="15"/>
      <c r="GO247" s="15"/>
      <c r="GP247" s="15"/>
      <c r="GQ247" s="15"/>
      <c r="GR247" s="15"/>
      <c r="GS247" s="15"/>
      <c r="GT247" s="15"/>
      <c r="GU247" s="15"/>
      <c r="GV247" s="15"/>
      <c r="GW247" s="15"/>
      <c r="GX247" s="15"/>
      <c r="GY247" s="15"/>
      <c r="GZ247" s="15"/>
      <c r="HA247" s="15"/>
      <c r="HB247" s="15"/>
      <c r="HC247" s="15"/>
      <c r="HD247" s="15"/>
      <c r="HE247" s="15"/>
      <c r="HF247" s="15"/>
      <c r="HG247" s="15"/>
      <c r="HH247" s="15"/>
      <c r="HI247" s="15"/>
      <c r="HJ247" s="15"/>
      <c r="HK247" s="15"/>
      <c r="HL247" s="15"/>
      <c r="HM247" s="15"/>
      <c r="HN247" s="15"/>
      <c r="HO247" s="15"/>
      <c r="HP247" s="15"/>
      <c r="HQ247" s="15"/>
      <c r="HR247"/>
      <c r="HS247"/>
      <c r="HT247"/>
      <c r="HU247"/>
      <c r="HV247"/>
      <c r="HW247"/>
      <c r="HX247"/>
      <c r="HY247"/>
      <c r="HZ247"/>
      <c r="IA247"/>
      <c r="IB247"/>
      <c r="IC247"/>
      <c r="ID247"/>
      <c r="IE247"/>
      <c r="IF247"/>
      <c r="IG247"/>
      <c r="IH247"/>
      <c r="II247"/>
      <c r="IJ247"/>
      <c r="IK247" s="14"/>
      <c r="IL247" s="14"/>
      <c r="IM247" s="14"/>
      <c r="IN247" s="14"/>
      <c r="IO247" s="14"/>
      <c r="IP247" s="14"/>
      <c r="IQ247" s="14"/>
    </row>
    <row r="248" spans="1:251" s="31" customFormat="1">
      <c r="A248" s="146" t="s">
        <v>368</v>
      </c>
      <c r="B248" s="15"/>
      <c r="C248" s="15"/>
      <c r="D248" s="15"/>
      <c r="E248" s="15"/>
      <c r="F248" s="15"/>
      <c r="G248" s="15"/>
      <c r="H248" s="15"/>
      <c r="I248" s="15"/>
      <c r="J248" s="15"/>
      <c r="K248" s="15"/>
      <c r="L248" s="15"/>
      <c r="M248" s="15"/>
      <c r="N248" s="15"/>
      <c r="O248" s="15"/>
      <c r="P248" s="32">
        <v>0</v>
      </c>
      <c r="Q248" s="32">
        <v>12</v>
      </c>
      <c r="R248" s="32">
        <v>7</v>
      </c>
      <c r="S248" s="32">
        <v>12</v>
      </c>
      <c r="T248" s="32">
        <v>12</v>
      </c>
      <c r="U248" s="32">
        <v>12</v>
      </c>
      <c r="V248" s="32">
        <v>12</v>
      </c>
      <c r="W248" s="32">
        <v>12</v>
      </c>
      <c r="X248" s="32">
        <v>12</v>
      </c>
      <c r="Y248" s="32">
        <v>12</v>
      </c>
      <c r="Z248" s="32">
        <v>12</v>
      </c>
      <c r="AA248" s="32">
        <v>12</v>
      </c>
      <c r="AB248" s="32">
        <v>12</v>
      </c>
      <c r="AC248" s="32">
        <v>12</v>
      </c>
      <c r="AD248" s="32">
        <v>12</v>
      </c>
      <c r="AE248" s="32">
        <v>12</v>
      </c>
      <c r="AF248" s="32">
        <v>12</v>
      </c>
      <c r="AG248" s="32">
        <v>12</v>
      </c>
      <c r="AH248" s="15"/>
      <c r="AI248" s="15"/>
      <c r="AJ248" s="15"/>
      <c r="AK248" s="15"/>
      <c r="AL248" s="15"/>
      <c r="AM248" s="15"/>
      <c r="AN248" s="15"/>
      <c r="AO248" s="15"/>
      <c r="AP248" s="15"/>
      <c r="AQ248" s="15"/>
      <c r="AR248" s="15"/>
      <c r="AS248" s="15"/>
      <c r="AT248" s="15"/>
      <c r="AU248" s="15"/>
      <c r="AV248" s="15"/>
      <c r="AW248" s="15"/>
      <c r="AX248" s="15"/>
      <c r="AY248" s="15"/>
      <c r="AZ248" s="15"/>
      <c r="BA248" s="15"/>
      <c r="BB248" s="15"/>
      <c r="BC248" s="15"/>
      <c r="BD248" s="15"/>
      <c r="BE248" s="15"/>
      <c r="BF248" s="15"/>
      <c r="BG248" s="15"/>
      <c r="BH248" s="15"/>
      <c r="BI248" s="15"/>
      <c r="BJ248" s="15"/>
      <c r="BK248" s="15"/>
      <c r="BL248" s="15"/>
      <c r="BM248" s="15"/>
      <c r="BN248" s="15"/>
      <c r="BO248" s="15"/>
      <c r="BP248" s="15"/>
      <c r="BQ248" s="15"/>
      <c r="BR248" s="15"/>
      <c r="BS248" s="15"/>
      <c r="BT248" s="15"/>
      <c r="BU248" s="15"/>
      <c r="BV248" s="15"/>
      <c r="BW248" s="15"/>
      <c r="BX248" s="15"/>
      <c r="BY248" s="15"/>
      <c r="BZ248" s="15"/>
      <c r="CA248" s="15"/>
      <c r="CB248" s="15"/>
      <c r="CC248" s="15"/>
      <c r="CD248" s="15"/>
      <c r="CE248" s="15"/>
      <c r="CF248" s="15"/>
      <c r="CG248" s="15"/>
      <c r="CH248" s="15"/>
      <c r="CI248" s="15"/>
      <c r="CJ248" s="15"/>
      <c r="CK248" s="15"/>
      <c r="CL248" s="15"/>
      <c r="CM248" s="15"/>
      <c r="CN248" s="15"/>
      <c r="CO248" s="15"/>
      <c r="CP248" s="15"/>
      <c r="CQ248" s="15"/>
      <c r="CR248" s="15"/>
      <c r="CS248" s="15"/>
      <c r="CT248" s="15"/>
      <c r="CU248" s="15"/>
      <c r="CV248" s="15"/>
      <c r="CW248" s="15"/>
      <c r="CX248" s="15"/>
      <c r="CY248" s="15"/>
      <c r="CZ248" s="15"/>
      <c r="DA248" s="15"/>
      <c r="DB248" s="15"/>
      <c r="DC248" s="15"/>
      <c r="DD248" s="15"/>
      <c r="DE248" s="15"/>
      <c r="DF248" s="15"/>
      <c r="DG248" s="15"/>
      <c r="DH248" s="15"/>
      <c r="DI248" s="15"/>
      <c r="DJ248" s="15"/>
      <c r="DK248" s="15"/>
      <c r="DL248" s="15"/>
      <c r="DM248" s="15"/>
      <c r="DN248" s="15"/>
      <c r="DO248" s="15"/>
      <c r="DP248" s="15"/>
      <c r="DQ248" s="15"/>
      <c r="DR248" s="15"/>
      <c r="DS248" s="15"/>
      <c r="DT248" s="15"/>
      <c r="DU248" s="15"/>
      <c r="DV248" s="15"/>
      <c r="DW248" s="15"/>
      <c r="DX248" s="15"/>
      <c r="DY248" s="15"/>
      <c r="DZ248" s="15"/>
      <c r="EA248" s="15"/>
      <c r="EB248" s="15"/>
      <c r="EC248" s="15"/>
      <c r="ED248" s="15"/>
      <c r="EE248" s="15"/>
      <c r="EF248" s="15"/>
      <c r="EG248" s="15"/>
      <c r="EH248" s="15"/>
      <c r="EI248" s="15"/>
      <c r="EJ248" s="15"/>
      <c r="EK248" s="15"/>
      <c r="EL248" s="15"/>
      <c r="EM248" s="15"/>
      <c r="EN248" s="15"/>
      <c r="EO248" s="15"/>
      <c r="EP248" s="15"/>
      <c r="EQ248" s="15"/>
      <c r="ER248" s="15"/>
      <c r="ES248" s="15"/>
      <c r="ET248" s="15"/>
      <c r="EU248" s="15"/>
      <c r="EV248" s="15"/>
      <c r="EW248" s="15"/>
      <c r="EX248" s="15"/>
      <c r="EY248" s="15"/>
      <c r="EZ248" s="15"/>
      <c r="FA248" s="15"/>
      <c r="FB248" s="15"/>
      <c r="FC248" s="15"/>
      <c r="FD248" s="15"/>
      <c r="FE248" s="15"/>
      <c r="FF248" s="15"/>
      <c r="FG248" s="15"/>
      <c r="FH248" s="15"/>
      <c r="FI248" s="15"/>
      <c r="FJ248" s="15"/>
      <c r="FK248" s="15"/>
      <c r="FL248" s="15"/>
      <c r="FM248" s="15"/>
      <c r="FN248" s="15"/>
      <c r="FO248" s="15"/>
      <c r="FP248" s="15"/>
      <c r="FQ248" s="15"/>
      <c r="FR248" s="15"/>
      <c r="FS248" s="15"/>
      <c r="FT248" s="15"/>
      <c r="FU248" s="15"/>
      <c r="FV248" s="15"/>
      <c r="FW248" s="15"/>
      <c r="FX248" s="15"/>
      <c r="FY248" s="15"/>
      <c r="FZ248" s="15"/>
      <c r="GA248" s="15"/>
      <c r="GB248" s="15"/>
      <c r="GC248" s="15"/>
      <c r="GD248" s="15"/>
      <c r="GE248" s="15"/>
      <c r="GF248" s="15"/>
      <c r="GG248" s="15"/>
      <c r="GH248" s="15"/>
      <c r="GI248" s="15"/>
      <c r="GJ248" s="15"/>
      <c r="GK248" s="15"/>
      <c r="GL248" s="15"/>
      <c r="GM248" s="15"/>
      <c r="GN248" s="15"/>
      <c r="GO248" s="15"/>
      <c r="GP248" s="15"/>
      <c r="GQ248" s="15"/>
      <c r="GR248" s="15"/>
      <c r="GS248" s="15"/>
      <c r="GT248" s="15"/>
      <c r="GU248" s="15"/>
      <c r="GV248" s="15"/>
      <c r="GW248" s="15"/>
      <c r="GX248" s="15"/>
      <c r="GY248" s="15"/>
      <c r="GZ248" s="15"/>
      <c r="HA248" s="15"/>
      <c r="HB248" s="15"/>
      <c r="HC248" s="15"/>
      <c r="HD248" s="15"/>
      <c r="HE248" s="15"/>
      <c r="HF248" s="15"/>
      <c r="HG248" s="15"/>
      <c r="HH248" s="15"/>
      <c r="HI248" s="15"/>
      <c r="HJ248" s="15"/>
      <c r="HK248" s="15"/>
      <c r="HL248" s="15"/>
      <c r="HM248" s="15"/>
      <c r="HN248" s="15"/>
      <c r="HO248" s="15"/>
      <c r="HP248" s="15"/>
      <c r="HQ248" s="15"/>
      <c r="HR248"/>
      <c r="HS248"/>
      <c r="HT248"/>
      <c r="HU248"/>
      <c r="HV248"/>
      <c r="HW248"/>
      <c r="HX248"/>
      <c r="HY248"/>
      <c r="HZ248"/>
      <c r="IA248"/>
      <c r="IB248"/>
      <c r="IC248"/>
      <c r="ID248"/>
      <c r="IE248"/>
      <c r="IF248"/>
      <c r="IG248"/>
      <c r="IH248"/>
      <c r="II248"/>
      <c r="IJ248"/>
      <c r="IK248" s="14"/>
      <c r="IL248" s="14"/>
      <c r="IM248" s="14"/>
      <c r="IN248" s="14"/>
      <c r="IO248" s="14"/>
      <c r="IP248" s="14"/>
      <c r="IQ248" s="14"/>
    </row>
    <row r="249" spans="1:251" s="31" customFormat="1" ht="6" customHeight="1">
      <c r="A249" s="146"/>
      <c r="B249" s="15"/>
      <c r="C249" s="15"/>
      <c r="D249" s="15"/>
      <c r="E249" s="15"/>
      <c r="F249" s="15"/>
      <c r="G249" s="15"/>
      <c r="H249" s="15"/>
      <c r="I249" s="15"/>
      <c r="J249" s="15"/>
      <c r="K249" s="15"/>
      <c r="L249" s="15"/>
      <c r="M249" s="15"/>
      <c r="N249" s="15"/>
      <c r="O249" s="15"/>
      <c r="P249" s="43"/>
      <c r="Q249" s="43"/>
      <c r="R249" s="43"/>
      <c r="S249" s="43"/>
      <c r="T249" s="43"/>
      <c r="U249" s="43"/>
      <c r="V249" s="43"/>
      <c r="W249" s="43"/>
      <c r="X249" s="43"/>
      <c r="Y249" s="43"/>
      <c r="Z249" s="43"/>
      <c r="AA249" s="43"/>
      <c r="AB249" s="43"/>
      <c r="AC249" s="43"/>
      <c r="AD249" s="43"/>
      <c r="AE249" s="43"/>
      <c r="AF249" s="43"/>
      <c r="AG249" s="43"/>
      <c r="AH249" s="15"/>
      <c r="AI249" s="15"/>
      <c r="AJ249" s="15"/>
      <c r="AK249" s="15"/>
      <c r="AL249" s="15"/>
      <c r="AM249" s="15"/>
      <c r="AN249" s="15"/>
      <c r="AO249" s="15"/>
      <c r="AP249" s="15"/>
      <c r="AQ249" s="15"/>
      <c r="AR249" s="15"/>
      <c r="AS249" s="15"/>
      <c r="AT249" s="15"/>
      <c r="AU249" s="15"/>
      <c r="AV249" s="15"/>
      <c r="AW249" s="15"/>
      <c r="AX249" s="15"/>
      <c r="AY249" s="15"/>
      <c r="AZ249" s="15"/>
      <c r="BA249" s="15"/>
      <c r="BB249" s="15"/>
      <c r="BC249" s="15"/>
      <c r="BD249" s="15"/>
      <c r="BE249" s="15"/>
      <c r="BF249" s="15"/>
      <c r="BG249" s="15"/>
      <c r="BH249" s="15"/>
      <c r="BI249" s="15"/>
      <c r="BJ249" s="15"/>
      <c r="BK249" s="15"/>
      <c r="BL249" s="15"/>
      <c r="BM249" s="15"/>
      <c r="BN249" s="15"/>
      <c r="BO249" s="15"/>
      <c r="BP249" s="15"/>
      <c r="BQ249" s="15"/>
      <c r="BR249" s="15"/>
      <c r="BS249" s="15"/>
      <c r="BT249" s="15"/>
      <c r="BU249" s="15"/>
      <c r="BV249" s="15"/>
      <c r="BW249" s="15"/>
      <c r="BX249" s="15"/>
      <c r="BY249" s="15"/>
      <c r="BZ249" s="15"/>
      <c r="CA249" s="15"/>
      <c r="CB249" s="15"/>
      <c r="CC249" s="15"/>
      <c r="CD249" s="15"/>
      <c r="CE249" s="15"/>
      <c r="CF249" s="15"/>
      <c r="CG249" s="15"/>
      <c r="CH249" s="15"/>
      <c r="CI249" s="15"/>
      <c r="CJ249" s="15"/>
      <c r="CK249" s="15"/>
      <c r="CL249" s="15"/>
      <c r="CM249" s="15"/>
      <c r="CN249" s="15"/>
      <c r="CO249" s="15"/>
      <c r="CP249" s="15"/>
      <c r="CQ249" s="15"/>
      <c r="CR249" s="15"/>
      <c r="CS249" s="15"/>
      <c r="CT249" s="15"/>
      <c r="CU249" s="15"/>
      <c r="CV249" s="15"/>
      <c r="CW249" s="15"/>
      <c r="CX249" s="15"/>
      <c r="CY249" s="15"/>
      <c r="CZ249" s="15"/>
      <c r="DA249" s="15"/>
      <c r="DB249" s="15"/>
      <c r="DC249" s="15"/>
      <c r="DD249" s="15"/>
      <c r="DE249" s="15"/>
      <c r="DF249" s="15"/>
      <c r="DG249" s="15"/>
      <c r="DH249" s="15"/>
      <c r="DI249" s="15"/>
      <c r="DJ249" s="15"/>
      <c r="DK249" s="15"/>
      <c r="DL249" s="15"/>
      <c r="DM249" s="15"/>
      <c r="DN249" s="15"/>
      <c r="DO249" s="15"/>
      <c r="DP249" s="15"/>
      <c r="DQ249" s="15"/>
      <c r="DR249" s="15"/>
      <c r="DS249" s="15"/>
      <c r="DT249" s="15"/>
      <c r="DU249" s="15"/>
      <c r="DV249" s="15"/>
      <c r="DW249" s="15"/>
      <c r="DX249" s="15"/>
      <c r="DY249" s="15"/>
      <c r="DZ249" s="15"/>
      <c r="EA249" s="15"/>
      <c r="EB249" s="15"/>
      <c r="EC249" s="15"/>
      <c r="ED249" s="15"/>
      <c r="EE249" s="15"/>
      <c r="EF249" s="15"/>
      <c r="EG249" s="15"/>
      <c r="EH249" s="15"/>
      <c r="EI249" s="15"/>
      <c r="EJ249" s="15"/>
      <c r="EK249" s="15"/>
      <c r="EL249" s="15"/>
      <c r="EM249" s="15"/>
      <c r="EN249" s="15"/>
      <c r="EO249" s="15"/>
      <c r="EP249" s="15"/>
      <c r="EQ249" s="15"/>
      <c r="ER249" s="15"/>
      <c r="ES249" s="15"/>
      <c r="ET249" s="15"/>
      <c r="EU249" s="15"/>
      <c r="EV249" s="15"/>
      <c r="EW249" s="15"/>
      <c r="EX249" s="15"/>
      <c r="EY249" s="15"/>
      <c r="EZ249" s="15"/>
      <c r="FA249" s="15"/>
      <c r="FB249" s="15"/>
      <c r="FC249" s="15"/>
      <c r="FD249" s="15"/>
      <c r="FE249" s="15"/>
      <c r="FF249" s="15"/>
      <c r="FG249" s="15"/>
      <c r="FH249" s="15"/>
      <c r="FI249" s="15"/>
      <c r="FJ249" s="15"/>
      <c r="FK249" s="15"/>
      <c r="FL249" s="15"/>
      <c r="FM249" s="15"/>
      <c r="FN249" s="15"/>
      <c r="FO249" s="15"/>
      <c r="FP249" s="15"/>
      <c r="FQ249" s="15"/>
      <c r="FR249" s="15"/>
      <c r="FS249" s="15"/>
      <c r="FT249" s="15"/>
      <c r="FU249" s="15"/>
      <c r="FV249" s="15"/>
      <c r="FW249" s="15"/>
      <c r="FX249" s="15"/>
      <c r="FY249" s="15"/>
      <c r="FZ249" s="15"/>
      <c r="GA249" s="15"/>
      <c r="GB249" s="15"/>
      <c r="GC249" s="15"/>
      <c r="GD249" s="15"/>
      <c r="GE249" s="15"/>
      <c r="GF249" s="15"/>
      <c r="GG249" s="15"/>
      <c r="GH249" s="15"/>
      <c r="GI249" s="15"/>
      <c r="GJ249" s="15"/>
      <c r="GK249" s="15"/>
      <c r="GL249" s="15"/>
      <c r="GM249" s="15"/>
      <c r="GN249" s="15"/>
      <c r="GO249" s="15"/>
      <c r="GP249" s="15"/>
      <c r="GQ249" s="15"/>
      <c r="GR249" s="15"/>
      <c r="GS249" s="15"/>
      <c r="GT249" s="15"/>
      <c r="GU249" s="15"/>
      <c r="GV249" s="15"/>
      <c r="GW249" s="15"/>
      <c r="GX249" s="15"/>
      <c r="GY249" s="15"/>
      <c r="GZ249" s="15"/>
      <c r="HA249" s="15"/>
      <c r="HB249" s="15"/>
      <c r="HC249" s="15"/>
      <c r="HD249" s="15"/>
      <c r="HE249" s="15"/>
      <c r="HF249" s="15"/>
      <c r="HG249" s="15"/>
      <c r="HH249" s="15"/>
      <c r="HI249" s="15"/>
      <c r="HJ249" s="15"/>
      <c r="HK249" s="15"/>
      <c r="HL249" s="15"/>
      <c r="HM249" s="15"/>
      <c r="HN249" s="15"/>
      <c r="HO249" s="15"/>
      <c r="HP249" s="15"/>
      <c r="HQ249" s="15"/>
      <c r="HR249"/>
      <c r="HS249"/>
      <c r="HT249"/>
      <c r="HU249"/>
      <c r="HV249"/>
      <c r="HW249"/>
      <c r="HX249"/>
      <c r="HY249"/>
      <c r="HZ249"/>
      <c r="IA249"/>
      <c r="IB249"/>
      <c r="IC249"/>
      <c r="ID249"/>
      <c r="IE249"/>
      <c r="IF249"/>
      <c r="IG249"/>
      <c r="IH249"/>
      <c r="II249"/>
      <c r="IJ249"/>
      <c r="IK249" s="14"/>
      <c r="IL249" s="14"/>
      <c r="IM249" s="14"/>
      <c r="IN249" s="14"/>
      <c r="IO249" s="14"/>
      <c r="IP249" s="14"/>
      <c r="IQ249" s="14"/>
    </row>
    <row r="250" spans="1:251" s="31" customFormat="1">
      <c r="A250" s="146" t="s">
        <v>180</v>
      </c>
      <c r="B250" s="15"/>
      <c r="C250" s="15"/>
      <c r="D250" s="15"/>
      <c r="E250" s="15"/>
      <c r="F250" s="15"/>
      <c r="G250" s="15"/>
      <c r="H250" s="15"/>
      <c r="I250" s="15"/>
      <c r="J250" s="15"/>
      <c r="K250" s="15"/>
      <c r="L250" s="15"/>
      <c r="M250" s="15"/>
      <c r="N250" s="15"/>
      <c r="O250" s="15"/>
      <c r="P250" s="147">
        <v>0</v>
      </c>
      <c r="Q250" s="147">
        <v>1140</v>
      </c>
      <c r="R250" s="147">
        <v>900</v>
      </c>
      <c r="S250" s="147">
        <v>900</v>
      </c>
      <c r="T250" s="147">
        <f t="shared" ref="T250:V251" si="262">S250</f>
        <v>900</v>
      </c>
      <c r="U250" s="147">
        <f t="shared" si="262"/>
        <v>900</v>
      </c>
      <c r="V250" s="147">
        <f t="shared" si="262"/>
        <v>900</v>
      </c>
      <c r="W250" s="147">
        <f t="shared" ref="W250:Y251" si="263">V250</f>
        <v>900</v>
      </c>
      <c r="X250" s="147">
        <f t="shared" si="263"/>
        <v>900</v>
      </c>
      <c r="Y250" s="147">
        <f t="shared" si="263"/>
        <v>900</v>
      </c>
      <c r="Z250" s="147">
        <f t="shared" ref="Z250:AB251" si="264">Y250</f>
        <v>900</v>
      </c>
      <c r="AA250" s="147">
        <f t="shared" si="264"/>
        <v>900</v>
      </c>
      <c r="AB250" s="147">
        <f t="shared" si="264"/>
        <v>900</v>
      </c>
      <c r="AC250" s="147">
        <f t="shared" ref="AC250:AG251" si="265">AB250</f>
        <v>900</v>
      </c>
      <c r="AD250" s="147">
        <f t="shared" si="265"/>
        <v>900</v>
      </c>
      <c r="AE250" s="147">
        <f t="shared" si="265"/>
        <v>900</v>
      </c>
      <c r="AF250" s="147">
        <f t="shared" si="265"/>
        <v>900</v>
      </c>
      <c r="AG250" s="147">
        <f t="shared" si="265"/>
        <v>900</v>
      </c>
      <c r="AH250" s="15"/>
      <c r="AI250" s="15"/>
      <c r="AJ250" s="15"/>
      <c r="AK250" s="15"/>
      <c r="AL250" s="15"/>
      <c r="AM250" s="15"/>
      <c r="AN250" s="15"/>
      <c r="AO250" s="15"/>
      <c r="AP250" s="15"/>
      <c r="AQ250" s="15"/>
      <c r="AR250" s="15"/>
      <c r="AS250" s="15"/>
      <c r="AT250" s="15"/>
      <c r="AU250" s="15"/>
      <c r="AV250" s="15"/>
      <c r="AW250" s="15"/>
      <c r="AX250" s="15"/>
      <c r="AY250" s="15"/>
      <c r="AZ250" s="15"/>
      <c r="BA250" s="15"/>
      <c r="BB250" s="15"/>
      <c r="BC250" s="15"/>
      <c r="BD250" s="15"/>
      <c r="BE250" s="15"/>
      <c r="BF250" s="15"/>
      <c r="BG250" s="15"/>
      <c r="BH250" s="15"/>
      <c r="BI250" s="15"/>
      <c r="BJ250" s="15"/>
      <c r="BK250" s="15"/>
      <c r="BL250" s="15"/>
      <c r="BM250" s="15"/>
      <c r="BN250" s="15"/>
      <c r="BO250" s="15"/>
      <c r="BP250" s="15"/>
      <c r="BQ250" s="15"/>
      <c r="BR250" s="15"/>
      <c r="BS250" s="15"/>
      <c r="BT250" s="15"/>
      <c r="BU250" s="15"/>
      <c r="BV250" s="15"/>
      <c r="BW250" s="15"/>
      <c r="BX250" s="15"/>
      <c r="BY250" s="15"/>
      <c r="BZ250" s="15"/>
      <c r="CA250" s="15"/>
      <c r="CB250" s="15"/>
      <c r="CC250" s="15"/>
      <c r="CD250" s="15"/>
      <c r="CE250" s="15"/>
      <c r="CF250" s="15"/>
      <c r="CG250" s="15"/>
      <c r="CH250" s="15"/>
      <c r="CI250" s="15"/>
      <c r="CJ250" s="15"/>
      <c r="CK250" s="15"/>
      <c r="CL250" s="15"/>
      <c r="CM250" s="15"/>
      <c r="CN250" s="15"/>
      <c r="CO250" s="15"/>
      <c r="CP250" s="15"/>
      <c r="CQ250" s="15"/>
      <c r="CR250" s="15"/>
      <c r="CS250" s="15"/>
      <c r="CT250" s="15"/>
      <c r="CU250" s="15"/>
      <c r="CV250" s="15"/>
      <c r="CW250" s="15"/>
      <c r="CX250" s="15"/>
      <c r="CY250" s="15"/>
      <c r="CZ250" s="15"/>
      <c r="DA250" s="15"/>
      <c r="DB250" s="15"/>
      <c r="DC250" s="15"/>
      <c r="DD250" s="15"/>
      <c r="DE250" s="15"/>
      <c r="DF250" s="15"/>
      <c r="DG250" s="15"/>
      <c r="DH250" s="15"/>
      <c r="DI250" s="15"/>
      <c r="DJ250" s="15"/>
      <c r="DK250" s="15"/>
      <c r="DL250" s="15"/>
      <c r="DM250" s="15"/>
      <c r="DN250" s="15"/>
      <c r="DO250" s="15"/>
      <c r="DP250" s="15"/>
      <c r="DQ250" s="15"/>
      <c r="DR250" s="15"/>
      <c r="DS250" s="15"/>
      <c r="DT250" s="15"/>
      <c r="DU250" s="15"/>
      <c r="DV250" s="15"/>
      <c r="DW250" s="15"/>
      <c r="DX250" s="15"/>
      <c r="DY250" s="15"/>
      <c r="DZ250" s="15"/>
      <c r="EA250" s="15"/>
      <c r="EB250" s="15"/>
      <c r="EC250" s="15"/>
      <c r="ED250" s="15"/>
      <c r="EE250" s="15"/>
      <c r="EF250" s="15"/>
      <c r="EG250" s="15"/>
      <c r="EH250" s="15"/>
      <c r="EI250" s="15"/>
      <c r="EJ250" s="15"/>
      <c r="EK250" s="15"/>
      <c r="EL250" s="15"/>
      <c r="EM250" s="15"/>
      <c r="EN250" s="15"/>
      <c r="EO250" s="15"/>
      <c r="EP250" s="15"/>
      <c r="EQ250" s="15"/>
      <c r="ER250" s="15"/>
      <c r="ES250" s="15"/>
      <c r="ET250" s="15"/>
      <c r="EU250" s="15"/>
      <c r="EV250" s="15"/>
      <c r="EW250" s="15"/>
      <c r="EX250" s="15"/>
      <c r="EY250" s="15"/>
      <c r="EZ250" s="15"/>
      <c r="FA250" s="15"/>
      <c r="FB250" s="15"/>
      <c r="FC250" s="15"/>
      <c r="FD250" s="15"/>
      <c r="FE250" s="15"/>
      <c r="FF250" s="15"/>
      <c r="FG250" s="15"/>
      <c r="FH250" s="15"/>
      <c r="FI250" s="15"/>
      <c r="FJ250" s="15"/>
      <c r="FK250" s="15"/>
      <c r="FL250" s="15"/>
      <c r="FM250" s="15"/>
      <c r="FN250" s="15"/>
      <c r="FO250" s="15"/>
      <c r="FP250" s="15"/>
      <c r="FQ250" s="15"/>
      <c r="FR250" s="15"/>
      <c r="FS250" s="15"/>
      <c r="FT250" s="15"/>
      <c r="FU250" s="15"/>
      <c r="FV250" s="15"/>
      <c r="FW250" s="15"/>
      <c r="FX250" s="15"/>
      <c r="FY250" s="15"/>
      <c r="FZ250" s="15"/>
      <c r="GA250" s="15"/>
      <c r="GB250" s="15"/>
      <c r="GC250" s="15"/>
      <c r="GD250" s="15"/>
      <c r="GE250" s="15"/>
      <c r="GF250" s="15"/>
      <c r="GG250" s="15"/>
      <c r="GH250" s="15"/>
      <c r="GI250" s="15"/>
      <c r="GJ250" s="15"/>
      <c r="GK250" s="15"/>
      <c r="GL250" s="15"/>
      <c r="GM250" s="15"/>
      <c r="GN250" s="15"/>
      <c r="GO250" s="15"/>
      <c r="GP250" s="15"/>
      <c r="GQ250" s="15"/>
      <c r="GR250" s="15"/>
      <c r="GS250" s="15"/>
      <c r="GT250" s="15"/>
      <c r="GU250" s="15"/>
      <c r="GV250" s="15"/>
      <c r="GW250" s="15"/>
      <c r="GX250" s="15"/>
      <c r="GY250" s="15"/>
      <c r="GZ250" s="15"/>
      <c r="HA250" s="15"/>
      <c r="HB250" s="15"/>
      <c r="HC250" s="15"/>
      <c r="HD250" s="15"/>
      <c r="HE250" s="15"/>
      <c r="HF250" s="15"/>
      <c r="HG250" s="15"/>
      <c r="HH250" s="15"/>
      <c r="HI250" s="15"/>
      <c r="HJ250" s="15"/>
      <c r="HK250" s="15"/>
      <c r="HL250" s="15"/>
      <c r="HM250" s="15"/>
      <c r="HN250" s="15"/>
      <c r="HO250" s="15"/>
      <c r="HP250" s="15"/>
      <c r="HQ250" s="15"/>
      <c r="HR250"/>
      <c r="HS250"/>
      <c r="HT250"/>
      <c r="HU250"/>
      <c r="HV250"/>
      <c r="HW250"/>
      <c r="HX250"/>
      <c r="HY250"/>
      <c r="HZ250"/>
      <c r="IA250"/>
      <c r="IB250"/>
      <c r="IC250"/>
      <c r="ID250"/>
      <c r="IE250"/>
      <c r="IF250"/>
      <c r="IG250"/>
      <c r="IH250"/>
      <c r="II250"/>
      <c r="IJ250"/>
      <c r="IK250" s="14"/>
      <c r="IL250" s="14"/>
      <c r="IM250" s="14"/>
      <c r="IN250" s="14"/>
      <c r="IO250" s="14"/>
      <c r="IP250" s="14"/>
      <c r="IQ250" s="14"/>
    </row>
    <row r="251" spans="1:251" s="31" customFormat="1">
      <c r="A251" s="146" t="s">
        <v>491</v>
      </c>
      <c r="B251" s="15"/>
      <c r="C251" s="15"/>
      <c r="D251" s="15"/>
      <c r="E251" s="15"/>
      <c r="F251" s="15"/>
      <c r="G251" s="15"/>
      <c r="H251" s="15"/>
      <c r="I251" s="15"/>
      <c r="J251" s="15"/>
      <c r="K251" s="15"/>
      <c r="L251" s="15"/>
      <c r="M251" s="15"/>
      <c r="N251" s="15"/>
      <c r="O251" s="15"/>
      <c r="P251" s="249">
        <v>0</v>
      </c>
      <c r="Q251" s="49">
        <v>6.4000000000000001E-2</v>
      </c>
      <c r="R251" s="326">
        <v>9.5000000000000001E-2</v>
      </c>
      <c r="S251" s="326">
        <v>6.4000000000000001E-2</v>
      </c>
      <c r="T251" s="49">
        <f t="shared" si="262"/>
        <v>6.4000000000000001E-2</v>
      </c>
      <c r="U251" s="49">
        <f t="shared" si="262"/>
        <v>6.4000000000000001E-2</v>
      </c>
      <c r="V251" s="49">
        <f t="shared" si="262"/>
        <v>6.4000000000000001E-2</v>
      </c>
      <c r="W251" s="49">
        <f t="shared" si="263"/>
        <v>6.4000000000000001E-2</v>
      </c>
      <c r="X251" s="49">
        <f t="shared" si="263"/>
        <v>6.4000000000000001E-2</v>
      </c>
      <c r="Y251" s="49">
        <f t="shared" si="263"/>
        <v>6.4000000000000001E-2</v>
      </c>
      <c r="Z251" s="49">
        <f t="shared" si="264"/>
        <v>6.4000000000000001E-2</v>
      </c>
      <c r="AA251" s="49">
        <f t="shared" si="264"/>
        <v>6.4000000000000001E-2</v>
      </c>
      <c r="AB251" s="49">
        <f t="shared" si="264"/>
        <v>6.4000000000000001E-2</v>
      </c>
      <c r="AC251" s="49">
        <f t="shared" si="265"/>
        <v>6.4000000000000001E-2</v>
      </c>
      <c r="AD251" s="49">
        <f t="shared" si="265"/>
        <v>6.4000000000000001E-2</v>
      </c>
      <c r="AE251" s="49">
        <f t="shared" si="265"/>
        <v>6.4000000000000001E-2</v>
      </c>
      <c r="AF251" s="49">
        <f t="shared" si="265"/>
        <v>6.4000000000000001E-2</v>
      </c>
      <c r="AG251" s="49">
        <f t="shared" si="265"/>
        <v>6.4000000000000001E-2</v>
      </c>
      <c r="AH251" s="15"/>
      <c r="AI251" s="15"/>
      <c r="AJ251" s="15"/>
      <c r="AK251" s="15"/>
      <c r="AL251" s="15"/>
      <c r="AM251" s="15"/>
      <c r="AN251" s="15"/>
      <c r="AO251" s="15"/>
      <c r="AP251" s="15"/>
      <c r="AQ251" s="15"/>
      <c r="AR251" s="15"/>
      <c r="AS251" s="15"/>
      <c r="AT251" s="15"/>
      <c r="AU251" s="15"/>
      <c r="AV251" s="15"/>
      <c r="AW251" s="15"/>
      <c r="AX251" s="15"/>
      <c r="AY251" s="15"/>
      <c r="AZ251" s="15"/>
      <c r="BA251" s="15"/>
      <c r="BB251" s="15"/>
      <c r="BC251" s="15"/>
      <c r="BD251" s="15"/>
      <c r="BE251" s="15"/>
      <c r="BF251" s="15"/>
      <c r="BG251" s="15"/>
      <c r="BH251" s="15"/>
      <c r="BI251" s="15"/>
      <c r="BJ251" s="15"/>
      <c r="BK251" s="15"/>
      <c r="BL251" s="15"/>
      <c r="BM251" s="15"/>
      <c r="BN251" s="15"/>
      <c r="BO251" s="15"/>
      <c r="BP251" s="15"/>
      <c r="BQ251" s="15"/>
      <c r="BR251" s="15"/>
      <c r="BS251" s="15"/>
      <c r="BT251" s="15"/>
      <c r="BU251" s="15"/>
      <c r="BV251" s="15"/>
      <c r="BW251" s="15"/>
      <c r="BX251" s="15"/>
      <c r="BY251" s="15"/>
      <c r="BZ251" s="15"/>
      <c r="CA251" s="15"/>
      <c r="CB251" s="15"/>
      <c r="CC251" s="15"/>
      <c r="CD251" s="15"/>
      <c r="CE251" s="15"/>
      <c r="CF251" s="15"/>
      <c r="CG251" s="15"/>
      <c r="CH251" s="15"/>
      <c r="CI251" s="15"/>
      <c r="CJ251" s="15"/>
      <c r="CK251" s="15"/>
      <c r="CL251" s="15"/>
      <c r="CM251" s="15"/>
      <c r="CN251" s="15"/>
      <c r="CO251" s="15"/>
      <c r="CP251" s="15"/>
      <c r="CQ251" s="15"/>
      <c r="CR251" s="15"/>
      <c r="CS251" s="15"/>
      <c r="CT251" s="15"/>
      <c r="CU251" s="15"/>
      <c r="CV251" s="15"/>
      <c r="CW251" s="15"/>
      <c r="CX251" s="15"/>
      <c r="CY251" s="15"/>
      <c r="CZ251" s="15"/>
      <c r="DA251" s="15"/>
      <c r="DB251" s="15"/>
      <c r="DC251" s="15"/>
      <c r="DD251" s="15"/>
      <c r="DE251" s="15"/>
      <c r="DF251" s="15"/>
      <c r="DG251" s="15"/>
      <c r="DH251" s="15"/>
      <c r="DI251" s="15"/>
      <c r="DJ251" s="15"/>
      <c r="DK251" s="15"/>
      <c r="DL251" s="15"/>
      <c r="DM251" s="15"/>
      <c r="DN251" s="15"/>
      <c r="DO251" s="15"/>
      <c r="DP251" s="15"/>
      <c r="DQ251" s="15"/>
      <c r="DR251" s="15"/>
      <c r="DS251" s="15"/>
      <c r="DT251" s="15"/>
      <c r="DU251" s="15"/>
      <c r="DV251" s="15"/>
      <c r="DW251" s="15"/>
      <c r="DX251" s="15"/>
      <c r="DY251" s="15"/>
      <c r="DZ251" s="15"/>
      <c r="EA251" s="15"/>
      <c r="EB251" s="15"/>
      <c r="EC251" s="15"/>
      <c r="ED251" s="15"/>
      <c r="EE251" s="15"/>
      <c r="EF251" s="15"/>
      <c r="EG251" s="15"/>
      <c r="EH251" s="15"/>
      <c r="EI251" s="15"/>
      <c r="EJ251" s="15"/>
      <c r="EK251" s="15"/>
      <c r="EL251" s="15"/>
      <c r="EM251" s="15"/>
      <c r="EN251" s="15"/>
      <c r="EO251" s="15"/>
      <c r="EP251" s="15"/>
      <c r="EQ251" s="15"/>
      <c r="ER251" s="15"/>
      <c r="ES251" s="15"/>
      <c r="ET251" s="15"/>
      <c r="EU251" s="15"/>
      <c r="EV251" s="15"/>
      <c r="EW251" s="15"/>
      <c r="EX251" s="15"/>
      <c r="EY251" s="15"/>
      <c r="EZ251" s="15"/>
      <c r="FA251" s="15"/>
      <c r="FB251" s="15"/>
      <c r="FC251" s="15"/>
      <c r="FD251" s="15"/>
      <c r="FE251" s="15"/>
      <c r="FF251" s="15"/>
      <c r="FG251" s="15"/>
      <c r="FH251" s="15"/>
      <c r="FI251" s="15"/>
      <c r="FJ251" s="15"/>
      <c r="FK251" s="15"/>
      <c r="FL251" s="15"/>
      <c r="FM251" s="15"/>
      <c r="FN251" s="15"/>
      <c r="FO251" s="15"/>
      <c r="FP251" s="15"/>
      <c r="FQ251" s="15"/>
      <c r="FR251" s="15"/>
      <c r="FS251" s="15"/>
      <c r="FT251" s="15"/>
      <c r="FU251" s="15"/>
      <c r="FV251" s="15"/>
      <c r="FW251" s="15"/>
      <c r="FX251" s="15"/>
      <c r="FY251" s="15"/>
      <c r="FZ251" s="15"/>
      <c r="GA251" s="15"/>
      <c r="GB251" s="15"/>
      <c r="GC251" s="15"/>
      <c r="GD251" s="15"/>
      <c r="GE251" s="15"/>
      <c r="GF251" s="15"/>
      <c r="GG251" s="15"/>
      <c r="GH251" s="15"/>
      <c r="GI251" s="15"/>
      <c r="GJ251" s="15"/>
      <c r="GK251" s="15"/>
      <c r="GL251" s="15"/>
      <c r="GM251" s="15"/>
      <c r="GN251" s="15"/>
      <c r="GO251" s="15"/>
      <c r="GP251" s="15"/>
      <c r="GQ251" s="15"/>
      <c r="GR251" s="15"/>
      <c r="GS251" s="15"/>
      <c r="GT251" s="15"/>
      <c r="GU251" s="15"/>
      <c r="GV251" s="15"/>
      <c r="GW251" s="15"/>
      <c r="GX251" s="15"/>
      <c r="GY251" s="15"/>
      <c r="GZ251" s="15"/>
      <c r="HA251" s="15"/>
      <c r="HB251" s="15"/>
      <c r="HC251" s="15"/>
      <c r="HD251" s="15"/>
      <c r="HE251" s="15"/>
      <c r="HF251" s="15"/>
      <c r="HG251" s="15"/>
      <c r="HH251" s="15"/>
      <c r="HI251" s="15"/>
      <c r="HJ251" s="15"/>
      <c r="HK251" s="15"/>
      <c r="HL251" s="15"/>
      <c r="HM251" s="15"/>
      <c r="HN251" s="15"/>
      <c r="HO251" s="15"/>
      <c r="HP251" s="15"/>
      <c r="HQ251" s="15"/>
      <c r="HR251"/>
      <c r="HS251"/>
      <c r="HT251"/>
      <c r="HU251"/>
      <c r="HV251"/>
      <c r="HW251"/>
      <c r="HX251"/>
      <c r="HY251"/>
      <c r="HZ251"/>
      <c r="IA251"/>
      <c r="IB251"/>
      <c r="IC251"/>
      <c r="ID251"/>
      <c r="IE251"/>
      <c r="IF251"/>
      <c r="IG251"/>
      <c r="IH251"/>
      <c r="II251"/>
      <c r="IJ251"/>
      <c r="IK251" s="14"/>
      <c r="IL251" s="14"/>
      <c r="IM251" s="14"/>
      <c r="IN251" s="14"/>
      <c r="IO251" s="14"/>
      <c r="IP251" s="14"/>
      <c r="IQ251" s="14"/>
    </row>
    <row r="252" spans="1:251" s="31" customFormat="1">
      <c r="A252" s="146" t="s">
        <v>368</v>
      </c>
      <c r="B252" s="15"/>
      <c r="C252" s="15"/>
      <c r="D252" s="15"/>
      <c r="E252" s="15"/>
      <c r="F252" s="15"/>
      <c r="G252" s="15"/>
      <c r="H252" s="15"/>
      <c r="I252" s="15"/>
      <c r="J252" s="15"/>
      <c r="K252" s="15"/>
      <c r="L252" s="15"/>
      <c r="M252" s="15"/>
      <c r="N252" s="15"/>
      <c r="O252" s="15"/>
      <c r="P252" s="32">
        <v>0</v>
      </c>
      <c r="Q252" s="32">
        <v>12</v>
      </c>
      <c r="R252" s="32">
        <v>12</v>
      </c>
      <c r="S252" s="32">
        <v>12</v>
      </c>
      <c r="T252" s="32">
        <v>12</v>
      </c>
      <c r="U252" s="32">
        <v>12</v>
      </c>
      <c r="V252" s="32">
        <v>12</v>
      </c>
      <c r="W252" s="32">
        <v>12</v>
      </c>
      <c r="X252" s="32">
        <v>12</v>
      </c>
      <c r="Y252" s="32">
        <v>12</v>
      </c>
      <c r="Z252" s="32">
        <v>12</v>
      </c>
      <c r="AA252" s="32">
        <v>12</v>
      </c>
      <c r="AB252" s="32">
        <v>12</v>
      </c>
      <c r="AC252" s="32">
        <v>12</v>
      </c>
      <c r="AD252" s="32">
        <v>12</v>
      </c>
      <c r="AE252" s="32">
        <v>12</v>
      </c>
      <c r="AF252" s="32">
        <v>12</v>
      </c>
      <c r="AG252" s="32">
        <v>12</v>
      </c>
      <c r="AH252" s="15"/>
      <c r="AI252" s="15"/>
      <c r="AJ252" s="15"/>
      <c r="AK252" s="15"/>
      <c r="AL252" s="15"/>
      <c r="AM252" s="15"/>
      <c r="AN252" s="15"/>
      <c r="AO252" s="15"/>
      <c r="AP252" s="15"/>
      <c r="AQ252" s="15"/>
      <c r="AR252" s="15"/>
      <c r="AS252" s="15"/>
      <c r="AT252" s="15"/>
      <c r="AU252" s="15"/>
      <c r="AV252" s="15"/>
      <c r="AW252" s="15"/>
      <c r="AX252" s="15"/>
      <c r="AY252" s="15"/>
      <c r="AZ252" s="15"/>
      <c r="BA252" s="15"/>
      <c r="BB252" s="15"/>
      <c r="BC252" s="15"/>
      <c r="BD252" s="15"/>
      <c r="BE252" s="15"/>
      <c r="BF252" s="15"/>
      <c r="BG252" s="15"/>
      <c r="BH252" s="15"/>
      <c r="BI252" s="15"/>
      <c r="BJ252" s="15"/>
      <c r="BK252" s="15"/>
      <c r="BL252" s="15"/>
      <c r="BM252" s="15"/>
      <c r="BN252" s="15"/>
      <c r="BO252" s="15"/>
      <c r="BP252" s="15"/>
      <c r="BQ252" s="15"/>
      <c r="BR252" s="15"/>
      <c r="BS252" s="15"/>
      <c r="BT252" s="15"/>
      <c r="BU252" s="15"/>
      <c r="BV252" s="15"/>
      <c r="BW252" s="15"/>
      <c r="BX252" s="15"/>
      <c r="BY252" s="15"/>
      <c r="BZ252" s="15"/>
      <c r="CA252" s="15"/>
      <c r="CB252" s="15"/>
      <c r="CC252" s="15"/>
      <c r="CD252" s="15"/>
      <c r="CE252" s="15"/>
      <c r="CF252" s="15"/>
      <c r="CG252" s="15"/>
      <c r="CH252" s="15"/>
      <c r="CI252" s="15"/>
      <c r="CJ252" s="15"/>
      <c r="CK252" s="15"/>
      <c r="CL252" s="15"/>
      <c r="CM252" s="15"/>
      <c r="CN252" s="15"/>
      <c r="CO252" s="15"/>
      <c r="CP252" s="15"/>
      <c r="CQ252" s="15"/>
      <c r="CR252" s="15"/>
      <c r="CS252" s="15"/>
      <c r="CT252" s="15"/>
      <c r="CU252" s="15"/>
      <c r="CV252" s="15"/>
      <c r="CW252" s="15"/>
      <c r="CX252" s="15"/>
      <c r="CY252" s="15"/>
      <c r="CZ252" s="15"/>
      <c r="DA252" s="15"/>
      <c r="DB252" s="15"/>
      <c r="DC252" s="15"/>
      <c r="DD252" s="15"/>
      <c r="DE252" s="15"/>
      <c r="DF252" s="15"/>
      <c r="DG252" s="15"/>
      <c r="DH252" s="15"/>
      <c r="DI252" s="15"/>
      <c r="DJ252" s="15"/>
      <c r="DK252" s="15"/>
      <c r="DL252" s="15"/>
      <c r="DM252" s="15"/>
      <c r="DN252" s="15"/>
      <c r="DO252" s="15"/>
      <c r="DP252" s="15"/>
      <c r="DQ252" s="15"/>
      <c r="DR252" s="15"/>
      <c r="DS252" s="15"/>
      <c r="DT252" s="15"/>
      <c r="DU252" s="15"/>
      <c r="DV252" s="15"/>
      <c r="DW252" s="15"/>
      <c r="DX252" s="15"/>
      <c r="DY252" s="15"/>
      <c r="DZ252" s="15"/>
      <c r="EA252" s="15"/>
      <c r="EB252" s="15"/>
      <c r="EC252" s="15"/>
      <c r="ED252" s="15"/>
      <c r="EE252" s="15"/>
      <c r="EF252" s="15"/>
      <c r="EG252" s="15"/>
      <c r="EH252" s="15"/>
      <c r="EI252" s="15"/>
      <c r="EJ252" s="15"/>
      <c r="EK252" s="15"/>
      <c r="EL252" s="15"/>
      <c r="EM252" s="15"/>
      <c r="EN252" s="15"/>
      <c r="EO252" s="15"/>
      <c r="EP252" s="15"/>
      <c r="EQ252" s="15"/>
      <c r="ER252" s="15"/>
      <c r="ES252" s="15"/>
      <c r="ET252" s="15"/>
      <c r="EU252" s="15"/>
      <c r="EV252" s="15"/>
      <c r="EW252" s="15"/>
      <c r="EX252" s="15"/>
      <c r="EY252" s="15"/>
      <c r="EZ252" s="15"/>
      <c r="FA252" s="15"/>
      <c r="FB252" s="15"/>
      <c r="FC252" s="15"/>
      <c r="FD252" s="15"/>
      <c r="FE252" s="15"/>
      <c r="FF252" s="15"/>
      <c r="FG252" s="15"/>
      <c r="FH252" s="15"/>
      <c r="FI252" s="15"/>
      <c r="FJ252" s="15"/>
      <c r="FK252" s="15"/>
      <c r="FL252" s="15"/>
      <c r="FM252" s="15"/>
      <c r="FN252" s="15"/>
      <c r="FO252" s="15"/>
      <c r="FP252" s="15"/>
      <c r="FQ252" s="15"/>
      <c r="FR252" s="15"/>
      <c r="FS252" s="15"/>
      <c r="FT252" s="15"/>
      <c r="FU252" s="15"/>
      <c r="FV252" s="15"/>
      <c r="FW252" s="15"/>
      <c r="FX252" s="15"/>
      <c r="FY252" s="15"/>
      <c r="FZ252" s="15"/>
      <c r="GA252" s="15"/>
      <c r="GB252" s="15"/>
      <c r="GC252" s="15"/>
      <c r="GD252" s="15"/>
      <c r="GE252" s="15"/>
      <c r="GF252" s="15"/>
      <c r="GG252" s="15"/>
      <c r="GH252" s="15"/>
      <c r="GI252" s="15"/>
      <c r="GJ252" s="15"/>
      <c r="GK252" s="15"/>
      <c r="GL252" s="15"/>
      <c r="GM252" s="15"/>
      <c r="GN252" s="15"/>
      <c r="GO252" s="15"/>
      <c r="GP252" s="15"/>
      <c r="GQ252" s="15"/>
      <c r="GR252" s="15"/>
      <c r="GS252" s="15"/>
      <c r="GT252" s="15"/>
      <c r="GU252" s="15"/>
      <c r="GV252" s="15"/>
      <c r="GW252" s="15"/>
      <c r="GX252" s="15"/>
      <c r="GY252" s="15"/>
      <c r="GZ252" s="15"/>
      <c r="HA252" s="15"/>
      <c r="HB252" s="15"/>
      <c r="HC252" s="15"/>
      <c r="HD252" s="15"/>
      <c r="HE252" s="15"/>
      <c r="HF252" s="15"/>
      <c r="HG252" s="15"/>
      <c r="HH252" s="15"/>
      <c r="HI252" s="15"/>
      <c r="HJ252" s="15"/>
      <c r="HK252" s="15"/>
      <c r="HL252" s="15"/>
      <c r="HM252" s="15"/>
      <c r="HN252" s="15"/>
      <c r="HO252" s="15"/>
      <c r="HP252" s="15"/>
      <c r="HQ252" s="15"/>
      <c r="HR252"/>
      <c r="HS252"/>
      <c r="HT252"/>
      <c r="HU252"/>
      <c r="HV252"/>
      <c r="HW252"/>
      <c r="HX252"/>
      <c r="HY252"/>
      <c r="HZ252"/>
      <c r="IA252"/>
      <c r="IB252"/>
      <c r="IC252"/>
      <c r="ID252"/>
      <c r="IE252"/>
      <c r="IF252"/>
      <c r="IG252"/>
      <c r="IH252"/>
      <c r="II252"/>
      <c r="IJ252"/>
      <c r="IK252" s="14"/>
      <c r="IL252" s="14"/>
      <c r="IM252" s="14"/>
      <c r="IN252" s="14"/>
      <c r="IO252" s="14"/>
      <c r="IP252" s="14"/>
      <c r="IQ252" s="14"/>
    </row>
    <row r="253" spans="1:251" s="31" customFormat="1" ht="6" customHeight="1">
      <c r="A253" s="146"/>
      <c r="B253" s="15"/>
      <c r="C253" s="15"/>
      <c r="D253" s="15"/>
      <c r="E253" s="15"/>
      <c r="F253" s="15"/>
      <c r="G253" s="15"/>
      <c r="H253" s="15"/>
      <c r="I253" s="15"/>
      <c r="J253" s="15"/>
      <c r="K253" s="15"/>
      <c r="L253" s="15"/>
      <c r="M253" s="15"/>
      <c r="N253" s="15"/>
      <c r="O253" s="15"/>
      <c r="P253" s="43"/>
      <c r="Q253" s="43"/>
      <c r="R253" s="43"/>
      <c r="S253" s="43"/>
      <c r="T253" s="43"/>
      <c r="U253" s="43"/>
      <c r="V253" s="43"/>
      <c r="W253" s="43"/>
      <c r="X253" s="43"/>
      <c r="Y253" s="43"/>
      <c r="Z253" s="43"/>
      <c r="AA253" s="43"/>
      <c r="AB253" s="43"/>
      <c r="AC253" s="43"/>
      <c r="AD253" s="43"/>
      <c r="AE253" s="43"/>
      <c r="AF253" s="43"/>
      <c r="AG253" s="43"/>
      <c r="AH253" s="15"/>
      <c r="AI253" s="15"/>
      <c r="AJ253" s="15"/>
      <c r="AK253" s="15"/>
      <c r="AL253" s="15"/>
      <c r="AM253" s="15"/>
      <c r="AN253" s="15"/>
      <c r="AO253" s="15"/>
      <c r="AP253" s="15"/>
      <c r="AQ253" s="15"/>
      <c r="AR253" s="15"/>
      <c r="AS253" s="15"/>
      <c r="AT253" s="15"/>
      <c r="AU253" s="15"/>
      <c r="AV253" s="15"/>
      <c r="AW253" s="15"/>
      <c r="AX253" s="15"/>
      <c r="AY253" s="15"/>
      <c r="AZ253" s="15"/>
      <c r="BA253" s="15"/>
      <c r="BB253" s="15"/>
      <c r="BC253" s="15"/>
      <c r="BD253" s="15"/>
      <c r="BE253" s="15"/>
      <c r="BF253" s="15"/>
      <c r="BG253" s="15"/>
      <c r="BH253" s="15"/>
      <c r="BI253" s="15"/>
      <c r="BJ253" s="15"/>
      <c r="BK253" s="15"/>
      <c r="BL253" s="15"/>
      <c r="BM253" s="15"/>
      <c r="BN253" s="15"/>
      <c r="BO253" s="15"/>
      <c r="BP253" s="15"/>
      <c r="BQ253" s="15"/>
      <c r="BR253" s="15"/>
      <c r="BS253" s="15"/>
      <c r="BT253" s="15"/>
      <c r="BU253" s="15"/>
      <c r="BV253" s="15"/>
      <c r="BW253" s="15"/>
      <c r="BX253" s="15"/>
      <c r="BY253" s="15"/>
      <c r="BZ253" s="15"/>
      <c r="CA253" s="15"/>
      <c r="CB253" s="15"/>
      <c r="CC253" s="15"/>
      <c r="CD253" s="15"/>
      <c r="CE253" s="15"/>
      <c r="CF253" s="15"/>
      <c r="CG253" s="15"/>
      <c r="CH253" s="15"/>
      <c r="CI253" s="15"/>
      <c r="CJ253" s="15"/>
      <c r="CK253" s="15"/>
      <c r="CL253" s="15"/>
      <c r="CM253" s="15"/>
      <c r="CN253" s="15"/>
      <c r="CO253" s="15"/>
      <c r="CP253" s="15"/>
      <c r="CQ253" s="15"/>
      <c r="CR253" s="15"/>
      <c r="CS253" s="15"/>
      <c r="CT253" s="15"/>
      <c r="CU253" s="15"/>
      <c r="CV253" s="15"/>
      <c r="CW253" s="15"/>
      <c r="CX253" s="15"/>
      <c r="CY253" s="15"/>
      <c r="CZ253" s="15"/>
      <c r="DA253" s="15"/>
      <c r="DB253" s="15"/>
      <c r="DC253" s="15"/>
      <c r="DD253" s="15"/>
      <c r="DE253" s="15"/>
      <c r="DF253" s="15"/>
      <c r="DG253" s="15"/>
      <c r="DH253" s="15"/>
      <c r="DI253" s="15"/>
      <c r="DJ253" s="15"/>
      <c r="DK253" s="15"/>
      <c r="DL253" s="15"/>
      <c r="DM253" s="15"/>
      <c r="DN253" s="15"/>
      <c r="DO253" s="15"/>
      <c r="DP253" s="15"/>
      <c r="DQ253" s="15"/>
      <c r="DR253" s="15"/>
      <c r="DS253" s="15"/>
      <c r="DT253" s="15"/>
      <c r="DU253" s="15"/>
      <c r="DV253" s="15"/>
      <c r="DW253" s="15"/>
      <c r="DX253" s="15"/>
      <c r="DY253" s="15"/>
      <c r="DZ253" s="15"/>
      <c r="EA253" s="15"/>
      <c r="EB253" s="15"/>
      <c r="EC253" s="15"/>
      <c r="ED253" s="15"/>
      <c r="EE253" s="15"/>
      <c r="EF253" s="15"/>
      <c r="EG253" s="15"/>
      <c r="EH253" s="15"/>
      <c r="EI253" s="15"/>
      <c r="EJ253" s="15"/>
      <c r="EK253" s="15"/>
      <c r="EL253" s="15"/>
      <c r="EM253" s="15"/>
      <c r="EN253" s="15"/>
      <c r="EO253" s="15"/>
      <c r="EP253" s="15"/>
      <c r="EQ253" s="15"/>
      <c r="ER253" s="15"/>
      <c r="ES253" s="15"/>
      <c r="ET253" s="15"/>
      <c r="EU253" s="15"/>
      <c r="EV253" s="15"/>
      <c r="EW253" s="15"/>
      <c r="EX253" s="15"/>
      <c r="EY253" s="15"/>
      <c r="EZ253" s="15"/>
      <c r="FA253" s="15"/>
      <c r="FB253" s="15"/>
      <c r="FC253" s="15"/>
      <c r="FD253" s="15"/>
      <c r="FE253" s="15"/>
      <c r="FF253" s="15"/>
      <c r="FG253" s="15"/>
      <c r="FH253" s="15"/>
      <c r="FI253" s="15"/>
      <c r="FJ253" s="15"/>
      <c r="FK253" s="15"/>
      <c r="FL253" s="15"/>
      <c r="FM253" s="15"/>
      <c r="FN253" s="15"/>
      <c r="FO253" s="15"/>
      <c r="FP253" s="15"/>
      <c r="FQ253" s="15"/>
      <c r="FR253" s="15"/>
      <c r="FS253" s="15"/>
      <c r="FT253" s="15"/>
      <c r="FU253" s="15"/>
      <c r="FV253" s="15"/>
      <c r="FW253" s="15"/>
      <c r="FX253" s="15"/>
      <c r="FY253" s="15"/>
      <c r="FZ253" s="15"/>
      <c r="GA253" s="15"/>
      <c r="GB253" s="15"/>
      <c r="GC253" s="15"/>
      <c r="GD253" s="15"/>
      <c r="GE253" s="15"/>
      <c r="GF253" s="15"/>
      <c r="GG253" s="15"/>
      <c r="GH253" s="15"/>
      <c r="GI253" s="15"/>
      <c r="GJ253" s="15"/>
      <c r="GK253" s="15"/>
      <c r="GL253" s="15"/>
      <c r="GM253" s="15"/>
      <c r="GN253" s="15"/>
      <c r="GO253" s="15"/>
      <c r="GP253" s="15"/>
      <c r="GQ253" s="15"/>
      <c r="GR253" s="15"/>
      <c r="GS253" s="15"/>
      <c r="GT253" s="15"/>
      <c r="GU253" s="15"/>
      <c r="GV253" s="15"/>
      <c r="GW253" s="15"/>
      <c r="GX253" s="15"/>
      <c r="GY253" s="15"/>
      <c r="GZ253" s="15"/>
      <c r="HA253" s="15"/>
      <c r="HB253" s="15"/>
      <c r="HC253" s="15"/>
      <c r="HD253" s="15"/>
      <c r="HE253" s="15"/>
      <c r="HF253" s="15"/>
      <c r="HG253" s="15"/>
      <c r="HH253" s="15"/>
      <c r="HI253" s="15"/>
      <c r="HJ253" s="15"/>
      <c r="HK253" s="15"/>
      <c r="HL253" s="15"/>
      <c r="HM253" s="15"/>
      <c r="HN253" s="15"/>
      <c r="HO253" s="15"/>
      <c r="HP253" s="15"/>
      <c r="HQ253" s="15"/>
      <c r="HR253"/>
      <c r="HS253"/>
      <c r="HT253"/>
      <c r="HU253"/>
      <c r="HV253"/>
      <c r="HW253"/>
      <c r="HX253"/>
      <c r="HY253"/>
      <c r="HZ253"/>
      <c r="IA253"/>
      <c r="IB253"/>
      <c r="IC253"/>
      <c r="ID253"/>
      <c r="IE253"/>
      <c r="IF253"/>
      <c r="IG253"/>
      <c r="IH253"/>
      <c r="II253"/>
      <c r="IJ253"/>
      <c r="IK253" s="14"/>
      <c r="IL253" s="14"/>
      <c r="IM253" s="14"/>
      <c r="IN253" s="14"/>
      <c r="IO253" s="14"/>
      <c r="IP253" s="14"/>
      <c r="IQ253" s="14"/>
    </row>
    <row r="254" spans="1:251" s="31" customFormat="1">
      <c r="A254" s="146" t="s">
        <v>335</v>
      </c>
      <c r="B254" s="15"/>
      <c r="C254" s="15"/>
      <c r="D254" s="15"/>
      <c r="E254" s="15"/>
      <c r="F254" s="15"/>
      <c r="G254" s="15"/>
      <c r="H254" s="15"/>
      <c r="I254" s="15"/>
      <c r="J254" s="15"/>
      <c r="K254" s="15"/>
      <c r="L254" s="15"/>
      <c r="M254" s="15"/>
      <c r="N254" s="15"/>
      <c r="O254" s="15"/>
      <c r="P254" s="81">
        <f t="shared" ref="P254:U254" si="266">P225+P230*P232/12+P234*P236/12+P238*P240/12+P242*P244/12+P250*P252/12</f>
        <v>5739</v>
      </c>
      <c r="Q254" s="81">
        <f t="shared" si="266"/>
        <v>13620.25</v>
      </c>
      <c r="R254" s="81">
        <f>AVERAGE(R225:R226)+R230*R232/12+R234*R236/12+R238*R240/12+R242*R244/12+R250*R252/12</f>
        <v>12338.916666666666</v>
      </c>
      <c r="S254" s="81">
        <f t="shared" si="266"/>
        <v>12132</v>
      </c>
      <c r="T254" s="81">
        <f t="shared" si="266"/>
        <v>13626</v>
      </c>
      <c r="U254" s="81">
        <f t="shared" si="266"/>
        <v>13813</v>
      </c>
      <c r="V254" s="81">
        <f t="shared" ref="V254:AB254" si="267">V225+V230*V232/12+V234*V236/12+V238*V240/12+V242*V244/12+V250*V252/12</f>
        <v>13813</v>
      </c>
      <c r="W254" s="81">
        <f t="shared" si="267"/>
        <v>13813</v>
      </c>
      <c r="X254" s="81">
        <f t="shared" ref="X254" si="268">X225+X230*X232/12+X234*X236/12+X238*X240/12+X242*X244/12+X250*X252/12</f>
        <v>13813</v>
      </c>
      <c r="Y254" s="81">
        <f t="shared" si="267"/>
        <v>13813</v>
      </c>
      <c r="Z254" s="81">
        <f t="shared" si="267"/>
        <v>13813</v>
      </c>
      <c r="AA254" s="81">
        <f t="shared" si="267"/>
        <v>13813</v>
      </c>
      <c r="AB254" s="81">
        <f t="shared" si="267"/>
        <v>13813</v>
      </c>
      <c r="AC254" s="81">
        <f>AC225+AC230*AC232/12+AC234*AC236/12+AC238*AC240/12+AC242*AC244/12+AC250*AC252/12</f>
        <v>13813</v>
      </c>
      <c r="AD254" s="81">
        <f>AD225+AD230*AD232/12+AD234*AD236/12+AD238*AD240/12+AD242*AD244/12+AD250*AD252/12</f>
        <v>13813</v>
      </c>
      <c r="AE254" s="81">
        <f>AE225+AE230*AE232/12+AE234*AE236/12+AE238*AE240/12+AE242*AE244/12+AE250*AE252/12</f>
        <v>13813</v>
      </c>
      <c r="AF254" s="81">
        <f>AF225+AF230*AF232/12+AF234*AF236/12+AF238*AF240/12+AF242*AF244/12+AF250*AF252/12</f>
        <v>13813</v>
      </c>
      <c r="AG254" s="81">
        <f>AG225+AG230*AG232/12+AG234*AG236/12+AG238*AG240/12+AG242*AG244/12+AG250*AG252/12</f>
        <v>13813</v>
      </c>
      <c r="AH254" s="15"/>
      <c r="AI254" s="15"/>
      <c r="AJ254" s="15"/>
      <c r="AK254" s="15"/>
      <c r="AL254" s="15"/>
      <c r="AM254" s="15"/>
      <c r="AN254" s="15"/>
      <c r="AO254" s="15"/>
      <c r="AP254" s="15"/>
      <c r="AQ254" s="15"/>
      <c r="AR254" s="15"/>
      <c r="AS254" s="15"/>
      <c r="AT254" s="15"/>
      <c r="AU254" s="15"/>
      <c r="AV254" s="15"/>
      <c r="AW254" s="15"/>
      <c r="AX254" s="15"/>
      <c r="AY254" s="15"/>
      <c r="AZ254" s="15"/>
      <c r="BA254" s="15"/>
      <c r="BB254" s="15"/>
      <c r="BC254" s="15"/>
      <c r="BD254" s="15"/>
      <c r="BE254" s="15"/>
      <c r="BF254" s="15"/>
      <c r="BG254" s="15"/>
      <c r="BH254" s="15"/>
      <c r="BI254" s="15"/>
      <c r="BJ254" s="15"/>
      <c r="BK254" s="15"/>
      <c r="BL254" s="15"/>
      <c r="BM254" s="15"/>
      <c r="BN254" s="15"/>
      <c r="BO254" s="15"/>
      <c r="BP254" s="15"/>
      <c r="BQ254" s="15"/>
      <c r="BR254" s="15"/>
      <c r="BS254" s="15"/>
      <c r="BT254" s="15"/>
      <c r="BU254" s="15"/>
      <c r="BV254" s="15"/>
      <c r="BW254" s="15"/>
      <c r="BX254" s="15"/>
      <c r="BY254" s="15"/>
      <c r="BZ254" s="15"/>
      <c r="CA254" s="15"/>
      <c r="CB254" s="15"/>
      <c r="CC254" s="15"/>
      <c r="CD254" s="15"/>
      <c r="CE254" s="15"/>
      <c r="CF254" s="15"/>
      <c r="CG254" s="15"/>
      <c r="CH254" s="15"/>
      <c r="CI254" s="15"/>
      <c r="CJ254" s="15"/>
      <c r="CK254" s="15"/>
      <c r="CL254" s="15"/>
      <c r="CM254" s="15"/>
      <c r="CN254" s="15"/>
      <c r="CO254" s="15"/>
      <c r="CP254" s="15"/>
      <c r="CQ254" s="15"/>
      <c r="CR254" s="15"/>
      <c r="CS254" s="15"/>
      <c r="CT254" s="15"/>
      <c r="CU254" s="15"/>
      <c r="CV254" s="15"/>
      <c r="CW254" s="15"/>
      <c r="CX254" s="15"/>
      <c r="CY254" s="15"/>
      <c r="CZ254" s="15"/>
      <c r="DA254" s="15"/>
      <c r="DB254" s="15"/>
      <c r="DC254" s="15"/>
      <c r="DD254" s="15"/>
      <c r="DE254" s="15"/>
      <c r="DF254" s="15"/>
      <c r="DG254" s="15"/>
      <c r="DH254" s="15"/>
      <c r="DI254" s="15"/>
      <c r="DJ254" s="15"/>
      <c r="DK254" s="15"/>
      <c r="DL254" s="15"/>
      <c r="DM254" s="15"/>
      <c r="DN254" s="15"/>
      <c r="DO254" s="15"/>
      <c r="DP254" s="15"/>
      <c r="DQ254" s="15"/>
      <c r="DR254" s="15"/>
      <c r="DS254" s="15"/>
      <c r="DT254" s="15"/>
      <c r="DU254" s="15"/>
      <c r="DV254" s="15"/>
      <c r="DW254" s="15"/>
      <c r="DX254" s="15"/>
      <c r="DY254" s="15"/>
      <c r="DZ254" s="15"/>
      <c r="EA254" s="15"/>
      <c r="EB254" s="15"/>
      <c r="EC254" s="15"/>
      <c r="ED254" s="15"/>
      <c r="EE254" s="15"/>
      <c r="EF254" s="15"/>
      <c r="EG254" s="15"/>
      <c r="EH254" s="15"/>
      <c r="EI254" s="15"/>
      <c r="EJ254" s="15"/>
      <c r="EK254" s="15"/>
      <c r="EL254" s="15"/>
      <c r="EM254" s="15"/>
      <c r="EN254" s="15"/>
      <c r="EO254" s="15"/>
      <c r="EP254" s="15"/>
      <c r="EQ254" s="15"/>
      <c r="ER254" s="15"/>
      <c r="ES254" s="15"/>
      <c r="ET254" s="15"/>
      <c r="EU254" s="15"/>
      <c r="EV254" s="15"/>
      <c r="EW254" s="15"/>
      <c r="EX254" s="15"/>
      <c r="EY254" s="15"/>
      <c r="EZ254" s="15"/>
      <c r="FA254" s="15"/>
      <c r="FB254" s="15"/>
      <c r="FC254" s="15"/>
      <c r="FD254" s="15"/>
      <c r="FE254" s="15"/>
      <c r="FF254" s="15"/>
      <c r="FG254" s="15"/>
      <c r="FH254" s="15"/>
      <c r="FI254" s="15"/>
      <c r="FJ254" s="15"/>
      <c r="FK254" s="15"/>
      <c r="FL254" s="15"/>
      <c r="FM254" s="15"/>
      <c r="FN254" s="15"/>
      <c r="FO254" s="15"/>
      <c r="FP254" s="15"/>
      <c r="FQ254" s="15"/>
      <c r="FR254" s="15"/>
      <c r="FS254" s="15"/>
      <c r="FT254" s="15"/>
      <c r="FU254" s="15"/>
      <c r="FV254" s="15"/>
      <c r="FW254" s="15"/>
      <c r="FX254" s="15"/>
      <c r="FY254" s="15"/>
      <c r="FZ254" s="15"/>
      <c r="GA254" s="15"/>
      <c r="GB254" s="15"/>
      <c r="GC254" s="15"/>
      <c r="GD254" s="15"/>
      <c r="GE254" s="15"/>
      <c r="GF254" s="15"/>
      <c r="GG254" s="15"/>
      <c r="GH254" s="15"/>
      <c r="GI254" s="15"/>
      <c r="GJ254" s="15"/>
      <c r="GK254" s="15"/>
      <c r="GL254" s="15"/>
      <c r="GM254" s="15"/>
      <c r="GN254" s="15"/>
      <c r="GO254" s="15"/>
      <c r="GP254" s="15"/>
      <c r="GQ254" s="15"/>
      <c r="GR254" s="15"/>
      <c r="GS254" s="15"/>
      <c r="GT254" s="15"/>
      <c r="GU254" s="15"/>
      <c r="GV254" s="15"/>
      <c r="GW254" s="15"/>
      <c r="GX254" s="15"/>
      <c r="GY254" s="15"/>
      <c r="GZ254" s="15"/>
      <c r="HA254" s="15"/>
      <c r="HB254" s="15"/>
      <c r="HC254" s="15"/>
      <c r="HD254" s="15"/>
      <c r="HE254" s="15"/>
      <c r="HF254" s="15"/>
      <c r="HG254" s="15"/>
      <c r="HH254" s="15"/>
      <c r="HI254" s="15"/>
      <c r="HJ254" s="15"/>
      <c r="HK254" s="15"/>
      <c r="HL254" s="15"/>
      <c r="HM254" s="15"/>
      <c r="HN254" s="15"/>
      <c r="HO254" s="15"/>
      <c r="HP254" s="15"/>
      <c r="HQ254" s="15"/>
      <c r="HR254"/>
      <c r="HS254"/>
      <c r="HT254"/>
      <c r="HU254"/>
      <c r="HV254"/>
      <c r="HW254"/>
      <c r="HX254"/>
      <c r="HY254"/>
      <c r="HZ254"/>
      <c r="IA254"/>
      <c r="IB254"/>
      <c r="IC254"/>
      <c r="ID254"/>
      <c r="IE254"/>
      <c r="IF254"/>
      <c r="IG254"/>
      <c r="IH254"/>
      <c r="II254"/>
      <c r="IJ254"/>
      <c r="IK254" s="14"/>
      <c r="IL254" s="14"/>
      <c r="IM254" s="14"/>
      <c r="IN254" s="14"/>
      <c r="IO254" s="14"/>
      <c r="IP254" s="14"/>
      <c r="IQ254" s="14"/>
    </row>
    <row r="255" spans="1:251" s="31" customFormat="1">
      <c r="A255" s="48" t="s">
        <v>612</v>
      </c>
      <c r="B255" s="15"/>
      <c r="C255" s="15"/>
      <c r="D255" s="15"/>
      <c r="E255" s="15"/>
      <c r="F255" s="15"/>
      <c r="G255" s="15"/>
      <c r="H255" s="15"/>
      <c r="I255" s="15"/>
      <c r="J255" s="15"/>
      <c r="K255" s="15"/>
      <c r="L255" s="15"/>
      <c r="M255" s="15"/>
      <c r="N255" s="15"/>
      <c r="O255" s="15"/>
      <c r="P255" s="107">
        <f>AVERAGE(P225:P226)*P227+P230*P231*P232/12+P234*P235*(P236/12)+P238*P239*(P240/12)+AA1260*P243*(P244/12)+P250*P251*(P252/12)</f>
        <v>271.56</v>
      </c>
      <c r="Q255" s="107">
        <f>AVERAGE(Q225:Q226)*Q227+Q230*Q231*Q232/12+Q234*Q235*(Q236/12)+Q238*Q239*(Q240/12)+Q242*Q243*(Q244/12)+Q250*Q251*(Q252/12)</f>
        <v>1157.5670833333334</v>
      </c>
      <c r="R255" s="107">
        <f t="shared" ref="R255:W255" si="269">AVERAGE(R225:R226)*R227+R230*R231*R232/12+R234*R235*(R236/12)+R238*R239*(R240/12)+R242*R243*(R244/12)+R246*R247*(R248/12)+R250*R251*(R252/12)</f>
        <v>1156.5045833333331</v>
      </c>
      <c r="S255" s="107">
        <f t="shared" si="269"/>
        <v>1178.96</v>
      </c>
      <c r="T255" s="107">
        <f t="shared" si="269"/>
        <v>1233.5925</v>
      </c>
      <c r="U255" s="107">
        <f t="shared" si="269"/>
        <v>1239.67</v>
      </c>
      <c r="V255" s="107">
        <f t="shared" si="269"/>
        <v>1239.67</v>
      </c>
      <c r="W255" s="107">
        <f t="shared" si="269"/>
        <v>1239.67</v>
      </c>
      <c r="X255" s="107">
        <f t="shared" ref="X255" si="270">AVERAGE(X225:X226)*X227+X230*X231*X232/12+X234*X235*(X236/12)+X238*X239*(X240/12)+X242*X243*(X244/12)+X246*X247*(X248/12)+X250*X251*(X252/12)</f>
        <v>1239.67</v>
      </c>
      <c r="Y255" s="107">
        <f t="shared" ref="Y255:AG255" si="271">AVERAGE(Y225:Y226)*Y227+Y230*Y231*Y232/12+Y234*Y235*(Y236/12)+Y238*Y239*(Y240/12)+Y242*Y243*(Y244/12)+Y246*Y247*(Y248/12)+Y250*Y251*(Y252/12)</f>
        <v>1239.67</v>
      </c>
      <c r="Z255" s="107">
        <f t="shared" si="271"/>
        <v>1239.67</v>
      </c>
      <c r="AA255" s="107">
        <f t="shared" si="271"/>
        <v>1239.67</v>
      </c>
      <c r="AB255" s="107">
        <f t="shared" si="271"/>
        <v>1239.67</v>
      </c>
      <c r="AC255" s="107">
        <f t="shared" si="271"/>
        <v>1239.67</v>
      </c>
      <c r="AD255" s="107">
        <f t="shared" si="271"/>
        <v>1239.67</v>
      </c>
      <c r="AE255" s="107">
        <f t="shared" si="271"/>
        <v>1239.67</v>
      </c>
      <c r="AF255" s="107">
        <f t="shared" si="271"/>
        <v>1239.67</v>
      </c>
      <c r="AG255" s="107">
        <f t="shared" si="271"/>
        <v>1239.67</v>
      </c>
      <c r="AH255" s="15"/>
      <c r="AI255" s="15"/>
      <c r="AJ255" s="15"/>
      <c r="AK255" s="15"/>
      <c r="AL255" s="15"/>
      <c r="AM255" s="15"/>
      <c r="AN255" s="15"/>
      <c r="AO255" s="15"/>
      <c r="AP255" s="15"/>
      <c r="AQ255" s="15"/>
      <c r="AR255" s="15"/>
      <c r="AS255" s="15"/>
      <c r="AT255" s="15"/>
      <c r="AU255" s="15"/>
      <c r="AV255" s="15"/>
      <c r="AW255" s="15"/>
      <c r="AX255" s="15"/>
      <c r="AY255" s="15"/>
      <c r="AZ255" s="15"/>
      <c r="BA255" s="15"/>
      <c r="BB255" s="15"/>
      <c r="BC255" s="15"/>
      <c r="BD255" s="15"/>
      <c r="BE255" s="15"/>
      <c r="BF255" s="15"/>
      <c r="BG255" s="15"/>
      <c r="BH255" s="15"/>
      <c r="BI255" s="15"/>
      <c r="BJ255" s="15"/>
      <c r="BK255" s="15"/>
      <c r="BL255" s="15"/>
      <c r="BM255" s="15"/>
      <c r="BN255" s="15"/>
      <c r="BO255" s="15"/>
      <c r="BP255" s="15"/>
      <c r="BQ255" s="15"/>
      <c r="BR255" s="15"/>
      <c r="BS255" s="15"/>
      <c r="BT255" s="15"/>
      <c r="BU255" s="15"/>
      <c r="BV255" s="15"/>
      <c r="BW255" s="15"/>
      <c r="BX255" s="15"/>
      <c r="BY255" s="15"/>
      <c r="BZ255" s="15"/>
      <c r="CA255" s="15"/>
      <c r="CB255" s="15"/>
      <c r="CC255" s="15"/>
      <c r="CD255" s="15"/>
      <c r="CE255" s="15"/>
      <c r="CF255" s="15"/>
      <c r="CG255" s="15"/>
      <c r="CH255" s="15"/>
      <c r="CI255" s="15"/>
      <c r="CJ255" s="15"/>
      <c r="CK255" s="15"/>
      <c r="CL255" s="15"/>
      <c r="CM255" s="15"/>
      <c r="CN255" s="15"/>
      <c r="CO255" s="15"/>
      <c r="CP255" s="15"/>
      <c r="CQ255" s="15"/>
      <c r="CR255" s="15"/>
      <c r="CS255" s="15"/>
      <c r="CT255" s="15"/>
      <c r="CU255" s="15"/>
      <c r="CV255" s="15"/>
      <c r="CW255" s="15"/>
      <c r="CX255" s="15"/>
      <c r="CY255" s="15"/>
      <c r="CZ255" s="15"/>
      <c r="DA255" s="15"/>
      <c r="DB255" s="15"/>
      <c r="DC255" s="15"/>
      <c r="DD255" s="15"/>
      <c r="DE255" s="15"/>
      <c r="DF255" s="15"/>
      <c r="DG255" s="15"/>
      <c r="DH255" s="15"/>
      <c r="DI255" s="15"/>
      <c r="DJ255" s="15"/>
      <c r="DK255" s="15"/>
      <c r="DL255" s="15"/>
      <c r="DM255" s="15"/>
      <c r="DN255" s="15"/>
      <c r="DO255" s="15"/>
      <c r="DP255" s="15"/>
      <c r="DQ255" s="15"/>
      <c r="DR255" s="15"/>
      <c r="DS255" s="15"/>
      <c r="DT255" s="15"/>
      <c r="DU255" s="15"/>
      <c r="DV255" s="15"/>
      <c r="DW255" s="15"/>
      <c r="DX255" s="15"/>
      <c r="DY255" s="15"/>
      <c r="DZ255" s="15"/>
      <c r="EA255" s="15"/>
      <c r="EB255" s="15"/>
      <c r="EC255" s="15"/>
      <c r="ED255" s="15"/>
      <c r="EE255" s="15"/>
      <c r="EF255" s="15"/>
      <c r="EG255" s="15"/>
      <c r="EH255" s="15"/>
      <c r="EI255" s="15"/>
      <c r="EJ255" s="15"/>
      <c r="EK255" s="15"/>
      <c r="EL255" s="15"/>
      <c r="EM255" s="15"/>
      <c r="EN255" s="15"/>
      <c r="EO255" s="15"/>
      <c r="EP255" s="15"/>
      <c r="EQ255" s="15"/>
      <c r="ER255" s="15"/>
      <c r="ES255" s="15"/>
      <c r="ET255" s="15"/>
      <c r="EU255" s="15"/>
      <c r="EV255" s="15"/>
      <c r="EW255" s="15"/>
      <c r="EX255" s="15"/>
      <c r="EY255" s="15"/>
      <c r="EZ255" s="15"/>
      <c r="FA255" s="15"/>
      <c r="FB255" s="15"/>
      <c r="FC255" s="15"/>
      <c r="FD255" s="15"/>
      <c r="FE255" s="15"/>
      <c r="FF255" s="15"/>
      <c r="FG255" s="15"/>
      <c r="FH255" s="15"/>
      <c r="FI255" s="15"/>
      <c r="FJ255" s="15"/>
      <c r="FK255" s="15"/>
      <c r="FL255" s="15"/>
      <c r="FM255" s="15"/>
      <c r="FN255" s="15"/>
      <c r="FO255" s="15"/>
      <c r="FP255" s="15"/>
      <c r="FQ255" s="15"/>
      <c r="FR255" s="15"/>
      <c r="FS255" s="15"/>
      <c r="FT255" s="15"/>
      <c r="FU255" s="15"/>
      <c r="FV255" s="15"/>
      <c r="FW255" s="15"/>
      <c r="FX255" s="15"/>
      <c r="FY255" s="15"/>
      <c r="FZ255" s="15"/>
      <c r="GA255" s="15"/>
      <c r="GB255" s="15"/>
      <c r="GC255" s="15"/>
      <c r="GD255" s="15"/>
      <c r="GE255" s="15"/>
      <c r="GF255" s="15"/>
      <c r="GG255" s="15"/>
      <c r="GH255" s="15"/>
      <c r="GI255" s="15"/>
      <c r="GJ255" s="15"/>
      <c r="GK255" s="15"/>
      <c r="GL255" s="15"/>
      <c r="GM255" s="15"/>
      <c r="GN255" s="15"/>
      <c r="GO255" s="15"/>
      <c r="GP255" s="15"/>
      <c r="GQ255" s="15"/>
      <c r="GR255" s="15"/>
      <c r="GS255" s="15"/>
      <c r="GT255" s="15"/>
      <c r="GU255" s="15"/>
      <c r="GV255" s="15"/>
      <c r="GW255" s="15"/>
      <c r="GX255" s="15"/>
      <c r="GY255" s="15"/>
      <c r="GZ255" s="15"/>
      <c r="HA255" s="15"/>
      <c r="HB255" s="15"/>
      <c r="HC255" s="15"/>
      <c r="HD255" s="15"/>
      <c r="HE255" s="15"/>
      <c r="HF255" s="15"/>
      <c r="HG255" s="15"/>
      <c r="HH255" s="15"/>
      <c r="HI255" s="15"/>
      <c r="HJ255" s="15"/>
      <c r="HK255" s="15"/>
      <c r="HL255" s="15"/>
      <c r="HM255" s="15"/>
      <c r="HN255" s="15"/>
      <c r="HO255" s="15"/>
      <c r="HP255" s="15"/>
      <c r="HQ255" s="15"/>
      <c r="HR255"/>
      <c r="HS255"/>
      <c r="HT255"/>
      <c r="HU255"/>
      <c r="HV255"/>
      <c r="HW255"/>
      <c r="HX255"/>
      <c r="HY255"/>
      <c r="HZ255"/>
      <c r="IA255"/>
      <c r="IB255"/>
      <c r="IC255"/>
      <c r="ID255"/>
      <c r="IE255"/>
      <c r="IF255"/>
      <c r="IG255"/>
      <c r="IH255"/>
      <c r="II255"/>
      <c r="IJ255"/>
      <c r="IK255" s="14"/>
      <c r="IL255" s="14"/>
      <c r="IM255" s="14"/>
      <c r="IN255" s="14"/>
      <c r="IO255" s="14"/>
      <c r="IP255" s="14"/>
      <c r="IQ255" s="14"/>
    </row>
    <row r="256" spans="1:251" s="31" customFormat="1" ht="6" customHeight="1">
      <c r="A256" s="146"/>
      <c r="B256" s="15"/>
      <c r="C256" s="15"/>
      <c r="D256" s="15"/>
      <c r="E256" s="15"/>
      <c r="F256" s="15"/>
      <c r="G256" s="15"/>
      <c r="H256" s="15"/>
      <c r="I256" s="15"/>
      <c r="J256" s="15"/>
      <c r="K256" s="15"/>
      <c r="L256" s="15"/>
      <c r="M256" s="15"/>
      <c r="N256" s="15"/>
      <c r="O256" s="15"/>
      <c r="P256" s="58"/>
      <c r="Q256" s="58"/>
      <c r="R256" s="58"/>
      <c r="S256" s="58"/>
      <c r="T256" s="58"/>
      <c r="U256" s="58"/>
      <c r="V256" s="58"/>
      <c r="W256" s="58"/>
      <c r="X256" s="58"/>
      <c r="Y256" s="58"/>
      <c r="Z256" s="58"/>
      <c r="AA256" s="58"/>
      <c r="AB256" s="58"/>
      <c r="AC256" s="58"/>
      <c r="AD256" s="58"/>
      <c r="AE256" s="58"/>
      <c r="AF256" s="58"/>
      <c r="AG256" s="58"/>
      <c r="AH256" s="15"/>
      <c r="AI256" s="15"/>
      <c r="AJ256" s="15"/>
      <c r="AK256" s="15"/>
      <c r="AL256" s="15"/>
      <c r="AM256" s="15"/>
      <c r="AN256" s="15"/>
      <c r="AO256" s="15"/>
      <c r="AP256" s="15"/>
      <c r="AQ256" s="15"/>
      <c r="AR256" s="15"/>
      <c r="AS256" s="15"/>
      <c r="AT256" s="15"/>
      <c r="AU256" s="15"/>
      <c r="AV256" s="15"/>
      <c r="AW256" s="15"/>
      <c r="AX256" s="15"/>
      <c r="AY256" s="15"/>
      <c r="AZ256" s="15"/>
      <c r="BA256" s="15"/>
      <c r="BB256" s="15"/>
      <c r="BC256" s="15"/>
      <c r="BD256" s="15"/>
      <c r="BE256" s="15"/>
      <c r="BF256" s="15"/>
      <c r="BG256" s="15"/>
      <c r="BH256" s="15"/>
      <c r="BI256" s="15"/>
      <c r="BJ256" s="15"/>
      <c r="BK256" s="15"/>
      <c r="BL256" s="15"/>
      <c r="BM256" s="15"/>
      <c r="BN256" s="15"/>
      <c r="BO256" s="15"/>
      <c r="BP256" s="15"/>
      <c r="BQ256" s="15"/>
      <c r="BR256" s="15"/>
      <c r="BS256" s="15"/>
      <c r="BT256" s="15"/>
      <c r="BU256" s="15"/>
      <c r="BV256" s="15"/>
      <c r="BW256" s="15"/>
      <c r="BX256" s="15"/>
      <c r="BY256" s="15"/>
      <c r="BZ256" s="15"/>
      <c r="CA256" s="15"/>
      <c r="CB256" s="15"/>
      <c r="CC256" s="15"/>
      <c r="CD256" s="15"/>
      <c r="CE256" s="15"/>
      <c r="CF256" s="15"/>
      <c r="CG256" s="15"/>
      <c r="CH256" s="15"/>
      <c r="CI256" s="15"/>
      <c r="CJ256" s="15"/>
      <c r="CK256" s="15"/>
      <c r="CL256" s="15"/>
      <c r="CM256" s="15"/>
      <c r="CN256" s="15"/>
      <c r="CO256" s="15"/>
      <c r="CP256" s="15"/>
      <c r="CQ256" s="15"/>
      <c r="CR256" s="15"/>
      <c r="CS256" s="15"/>
      <c r="CT256" s="15"/>
      <c r="CU256" s="15"/>
      <c r="CV256" s="15"/>
      <c r="CW256" s="15"/>
      <c r="CX256" s="15"/>
      <c r="CY256" s="15"/>
      <c r="CZ256" s="15"/>
      <c r="DA256" s="15"/>
      <c r="DB256" s="15"/>
      <c r="DC256" s="15"/>
      <c r="DD256" s="15"/>
      <c r="DE256" s="15"/>
      <c r="DF256" s="15"/>
      <c r="DG256" s="15"/>
      <c r="DH256" s="15"/>
      <c r="DI256" s="15"/>
      <c r="DJ256" s="15"/>
      <c r="DK256" s="15"/>
      <c r="DL256" s="15"/>
      <c r="DM256" s="15"/>
      <c r="DN256" s="15"/>
      <c r="DO256" s="15"/>
      <c r="DP256" s="15"/>
      <c r="DQ256" s="15"/>
      <c r="DR256" s="15"/>
      <c r="DS256" s="15"/>
      <c r="DT256" s="15"/>
      <c r="DU256" s="15"/>
      <c r="DV256" s="15"/>
      <c r="DW256" s="15"/>
      <c r="DX256" s="15"/>
      <c r="DY256" s="15"/>
      <c r="DZ256" s="15"/>
      <c r="EA256" s="15"/>
      <c r="EB256" s="15"/>
      <c r="EC256" s="15"/>
      <c r="ED256" s="15"/>
      <c r="EE256" s="15"/>
      <c r="EF256" s="15"/>
      <c r="EG256" s="15"/>
      <c r="EH256" s="15"/>
      <c r="EI256" s="15"/>
      <c r="EJ256" s="15"/>
      <c r="EK256" s="15"/>
      <c r="EL256" s="15"/>
      <c r="EM256" s="15"/>
      <c r="EN256" s="15"/>
      <c r="EO256" s="15"/>
      <c r="EP256" s="15"/>
      <c r="EQ256" s="15"/>
      <c r="ER256" s="15"/>
      <c r="ES256" s="15"/>
      <c r="ET256" s="15"/>
      <c r="EU256" s="15"/>
      <c r="EV256" s="15"/>
      <c r="EW256" s="15"/>
      <c r="EX256" s="15"/>
      <c r="EY256" s="15"/>
      <c r="EZ256" s="15"/>
      <c r="FA256" s="15"/>
      <c r="FB256" s="15"/>
      <c r="FC256" s="15"/>
      <c r="FD256" s="15"/>
      <c r="FE256" s="15"/>
      <c r="FF256" s="15"/>
      <c r="FG256" s="15"/>
      <c r="FH256" s="15"/>
      <c r="FI256" s="15"/>
      <c r="FJ256" s="15"/>
      <c r="FK256" s="15"/>
      <c r="FL256" s="15"/>
      <c r="FM256" s="15"/>
      <c r="FN256" s="15"/>
      <c r="FO256" s="15"/>
      <c r="FP256" s="15"/>
      <c r="FQ256" s="15"/>
      <c r="FR256" s="15"/>
      <c r="FS256" s="15"/>
      <c r="FT256" s="15"/>
      <c r="FU256" s="15"/>
      <c r="FV256" s="15"/>
      <c r="FW256" s="15"/>
      <c r="FX256" s="15"/>
      <c r="FY256" s="15"/>
      <c r="FZ256" s="15"/>
      <c r="GA256" s="15"/>
      <c r="GB256" s="15"/>
      <c r="GC256" s="15"/>
      <c r="GD256" s="15"/>
      <c r="GE256" s="15"/>
      <c r="GF256" s="15"/>
      <c r="GG256" s="15"/>
      <c r="GH256" s="15"/>
      <c r="GI256" s="15"/>
      <c r="GJ256" s="15"/>
      <c r="GK256" s="15"/>
      <c r="GL256" s="15"/>
      <c r="GM256" s="15"/>
      <c r="GN256" s="15"/>
      <c r="GO256" s="15"/>
      <c r="GP256" s="15"/>
      <c r="GQ256" s="15"/>
      <c r="GR256" s="15"/>
      <c r="GS256" s="15"/>
      <c r="GT256" s="15"/>
      <c r="GU256" s="15"/>
      <c r="GV256" s="15"/>
      <c r="GW256" s="15"/>
      <c r="GX256" s="15"/>
      <c r="GY256" s="15"/>
      <c r="GZ256" s="15"/>
      <c r="HA256" s="15"/>
      <c r="HB256" s="15"/>
      <c r="HC256" s="15"/>
      <c r="HD256" s="15"/>
      <c r="HE256" s="15"/>
      <c r="HF256" s="15"/>
      <c r="HG256" s="15"/>
      <c r="HH256" s="15"/>
      <c r="HI256" s="15"/>
      <c r="HJ256" s="15"/>
      <c r="HK256" s="15"/>
      <c r="HL256" s="15"/>
      <c r="HM256" s="15"/>
      <c r="HN256" s="15"/>
      <c r="HO256" s="15"/>
      <c r="HP256" s="15"/>
      <c r="HQ256" s="15"/>
      <c r="HR256"/>
      <c r="HS256"/>
      <c r="HT256"/>
      <c r="HU256"/>
      <c r="HV256"/>
      <c r="HW256"/>
      <c r="HX256"/>
      <c r="HY256"/>
      <c r="HZ256"/>
      <c r="IA256"/>
      <c r="IB256"/>
      <c r="IC256"/>
      <c r="ID256"/>
      <c r="IE256"/>
      <c r="IF256"/>
      <c r="IG256"/>
      <c r="IH256"/>
      <c r="II256"/>
      <c r="IJ256"/>
      <c r="IK256" s="14"/>
      <c r="IL256" s="14"/>
      <c r="IM256" s="14"/>
      <c r="IN256" s="14"/>
      <c r="IO256" s="14"/>
      <c r="IP256" s="14"/>
      <c r="IQ256" s="14"/>
    </row>
    <row r="257" spans="1:251" s="31" customFormat="1">
      <c r="A257" s="146" t="s">
        <v>628</v>
      </c>
      <c r="B257" s="15"/>
      <c r="C257" s="15"/>
      <c r="D257" s="15"/>
      <c r="E257" s="15"/>
      <c r="F257" s="15"/>
      <c r="G257" s="15"/>
      <c r="H257" s="15"/>
      <c r="I257" s="15"/>
      <c r="J257" s="15"/>
      <c r="K257" s="15"/>
      <c r="L257" s="15"/>
      <c r="M257" s="15"/>
      <c r="N257" s="15"/>
      <c r="O257" s="15"/>
      <c r="P257" s="81">
        <f>P255-P226*P227</f>
        <v>226.125</v>
      </c>
      <c r="Q257" s="81">
        <f t="shared" ref="Q257:V257" si="272">Q255-AVERAGE(Q225:Q226)*Q227</f>
        <v>1084.4745833333334</v>
      </c>
      <c r="R257" s="81">
        <f t="shared" si="272"/>
        <v>1098.5895833333332</v>
      </c>
      <c r="S257" s="81">
        <f t="shared" si="272"/>
        <v>1064.95</v>
      </c>
      <c r="T257" s="81">
        <f t="shared" si="272"/>
        <v>1064.95</v>
      </c>
      <c r="U257" s="81">
        <f t="shared" si="272"/>
        <v>1064.95</v>
      </c>
      <c r="V257" s="81">
        <f t="shared" si="272"/>
        <v>1064.95</v>
      </c>
      <c r="W257" s="81">
        <f t="shared" ref="W257:AB257" si="273">W255-AVERAGE(W225:W226)*W227</f>
        <v>1064.95</v>
      </c>
      <c r="X257" s="81">
        <f t="shared" ref="X257" si="274">X255-AVERAGE(X225:X226)*X227</f>
        <v>1064.95</v>
      </c>
      <c r="Y257" s="81">
        <f t="shared" si="273"/>
        <v>1064.95</v>
      </c>
      <c r="Z257" s="81">
        <f t="shared" si="273"/>
        <v>1064.95</v>
      </c>
      <c r="AA257" s="81">
        <f t="shared" si="273"/>
        <v>1064.95</v>
      </c>
      <c r="AB257" s="81">
        <f t="shared" si="273"/>
        <v>1064.95</v>
      </c>
      <c r="AC257" s="81">
        <f>AC255-AVERAGE(AC225:AC226)*AC227</f>
        <v>1064.95</v>
      </c>
      <c r="AD257" s="81">
        <f>AD255-AVERAGE(AD225:AD226)*AD227</f>
        <v>1064.95</v>
      </c>
      <c r="AE257" s="81">
        <f>AE255-AVERAGE(AE225:AE226)*AE227</f>
        <v>1064.95</v>
      </c>
      <c r="AF257" s="81">
        <f>AF255-AVERAGE(AF225:AF226)*AF227</f>
        <v>1064.95</v>
      </c>
      <c r="AG257" s="81">
        <f>AG255-AVERAGE(AG225:AG226)*AG227</f>
        <v>1064.95</v>
      </c>
      <c r="AH257" s="15"/>
      <c r="AI257" s="15"/>
      <c r="AJ257" s="15"/>
      <c r="AK257" s="15"/>
      <c r="AL257" s="15"/>
      <c r="AM257" s="15"/>
      <c r="AN257" s="15"/>
      <c r="AO257" s="15"/>
      <c r="AP257" s="15"/>
      <c r="AQ257" s="15"/>
      <c r="AR257" s="15"/>
      <c r="AS257" s="15"/>
      <c r="AT257" s="15"/>
      <c r="AU257" s="15"/>
      <c r="AV257" s="15"/>
      <c r="AW257" s="15"/>
      <c r="AX257" s="15"/>
      <c r="AY257" s="15"/>
      <c r="AZ257" s="15"/>
      <c r="BA257" s="15"/>
      <c r="BB257" s="15"/>
      <c r="BC257" s="15"/>
      <c r="BD257" s="15"/>
      <c r="BE257" s="15"/>
      <c r="BF257" s="15"/>
      <c r="BG257" s="15"/>
      <c r="BH257" s="15"/>
      <c r="BI257" s="15"/>
      <c r="BJ257" s="15"/>
      <c r="BK257" s="15"/>
      <c r="BL257" s="15"/>
      <c r="BM257" s="15"/>
      <c r="BN257" s="15"/>
      <c r="BO257" s="15"/>
      <c r="BP257" s="15"/>
      <c r="BQ257" s="15"/>
      <c r="BR257" s="15"/>
      <c r="BS257" s="15"/>
      <c r="BT257" s="15"/>
      <c r="BU257" s="15"/>
      <c r="BV257" s="15"/>
      <c r="BW257" s="15"/>
      <c r="BX257" s="15"/>
      <c r="BY257" s="15"/>
      <c r="BZ257" s="15"/>
      <c r="CA257" s="15"/>
      <c r="CB257" s="15"/>
      <c r="CC257" s="15"/>
      <c r="CD257" s="15"/>
      <c r="CE257" s="15"/>
      <c r="CF257" s="15"/>
      <c r="CG257" s="15"/>
      <c r="CH257" s="15"/>
      <c r="CI257" s="15"/>
      <c r="CJ257" s="15"/>
      <c r="CK257" s="15"/>
      <c r="CL257" s="15"/>
      <c r="CM257" s="15"/>
      <c r="CN257" s="15"/>
      <c r="CO257" s="15"/>
      <c r="CP257" s="15"/>
      <c r="CQ257" s="15"/>
      <c r="CR257" s="15"/>
      <c r="CS257" s="15"/>
      <c r="CT257" s="15"/>
      <c r="CU257" s="15"/>
      <c r="CV257" s="15"/>
      <c r="CW257" s="15"/>
      <c r="CX257" s="15"/>
      <c r="CY257" s="15"/>
      <c r="CZ257" s="15"/>
      <c r="DA257" s="15"/>
      <c r="DB257" s="15"/>
      <c r="DC257" s="15"/>
      <c r="DD257" s="15"/>
      <c r="DE257" s="15"/>
      <c r="DF257" s="15"/>
      <c r="DG257" s="15"/>
      <c r="DH257" s="15"/>
      <c r="DI257" s="15"/>
      <c r="DJ257" s="15"/>
      <c r="DK257" s="15"/>
      <c r="DL257" s="15"/>
      <c r="DM257" s="15"/>
      <c r="DN257" s="15"/>
      <c r="DO257" s="15"/>
      <c r="DP257" s="15"/>
      <c r="DQ257" s="15"/>
      <c r="DR257" s="15"/>
      <c r="DS257" s="15"/>
      <c r="DT257" s="15"/>
      <c r="DU257" s="15"/>
      <c r="DV257" s="15"/>
      <c r="DW257" s="15"/>
      <c r="DX257" s="15"/>
      <c r="DY257" s="15"/>
      <c r="DZ257" s="15"/>
      <c r="EA257" s="15"/>
      <c r="EB257" s="15"/>
      <c r="EC257" s="15"/>
      <c r="ED257" s="15"/>
      <c r="EE257" s="15"/>
      <c r="EF257" s="15"/>
      <c r="EG257" s="15"/>
      <c r="EH257" s="15"/>
      <c r="EI257" s="15"/>
      <c r="EJ257" s="15"/>
      <c r="EK257" s="15"/>
      <c r="EL257" s="15"/>
      <c r="EM257" s="15"/>
      <c r="EN257" s="15"/>
      <c r="EO257" s="15"/>
      <c r="EP257" s="15"/>
      <c r="EQ257" s="15"/>
      <c r="ER257" s="15"/>
      <c r="ES257" s="15"/>
      <c r="ET257" s="15"/>
      <c r="EU257" s="15"/>
      <c r="EV257" s="15"/>
      <c r="EW257" s="15"/>
      <c r="EX257" s="15"/>
      <c r="EY257" s="15"/>
      <c r="EZ257" s="15"/>
      <c r="FA257" s="15"/>
      <c r="FB257" s="15"/>
      <c r="FC257" s="15"/>
      <c r="FD257" s="15"/>
      <c r="FE257" s="15"/>
      <c r="FF257" s="15"/>
      <c r="FG257" s="15"/>
      <c r="FH257" s="15"/>
      <c r="FI257" s="15"/>
      <c r="FJ257" s="15"/>
      <c r="FK257" s="15"/>
      <c r="FL257" s="15"/>
      <c r="FM257" s="15"/>
      <c r="FN257" s="15"/>
      <c r="FO257" s="15"/>
      <c r="FP257" s="15"/>
      <c r="FQ257" s="15"/>
      <c r="FR257" s="15"/>
      <c r="FS257" s="15"/>
      <c r="FT257" s="15"/>
      <c r="FU257" s="15"/>
      <c r="FV257" s="15"/>
      <c r="FW257" s="15"/>
      <c r="FX257" s="15"/>
      <c r="FY257" s="15"/>
      <c r="FZ257" s="15"/>
      <c r="GA257" s="15"/>
      <c r="GB257" s="15"/>
      <c r="GC257" s="15"/>
      <c r="GD257" s="15"/>
      <c r="GE257" s="15"/>
      <c r="GF257" s="15"/>
      <c r="GG257" s="15"/>
      <c r="GH257" s="15"/>
      <c r="GI257" s="15"/>
      <c r="GJ257" s="15"/>
      <c r="GK257" s="15"/>
      <c r="GL257" s="15"/>
      <c r="GM257" s="15"/>
      <c r="GN257" s="15"/>
      <c r="GO257" s="15"/>
      <c r="GP257" s="15"/>
      <c r="GQ257" s="15"/>
      <c r="GR257" s="15"/>
      <c r="GS257" s="15"/>
      <c r="GT257" s="15"/>
      <c r="GU257" s="15"/>
      <c r="GV257" s="15"/>
      <c r="GW257" s="15"/>
      <c r="GX257" s="15"/>
      <c r="GY257" s="15"/>
      <c r="GZ257" s="15"/>
      <c r="HA257" s="15"/>
      <c r="HB257" s="15"/>
      <c r="HC257" s="15"/>
      <c r="HD257" s="15"/>
      <c r="HE257" s="15"/>
      <c r="HF257" s="15"/>
      <c r="HG257" s="15"/>
      <c r="HH257" s="15"/>
      <c r="HI257" s="15"/>
      <c r="HJ257" s="15"/>
      <c r="HK257" s="15"/>
      <c r="HL257" s="15"/>
      <c r="HM257" s="15"/>
      <c r="HN257" s="15"/>
      <c r="HO257" s="15"/>
      <c r="HP257" s="15"/>
      <c r="HQ257" s="15"/>
      <c r="HR257"/>
      <c r="HS257"/>
      <c r="HT257"/>
      <c r="HU257"/>
      <c r="HV257"/>
      <c r="HW257"/>
      <c r="HX257"/>
      <c r="HY257"/>
      <c r="HZ257"/>
      <c r="IA257"/>
      <c r="IB257"/>
      <c r="IC257"/>
      <c r="ID257"/>
      <c r="IE257"/>
      <c r="IF257"/>
      <c r="IG257"/>
      <c r="IH257"/>
      <c r="II257"/>
      <c r="IJ257"/>
      <c r="IK257" s="14"/>
      <c r="IL257" s="14"/>
      <c r="IM257" s="14"/>
      <c r="IN257" s="14"/>
      <c r="IO257" s="14"/>
      <c r="IP257" s="14"/>
      <c r="IQ257" s="14"/>
    </row>
    <row r="258" spans="1:251" s="31" customFormat="1">
      <c r="A258" s="146" t="s">
        <v>179</v>
      </c>
      <c r="B258" s="15"/>
      <c r="C258" s="15"/>
      <c r="D258" s="15"/>
      <c r="E258" s="15"/>
      <c r="F258" s="15"/>
      <c r="G258" s="15"/>
      <c r="H258" s="15"/>
      <c r="I258" s="15"/>
      <c r="J258" s="15"/>
      <c r="K258" s="15"/>
      <c r="L258" s="15"/>
      <c r="M258" s="15"/>
      <c r="N258" s="15"/>
      <c r="O258" s="15"/>
      <c r="P258" s="107">
        <f t="shared" ref="P258:V258" si="275">P257-P221</f>
        <v>206.125</v>
      </c>
      <c r="Q258" s="107">
        <f t="shared" si="275"/>
        <v>1084.4745833333334</v>
      </c>
      <c r="R258" s="107">
        <f t="shared" si="275"/>
        <v>1098.5895833333332</v>
      </c>
      <c r="S258" s="107">
        <f t="shared" si="275"/>
        <v>1064.95</v>
      </c>
      <c r="T258" s="107">
        <f t="shared" si="275"/>
        <v>1064.95</v>
      </c>
      <c r="U258" s="107">
        <f t="shared" si="275"/>
        <v>1064.95</v>
      </c>
      <c r="V258" s="107">
        <f t="shared" si="275"/>
        <v>1064.95</v>
      </c>
      <c r="W258" s="107">
        <f t="shared" ref="W258:AB258" si="276">W257-W221</f>
        <v>1064.95</v>
      </c>
      <c r="X258" s="107">
        <f t="shared" ref="X258" si="277">X257-X221</f>
        <v>1064.95</v>
      </c>
      <c r="Y258" s="107">
        <f t="shared" si="276"/>
        <v>1064.95</v>
      </c>
      <c r="Z258" s="107">
        <f t="shared" si="276"/>
        <v>1064.95</v>
      </c>
      <c r="AA258" s="107">
        <f t="shared" si="276"/>
        <v>1064.95</v>
      </c>
      <c r="AB258" s="107">
        <f t="shared" si="276"/>
        <v>1064.95</v>
      </c>
      <c r="AC258" s="107">
        <f>AC257-AC221</f>
        <v>1064.95</v>
      </c>
      <c r="AD258" s="107">
        <f>AD257-AD221</f>
        <v>1064.95</v>
      </c>
      <c r="AE258" s="107">
        <f>AE257-AE221</f>
        <v>1064.95</v>
      </c>
      <c r="AF258" s="107">
        <f>AF257-AF221</f>
        <v>1064.95</v>
      </c>
      <c r="AG258" s="107">
        <f>AG257-AG221</f>
        <v>1064.95</v>
      </c>
      <c r="AH258" s="15"/>
      <c r="AI258" s="15"/>
      <c r="AJ258" s="15"/>
      <c r="AK258" s="15"/>
      <c r="AL258" s="15"/>
      <c r="AM258" s="15"/>
      <c r="AN258" s="15"/>
      <c r="AO258" s="15"/>
      <c r="AP258" s="15"/>
      <c r="AQ258" s="15"/>
      <c r="AR258" s="15"/>
      <c r="AS258" s="15"/>
      <c r="AT258" s="15"/>
      <c r="AU258" s="15"/>
      <c r="AV258" s="15"/>
      <c r="AW258" s="15"/>
      <c r="AX258" s="15"/>
      <c r="AY258" s="15"/>
      <c r="AZ258" s="15"/>
      <c r="BA258" s="15"/>
      <c r="BB258" s="15"/>
      <c r="BC258" s="15"/>
      <c r="BD258" s="15"/>
      <c r="BE258" s="15"/>
      <c r="BF258" s="15"/>
      <c r="BG258" s="15"/>
      <c r="BH258" s="15"/>
      <c r="BI258" s="15"/>
      <c r="BJ258" s="15"/>
      <c r="BK258" s="15"/>
      <c r="BL258" s="15"/>
      <c r="BM258" s="15"/>
      <c r="BN258" s="15"/>
      <c r="BO258" s="15"/>
      <c r="BP258" s="15"/>
      <c r="BQ258" s="15"/>
      <c r="BR258" s="15"/>
      <c r="BS258" s="15"/>
      <c r="BT258" s="15"/>
      <c r="BU258" s="15"/>
      <c r="BV258" s="15"/>
      <c r="BW258" s="15"/>
      <c r="BX258" s="15"/>
      <c r="BY258" s="15"/>
      <c r="BZ258" s="15"/>
      <c r="CA258" s="15"/>
      <c r="CB258" s="15"/>
      <c r="CC258" s="15"/>
      <c r="CD258" s="15"/>
      <c r="CE258" s="15"/>
      <c r="CF258" s="15"/>
      <c r="CG258" s="15"/>
      <c r="CH258" s="15"/>
      <c r="CI258" s="15"/>
      <c r="CJ258" s="15"/>
      <c r="CK258" s="15"/>
      <c r="CL258" s="15"/>
      <c r="CM258" s="15"/>
      <c r="CN258" s="15"/>
      <c r="CO258" s="15"/>
      <c r="CP258" s="15"/>
      <c r="CQ258" s="15"/>
      <c r="CR258" s="15"/>
      <c r="CS258" s="15"/>
      <c r="CT258" s="15"/>
      <c r="CU258" s="15"/>
      <c r="CV258" s="15"/>
      <c r="CW258" s="15"/>
      <c r="CX258" s="15"/>
      <c r="CY258" s="15"/>
      <c r="CZ258" s="15"/>
      <c r="DA258" s="15"/>
      <c r="DB258" s="15"/>
      <c r="DC258" s="15"/>
      <c r="DD258" s="15"/>
      <c r="DE258" s="15"/>
      <c r="DF258" s="15"/>
      <c r="DG258" s="15"/>
      <c r="DH258" s="15"/>
      <c r="DI258" s="15"/>
      <c r="DJ258" s="15"/>
      <c r="DK258" s="15"/>
      <c r="DL258" s="15"/>
      <c r="DM258" s="15"/>
      <c r="DN258" s="15"/>
      <c r="DO258" s="15"/>
      <c r="DP258" s="15"/>
      <c r="DQ258" s="15"/>
      <c r="DR258" s="15"/>
      <c r="DS258" s="15"/>
      <c r="DT258" s="15"/>
      <c r="DU258" s="15"/>
      <c r="DV258" s="15"/>
      <c r="DW258" s="15"/>
      <c r="DX258" s="15"/>
      <c r="DY258" s="15"/>
      <c r="DZ258" s="15"/>
      <c r="EA258" s="15"/>
      <c r="EB258" s="15"/>
      <c r="EC258" s="15"/>
      <c r="ED258" s="15"/>
      <c r="EE258" s="15"/>
      <c r="EF258" s="15"/>
      <c r="EG258" s="15"/>
      <c r="EH258" s="15"/>
      <c r="EI258" s="15"/>
      <c r="EJ258" s="15"/>
      <c r="EK258" s="15"/>
      <c r="EL258" s="15"/>
      <c r="EM258" s="15"/>
      <c r="EN258" s="15"/>
      <c r="EO258" s="15"/>
      <c r="EP258" s="15"/>
      <c r="EQ258" s="15"/>
      <c r="ER258" s="15"/>
      <c r="ES258" s="15"/>
      <c r="ET258" s="15"/>
      <c r="EU258" s="15"/>
      <c r="EV258" s="15"/>
      <c r="EW258" s="15"/>
      <c r="EX258" s="15"/>
      <c r="EY258" s="15"/>
      <c r="EZ258" s="15"/>
      <c r="FA258" s="15"/>
      <c r="FB258" s="15"/>
      <c r="FC258" s="15"/>
      <c r="FD258" s="15"/>
      <c r="FE258" s="15"/>
      <c r="FF258" s="15"/>
      <c r="FG258" s="15"/>
      <c r="FH258" s="15"/>
      <c r="FI258" s="15"/>
      <c r="FJ258" s="15"/>
      <c r="FK258" s="15"/>
      <c r="FL258" s="15"/>
      <c r="FM258" s="15"/>
      <c r="FN258" s="15"/>
      <c r="FO258" s="15"/>
      <c r="FP258" s="15"/>
      <c r="FQ258" s="15"/>
      <c r="FR258" s="15"/>
      <c r="FS258" s="15"/>
      <c r="FT258" s="15"/>
      <c r="FU258" s="15"/>
      <c r="FV258" s="15"/>
      <c r="FW258" s="15"/>
      <c r="FX258" s="15"/>
      <c r="FY258" s="15"/>
      <c r="FZ258" s="15"/>
      <c r="GA258" s="15"/>
      <c r="GB258" s="15"/>
      <c r="GC258" s="15"/>
      <c r="GD258" s="15"/>
      <c r="GE258" s="15"/>
      <c r="GF258" s="15"/>
      <c r="GG258" s="15"/>
      <c r="GH258" s="15"/>
      <c r="GI258" s="15"/>
      <c r="GJ258" s="15"/>
      <c r="GK258" s="15"/>
      <c r="GL258" s="15"/>
      <c r="GM258" s="15"/>
      <c r="GN258" s="15"/>
      <c r="GO258" s="15"/>
      <c r="GP258" s="15"/>
      <c r="GQ258" s="15"/>
      <c r="GR258" s="15"/>
      <c r="GS258" s="15"/>
      <c r="GT258" s="15"/>
      <c r="GU258" s="15"/>
      <c r="GV258" s="15"/>
      <c r="GW258" s="15"/>
      <c r="GX258" s="15"/>
      <c r="GY258" s="15"/>
      <c r="GZ258" s="15"/>
      <c r="HA258" s="15"/>
      <c r="HB258" s="15"/>
      <c r="HC258" s="15"/>
      <c r="HD258" s="15"/>
      <c r="HE258" s="15"/>
      <c r="HF258" s="15"/>
      <c r="HG258" s="15"/>
      <c r="HH258" s="15"/>
      <c r="HI258" s="15"/>
      <c r="HJ258" s="15"/>
      <c r="HK258" s="15"/>
      <c r="HL258" s="15"/>
      <c r="HM258" s="15"/>
      <c r="HN258" s="15"/>
      <c r="HO258" s="15"/>
      <c r="HP258" s="15"/>
      <c r="HQ258" s="15"/>
      <c r="HR258"/>
      <c r="HS258"/>
      <c r="HT258"/>
      <c r="HU258"/>
      <c r="HV258"/>
      <c r="HW258"/>
      <c r="HX258"/>
      <c r="HY258"/>
      <c r="HZ258"/>
      <c r="IA258"/>
      <c r="IB258"/>
      <c r="IC258"/>
      <c r="ID258"/>
      <c r="IE258"/>
      <c r="IF258"/>
      <c r="IG258"/>
      <c r="IH258"/>
      <c r="II258"/>
      <c r="IJ258"/>
      <c r="IK258" s="14"/>
      <c r="IL258" s="14"/>
      <c r="IM258" s="14"/>
      <c r="IN258" s="14"/>
      <c r="IO258" s="14"/>
      <c r="IP258" s="14"/>
      <c r="IQ258" s="14"/>
    </row>
    <row r="259" spans="1:251" s="31" customFormat="1" ht="6" customHeight="1">
      <c r="A259" s="146"/>
      <c r="B259" s="15"/>
      <c r="C259" s="15"/>
      <c r="D259" s="15"/>
      <c r="E259" s="15"/>
      <c r="F259" s="15"/>
      <c r="G259" s="15"/>
      <c r="H259" s="15"/>
      <c r="I259" s="15"/>
      <c r="J259" s="15"/>
      <c r="K259" s="15"/>
      <c r="L259" s="15"/>
      <c r="M259" s="15"/>
      <c r="N259" s="15"/>
      <c r="O259" s="15"/>
      <c r="P259" s="43"/>
      <c r="Q259" s="43"/>
      <c r="R259" s="43"/>
      <c r="S259" s="43"/>
      <c r="T259" s="43"/>
      <c r="U259" s="43"/>
      <c r="V259" s="43"/>
      <c r="W259" s="43"/>
      <c r="X259" s="43"/>
      <c r="Y259" s="43"/>
      <c r="Z259" s="43"/>
      <c r="AA259" s="43"/>
      <c r="AB259" s="43"/>
      <c r="AC259" s="43"/>
      <c r="AD259" s="43"/>
      <c r="AE259" s="43"/>
      <c r="AF259" s="43"/>
      <c r="AG259" s="43"/>
      <c r="AH259" s="15"/>
      <c r="AI259" s="15"/>
      <c r="AJ259" s="15"/>
      <c r="AK259" s="15"/>
      <c r="AL259" s="15"/>
      <c r="AM259" s="15"/>
      <c r="AN259" s="15"/>
      <c r="AO259" s="15"/>
      <c r="AP259" s="15"/>
      <c r="AQ259" s="15"/>
      <c r="AR259" s="15"/>
      <c r="AS259" s="15"/>
      <c r="AT259" s="15"/>
      <c r="AU259" s="15"/>
      <c r="AV259" s="15"/>
      <c r="AW259" s="15"/>
      <c r="AX259" s="15"/>
      <c r="AY259" s="15"/>
      <c r="AZ259" s="15"/>
      <c r="BA259" s="15"/>
      <c r="BB259" s="15"/>
      <c r="BC259" s="15"/>
      <c r="BD259" s="15"/>
      <c r="BE259" s="15"/>
      <c r="BF259" s="15"/>
      <c r="BG259" s="15"/>
      <c r="BH259" s="15"/>
      <c r="BI259" s="15"/>
      <c r="BJ259" s="15"/>
      <c r="BK259" s="15"/>
      <c r="BL259" s="15"/>
      <c r="BM259" s="15"/>
      <c r="BN259" s="15"/>
      <c r="BO259" s="15"/>
      <c r="BP259" s="15"/>
      <c r="BQ259" s="15"/>
      <c r="BR259" s="15"/>
      <c r="BS259" s="15"/>
      <c r="BT259" s="15"/>
      <c r="BU259" s="15"/>
      <c r="BV259" s="15"/>
      <c r="BW259" s="15"/>
      <c r="BX259" s="15"/>
      <c r="BY259" s="15"/>
      <c r="BZ259" s="15"/>
      <c r="CA259" s="15"/>
      <c r="CB259" s="15"/>
      <c r="CC259" s="15"/>
      <c r="CD259" s="15"/>
      <c r="CE259" s="15"/>
      <c r="CF259" s="15"/>
      <c r="CG259" s="15"/>
      <c r="CH259" s="15"/>
      <c r="CI259" s="15"/>
      <c r="CJ259" s="15"/>
      <c r="CK259" s="15"/>
      <c r="CL259" s="15"/>
      <c r="CM259" s="15"/>
      <c r="CN259" s="15"/>
      <c r="CO259" s="15"/>
      <c r="CP259" s="15"/>
      <c r="CQ259" s="15"/>
      <c r="CR259" s="15"/>
      <c r="CS259" s="15"/>
      <c r="CT259" s="15"/>
      <c r="CU259" s="15"/>
      <c r="CV259" s="15"/>
      <c r="CW259" s="15"/>
      <c r="CX259" s="15"/>
      <c r="CY259" s="15"/>
      <c r="CZ259" s="15"/>
      <c r="DA259" s="15"/>
      <c r="DB259" s="15"/>
      <c r="DC259" s="15"/>
      <c r="DD259" s="15"/>
      <c r="DE259" s="15"/>
      <c r="DF259" s="15"/>
      <c r="DG259" s="15"/>
      <c r="DH259" s="15"/>
      <c r="DI259" s="15"/>
      <c r="DJ259" s="15"/>
      <c r="DK259" s="15"/>
      <c r="DL259" s="15"/>
      <c r="DM259" s="15"/>
      <c r="DN259" s="15"/>
      <c r="DO259" s="15"/>
      <c r="DP259" s="15"/>
      <c r="DQ259" s="15"/>
      <c r="DR259" s="15"/>
      <c r="DS259" s="15"/>
      <c r="DT259" s="15"/>
      <c r="DU259" s="15"/>
      <c r="DV259" s="15"/>
      <c r="DW259" s="15"/>
      <c r="DX259" s="15"/>
      <c r="DY259" s="15"/>
      <c r="DZ259" s="15"/>
      <c r="EA259" s="15"/>
      <c r="EB259" s="15"/>
      <c r="EC259" s="15"/>
      <c r="ED259" s="15"/>
      <c r="EE259" s="15"/>
      <c r="EF259" s="15"/>
      <c r="EG259" s="15"/>
      <c r="EH259" s="15"/>
      <c r="EI259" s="15"/>
      <c r="EJ259" s="15"/>
      <c r="EK259" s="15"/>
      <c r="EL259" s="15"/>
      <c r="EM259" s="15"/>
      <c r="EN259" s="15"/>
      <c r="EO259" s="15"/>
      <c r="EP259" s="15"/>
      <c r="EQ259" s="15"/>
      <c r="ER259" s="15"/>
      <c r="ES259" s="15"/>
      <c r="ET259" s="15"/>
      <c r="EU259" s="15"/>
      <c r="EV259" s="15"/>
      <c r="EW259" s="15"/>
      <c r="EX259" s="15"/>
      <c r="EY259" s="15"/>
      <c r="EZ259" s="15"/>
      <c r="FA259" s="15"/>
      <c r="FB259" s="15"/>
      <c r="FC259" s="15"/>
      <c r="FD259" s="15"/>
      <c r="FE259" s="15"/>
      <c r="FF259" s="15"/>
      <c r="FG259" s="15"/>
      <c r="FH259" s="15"/>
      <c r="FI259" s="15"/>
      <c r="FJ259" s="15"/>
      <c r="FK259" s="15"/>
      <c r="FL259" s="15"/>
      <c r="FM259" s="15"/>
      <c r="FN259" s="15"/>
      <c r="FO259" s="15"/>
      <c r="FP259" s="15"/>
      <c r="FQ259" s="15"/>
      <c r="FR259" s="15"/>
      <c r="FS259" s="15"/>
      <c r="FT259" s="15"/>
      <c r="FU259" s="15"/>
      <c r="FV259" s="15"/>
      <c r="FW259" s="15"/>
      <c r="FX259" s="15"/>
      <c r="FY259" s="15"/>
      <c r="FZ259" s="15"/>
      <c r="GA259" s="15"/>
      <c r="GB259" s="15"/>
      <c r="GC259" s="15"/>
      <c r="GD259" s="15"/>
      <c r="GE259" s="15"/>
      <c r="GF259" s="15"/>
      <c r="GG259" s="15"/>
      <c r="GH259" s="15"/>
      <c r="GI259" s="15"/>
      <c r="GJ259" s="15"/>
      <c r="GK259" s="15"/>
      <c r="GL259" s="15"/>
      <c r="GM259" s="15"/>
      <c r="GN259" s="15"/>
      <c r="GO259" s="15"/>
      <c r="GP259" s="15"/>
      <c r="GQ259" s="15"/>
      <c r="GR259" s="15"/>
      <c r="GS259" s="15"/>
      <c r="GT259" s="15"/>
      <c r="GU259" s="15"/>
      <c r="GV259" s="15"/>
      <c r="GW259" s="15"/>
      <c r="GX259" s="15"/>
      <c r="GY259" s="15"/>
      <c r="GZ259" s="15"/>
      <c r="HA259" s="15"/>
      <c r="HB259" s="15"/>
      <c r="HC259" s="15"/>
      <c r="HD259" s="15"/>
      <c r="HE259" s="15"/>
      <c r="HF259" s="15"/>
      <c r="HG259" s="15"/>
      <c r="HH259" s="15"/>
      <c r="HI259" s="15"/>
      <c r="HJ259" s="15"/>
      <c r="HK259" s="15"/>
      <c r="HL259" s="15"/>
      <c r="HM259" s="15"/>
      <c r="HN259" s="15"/>
      <c r="HO259" s="15"/>
      <c r="HP259" s="15"/>
      <c r="HQ259" s="15"/>
      <c r="HR259"/>
      <c r="HS259"/>
      <c r="HT259"/>
      <c r="HU259"/>
      <c r="HV259"/>
      <c r="HW259"/>
      <c r="HX259"/>
      <c r="HY259"/>
      <c r="HZ259"/>
      <c r="IA259"/>
      <c r="IB259"/>
      <c r="IC259"/>
      <c r="ID259"/>
      <c r="IE259"/>
      <c r="IF259"/>
      <c r="IG259"/>
      <c r="IH259"/>
      <c r="II259"/>
      <c r="IJ259"/>
      <c r="IK259" s="14"/>
      <c r="IL259" s="14"/>
      <c r="IM259" s="14"/>
      <c r="IN259" s="14"/>
      <c r="IO259" s="14"/>
      <c r="IP259" s="14"/>
      <c r="IQ259" s="14"/>
    </row>
    <row r="260" spans="1:251" s="31" customFormat="1">
      <c r="A260" s="146" t="s">
        <v>336</v>
      </c>
      <c r="B260" s="15"/>
      <c r="C260" s="15"/>
      <c r="D260" s="15"/>
      <c r="E260" s="15"/>
      <c r="F260" s="15"/>
      <c r="G260" s="15"/>
      <c r="H260" s="15"/>
      <c r="I260" s="15"/>
      <c r="J260" s="15"/>
      <c r="K260" s="15"/>
      <c r="L260" s="15"/>
      <c r="M260" s="15"/>
      <c r="N260" s="15"/>
      <c r="O260" s="15"/>
      <c r="P260" s="81">
        <f>(P234*P235/12)-P216*P217/12</f>
        <v>37.412500000000001</v>
      </c>
      <c r="Q260" s="43"/>
      <c r="R260" s="43"/>
      <c r="S260" s="43"/>
      <c r="T260" s="43"/>
      <c r="U260" s="43"/>
      <c r="V260" s="43"/>
      <c r="W260" s="43"/>
      <c r="X260" s="43"/>
      <c r="Y260" s="43"/>
      <c r="Z260" s="43"/>
      <c r="AA260" s="43"/>
      <c r="AB260" s="43"/>
      <c r="AC260" s="43"/>
      <c r="AD260" s="43"/>
      <c r="AE260" s="43"/>
      <c r="AF260" s="43"/>
      <c r="AG260" s="43"/>
      <c r="AH260" s="15"/>
      <c r="AI260" s="15"/>
      <c r="AJ260" s="15"/>
      <c r="AK260" s="15"/>
      <c r="AL260" s="15"/>
      <c r="AM260" s="15"/>
      <c r="AN260" s="15"/>
      <c r="AO260" s="15"/>
      <c r="AP260" s="15"/>
      <c r="AQ260" s="15"/>
      <c r="AR260" s="15"/>
      <c r="AS260" s="15"/>
      <c r="AT260" s="15"/>
      <c r="AU260" s="15"/>
      <c r="AV260" s="15"/>
      <c r="AW260" s="15"/>
      <c r="AX260" s="15"/>
      <c r="AY260" s="15"/>
      <c r="AZ260" s="15"/>
      <c r="BA260" s="15"/>
      <c r="BB260" s="15"/>
      <c r="BC260" s="15"/>
      <c r="BD260" s="15"/>
      <c r="BE260" s="15"/>
      <c r="BF260" s="15"/>
      <c r="BG260" s="15"/>
      <c r="BH260" s="15"/>
      <c r="BI260" s="15"/>
      <c r="BJ260" s="15"/>
      <c r="BK260" s="15"/>
      <c r="BL260" s="15"/>
      <c r="BM260" s="15"/>
      <c r="BN260" s="15"/>
      <c r="BO260" s="15"/>
      <c r="BP260" s="15"/>
      <c r="BQ260" s="15"/>
      <c r="BR260" s="15"/>
      <c r="BS260" s="15"/>
      <c r="BT260" s="15"/>
      <c r="BU260" s="15"/>
      <c r="BV260" s="15"/>
      <c r="BW260" s="15"/>
      <c r="BX260" s="15"/>
      <c r="BY260" s="15"/>
      <c r="BZ260" s="15"/>
      <c r="CA260" s="15"/>
      <c r="CB260" s="15"/>
      <c r="CC260" s="15"/>
      <c r="CD260" s="15"/>
      <c r="CE260" s="15"/>
      <c r="CF260" s="15"/>
      <c r="CG260" s="15"/>
      <c r="CH260" s="15"/>
      <c r="CI260" s="15"/>
      <c r="CJ260" s="15"/>
      <c r="CK260" s="15"/>
      <c r="CL260" s="15"/>
      <c r="CM260" s="15"/>
      <c r="CN260" s="15"/>
      <c r="CO260" s="15"/>
      <c r="CP260" s="15"/>
      <c r="CQ260" s="15"/>
      <c r="CR260" s="15"/>
      <c r="CS260" s="15"/>
      <c r="CT260" s="15"/>
      <c r="CU260" s="15"/>
      <c r="CV260" s="15"/>
      <c r="CW260" s="15"/>
      <c r="CX260" s="15"/>
      <c r="CY260" s="15"/>
      <c r="CZ260" s="15"/>
      <c r="DA260" s="15"/>
      <c r="DB260" s="15"/>
      <c r="DC260" s="15"/>
      <c r="DD260" s="15"/>
      <c r="DE260" s="15"/>
      <c r="DF260" s="15"/>
      <c r="DG260" s="15"/>
      <c r="DH260" s="15"/>
      <c r="DI260" s="15"/>
      <c r="DJ260" s="15"/>
      <c r="DK260" s="15"/>
      <c r="DL260" s="15"/>
      <c r="DM260" s="15"/>
      <c r="DN260" s="15"/>
      <c r="DO260" s="15"/>
      <c r="DP260" s="15"/>
      <c r="DQ260" s="15"/>
      <c r="DR260" s="15"/>
      <c r="DS260" s="15"/>
      <c r="DT260" s="15"/>
      <c r="DU260" s="15"/>
      <c r="DV260" s="15"/>
      <c r="DW260" s="15"/>
      <c r="DX260" s="15"/>
      <c r="DY260" s="15"/>
      <c r="DZ260" s="15"/>
      <c r="EA260" s="15"/>
      <c r="EB260" s="15"/>
      <c r="EC260" s="15"/>
      <c r="ED260" s="15"/>
      <c r="EE260" s="15"/>
      <c r="EF260" s="15"/>
      <c r="EG260" s="15"/>
      <c r="EH260" s="15"/>
      <c r="EI260" s="15"/>
      <c r="EJ260" s="15"/>
      <c r="EK260" s="15"/>
      <c r="EL260" s="15"/>
      <c r="EM260" s="15"/>
      <c r="EN260" s="15"/>
      <c r="EO260" s="15"/>
      <c r="EP260" s="15"/>
      <c r="EQ260" s="15"/>
      <c r="ER260" s="15"/>
      <c r="ES260" s="15"/>
      <c r="ET260" s="15"/>
      <c r="EU260" s="15"/>
      <c r="EV260" s="15"/>
      <c r="EW260" s="15"/>
      <c r="EX260" s="15"/>
      <c r="EY260" s="15"/>
      <c r="EZ260" s="15"/>
      <c r="FA260" s="15"/>
      <c r="FB260" s="15"/>
      <c r="FC260" s="15"/>
      <c r="FD260" s="15"/>
      <c r="FE260" s="15"/>
      <c r="FF260" s="15"/>
      <c r="FG260" s="15"/>
      <c r="FH260" s="15"/>
      <c r="FI260" s="15"/>
      <c r="FJ260" s="15"/>
      <c r="FK260" s="15"/>
      <c r="FL260" s="15"/>
      <c r="FM260" s="15"/>
      <c r="FN260" s="15"/>
      <c r="FO260" s="15"/>
      <c r="FP260" s="15"/>
      <c r="FQ260" s="15"/>
      <c r="FR260" s="15"/>
      <c r="FS260" s="15"/>
      <c r="FT260" s="15"/>
      <c r="FU260" s="15"/>
      <c r="FV260" s="15"/>
      <c r="FW260" s="15"/>
      <c r="FX260" s="15"/>
      <c r="FY260" s="15"/>
      <c r="FZ260" s="15"/>
      <c r="GA260" s="15"/>
      <c r="GB260" s="15"/>
      <c r="GC260" s="15"/>
      <c r="GD260" s="15"/>
      <c r="GE260" s="15"/>
      <c r="GF260" s="15"/>
      <c r="GG260" s="15"/>
      <c r="GH260" s="15"/>
      <c r="GI260" s="15"/>
      <c r="GJ260" s="15"/>
      <c r="GK260" s="15"/>
      <c r="GL260" s="15"/>
      <c r="GM260" s="15"/>
      <c r="GN260" s="15"/>
      <c r="GO260" s="15"/>
      <c r="GP260" s="15"/>
      <c r="GQ260" s="15"/>
      <c r="GR260" s="15"/>
      <c r="GS260" s="15"/>
      <c r="GT260" s="15"/>
      <c r="GU260" s="15"/>
      <c r="GV260" s="15"/>
      <c r="GW260" s="15"/>
      <c r="GX260" s="15"/>
      <c r="GY260" s="15"/>
      <c r="GZ260" s="15"/>
      <c r="HA260" s="15"/>
      <c r="HB260" s="15"/>
      <c r="HC260" s="15"/>
      <c r="HD260" s="15"/>
      <c r="HE260" s="15"/>
      <c r="HF260" s="15"/>
      <c r="HG260" s="15"/>
      <c r="HH260" s="15"/>
      <c r="HI260" s="15"/>
      <c r="HJ260" s="15"/>
      <c r="HK260" s="15"/>
      <c r="HL260" s="15"/>
      <c r="HM260" s="15"/>
      <c r="HN260" s="15"/>
      <c r="HO260" s="15"/>
      <c r="HP260" s="15"/>
      <c r="HQ260" s="15"/>
      <c r="HR260"/>
      <c r="HS260"/>
      <c r="HT260"/>
      <c r="HU260"/>
      <c r="HV260"/>
      <c r="HW260"/>
      <c r="HX260"/>
      <c r="HY260"/>
      <c r="HZ260"/>
      <c r="IA260"/>
      <c r="IB260"/>
      <c r="IC260"/>
      <c r="ID260"/>
      <c r="IE260"/>
      <c r="IF260"/>
      <c r="IG260"/>
      <c r="IH260"/>
      <c r="II260"/>
      <c r="IJ260"/>
      <c r="IK260" s="14"/>
      <c r="IL260" s="14"/>
      <c r="IM260" s="14"/>
      <c r="IN260" s="14"/>
      <c r="IO260" s="14"/>
      <c r="IP260" s="14"/>
      <c r="IQ260" s="14"/>
    </row>
    <row r="261" spans="1:251" s="31" customFormat="1">
      <c r="A261" s="15"/>
      <c r="B261" s="15"/>
      <c r="C261" s="15"/>
      <c r="D261" s="15"/>
      <c r="E261" s="15"/>
      <c r="F261" s="15"/>
      <c r="G261" s="15"/>
      <c r="H261" s="15"/>
      <c r="I261" s="15"/>
      <c r="J261" s="15"/>
      <c r="K261" s="15"/>
      <c r="L261" s="15"/>
      <c r="M261" s="15"/>
      <c r="N261" s="15"/>
      <c r="O261" s="15"/>
      <c r="P261" s="15"/>
      <c r="Q261" s="15"/>
      <c r="R261" s="251"/>
      <c r="S261" s="15"/>
      <c r="T261" s="15"/>
      <c r="U261" s="15"/>
      <c r="V261" s="15"/>
      <c r="W261" s="15"/>
      <c r="X261" s="15"/>
      <c r="Y261" s="15"/>
      <c r="Z261" s="15"/>
      <c r="AA261" s="15"/>
      <c r="AB261" s="15"/>
      <c r="AC261" s="15"/>
      <c r="AD261" s="15"/>
      <c r="AE261" s="15"/>
      <c r="AF261" s="15"/>
      <c r="AG261" s="15"/>
      <c r="AH261" s="15"/>
      <c r="AI261" s="15"/>
      <c r="AJ261" s="15"/>
      <c r="AK261" s="15"/>
      <c r="AL261" s="15"/>
      <c r="AM261" s="15"/>
      <c r="AN261" s="15"/>
      <c r="AO261" s="15"/>
      <c r="AP261" s="15"/>
      <c r="AQ261" s="15"/>
      <c r="AR261" s="15"/>
      <c r="AS261" s="15"/>
      <c r="AT261" s="15"/>
      <c r="AU261" s="15"/>
      <c r="AV261" s="15"/>
      <c r="AW261" s="15"/>
      <c r="AX261" s="15"/>
      <c r="AY261" s="15"/>
      <c r="AZ261" s="15"/>
      <c r="BA261" s="15"/>
      <c r="BB261" s="15"/>
      <c r="BC261" s="15"/>
      <c r="BD261" s="15"/>
      <c r="BE261" s="15"/>
      <c r="BF261" s="15"/>
      <c r="BG261" s="15"/>
      <c r="BH261" s="15"/>
      <c r="BI261" s="15"/>
      <c r="BJ261" s="15"/>
      <c r="BK261" s="15"/>
      <c r="BL261" s="15"/>
      <c r="BM261" s="15"/>
      <c r="BN261" s="15"/>
      <c r="BO261" s="15"/>
      <c r="BP261" s="15"/>
      <c r="BQ261" s="15"/>
      <c r="BR261" s="15"/>
      <c r="BS261" s="15"/>
      <c r="BT261" s="15"/>
      <c r="BU261" s="15"/>
      <c r="BV261" s="15"/>
      <c r="BW261" s="15"/>
      <c r="BX261" s="15"/>
      <c r="BY261" s="15"/>
      <c r="BZ261" s="15"/>
      <c r="CA261" s="15"/>
      <c r="CB261" s="15"/>
      <c r="CC261" s="15"/>
      <c r="CD261" s="15"/>
      <c r="CE261" s="15"/>
      <c r="CF261" s="15"/>
      <c r="CG261" s="15"/>
      <c r="CH261" s="15"/>
      <c r="CI261" s="15"/>
      <c r="CJ261" s="15"/>
      <c r="CK261" s="15"/>
      <c r="CL261" s="15"/>
      <c r="CM261" s="15"/>
      <c r="CN261" s="15"/>
      <c r="CO261" s="15"/>
      <c r="CP261" s="15"/>
      <c r="CQ261" s="15"/>
      <c r="CR261" s="15"/>
      <c r="CS261" s="15"/>
      <c r="CT261" s="15"/>
      <c r="CU261" s="15"/>
      <c r="CV261" s="15"/>
      <c r="CW261" s="15"/>
      <c r="CX261" s="15"/>
      <c r="CY261" s="15"/>
      <c r="CZ261" s="15"/>
      <c r="DA261" s="15"/>
      <c r="DB261" s="15"/>
      <c r="DC261" s="15"/>
      <c r="DD261" s="15"/>
      <c r="DE261" s="15"/>
      <c r="DF261" s="15"/>
      <c r="DG261" s="15"/>
      <c r="DH261" s="15"/>
      <c r="DI261" s="15"/>
      <c r="DJ261" s="15"/>
      <c r="DK261" s="15"/>
      <c r="DL261" s="15"/>
      <c r="DM261" s="15"/>
      <c r="DN261" s="15"/>
      <c r="DO261" s="15"/>
      <c r="DP261" s="15"/>
      <c r="DQ261" s="15"/>
      <c r="DR261" s="15"/>
      <c r="DS261" s="15"/>
      <c r="DT261" s="15"/>
      <c r="DU261" s="15"/>
      <c r="DV261" s="15"/>
      <c r="DW261" s="15"/>
      <c r="DX261" s="15"/>
      <c r="DY261" s="15"/>
      <c r="DZ261" s="15"/>
      <c r="EA261" s="15"/>
      <c r="EB261" s="15"/>
      <c r="EC261" s="15"/>
      <c r="ED261" s="15"/>
      <c r="EE261" s="15"/>
      <c r="EF261" s="15"/>
      <c r="EG261" s="15"/>
      <c r="EH261" s="15"/>
      <c r="EI261" s="15"/>
      <c r="EJ261" s="15"/>
      <c r="EK261" s="15"/>
      <c r="EL261" s="15"/>
      <c r="EM261" s="15"/>
      <c r="EN261" s="15"/>
      <c r="EO261" s="15"/>
      <c r="EP261" s="15"/>
      <c r="EQ261" s="15"/>
      <c r="ER261" s="15"/>
      <c r="ES261" s="15"/>
      <c r="ET261" s="15"/>
      <c r="EU261" s="15"/>
      <c r="EV261" s="15"/>
      <c r="EW261" s="15"/>
      <c r="EX261" s="15"/>
      <c r="EY261" s="15"/>
      <c r="EZ261" s="15"/>
      <c r="FA261" s="15"/>
      <c r="FB261" s="15"/>
      <c r="FC261" s="15"/>
      <c r="FD261" s="15"/>
      <c r="FE261" s="15"/>
      <c r="FF261" s="15"/>
      <c r="FG261" s="15"/>
      <c r="FH261" s="15"/>
      <c r="FI261" s="15"/>
      <c r="FJ261" s="15"/>
      <c r="FK261" s="15"/>
      <c r="FL261" s="15"/>
      <c r="FM261" s="15"/>
      <c r="FN261" s="15"/>
      <c r="FO261" s="15"/>
      <c r="FP261" s="15"/>
      <c r="FQ261" s="15"/>
      <c r="FR261" s="15"/>
      <c r="FS261" s="15"/>
      <c r="FT261" s="15"/>
      <c r="FU261" s="15"/>
      <c r="FV261" s="15"/>
      <c r="FW261" s="15"/>
      <c r="FX261" s="15"/>
      <c r="FY261" s="15"/>
      <c r="FZ261" s="15"/>
      <c r="GA261" s="15"/>
      <c r="GB261" s="15"/>
      <c r="GC261" s="15"/>
      <c r="GD261" s="15"/>
      <c r="GE261" s="15"/>
      <c r="GF261" s="15"/>
      <c r="GG261" s="15"/>
      <c r="GH261" s="15"/>
      <c r="GI261" s="15"/>
      <c r="GJ261" s="15"/>
      <c r="GK261" s="15"/>
      <c r="GL261" s="15"/>
      <c r="GM261" s="15"/>
      <c r="GN261" s="15"/>
      <c r="GO261" s="15"/>
      <c r="GP261" s="15"/>
      <c r="GQ261" s="15"/>
      <c r="GR261" s="15"/>
      <c r="GS261" s="15"/>
      <c r="GT261" s="15"/>
      <c r="GU261" s="15"/>
      <c r="GV261" s="15"/>
      <c r="GW261" s="15"/>
      <c r="GX261" s="15"/>
      <c r="GY261" s="15"/>
      <c r="GZ261" s="15"/>
      <c r="HA261" s="15"/>
      <c r="HB261" s="15"/>
      <c r="HC261" s="15"/>
      <c r="HD261" s="15"/>
      <c r="HE261" s="15"/>
      <c r="HF261" s="15"/>
      <c r="HG261" s="15"/>
      <c r="HH261" s="15"/>
      <c r="HI261" s="15"/>
      <c r="HJ261" s="15"/>
      <c r="HK261" s="15"/>
      <c r="HL261" s="15"/>
      <c r="HM261" s="15"/>
      <c r="HN261" s="15"/>
      <c r="HO261" s="15"/>
      <c r="HP261" s="15"/>
      <c r="HQ261" s="15"/>
      <c r="HR261"/>
      <c r="HS261"/>
      <c r="HT261"/>
      <c r="HU261"/>
      <c r="HV261"/>
      <c r="HW261"/>
      <c r="HX261"/>
      <c r="HY261"/>
      <c r="HZ261"/>
      <c r="IA261"/>
      <c r="IB261"/>
      <c r="IC261"/>
      <c r="ID261"/>
      <c r="IE261"/>
      <c r="IF261"/>
      <c r="IG261"/>
      <c r="IH261"/>
      <c r="II261"/>
      <c r="IJ261"/>
      <c r="IK261" s="14"/>
      <c r="IL261" s="14"/>
      <c r="IM261" s="14"/>
      <c r="IN261" s="14"/>
      <c r="IO261" s="14"/>
      <c r="IP261" s="14"/>
      <c r="IQ261" s="14"/>
    </row>
    <row r="262" spans="1:251" s="31" customFormat="1">
      <c r="A262" s="15"/>
      <c r="B262" s="15"/>
      <c r="C262" s="15"/>
      <c r="D262" s="15"/>
      <c r="E262" s="15"/>
      <c r="F262" s="15"/>
      <c r="G262" s="15"/>
      <c r="H262" s="15"/>
      <c r="I262" s="15"/>
      <c r="J262" s="15"/>
      <c r="K262" s="15"/>
      <c r="L262" s="15"/>
      <c r="M262" s="15"/>
      <c r="N262" s="15"/>
      <c r="O262" s="15"/>
      <c r="P262" s="15"/>
      <c r="Q262" s="15"/>
      <c r="R262" s="15"/>
      <c r="S262" s="15"/>
      <c r="T262" s="15"/>
      <c r="U262" s="15"/>
      <c r="V262" s="15"/>
      <c r="W262" s="15"/>
      <c r="X262" s="15"/>
      <c r="Y262" s="15"/>
      <c r="Z262" s="15"/>
      <c r="AA262" s="15"/>
      <c r="AB262" s="15"/>
      <c r="AC262" s="15"/>
      <c r="AD262" s="15"/>
      <c r="AE262" s="15"/>
      <c r="AF262" s="15"/>
      <c r="AG262" s="15"/>
      <c r="AH262" s="15"/>
      <c r="AI262" s="15"/>
      <c r="AJ262" s="15"/>
      <c r="AK262" s="15"/>
      <c r="AL262" s="15"/>
      <c r="AM262" s="15"/>
      <c r="AN262" s="15"/>
      <c r="AO262" s="15"/>
      <c r="AP262" s="15"/>
      <c r="AQ262" s="15"/>
      <c r="AR262" s="15"/>
      <c r="AS262" s="15"/>
      <c r="AT262" s="15"/>
      <c r="AU262" s="15"/>
      <c r="AV262" s="15"/>
      <c r="AW262" s="15"/>
      <c r="AX262" s="15"/>
      <c r="AY262" s="15"/>
      <c r="AZ262" s="15"/>
      <c r="BA262" s="15"/>
      <c r="BB262" s="15"/>
      <c r="BC262" s="15"/>
      <c r="BD262" s="15"/>
      <c r="BE262" s="15"/>
      <c r="BF262" s="15"/>
      <c r="BG262" s="15"/>
      <c r="BH262" s="15"/>
      <c r="BI262" s="15"/>
      <c r="BJ262" s="15"/>
      <c r="BK262" s="15"/>
      <c r="BL262" s="15"/>
      <c r="BM262" s="15"/>
      <c r="BN262" s="15"/>
      <c r="BO262" s="15"/>
      <c r="BP262" s="15"/>
      <c r="BQ262" s="15"/>
      <c r="BR262" s="15"/>
      <c r="BS262" s="15"/>
      <c r="BT262" s="15"/>
      <c r="BU262" s="15"/>
      <c r="BV262" s="15"/>
      <c r="BW262" s="15"/>
      <c r="BX262" s="15"/>
      <c r="BY262" s="15"/>
      <c r="BZ262" s="15"/>
      <c r="CA262" s="15"/>
      <c r="CB262" s="15"/>
      <c r="CC262" s="15"/>
      <c r="CD262" s="15"/>
      <c r="CE262" s="15"/>
      <c r="CF262" s="15"/>
      <c r="CG262" s="15"/>
      <c r="CH262" s="15"/>
      <c r="CI262" s="15"/>
      <c r="CJ262" s="15"/>
      <c r="CK262" s="15"/>
      <c r="CL262" s="15"/>
      <c r="CM262" s="15"/>
      <c r="CN262" s="15"/>
      <c r="CO262" s="15"/>
      <c r="CP262" s="15"/>
      <c r="CQ262" s="15"/>
      <c r="CR262" s="15"/>
      <c r="CS262" s="15"/>
      <c r="CT262" s="15"/>
      <c r="CU262" s="15"/>
      <c r="CV262" s="15"/>
      <c r="CW262" s="15"/>
      <c r="CX262" s="15"/>
      <c r="CY262" s="15"/>
      <c r="CZ262" s="15"/>
      <c r="DA262" s="15"/>
      <c r="DB262" s="15"/>
      <c r="DC262" s="15"/>
      <c r="DD262" s="15"/>
      <c r="DE262" s="15"/>
      <c r="DF262" s="15"/>
      <c r="DG262" s="15"/>
      <c r="DH262" s="15"/>
      <c r="DI262" s="15"/>
      <c r="DJ262" s="15"/>
      <c r="DK262" s="15"/>
      <c r="DL262" s="15"/>
      <c r="DM262" s="15"/>
      <c r="DN262" s="15"/>
      <c r="DO262" s="15"/>
      <c r="DP262" s="15"/>
      <c r="DQ262" s="15"/>
      <c r="DR262" s="15"/>
      <c r="DS262" s="15"/>
      <c r="DT262" s="15"/>
      <c r="DU262" s="15"/>
      <c r="DV262" s="15"/>
      <c r="DW262" s="15"/>
      <c r="DX262" s="15"/>
      <c r="DY262" s="15"/>
      <c r="DZ262" s="15"/>
      <c r="EA262" s="15"/>
      <c r="EB262" s="15"/>
      <c r="EC262" s="15"/>
      <c r="ED262" s="15"/>
      <c r="EE262" s="15"/>
      <c r="EF262" s="15"/>
      <c r="EG262" s="15"/>
      <c r="EH262" s="15"/>
      <c r="EI262" s="15"/>
      <c r="EJ262" s="15"/>
      <c r="EK262" s="15"/>
      <c r="EL262" s="15"/>
      <c r="EM262" s="15"/>
      <c r="EN262" s="15"/>
      <c r="EO262" s="15"/>
      <c r="EP262" s="15"/>
      <c r="EQ262" s="15"/>
      <c r="ER262" s="15"/>
      <c r="ES262" s="15"/>
      <c r="ET262" s="15"/>
      <c r="EU262" s="15"/>
      <c r="EV262" s="15"/>
      <c r="EW262" s="15"/>
      <c r="EX262" s="15"/>
      <c r="EY262" s="15"/>
      <c r="EZ262" s="15"/>
      <c r="FA262" s="15"/>
      <c r="FB262" s="15"/>
      <c r="FC262" s="15"/>
      <c r="FD262" s="15"/>
      <c r="FE262" s="15"/>
      <c r="FF262" s="15"/>
      <c r="FG262" s="15"/>
      <c r="FH262" s="15"/>
      <c r="FI262" s="15"/>
      <c r="FJ262" s="15"/>
      <c r="FK262" s="15"/>
      <c r="FL262" s="15"/>
      <c r="FM262" s="15"/>
      <c r="FN262" s="15"/>
      <c r="FO262" s="15"/>
      <c r="FP262" s="15"/>
      <c r="FQ262" s="15"/>
      <c r="FR262" s="15"/>
      <c r="FS262" s="15"/>
      <c r="FT262" s="15"/>
      <c r="FU262" s="15"/>
      <c r="FV262" s="15"/>
      <c r="FW262" s="15"/>
      <c r="FX262" s="15"/>
      <c r="FY262" s="15"/>
      <c r="FZ262" s="15"/>
      <c r="GA262" s="15"/>
      <c r="GB262" s="15"/>
      <c r="GC262" s="15"/>
      <c r="GD262" s="15"/>
      <c r="GE262" s="15"/>
      <c r="GF262" s="15"/>
      <c r="GG262" s="15"/>
      <c r="GH262" s="15"/>
      <c r="GI262" s="15"/>
      <c r="GJ262" s="15"/>
      <c r="GK262" s="15"/>
      <c r="GL262" s="15"/>
      <c r="GM262" s="15"/>
      <c r="GN262" s="15"/>
      <c r="GO262" s="15"/>
      <c r="GP262" s="15"/>
      <c r="GQ262" s="15"/>
      <c r="GR262" s="15"/>
      <c r="GS262" s="15"/>
      <c r="GT262" s="15"/>
      <c r="GU262" s="15"/>
      <c r="GV262" s="15"/>
      <c r="GW262" s="15"/>
      <c r="GX262" s="15"/>
      <c r="GY262" s="15"/>
      <c r="GZ262" s="15"/>
      <c r="HA262" s="15"/>
      <c r="HB262" s="15"/>
      <c r="HC262" s="15"/>
      <c r="HD262" s="15"/>
      <c r="HE262" s="15"/>
      <c r="HF262" s="15"/>
      <c r="HG262" s="15"/>
      <c r="HH262" s="15"/>
      <c r="HI262" s="15"/>
      <c r="HJ262" s="15"/>
      <c r="HK262" s="15"/>
      <c r="HL262" s="15"/>
      <c r="HM262" s="15"/>
      <c r="HN262" s="15"/>
      <c r="HO262" s="15"/>
      <c r="HP262" s="15"/>
      <c r="HQ262" s="15"/>
      <c r="HR262"/>
      <c r="HS262"/>
      <c r="HT262"/>
      <c r="HU262"/>
      <c r="HV262"/>
      <c r="HW262"/>
      <c r="HX262"/>
      <c r="HY262"/>
      <c r="HZ262"/>
      <c r="IA262"/>
      <c r="IB262"/>
      <c r="IC262"/>
      <c r="ID262"/>
      <c r="IE262"/>
      <c r="IF262"/>
      <c r="IG262"/>
      <c r="IH262"/>
      <c r="II262"/>
      <c r="IJ262"/>
      <c r="IK262" s="14"/>
      <c r="IL262" s="14"/>
      <c r="IM262" s="14"/>
      <c r="IN262" s="14"/>
      <c r="IO262" s="14"/>
      <c r="IP262" s="14"/>
      <c r="IQ262" s="14"/>
    </row>
    <row r="263" spans="1:251" s="31" customFormat="1">
      <c r="A263" s="15"/>
      <c r="B263" s="15"/>
      <c r="C263" s="15"/>
      <c r="D263" s="15"/>
      <c r="E263" s="15"/>
      <c r="F263" s="15"/>
      <c r="G263" s="15"/>
      <c r="H263" s="15"/>
      <c r="I263" s="15"/>
      <c r="J263" s="15"/>
      <c r="K263" s="15"/>
      <c r="L263" s="15"/>
      <c r="M263" s="15"/>
      <c r="N263" s="15"/>
      <c r="O263" s="15"/>
      <c r="P263" s="15"/>
      <c r="Q263" s="15"/>
      <c r="R263" s="15"/>
      <c r="S263" s="15"/>
      <c r="T263" s="15"/>
      <c r="U263" s="15"/>
      <c r="V263" s="15"/>
      <c r="W263" s="15"/>
      <c r="X263" s="15"/>
      <c r="Y263" s="15"/>
      <c r="Z263" s="15"/>
      <c r="AA263" s="15"/>
      <c r="AB263" s="15"/>
      <c r="AC263" s="15"/>
      <c r="AD263" s="15"/>
      <c r="AE263" s="15"/>
      <c r="AF263" s="15"/>
      <c r="AG263" s="15"/>
      <c r="AH263" s="15"/>
      <c r="AI263" s="15"/>
      <c r="AJ263" s="15"/>
      <c r="AK263" s="15"/>
      <c r="AL263" s="15"/>
      <c r="AM263" s="15"/>
      <c r="AN263" s="15"/>
      <c r="AO263" s="15"/>
      <c r="AP263" s="15"/>
      <c r="AQ263" s="15"/>
      <c r="AR263" s="15"/>
      <c r="AS263" s="15"/>
      <c r="AT263" s="15"/>
      <c r="AU263" s="15"/>
      <c r="AV263" s="15"/>
      <c r="AW263" s="15"/>
      <c r="AX263" s="15"/>
      <c r="AY263" s="15"/>
      <c r="AZ263" s="15"/>
      <c r="BA263" s="15"/>
      <c r="BB263" s="15"/>
      <c r="BC263" s="15"/>
      <c r="BD263" s="15"/>
      <c r="BE263" s="15"/>
      <c r="BF263" s="15"/>
      <c r="BG263" s="15"/>
      <c r="BH263" s="15"/>
      <c r="BI263" s="15"/>
      <c r="BJ263" s="15"/>
      <c r="BK263" s="15"/>
      <c r="BL263" s="15"/>
      <c r="BM263" s="15"/>
      <c r="BN263" s="15"/>
      <c r="BO263" s="15"/>
      <c r="BP263" s="15"/>
      <c r="BQ263" s="15"/>
      <c r="BR263" s="15"/>
      <c r="BS263" s="15"/>
      <c r="BT263" s="15"/>
      <c r="BU263" s="15"/>
      <c r="BV263" s="15"/>
      <c r="BW263" s="15"/>
      <c r="BX263" s="15"/>
      <c r="BY263" s="15"/>
      <c r="BZ263" s="15"/>
      <c r="CA263" s="15"/>
      <c r="CB263" s="15"/>
      <c r="CC263" s="15"/>
      <c r="CD263" s="15"/>
      <c r="CE263" s="15"/>
      <c r="CF263" s="15"/>
      <c r="CG263" s="15"/>
      <c r="CH263" s="15"/>
      <c r="CI263" s="15"/>
      <c r="CJ263" s="15"/>
      <c r="CK263" s="15"/>
      <c r="CL263" s="15"/>
      <c r="CM263" s="15"/>
      <c r="CN263" s="15"/>
      <c r="CO263" s="15"/>
      <c r="CP263" s="15"/>
      <c r="CQ263" s="15"/>
      <c r="CR263" s="15"/>
      <c r="CS263" s="15"/>
      <c r="CT263" s="15"/>
      <c r="CU263" s="15"/>
      <c r="CV263" s="15"/>
      <c r="CW263" s="15"/>
      <c r="CX263" s="15"/>
      <c r="CY263" s="15"/>
      <c r="CZ263" s="15"/>
      <c r="DA263" s="15"/>
      <c r="DB263" s="15"/>
      <c r="DC263" s="15"/>
      <c r="DD263" s="15"/>
      <c r="DE263" s="15"/>
      <c r="DF263" s="15"/>
      <c r="DG263" s="15"/>
      <c r="DH263" s="15"/>
      <c r="DI263" s="15"/>
      <c r="DJ263" s="15"/>
      <c r="DK263" s="15"/>
      <c r="DL263" s="15"/>
      <c r="DM263" s="15"/>
      <c r="DN263" s="15"/>
      <c r="DO263" s="15"/>
      <c r="DP263" s="15"/>
      <c r="DQ263" s="15"/>
      <c r="DR263" s="15"/>
      <c r="DS263" s="15"/>
      <c r="DT263" s="15"/>
      <c r="DU263" s="15"/>
      <c r="DV263" s="15"/>
      <c r="DW263" s="15"/>
      <c r="DX263" s="15"/>
      <c r="DY263" s="15"/>
      <c r="DZ263" s="15"/>
      <c r="EA263" s="15"/>
      <c r="EB263" s="15"/>
      <c r="EC263" s="15"/>
      <c r="ED263" s="15"/>
      <c r="EE263" s="15"/>
      <c r="EF263" s="15"/>
      <c r="EG263" s="15"/>
      <c r="EH263" s="15"/>
      <c r="EI263" s="15"/>
      <c r="EJ263" s="15"/>
      <c r="EK263" s="15"/>
      <c r="EL263" s="15"/>
      <c r="EM263" s="15"/>
      <c r="EN263" s="15"/>
      <c r="EO263" s="15"/>
      <c r="EP263" s="15"/>
      <c r="EQ263" s="15"/>
      <c r="ER263" s="15"/>
      <c r="ES263" s="15"/>
      <c r="ET263" s="15"/>
      <c r="EU263" s="15"/>
      <c r="EV263" s="15"/>
      <c r="EW263" s="15"/>
      <c r="EX263" s="15"/>
      <c r="EY263" s="15"/>
      <c r="EZ263" s="15"/>
      <c r="FA263" s="15"/>
      <c r="FB263" s="15"/>
      <c r="FC263" s="15"/>
      <c r="FD263" s="15"/>
      <c r="FE263" s="15"/>
      <c r="FF263" s="15"/>
      <c r="FG263" s="15"/>
      <c r="FH263" s="15"/>
      <c r="FI263" s="15"/>
      <c r="FJ263" s="15"/>
      <c r="FK263" s="15"/>
      <c r="FL263" s="15"/>
      <c r="FM263" s="15"/>
      <c r="FN263" s="15"/>
      <c r="FO263" s="15"/>
      <c r="FP263" s="15"/>
      <c r="FQ263" s="15"/>
      <c r="FR263" s="15"/>
      <c r="FS263" s="15"/>
      <c r="FT263" s="15"/>
      <c r="FU263" s="15"/>
      <c r="FV263" s="15"/>
      <c r="FW263" s="15"/>
      <c r="FX263" s="15"/>
      <c r="FY263" s="15"/>
      <c r="FZ263" s="15"/>
      <c r="GA263" s="15"/>
      <c r="GB263" s="15"/>
      <c r="GC263" s="15"/>
      <c r="GD263" s="15"/>
      <c r="GE263" s="15"/>
      <c r="GF263" s="15"/>
      <c r="GG263" s="15"/>
      <c r="GH263" s="15"/>
      <c r="GI263" s="15"/>
      <c r="GJ263" s="15"/>
      <c r="GK263" s="15"/>
      <c r="GL263" s="15"/>
      <c r="GM263" s="15"/>
      <c r="GN263" s="15"/>
      <c r="GO263" s="15"/>
      <c r="GP263" s="15"/>
      <c r="GQ263" s="15"/>
      <c r="GR263" s="15"/>
      <c r="GS263" s="15"/>
      <c r="GT263" s="15"/>
      <c r="GU263" s="15"/>
      <c r="GV263" s="15"/>
      <c r="GW263" s="15"/>
      <c r="GX263" s="15"/>
      <c r="GY263" s="15"/>
      <c r="GZ263" s="15"/>
      <c r="HA263" s="15"/>
      <c r="HB263" s="15"/>
      <c r="HC263" s="15"/>
      <c r="HD263" s="15"/>
      <c r="HE263" s="15"/>
      <c r="HF263" s="15"/>
      <c r="HG263" s="15"/>
      <c r="HH263" s="15"/>
      <c r="HI263" s="15"/>
      <c r="HJ263" s="15"/>
      <c r="HK263" s="15"/>
      <c r="HL263" s="15"/>
      <c r="HM263" s="15"/>
      <c r="HN263" s="15"/>
      <c r="HO263" s="15"/>
      <c r="HP263" s="15"/>
      <c r="HQ263" s="15"/>
      <c r="HR263"/>
      <c r="HS263"/>
      <c r="HT263"/>
      <c r="HU263"/>
      <c r="HV263"/>
      <c r="HW263"/>
      <c r="HX263"/>
      <c r="HY263"/>
      <c r="HZ263"/>
      <c r="IA263"/>
      <c r="IB263"/>
      <c r="IC263"/>
      <c r="ID263"/>
      <c r="IE263"/>
      <c r="IF263"/>
      <c r="IG263"/>
      <c r="IH263"/>
      <c r="II263"/>
      <c r="IJ263"/>
      <c r="IK263" s="14"/>
      <c r="IL263" s="14"/>
      <c r="IM263" s="14"/>
      <c r="IN263" s="14"/>
      <c r="IO263" s="14"/>
      <c r="IP263" s="14"/>
      <c r="IQ263" s="14"/>
    </row>
    <row r="264" spans="1:251" s="33" customFormat="1" hidden="1" outlineLevel="1">
      <c r="A264" s="167"/>
      <c r="B264" s="32"/>
      <c r="C264" s="32"/>
      <c r="D264" s="51"/>
      <c r="E264" s="51"/>
      <c r="F264" s="51"/>
      <c r="G264" s="51"/>
      <c r="H264" s="51"/>
      <c r="I264" s="51"/>
      <c r="J264" s="263"/>
      <c r="K264" s="263"/>
      <c r="L264" s="263"/>
      <c r="M264" s="263"/>
      <c r="N264" s="263"/>
      <c r="O264" s="263"/>
      <c r="P264" s="263"/>
      <c r="Q264" s="263"/>
      <c r="R264" s="263"/>
      <c r="S264" s="263"/>
      <c r="T264" s="118"/>
      <c r="U264" s="118"/>
      <c r="V264" s="118"/>
      <c r="W264" s="118"/>
      <c r="X264" s="118"/>
      <c r="Y264" s="118"/>
      <c r="Z264" s="118"/>
      <c r="AA264" s="118"/>
      <c r="AB264" s="118"/>
      <c r="AC264" s="118"/>
      <c r="AD264" s="118"/>
      <c r="AE264" s="118"/>
      <c r="AF264" s="118"/>
      <c r="AG264" s="118"/>
      <c r="AH264" s="43"/>
      <c r="AI264" s="43"/>
      <c r="AJ264" s="43"/>
      <c r="AK264" s="43"/>
      <c r="AL264" s="43"/>
      <c r="AM264" s="43"/>
      <c r="AN264" s="43"/>
      <c r="AO264" s="43"/>
      <c r="AP264" s="43"/>
      <c r="AQ264" s="43"/>
      <c r="AR264" s="43"/>
      <c r="AS264" s="43"/>
      <c r="AT264" s="43"/>
      <c r="AU264" s="43"/>
      <c r="AV264" s="43"/>
      <c r="AW264" s="43"/>
      <c r="AX264" s="43"/>
      <c r="AY264" s="43"/>
      <c r="AZ264" s="43"/>
      <c r="BA264" s="43"/>
      <c r="BB264" s="43"/>
      <c r="BC264" s="43"/>
      <c r="BD264" s="43"/>
      <c r="BE264" s="43"/>
      <c r="BF264" s="43"/>
      <c r="BG264" s="43"/>
      <c r="BH264" s="43"/>
      <c r="BI264" s="43"/>
      <c r="BJ264" s="43"/>
      <c r="BK264" s="43"/>
      <c r="BL264" s="43"/>
      <c r="BM264" s="43"/>
      <c r="BN264" s="43"/>
      <c r="BO264" s="43"/>
      <c r="BP264" s="43"/>
      <c r="BQ264" s="43"/>
      <c r="BR264" s="43"/>
      <c r="BS264" s="43"/>
      <c r="BT264" s="43"/>
      <c r="BU264" s="43"/>
      <c r="BV264" s="43"/>
      <c r="BW264" s="43"/>
      <c r="BX264" s="43"/>
      <c r="BY264" s="43"/>
      <c r="BZ264" s="43"/>
      <c r="CA264" s="43"/>
      <c r="CB264" s="43"/>
      <c r="CC264" s="43"/>
      <c r="CD264" s="43"/>
      <c r="CE264" s="43"/>
      <c r="CF264" s="43"/>
      <c r="CG264" s="43"/>
      <c r="CH264" s="43"/>
      <c r="CI264" s="43"/>
      <c r="CJ264" s="43"/>
      <c r="CK264" s="43"/>
      <c r="CL264" s="43"/>
      <c r="CM264" s="43"/>
      <c r="CN264" s="43"/>
      <c r="CO264" s="43"/>
      <c r="CP264" s="43"/>
      <c r="CQ264" s="43"/>
      <c r="CR264" s="43"/>
      <c r="CS264" s="43"/>
      <c r="CT264" s="43"/>
      <c r="CU264" s="43"/>
      <c r="CV264" s="43"/>
      <c r="CW264" s="43"/>
      <c r="CX264" s="43"/>
      <c r="CY264" s="43"/>
      <c r="CZ264" s="43"/>
      <c r="DA264" s="43"/>
      <c r="DB264" s="43"/>
      <c r="DC264" s="43"/>
      <c r="DD264" s="43"/>
      <c r="DE264" s="43"/>
      <c r="DF264" s="43"/>
      <c r="DG264" s="43"/>
      <c r="DH264" s="43"/>
      <c r="DI264" s="43"/>
      <c r="DJ264" s="43"/>
      <c r="DK264" s="43"/>
      <c r="DL264" s="43"/>
      <c r="DM264" s="43"/>
      <c r="DN264" s="43"/>
      <c r="DO264" s="43"/>
      <c r="DP264" s="43"/>
      <c r="DQ264" s="43"/>
      <c r="DR264" s="43"/>
      <c r="DS264" s="43"/>
      <c r="DT264" s="43"/>
      <c r="DU264" s="43"/>
      <c r="DV264" s="43"/>
      <c r="DW264" s="43"/>
      <c r="DX264" s="43"/>
      <c r="DY264" s="43"/>
      <c r="DZ264" s="43"/>
      <c r="EA264" s="43"/>
      <c r="EB264" s="43"/>
      <c r="EC264" s="43"/>
      <c r="ED264" s="43"/>
      <c r="EE264" s="43"/>
      <c r="EF264" s="43"/>
      <c r="EG264" s="43"/>
      <c r="EH264" s="43"/>
      <c r="EI264" s="43"/>
      <c r="EJ264" s="43"/>
      <c r="EK264" s="43"/>
      <c r="EL264" s="43"/>
      <c r="EM264" s="43"/>
      <c r="EN264" s="43"/>
      <c r="EO264" s="43"/>
      <c r="EP264" s="43"/>
      <c r="EQ264" s="43"/>
      <c r="ER264" s="43"/>
      <c r="ES264" s="43"/>
      <c r="ET264" s="43"/>
      <c r="EU264" s="43"/>
      <c r="EV264" s="43"/>
      <c r="EW264" s="43"/>
      <c r="EX264" s="43"/>
      <c r="EY264" s="43"/>
      <c r="EZ264" s="43"/>
      <c r="FA264" s="43"/>
      <c r="FB264" s="43"/>
      <c r="FC264" s="43"/>
      <c r="FD264" s="43"/>
      <c r="FE264" s="43"/>
      <c r="FF264" s="43"/>
      <c r="FG264" s="43"/>
      <c r="FH264" s="43"/>
      <c r="FI264" s="43"/>
      <c r="FJ264" s="43"/>
      <c r="FK264" s="43"/>
      <c r="FL264" s="43"/>
      <c r="FM264" s="43"/>
      <c r="FN264" s="43"/>
      <c r="FO264" s="43"/>
      <c r="FP264" s="43"/>
      <c r="FQ264" s="43"/>
      <c r="FR264" s="43"/>
      <c r="FS264" s="43"/>
      <c r="FT264" s="43"/>
      <c r="FU264" s="43"/>
      <c r="FV264" s="43"/>
      <c r="FW264" s="43"/>
      <c r="FX264" s="43"/>
      <c r="FY264" s="43"/>
      <c r="FZ264" s="43"/>
      <c r="GA264" s="43"/>
      <c r="GB264" s="43"/>
      <c r="GC264" s="43"/>
      <c r="GD264" s="43"/>
      <c r="GE264" s="43"/>
      <c r="GF264" s="43"/>
      <c r="GG264" s="43"/>
      <c r="GH264" s="43"/>
      <c r="GI264" s="43"/>
      <c r="GJ264" s="43"/>
      <c r="GK264" s="43"/>
      <c r="GL264" s="43"/>
      <c r="GM264" s="43"/>
      <c r="GN264" s="43"/>
      <c r="GO264" s="43"/>
      <c r="GP264" s="43"/>
      <c r="GQ264" s="43"/>
      <c r="GR264" s="43"/>
      <c r="GS264" s="43"/>
      <c r="GT264" s="43"/>
      <c r="GU264" s="43"/>
      <c r="GV264" s="43"/>
      <c r="GW264" s="43"/>
      <c r="GX264" s="43"/>
      <c r="GY264" s="43"/>
      <c r="GZ264" s="43"/>
      <c r="HA264" s="43"/>
      <c r="HB264" s="43"/>
      <c r="HC264" s="43"/>
      <c r="HD264" s="43"/>
      <c r="HE264" s="43"/>
      <c r="HF264" s="43"/>
      <c r="HG264" s="43"/>
      <c r="HH264" s="43"/>
      <c r="HI264" s="43"/>
      <c r="HJ264" s="43"/>
      <c r="HK264" s="43"/>
      <c r="HL264" s="43"/>
      <c r="HM264" s="43"/>
      <c r="HN264" s="43"/>
      <c r="HO264" s="43"/>
      <c r="HP264" s="43"/>
      <c r="HQ264" s="43"/>
      <c r="HR264"/>
      <c r="HS264"/>
      <c r="HT264"/>
      <c r="HU264"/>
      <c r="HV264"/>
      <c r="HW264"/>
      <c r="HX264"/>
      <c r="HY264"/>
      <c r="HZ264"/>
      <c r="IA264"/>
      <c r="IB264"/>
      <c r="IC264"/>
      <c r="ID264"/>
      <c r="IE264"/>
      <c r="IF264"/>
      <c r="IG264"/>
      <c r="IH264"/>
      <c r="II264"/>
      <c r="IJ264"/>
      <c r="IK264" s="32"/>
      <c r="IL264" s="32"/>
      <c r="IM264" s="32"/>
      <c r="IN264" s="32"/>
      <c r="IO264" s="32"/>
      <c r="IP264" s="32"/>
      <c r="IQ264" s="32"/>
    </row>
    <row r="265" spans="1:251" s="33" customFormat="1" hidden="1" outlineLevel="1">
      <c r="A265" s="43" t="s">
        <v>502</v>
      </c>
      <c r="B265" s="32"/>
      <c r="C265" s="32"/>
      <c r="D265" s="51"/>
      <c r="E265" s="51"/>
      <c r="F265" s="51"/>
      <c r="G265" s="51"/>
      <c r="H265" s="51"/>
      <c r="I265" s="51"/>
      <c r="J265" s="263"/>
      <c r="K265" s="263"/>
      <c r="L265" s="263"/>
      <c r="M265" s="263"/>
      <c r="N265" s="263"/>
      <c r="O265" s="263"/>
      <c r="P265" s="263"/>
      <c r="Q265" s="118">
        <f>Q64-P64</f>
        <v>620</v>
      </c>
      <c r="R265" s="118"/>
      <c r="S265" s="118">
        <f>S64-R64+32.616</f>
        <v>-370.38400000000001</v>
      </c>
      <c r="T265" s="118">
        <f>-337.5087-153-22.49</f>
        <v>-512.99869999999999</v>
      </c>
      <c r="U265" s="118">
        <f>228+206</f>
        <v>434</v>
      </c>
      <c r="V265" s="118"/>
      <c r="W265" s="118"/>
      <c r="X265" s="118"/>
      <c r="Y265" s="118"/>
      <c r="Z265" s="118"/>
      <c r="AA265" s="118"/>
      <c r="AB265" s="118"/>
      <c r="AC265" s="118"/>
      <c r="AD265" s="118"/>
      <c r="AE265" s="118"/>
      <c r="AF265" s="118"/>
      <c r="AG265" s="118"/>
      <c r="AH265" s="43"/>
      <c r="AI265" s="43"/>
      <c r="AJ265" s="43"/>
      <c r="AK265" s="43"/>
      <c r="AL265" s="43"/>
      <c r="AM265" s="43"/>
      <c r="AN265" s="43"/>
      <c r="AO265" s="43"/>
      <c r="AP265" s="43"/>
      <c r="AQ265" s="43"/>
      <c r="AR265" s="43"/>
      <c r="AS265" s="43"/>
      <c r="AT265" s="43"/>
      <c r="AU265" s="43"/>
      <c r="AV265" s="43"/>
      <c r="AW265" s="43"/>
      <c r="AX265" s="43"/>
      <c r="AY265" s="43"/>
      <c r="AZ265" s="43"/>
      <c r="BA265" s="43"/>
      <c r="BB265" s="43"/>
      <c r="BC265" s="43"/>
      <c r="BD265" s="43"/>
      <c r="BE265" s="43"/>
      <c r="BF265" s="43"/>
      <c r="BG265" s="43"/>
      <c r="BH265" s="43"/>
      <c r="BI265" s="43"/>
      <c r="BJ265" s="43"/>
      <c r="BK265" s="43"/>
      <c r="BL265" s="43"/>
      <c r="BM265" s="43"/>
      <c r="BN265" s="43"/>
      <c r="BO265" s="43"/>
      <c r="BP265" s="43"/>
      <c r="BQ265" s="43"/>
      <c r="BR265" s="43"/>
      <c r="BS265" s="43"/>
      <c r="BT265" s="43"/>
      <c r="BU265" s="43"/>
      <c r="BV265" s="43"/>
      <c r="BW265" s="43"/>
      <c r="BX265" s="43"/>
      <c r="BY265" s="43"/>
      <c r="BZ265" s="43"/>
      <c r="CA265" s="43"/>
      <c r="CB265" s="43"/>
      <c r="CC265" s="43"/>
      <c r="CD265" s="43"/>
      <c r="CE265" s="43"/>
      <c r="CF265" s="43"/>
      <c r="CG265" s="43"/>
      <c r="CH265" s="43"/>
      <c r="CI265" s="43"/>
      <c r="CJ265" s="43"/>
      <c r="CK265" s="43"/>
      <c r="CL265" s="43"/>
      <c r="CM265" s="43"/>
      <c r="CN265" s="43"/>
      <c r="CO265" s="43"/>
      <c r="CP265" s="43"/>
      <c r="CQ265" s="43"/>
      <c r="CR265" s="43"/>
      <c r="CS265" s="43"/>
      <c r="CT265" s="43"/>
      <c r="CU265" s="43"/>
      <c r="CV265" s="43"/>
      <c r="CW265" s="43"/>
      <c r="CX265" s="43"/>
      <c r="CY265" s="43"/>
      <c r="CZ265" s="43"/>
      <c r="DA265" s="43"/>
      <c r="DB265" s="43"/>
      <c r="DC265" s="43"/>
      <c r="DD265" s="43"/>
      <c r="DE265" s="43"/>
      <c r="DF265" s="43"/>
      <c r="DG265" s="43"/>
      <c r="DH265" s="43"/>
      <c r="DI265" s="43"/>
      <c r="DJ265" s="43"/>
      <c r="DK265" s="43"/>
      <c r="DL265" s="43"/>
      <c r="DM265" s="43"/>
      <c r="DN265" s="43"/>
      <c r="DO265" s="43"/>
      <c r="DP265" s="43"/>
      <c r="DQ265" s="43"/>
      <c r="DR265" s="43"/>
      <c r="DS265" s="43"/>
      <c r="DT265" s="43"/>
      <c r="DU265" s="43"/>
      <c r="DV265" s="43"/>
      <c r="DW265" s="43"/>
      <c r="DX265" s="43"/>
      <c r="DY265" s="43"/>
      <c r="DZ265" s="43"/>
      <c r="EA265" s="43"/>
      <c r="EB265" s="43"/>
      <c r="EC265" s="43"/>
      <c r="ED265" s="43"/>
      <c r="EE265" s="43"/>
      <c r="EF265" s="43"/>
      <c r="EG265" s="43"/>
      <c r="EH265" s="43"/>
      <c r="EI265" s="43"/>
      <c r="EJ265" s="43"/>
      <c r="EK265" s="43"/>
      <c r="EL265" s="43"/>
      <c r="EM265" s="43"/>
      <c r="EN265" s="43"/>
      <c r="EO265" s="43"/>
      <c r="EP265" s="43"/>
      <c r="EQ265" s="43"/>
      <c r="ER265" s="43"/>
      <c r="ES265" s="43"/>
      <c r="ET265" s="43"/>
      <c r="EU265" s="43"/>
      <c r="EV265" s="43"/>
      <c r="EW265" s="43"/>
      <c r="EX265" s="43"/>
      <c r="EY265" s="43"/>
      <c r="EZ265" s="43"/>
      <c r="FA265" s="43"/>
      <c r="FB265" s="43"/>
      <c r="FC265" s="43"/>
      <c r="FD265" s="43"/>
      <c r="FE265" s="43"/>
      <c r="FF265" s="43"/>
      <c r="FG265" s="43"/>
      <c r="FH265" s="43"/>
      <c r="FI265" s="43"/>
      <c r="FJ265" s="43"/>
      <c r="FK265" s="43"/>
      <c r="FL265" s="43"/>
      <c r="FM265" s="43"/>
      <c r="FN265" s="43"/>
      <c r="FO265" s="43"/>
      <c r="FP265" s="43"/>
      <c r="FQ265" s="43"/>
      <c r="FR265" s="43"/>
      <c r="FS265" s="43"/>
      <c r="FT265" s="43"/>
      <c r="FU265" s="43"/>
      <c r="FV265" s="43"/>
      <c r="FW265" s="43"/>
      <c r="FX265" s="43"/>
      <c r="FY265" s="43"/>
      <c r="FZ265" s="43"/>
      <c r="GA265" s="43"/>
      <c r="GB265" s="43"/>
      <c r="GC265" s="43"/>
      <c r="GD265" s="43"/>
      <c r="GE265" s="43"/>
      <c r="GF265" s="43"/>
      <c r="GG265" s="43"/>
      <c r="GH265" s="43"/>
      <c r="GI265" s="43"/>
      <c r="GJ265" s="43"/>
      <c r="GK265" s="43"/>
      <c r="GL265" s="43"/>
      <c r="GM265" s="43"/>
      <c r="GN265" s="43"/>
      <c r="GO265" s="43"/>
      <c r="GP265" s="43"/>
      <c r="GQ265" s="43"/>
      <c r="GR265" s="43"/>
      <c r="GS265" s="43"/>
      <c r="GT265" s="43"/>
      <c r="GU265" s="43"/>
      <c r="GV265" s="43"/>
      <c r="GW265" s="43"/>
      <c r="GX265" s="43"/>
      <c r="GY265" s="43"/>
      <c r="GZ265" s="43"/>
      <c r="HA265" s="43"/>
      <c r="HB265" s="43"/>
      <c r="HC265" s="43"/>
      <c r="HD265" s="43"/>
      <c r="HE265" s="43"/>
      <c r="HF265" s="43"/>
      <c r="HG265" s="43"/>
      <c r="HH265" s="43"/>
      <c r="HI265" s="43"/>
      <c r="HJ265" s="43"/>
      <c r="HK265" s="43"/>
      <c r="HL265" s="43"/>
      <c r="HM265" s="43"/>
      <c r="HN265" s="43"/>
      <c r="HO265" s="43"/>
      <c r="HP265" s="43"/>
      <c r="HQ265" s="43"/>
      <c r="HR265"/>
      <c r="HS265"/>
      <c r="HT265"/>
      <c r="HU265"/>
      <c r="HV265"/>
      <c r="HW265"/>
      <c r="HX265"/>
      <c r="HY265"/>
      <c r="HZ265"/>
      <c r="IA265"/>
      <c r="IB265"/>
      <c r="IC265"/>
      <c r="ID265"/>
      <c r="IE265"/>
      <c r="IF265"/>
      <c r="IG265"/>
      <c r="IH265"/>
      <c r="II265"/>
      <c r="IJ265"/>
      <c r="IK265" s="32"/>
      <c r="IL265" s="32"/>
      <c r="IM265" s="32"/>
      <c r="IN265" s="32"/>
      <c r="IO265" s="32"/>
      <c r="IP265" s="32"/>
      <c r="IQ265" s="32"/>
    </row>
    <row r="266" spans="1:251" s="31" customFormat="1" hidden="1" outlineLevel="1">
      <c r="A266" s="15"/>
      <c r="B266" s="15"/>
      <c r="C266" s="15"/>
      <c r="D266" s="15"/>
      <c r="E266" s="15"/>
      <c r="F266" s="15"/>
      <c r="G266" s="15"/>
      <c r="H266" s="15"/>
      <c r="I266" s="15"/>
      <c r="J266" s="15"/>
      <c r="K266" s="15"/>
      <c r="L266" s="15"/>
      <c r="M266" s="15"/>
      <c r="N266" s="15"/>
      <c r="O266" s="15"/>
      <c r="P266" s="15"/>
      <c r="Q266" s="15"/>
      <c r="R266" s="15"/>
      <c r="S266" s="15"/>
      <c r="T266" s="15"/>
      <c r="U266" s="15"/>
      <c r="V266" s="15"/>
      <c r="W266" s="15"/>
      <c r="X266" s="15"/>
      <c r="Y266" s="15"/>
      <c r="Z266" s="15"/>
      <c r="AA266" s="15"/>
      <c r="AB266" s="15"/>
      <c r="AC266" s="15"/>
      <c r="AD266" s="15"/>
      <c r="AE266" s="15"/>
      <c r="AF266" s="15"/>
      <c r="AG266" s="15"/>
      <c r="AH266" s="15"/>
      <c r="AI266" s="15"/>
      <c r="AJ266" s="15"/>
      <c r="AK266" s="15"/>
      <c r="AL266" s="15"/>
      <c r="AM266" s="15"/>
      <c r="AN266" s="15"/>
      <c r="AO266" s="15"/>
      <c r="AP266" s="15"/>
      <c r="AQ266" s="15"/>
      <c r="AR266" s="15"/>
      <c r="AS266" s="15"/>
      <c r="AT266" s="15"/>
      <c r="AU266" s="15"/>
      <c r="AV266" s="15"/>
      <c r="AW266" s="15"/>
      <c r="AX266" s="15"/>
      <c r="AY266" s="15"/>
      <c r="AZ266" s="15"/>
      <c r="BA266" s="15"/>
      <c r="BB266" s="15"/>
      <c r="BC266" s="15"/>
      <c r="BD266" s="15"/>
      <c r="BE266" s="15"/>
      <c r="BF266" s="15"/>
      <c r="BG266" s="15"/>
      <c r="BH266" s="15"/>
      <c r="BI266" s="15"/>
      <c r="BJ266" s="15"/>
      <c r="BK266" s="15"/>
      <c r="BL266" s="15"/>
      <c r="BM266" s="15"/>
      <c r="BN266" s="15"/>
      <c r="BO266" s="15"/>
      <c r="BP266" s="15"/>
      <c r="BQ266" s="15"/>
      <c r="BR266" s="15"/>
      <c r="BS266" s="15"/>
      <c r="BT266" s="15"/>
      <c r="BU266" s="15"/>
      <c r="BV266" s="15"/>
      <c r="BW266" s="15"/>
      <c r="BX266" s="15"/>
      <c r="BY266" s="15"/>
      <c r="BZ266" s="15"/>
      <c r="CA266" s="15"/>
      <c r="CB266" s="15"/>
      <c r="CC266" s="15"/>
      <c r="CD266" s="15"/>
      <c r="CE266" s="15"/>
      <c r="CF266" s="15"/>
      <c r="CG266" s="15"/>
      <c r="CH266" s="15"/>
      <c r="CI266" s="15"/>
      <c r="CJ266" s="15"/>
      <c r="CK266" s="15"/>
      <c r="CL266" s="15"/>
      <c r="CM266" s="15"/>
      <c r="CN266" s="15"/>
      <c r="CO266" s="15"/>
      <c r="CP266" s="15"/>
      <c r="CQ266" s="15"/>
      <c r="CR266" s="15"/>
      <c r="CS266" s="15"/>
      <c r="CT266" s="15"/>
      <c r="CU266" s="15"/>
      <c r="CV266" s="15"/>
      <c r="CW266" s="15"/>
      <c r="CX266" s="15"/>
      <c r="CY266" s="15"/>
      <c r="CZ266" s="15"/>
      <c r="DA266" s="15"/>
      <c r="DB266" s="15"/>
      <c r="DC266" s="15"/>
      <c r="DD266" s="15"/>
      <c r="DE266" s="15"/>
      <c r="DF266" s="15"/>
      <c r="DG266" s="15"/>
      <c r="DH266" s="15"/>
      <c r="DI266" s="15"/>
      <c r="DJ266" s="15"/>
      <c r="DK266" s="15"/>
      <c r="DL266" s="15"/>
      <c r="DM266" s="15"/>
      <c r="DN266" s="15"/>
      <c r="DO266" s="15"/>
      <c r="DP266" s="15"/>
      <c r="DQ266" s="15"/>
      <c r="DR266" s="15"/>
      <c r="DS266" s="15"/>
      <c r="DT266" s="15"/>
      <c r="DU266" s="15"/>
      <c r="DV266" s="15"/>
      <c r="DW266" s="15"/>
      <c r="DX266" s="15"/>
      <c r="DY266" s="15"/>
      <c r="DZ266" s="15"/>
      <c r="EA266" s="15"/>
      <c r="EB266" s="15"/>
      <c r="EC266" s="15"/>
      <c r="ED266" s="15"/>
      <c r="EE266" s="15"/>
      <c r="EF266" s="15"/>
      <c r="EG266" s="15"/>
      <c r="EH266" s="15"/>
      <c r="EI266" s="15"/>
      <c r="EJ266" s="15"/>
      <c r="EK266" s="15"/>
      <c r="EL266" s="15"/>
      <c r="EM266" s="15"/>
      <c r="EN266" s="15"/>
      <c r="EO266" s="15"/>
      <c r="EP266" s="15"/>
      <c r="EQ266" s="15"/>
      <c r="ER266" s="15"/>
      <c r="ES266" s="15"/>
      <c r="ET266" s="15"/>
      <c r="EU266" s="15"/>
      <c r="EV266" s="15"/>
      <c r="EW266" s="15"/>
      <c r="EX266" s="15"/>
      <c r="EY266" s="15"/>
      <c r="EZ266" s="15"/>
      <c r="FA266" s="15"/>
      <c r="FB266" s="15"/>
      <c r="FC266" s="15"/>
      <c r="FD266" s="15"/>
      <c r="FE266" s="15"/>
      <c r="FF266" s="15"/>
      <c r="FG266" s="15"/>
      <c r="FH266" s="15"/>
      <c r="FI266" s="15"/>
      <c r="FJ266" s="15"/>
      <c r="FK266" s="15"/>
      <c r="FL266" s="15"/>
      <c r="FM266" s="15"/>
      <c r="FN266" s="15"/>
      <c r="FO266" s="15"/>
      <c r="FP266" s="15"/>
      <c r="FQ266" s="15"/>
      <c r="FR266" s="15"/>
      <c r="FS266" s="15"/>
      <c r="FT266" s="15"/>
      <c r="FU266" s="15"/>
      <c r="FV266" s="15"/>
      <c r="FW266" s="15"/>
      <c r="FX266" s="15"/>
      <c r="FY266" s="15"/>
      <c r="FZ266" s="15"/>
      <c r="GA266" s="15"/>
      <c r="GB266" s="15"/>
      <c r="GC266" s="15"/>
      <c r="GD266" s="15"/>
      <c r="GE266" s="15"/>
      <c r="GF266" s="15"/>
      <c r="GG266" s="15"/>
      <c r="GH266" s="15"/>
      <c r="GI266" s="15"/>
      <c r="GJ266" s="15"/>
      <c r="GK266" s="15"/>
      <c r="GL266" s="15"/>
      <c r="GM266" s="15"/>
      <c r="GN266" s="15"/>
      <c r="GO266" s="15"/>
      <c r="GP266" s="15"/>
      <c r="GQ266" s="15"/>
      <c r="GR266" s="15"/>
      <c r="GS266" s="15"/>
      <c r="GT266" s="15"/>
      <c r="GU266" s="15"/>
      <c r="GV266" s="15"/>
      <c r="GW266" s="15"/>
      <c r="GX266" s="15"/>
      <c r="GY266" s="15"/>
      <c r="GZ266" s="15"/>
      <c r="HA266" s="15"/>
      <c r="HB266" s="15"/>
      <c r="HC266" s="15"/>
      <c r="HD266" s="15"/>
      <c r="HE266" s="15"/>
      <c r="HF266" s="15"/>
      <c r="HG266" s="15"/>
      <c r="HH266" s="15"/>
      <c r="HI266" s="15"/>
      <c r="HJ266" s="15"/>
      <c r="HK266" s="15"/>
      <c r="HL266" s="15"/>
      <c r="HM266" s="15"/>
      <c r="HN266" s="15"/>
      <c r="HO266" s="15"/>
      <c r="HP266" s="15"/>
      <c r="HQ266" s="15"/>
      <c r="HR266"/>
      <c r="HS266"/>
      <c r="HT266"/>
      <c r="HU266"/>
      <c r="HV266"/>
      <c r="HW266"/>
      <c r="HX266"/>
      <c r="HY266"/>
      <c r="HZ266"/>
      <c r="IA266"/>
      <c r="IB266"/>
      <c r="IC266"/>
      <c r="ID266"/>
      <c r="IE266"/>
      <c r="IF266"/>
      <c r="IG266"/>
      <c r="IH266"/>
      <c r="II266"/>
      <c r="IJ266"/>
      <c r="IK266" s="14"/>
      <c r="IL266" s="14"/>
      <c r="IM266" s="14"/>
      <c r="IN266" s="14"/>
      <c r="IO266" s="14"/>
      <c r="IP266" s="14"/>
      <c r="IQ266" s="14"/>
    </row>
    <row r="267" spans="1:251" s="31" customFormat="1" hidden="1" outlineLevel="1">
      <c r="A267" s="15"/>
      <c r="B267" s="15"/>
      <c r="C267" s="15"/>
      <c r="D267" s="15"/>
      <c r="E267" s="15"/>
      <c r="F267" s="15"/>
      <c r="G267" s="15"/>
      <c r="H267" s="15"/>
      <c r="I267" s="15"/>
      <c r="J267" s="15"/>
      <c r="K267" s="15"/>
      <c r="L267" s="15"/>
      <c r="M267" s="15"/>
      <c r="N267" s="15"/>
      <c r="O267" s="15"/>
      <c r="P267" s="15"/>
      <c r="Q267" s="15"/>
      <c r="R267" s="15"/>
      <c r="S267" s="15"/>
      <c r="T267" s="15"/>
      <c r="U267" s="15"/>
      <c r="V267" s="15"/>
      <c r="W267" s="15"/>
      <c r="X267" s="15"/>
      <c r="Y267" s="15"/>
      <c r="Z267" s="15"/>
      <c r="AA267" s="15"/>
      <c r="AB267" s="15"/>
      <c r="AC267" s="15"/>
      <c r="AD267" s="15"/>
      <c r="AE267" s="15"/>
      <c r="AF267" s="15"/>
      <c r="AG267" s="15"/>
      <c r="AH267" s="15"/>
      <c r="AI267" s="15"/>
      <c r="AJ267" s="15"/>
      <c r="AK267" s="15"/>
      <c r="AL267" s="15"/>
      <c r="AM267" s="15"/>
      <c r="AN267" s="15"/>
      <c r="AO267" s="15"/>
      <c r="AP267" s="15"/>
      <c r="AQ267" s="15"/>
      <c r="AR267" s="15"/>
      <c r="AS267" s="15"/>
      <c r="AT267" s="15"/>
      <c r="AU267" s="15"/>
      <c r="AV267" s="15"/>
      <c r="AW267" s="15"/>
      <c r="AX267" s="15"/>
      <c r="AY267" s="15"/>
      <c r="AZ267" s="15"/>
      <c r="BA267" s="15"/>
      <c r="BB267" s="15"/>
      <c r="BC267" s="15"/>
      <c r="BD267" s="15"/>
      <c r="BE267" s="15"/>
      <c r="BF267" s="15"/>
      <c r="BG267" s="15"/>
      <c r="BH267" s="15"/>
      <c r="BI267" s="15"/>
      <c r="BJ267" s="15"/>
      <c r="BK267" s="15"/>
      <c r="BL267" s="15"/>
      <c r="BM267" s="15"/>
      <c r="BN267" s="15"/>
      <c r="BO267" s="15"/>
      <c r="BP267" s="15"/>
      <c r="BQ267" s="15"/>
      <c r="BR267" s="15"/>
      <c r="BS267" s="15"/>
      <c r="BT267" s="15"/>
      <c r="BU267" s="15"/>
      <c r="BV267" s="15"/>
      <c r="BW267" s="15"/>
      <c r="BX267" s="15"/>
      <c r="BY267" s="15"/>
      <c r="BZ267" s="15"/>
      <c r="CA267" s="15"/>
      <c r="CB267" s="15"/>
      <c r="CC267" s="15"/>
      <c r="CD267" s="15"/>
      <c r="CE267" s="15"/>
      <c r="CF267" s="15"/>
      <c r="CG267" s="15"/>
      <c r="CH267" s="15"/>
      <c r="CI267" s="15"/>
      <c r="CJ267" s="15"/>
      <c r="CK267" s="15"/>
      <c r="CL267" s="15"/>
      <c r="CM267" s="15"/>
      <c r="CN267" s="15"/>
      <c r="CO267" s="15"/>
      <c r="CP267" s="15"/>
      <c r="CQ267" s="15"/>
      <c r="CR267" s="15"/>
      <c r="CS267" s="15"/>
      <c r="CT267" s="15"/>
      <c r="CU267" s="15"/>
      <c r="CV267" s="15"/>
      <c r="CW267" s="15"/>
      <c r="CX267" s="15"/>
      <c r="CY267" s="15"/>
      <c r="CZ267" s="15"/>
      <c r="DA267" s="15"/>
      <c r="DB267" s="15"/>
      <c r="DC267" s="15"/>
      <c r="DD267" s="15"/>
      <c r="DE267" s="15"/>
      <c r="DF267" s="15"/>
      <c r="DG267" s="15"/>
      <c r="DH267" s="15"/>
      <c r="DI267" s="15"/>
      <c r="DJ267" s="15"/>
      <c r="DK267" s="15"/>
      <c r="DL267" s="15"/>
      <c r="DM267" s="15"/>
      <c r="DN267" s="15"/>
      <c r="DO267" s="15"/>
      <c r="DP267" s="15"/>
      <c r="DQ267" s="15"/>
      <c r="DR267" s="15"/>
      <c r="DS267" s="15"/>
      <c r="DT267" s="15"/>
      <c r="DU267" s="15"/>
      <c r="DV267" s="15"/>
      <c r="DW267" s="15"/>
      <c r="DX267" s="15"/>
      <c r="DY267" s="15"/>
      <c r="DZ267" s="15"/>
      <c r="EA267" s="15"/>
      <c r="EB267" s="15"/>
      <c r="EC267" s="15"/>
      <c r="ED267" s="15"/>
      <c r="EE267" s="15"/>
      <c r="EF267" s="15"/>
      <c r="EG267" s="15"/>
      <c r="EH267" s="15"/>
      <c r="EI267" s="15"/>
      <c r="EJ267" s="15"/>
      <c r="EK267" s="15"/>
      <c r="EL267" s="15"/>
      <c r="EM267" s="15"/>
      <c r="EN267" s="15"/>
      <c r="EO267" s="15"/>
      <c r="EP267" s="15"/>
      <c r="EQ267" s="15"/>
      <c r="ER267" s="15"/>
      <c r="ES267" s="15"/>
      <c r="ET267" s="15"/>
      <c r="EU267" s="15"/>
      <c r="EV267" s="15"/>
      <c r="EW267" s="15"/>
      <c r="EX267" s="15"/>
      <c r="EY267" s="15"/>
      <c r="EZ267" s="15"/>
      <c r="FA267" s="15"/>
      <c r="FB267" s="15"/>
      <c r="FC267" s="15"/>
      <c r="FD267" s="15"/>
      <c r="FE267" s="15"/>
      <c r="FF267" s="15"/>
      <c r="FG267" s="15"/>
      <c r="FH267" s="15"/>
      <c r="FI267" s="15"/>
      <c r="FJ267" s="15"/>
      <c r="FK267" s="15"/>
      <c r="FL267" s="15"/>
      <c r="FM267" s="15"/>
      <c r="FN267" s="15"/>
      <c r="FO267" s="15"/>
      <c r="FP267" s="15"/>
      <c r="FQ267" s="15"/>
      <c r="FR267" s="15"/>
      <c r="FS267" s="15"/>
      <c r="FT267" s="15"/>
      <c r="FU267" s="15"/>
      <c r="FV267" s="15"/>
      <c r="FW267" s="15"/>
      <c r="FX267" s="15"/>
      <c r="FY267" s="15"/>
      <c r="FZ267" s="15"/>
      <c r="GA267" s="15"/>
      <c r="GB267" s="15"/>
      <c r="GC267" s="15"/>
      <c r="GD267" s="15"/>
      <c r="GE267" s="15"/>
      <c r="GF267" s="15"/>
      <c r="GG267" s="15"/>
      <c r="GH267" s="15"/>
      <c r="GI267" s="15"/>
      <c r="GJ267" s="15"/>
      <c r="GK267" s="15"/>
      <c r="GL267" s="15"/>
      <c r="GM267" s="15"/>
      <c r="GN267" s="15"/>
      <c r="GO267" s="15"/>
      <c r="GP267" s="15"/>
      <c r="GQ267" s="15"/>
      <c r="GR267" s="15"/>
      <c r="GS267" s="15"/>
      <c r="GT267" s="15"/>
      <c r="GU267" s="15"/>
      <c r="GV267" s="15"/>
      <c r="GW267" s="15"/>
      <c r="GX267" s="15"/>
      <c r="GY267" s="15"/>
      <c r="GZ267" s="15"/>
      <c r="HA267" s="15"/>
      <c r="HB267" s="15"/>
      <c r="HC267" s="15"/>
      <c r="HD267" s="15"/>
      <c r="HE267" s="15"/>
      <c r="HF267" s="15"/>
      <c r="HG267" s="15"/>
      <c r="HH267" s="15"/>
      <c r="HI267" s="15"/>
      <c r="HJ267" s="15"/>
      <c r="HK267" s="15"/>
      <c r="HL267" s="15"/>
      <c r="HM267" s="15"/>
      <c r="HN267" s="15"/>
      <c r="HO267" s="15"/>
      <c r="HP267" s="15"/>
      <c r="HQ267" s="15"/>
      <c r="HR267"/>
      <c r="HS267"/>
      <c r="HT267"/>
      <c r="HU267"/>
      <c r="HV267"/>
      <c r="HW267"/>
      <c r="HX267"/>
      <c r="HY267"/>
      <c r="HZ267"/>
      <c r="IA267"/>
      <c r="IB267"/>
      <c r="IC267"/>
      <c r="ID267"/>
      <c r="IE267"/>
      <c r="IF267"/>
      <c r="IG267"/>
      <c r="IH267"/>
      <c r="II267"/>
      <c r="IJ267"/>
      <c r="IK267" s="14"/>
      <c r="IL267" s="14"/>
      <c r="IM267" s="14"/>
      <c r="IN267" s="14"/>
      <c r="IO267" s="14"/>
      <c r="IP267" s="14"/>
      <c r="IQ267" s="14"/>
    </row>
    <row r="268" spans="1:251" s="33" customFormat="1" hidden="1" outlineLevel="1">
      <c r="A268" s="43" t="s">
        <v>262</v>
      </c>
      <c r="B268" s="43"/>
      <c r="C268" s="43"/>
      <c r="D268" s="43"/>
      <c r="E268" s="43"/>
      <c r="F268" s="43"/>
      <c r="G268" s="43"/>
      <c r="H268" s="43"/>
      <c r="I268" s="43"/>
      <c r="J268" s="43"/>
      <c r="K268" s="43"/>
      <c r="L268" s="43"/>
      <c r="M268" s="252">
        <v>724.00804600000004</v>
      </c>
      <c r="N268" s="43"/>
      <c r="O268" s="252">
        <f>O9-N9-164-34</f>
        <v>-1854</v>
      </c>
      <c r="P268" s="43"/>
      <c r="Q268" s="43"/>
      <c r="R268" s="43"/>
      <c r="S268" s="43"/>
      <c r="T268" s="43"/>
      <c r="U268" s="43"/>
      <c r="V268" s="43"/>
      <c r="W268" s="43"/>
      <c r="X268" s="43"/>
      <c r="Y268" s="43"/>
      <c r="Z268" s="43"/>
      <c r="AA268" s="43"/>
      <c r="AB268" s="43"/>
      <c r="AC268" s="43"/>
      <c r="AD268" s="43"/>
      <c r="AE268" s="43"/>
      <c r="AF268" s="43"/>
      <c r="AG268" s="43"/>
      <c r="AH268" s="43"/>
      <c r="AI268" s="43"/>
      <c r="AJ268" s="43"/>
      <c r="AK268" s="43"/>
      <c r="AL268" s="43"/>
      <c r="AM268" s="43"/>
      <c r="AN268" s="43"/>
      <c r="AO268" s="43"/>
      <c r="AP268" s="43"/>
      <c r="AQ268" s="43"/>
      <c r="AR268" s="43"/>
      <c r="AS268" s="43"/>
      <c r="AT268" s="43"/>
      <c r="AU268" s="43"/>
      <c r="AV268" s="43"/>
      <c r="AW268" s="43"/>
      <c r="AX268" s="43"/>
      <c r="AY268" s="43"/>
      <c r="AZ268" s="43"/>
      <c r="BA268" s="43"/>
      <c r="BB268" s="43"/>
      <c r="BC268" s="43"/>
      <c r="BD268" s="43"/>
      <c r="BE268" s="43"/>
      <c r="BF268" s="43"/>
      <c r="BG268" s="43"/>
      <c r="BH268" s="43"/>
      <c r="BI268" s="43"/>
      <c r="BJ268" s="43"/>
      <c r="BK268" s="43"/>
      <c r="BL268" s="43"/>
      <c r="BM268" s="43"/>
      <c r="BN268" s="43"/>
      <c r="BO268" s="43"/>
      <c r="BP268" s="43"/>
      <c r="BQ268" s="43"/>
      <c r="BR268" s="43"/>
      <c r="BS268" s="43"/>
      <c r="BT268" s="43"/>
      <c r="BU268" s="43"/>
      <c r="BV268" s="43"/>
      <c r="BW268" s="43"/>
      <c r="BX268" s="43"/>
      <c r="BY268" s="43"/>
      <c r="BZ268" s="43"/>
      <c r="CA268" s="43"/>
      <c r="CB268" s="43"/>
      <c r="CC268" s="43"/>
      <c r="CD268" s="43"/>
      <c r="CE268" s="43"/>
      <c r="CF268" s="43"/>
      <c r="CG268" s="43"/>
      <c r="CH268" s="43"/>
      <c r="CI268" s="43"/>
      <c r="CJ268" s="43"/>
      <c r="CK268" s="43"/>
      <c r="CL268" s="43"/>
      <c r="CM268" s="43"/>
      <c r="CN268" s="43"/>
      <c r="CO268" s="43"/>
      <c r="CP268" s="43"/>
      <c r="CQ268" s="43"/>
      <c r="CR268" s="43"/>
      <c r="CS268" s="43"/>
      <c r="CT268" s="43"/>
      <c r="CU268" s="43"/>
      <c r="CV268" s="43"/>
      <c r="CW268" s="43"/>
      <c r="CX268" s="43"/>
      <c r="CY268" s="43"/>
      <c r="CZ268" s="43"/>
      <c r="DA268" s="43"/>
      <c r="DB268" s="43"/>
      <c r="DC268" s="43"/>
      <c r="DD268" s="43"/>
      <c r="DE268" s="43"/>
      <c r="DF268" s="43"/>
      <c r="DG268" s="43"/>
      <c r="DH268" s="43"/>
      <c r="DI268" s="43"/>
      <c r="DJ268" s="43"/>
      <c r="DK268" s="43"/>
      <c r="DL268" s="43"/>
      <c r="DM268" s="43"/>
      <c r="DN268" s="43"/>
      <c r="DO268" s="43"/>
      <c r="DP268" s="43"/>
      <c r="DQ268" s="43"/>
      <c r="DR268" s="43"/>
      <c r="DS268" s="43"/>
      <c r="DT268" s="43"/>
      <c r="DU268" s="43"/>
      <c r="DV268" s="43"/>
      <c r="DW268" s="43"/>
      <c r="DX268" s="43"/>
      <c r="DY268" s="43"/>
      <c r="DZ268" s="43"/>
      <c r="EA268" s="43"/>
      <c r="EB268" s="43"/>
      <c r="EC268" s="43"/>
      <c r="ED268" s="43"/>
      <c r="EE268" s="43"/>
      <c r="EF268" s="43"/>
      <c r="EG268" s="43"/>
      <c r="EH268" s="43"/>
      <c r="EI268" s="43"/>
      <c r="EJ268" s="43"/>
      <c r="EK268" s="43"/>
      <c r="EL268" s="43"/>
      <c r="EM268" s="43"/>
      <c r="EN268" s="43"/>
      <c r="EO268" s="43"/>
      <c r="EP268" s="43"/>
      <c r="EQ268" s="43"/>
      <c r="ER268" s="43"/>
      <c r="ES268" s="43"/>
      <c r="ET268" s="43"/>
      <c r="EU268" s="43"/>
      <c r="EV268" s="43"/>
      <c r="EW268" s="43"/>
      <c r="EX268" s="43"/>
      <c r="EY268" s="43"/>
      <c r="EZ268" s="43"/>
      <c r="FA268" s="43"/>
      <c r="FB268" s="43"/>
      <c r="FC268" s="43"/>
      <c r="FD268" s="43"/>
      <c r="FE268" s="43"/>
      <c r="FF268" s="43"/>
      <c r="FG268" s="43"/>
      <c r="FH268" s="43"/>
      <c r="FI268" s="43"/>
      <c r="FJ268" s="43"/>
      <c r="FK268" s="43"/>
      <c r="FL268" s="43"/>
      <c r="FM268" s="43"/>
      <c r="FN268" s="43"/>
      <c r="FO268" s="43"/>
      <c r="FP268" s="43"/>
      <c r="FQ268" s="43"/>
      <c r="FR268" s="43"/>
      <c r="FS268" s="43"/>
      <c r="FT268" s="43"/>
      <c r="FU268" s="43"/>
      <c r="FV268" s="43"/>
      <c r="FW268" s="43"/>
      <c r="FX268" s="43"/>
      <c r="FY268" s="43"/>
      <c r="FZ268" s="43"/>
      <c r="GA268" s="43"/>
      <c r="GB268" s="43"/>
      <c r="GC268" s="43"/>
      <c r="GD268" s="43"/>
      <c r="GE268" s="43"/>
      <c r="GF268" s="43"/>
      <c r="GG268" s="43"/>
      <c r="GH268" s="43"/>
      <c r="GI268" s="43"/>
      <c r="GJ268" s="43"/>
      <c r="GK268" s="43"/>
      <c r="GL268" s="43"/>
      <c r="GM268" s="43"/>
      <c r="GN268" s="43"/>
      <c r="GO268" s="43"/>
      <c r="GP268" s="43"/>
      <c r="GQ268" s="43"/>
      <c r="GR268" s="43"/>
      <c r="GS268" s="43"/>
      <c r="GT268" s="43"/>
      <c r="GU268" s="43"/>
      <c r="GV268" s="43"/>
      <c r="GW268" s="43"/>
      <c r="GX268" s="43"/>
      <c r="GY268" s="43"/>
      <c r="GZ268" s="43"/>
      <c r="HA268" s="43"/>
      <c r="HB268" s="43"/>
      <c r="HC268" s="43"/>
      <c r="HD268" s="43"/>
      <c r="HE268" s="43"/>
      <c r="HF268" s="43"/>
      <c r="HG268" s="43"/>
      <c r="HH268" s="43"/>
      <c r="HI268" s="43"/>
      <c r="HJ268" s="43"/>
      <c r="HK268" s="43"/>
      <c r="HL268" s="43"/>
      <c r="HM268" s="43"/>
      <c r="HN268" s="43"/>
      <c r="HO268" s="43"/>
      <c r="HP268" s="43"/>
      <c r="HQ268" s="43"/>
      <c r="HR268"/>
      <c r="HS268"/>
      <c r="HT268"/>
      <c r="HU268"/>
      <c r="HV268"/>
      <c r="HW268"/>
      <c r="HX268"/>
      <c r="HY268"/>
      <c r="HZ268"/>
      <c r="IA268"/>
      <c r="IB268"/>
      <c r="IC268"/>
      <c r="ID268"/>
      <c r="IE268"/>
      <c r="IF268"/>
      <c r="IG268"/>
      <c r="IH268"/>
      <c r="II268"/>
      <c r="IJ268"/>
      <c r="IK268" s="32"/>
      <c r="IL268" s="32"/>
      <c r="IM268" s="32"/>
      <c r="IN268" s="32"/>
      <c r="IO268" s="32"/>
      <c r="IP268" s="32"/>
      <c r="IQ268" s="32"/>
    </row>
    <row r="269" spans="1:251" s="33" customFormat="1" hidden="1" outlineLevel="1">
      <c r="A269" s="43" t="s">
        <v>263</v>
      </c>
      <c r="B269" s="43"/>
      <c r="C269" s="43"/>
      <c r="D269" s="43"/>
      <c r="E269" s="43"/>
      <c r="F269" s="43"/>
      <c r="G269" s="43"/>
      <c r="H269" s="43"/>
      <c r="I269" s="43"/>
      <c r="J269" s="43"/>
      <c r="K269" s="63"/>
      <c r="L269" s="32"/>
      <c r="M269" s="253">
        <v>-39971.24907241475</v>
      </c>
      <c r="N269" s="32"/>
      <c r="O269" s="253">
        <v>-39971.24907241475</v>
      </c>
      <c r="P269" s="32">
        <f>2346.061935-256</f>
        <v>2090.0619350000002</v>
      </c>
      <c r="Q269" s="43"/>
      <c r="R269" s="43"/>
      <c r="S269" s="43"/>
      <c r="T269" s="43"/>
      <c r="U269" s="43"/>
      <c r="V269" s="43"/>
      <c r="W269" s="43"/>
      <c r="X269" s="43"/>
      <c r="Y269" s="43"/>
      <c r="Z269" s="43"/>
      <c r="AA269" s="43"/>
      <c r="AB269" s="43"/>
      <c r="AC269" s="43"/>
      <c r="AD269" s="43"/>
      <c r="AE269" s="43"/>
      <c r="AF269" s="43"/>
      <c r="AG269" s="43"/>
      <c r="AH269" s="43"/>
      <c r="AI269" s="43"/>
      <c r="AJ269" s="43"/>
      <c r="AK269" s="43"/>
      <c r="AL269" s="43"/>
      <c r="AM269" s="43"/>
      <c r="AN269" s="43"/>
      <c r="AO269" s="43"/>
      <c r="AP269" s="43"/>
      <c r="AQ269" s="43"/>
      <c r="AR269" s="43"/>
      <c r="AS269" s="43"/>
      <c r="AT269" s="43"/>
      <c r="AU269" s="43"/>
      <c r="AV269" s="43"/>
      <c r="AW269" s="43"/>
      <c r="AX269" s="43"/>
      <c r="AY269" s="43"/>
      <c r="AZ269" s="43"/>
      <c r="BA269" s="43"/>
      <c r="BB269" s="43"/>
      <c r="BC269" s="43"/>
      <c r="BD269" s="43"/>
      <c r="BE269" s="43"/>
      <c r="BF269" s="43"/>
      <c r="BG269" s="43"/>
      <c r="BH269" s="43"/>
      <c r="BI269" s="43"/>
      <c r="BJ269" s="43"/>
      <c r="BK269" s="43"/>
      <c r="BL269" s="43"/>
      <c r="BM269" s="43"/>
      <c r="BN269" s="43"/>
      <c r="BO269" s="43"/>
      <c r="BP269" s="43"/>
      <c r="BQ269" s="43"/>
      <c r="BR269" s="43"/>
      <c r="BS269" s="43"/>
      <c r="BT269" s="43"/>
      <c r="BU269" s="43"/>
      <c r="BV269" s="43"/>
      <c r="BW269" s="43"/>
      <c r="BX269" s="43"/>
      <c r="BY269" s="43"/>
      <c r="BZ269" s="43"/>
      <c r="CA269" s="43"/>
      <c r="CB269" s="43"/>
      <c r="CC269" s="43"/>
      <c r="CD269" s="43"/>
      <c r="CE269" s="43"/>
      <c r="CF269" s="43"/>
      <c r="CG269" s="43"/>
      <c r="CH269" s="43"/>
      <c r="CI269" s="43"/>
      <c r="CJ269" s="43"/>
      <c r="CK269" s="43"/>
      <c r="CL269" s="43"/>
      <c r="CM269" s="43"/>
      <c r="CN269" s="43"/>
      <c r="CO269" s="43"/>
      <c r="CP269" s="43"/>
      <c r="CQ269" s="43"/>
      <c r="CR269" s="43"/>
      <c r="CS269" s="43"/>
      <c r="CT269" s="43"/>
      <c r="CU269" s="43"/>
      <c r="CV269" s="43"/>
      <c r="CW269" s="43"/>
      <c r="CX269" s="43"/>
      <c r="CY269" s="43"/>
      <c r="CZ269" s="43"/>
      <c r="DA269" s="43"/>
      <c r="DB269" s="43"/>
      <c r="DC269" s="43"/>
      <c r="DD269" s="43"/>
      <c r="DE269" s="43"/>
      <c r="DF269" s="43"/>
      <c r="DG269" s="43"/>
      <c r="DH269" s="43"/>
      <c r="DI269" s="43"/>
      <c r="DJ269" s="43"/>
      <c r="DK269" s="43"/>
      <c r="DL269" s="43"/>
      <c r="DM269" s="43"/>
      <c r="DN269" s="43"/>
      <c r="DO269" s="43"/>
      <c r="DP269" s="43"/>
      <c r="DQ269" s="43"/>
      <c r="DR269" s="43"/>
      <c r="DS269" s="43"/>
      <c r="DT269" s="43"/>
      <c r="DU269" s="43"/>
      <c r="DV269" s="43"/>
      <c r="DW269" s="43"/>
      <c r="DX269" s="43"/>
      <c r="DY269" s="43"/>
      <c r="DZ269" s="43"/>
      <c r="EA269" s="43"/>
      <c r="EB269" s="43"/>
      <c r="EC269" s="43"/>
      <c r="ED269" s="43"/>
      <c r="EE269" s="43"/>
      <c r="EF269" s="43"/>
      <c r="EG269" s="43"/>
      <c r="EH269" s="43"/>
      <c r="EI269" s="43"/>
      <c r="EJ269" s="43"/>
      <c r="EK269" s="43"/>
      <c r="EL269" s="43"/>
      <c r="EM269" s="43"/>
      <c r="EN269" s="43"/>
      <c r="EO269" s="43"/>
      <c r="EP269" s="43"/>
      <c r="EQ269" s="43"/>
      <c r="ER269" s="43"/>
      <c r="ES269" s="43"/>
      <c r="ET269" s="43"/>
      <c r="EU269" s="43"/>
      <c r="EV269" s="43"/>
      <c r="EW269" s="43"/>
      <c r="EX269" s="43"/>
      <c r="EY269" s="43"/>
      <c r="EZ269" s="43"/>
      <c r="FA269" s="43"/>
      <c r="FB269" s="43"/>
      <c r="FC269" s="43"/>
      <c r="FD269" s="43"/>
      <c r="FE269" s="43"/>
      <c r="FF269" s="43"/>
      <c r="FG269" s="43"/>
      <c r="FH269" s="43"/>
      <c r="FI269" s="43"/>
      <c r="FJ269" s="43"/>
      <c r="FK269" s="43"/>
      <c r="FL269" s="43"/>
      <c r="FM269" s="43"/>
      <c r="FN269" s="43"/>
      <c r="FO269" s="43"/>
      <c r="FP269" s="43"/>
      <c r="FQ269" s="43"/>
      <c r="FR269" s="43"/>
      <c r="FS269" s="43"/>
      <c r="FT269" s="43"/>
      <c r="FU269" s="43"/>
      <c r="FV269" s="43"/>
      <c r="FW269" s="43"/>
      <c r="FX269" s="43"/>
      <c r="FY269" s="43"/>
      <c r="FZ269" s="43"/>
      <c r="GA269" s="43"/>
      <c r="GB269" s="43"/>
      <c r="GC269" s="43"/>
      <c r="GD269" s="43"/>
      <c r="GE269" s="43"/>
      <c r="GF269" s="43"/>
      <c r="GG269" s="43"/>
      <c r="GH269" s="43"/>
      <c r="GI269" s="43"/>
      <c r="GJ269" s="43"/>
      <c r="GK269" s="43"/>
      <c r="GL269" s="43"/>
      <c r="GM269" s="43"/>
      <c r="GN269" s="43"/>
      <c r="GO269" s="43"/>
      <c r="GP269" s="43"/>
      <c r="GQ269" s="43"/>
      <c r="GR269" s="43"/>
      <c r="GS269" s="43"/>
      <c r="GT269" s="43"/>
      <c r="GU269" s="43"/>
      <c r="GV269" s="43"/>
      <c r="GW269" s="43"/>
      <c r="GX269" s="43"/>
      <c r="GY269" s="43"/>
      <c r="GZ269" s="43"/>
      <c r="HA269" s="43"/>
      <c r="HB269" s="43"/>
      <c r="HC269" s="43"/>
      <c r="HD269" s="43"/>
      <c r="HE269" s="43"/>
      <c r="HF269" s="43"/>
      <c r="HG269" s="43"/>
      <c r="HH269" s="43"/>
      <c r="HI269" s="43"/>
      <c r="HJ269" s="43"/>
      <c r="HK269" s="43"/>
      <c r="HL269" s="43"/>
      <c r="HM269" s="43"/>
      <c r="HN269" s="43"/>
      <c r="HO269" s="43"/>
      <c r="HP269" s="43"/>
      <c r="HQ269" s="43"/>
      <c r="HR269"/>
      <c r="HS269"/>
      <c r="HT269"/>
      <c r="HU269"/>
      <c r="HV269"/>
      <c r="HW269"/>
      <c r="HX269"/>
      <c r="HY269"/>
      <c r="HZ269"/>
      <c r="IA269"/>
      <c r="IB269"/>
      <c r="IC269"/>
      <c r="ID269"/>
      <c r="IE269"/>
      <c r="IF269"/>
      <c r="IG269"/>
      <c r="IH269"/>
      <c r="II269"/>
      <c r="IJ269"/>
      <c r="IK269" s="32"/>
      <c r="IL269" s="32"/>
      <c r="IM269" s="32"/>
      <c r="IN269" s="32"/>
      <c r="IO269" s="32"/>
      <c r="IP269" s="32"/>
      <c r="IQ269" s="32"/>
    </row>
    <row r="270" spans="1:251" s="33" customFormat="1" hidden="1" outlineLevel="1">
      <c r="A270" s="167"/>
      <c r="B270" s="43"/>
      <c r="C270" s="43"/>
      <c r="D270" s="43"/>
      <c r="E270" s="107"/>
      <c r="F270" s="107"/>
      <c r="G270" s="107"/>
      <c r="H270" s="107"/>
      <c r="I270" s="107"/>
      <c r="J270" s="107"/>
      <c r="K270" s="107"/>
      <c r="L270" s="107"/>
      <c r="M270" s="107"/>
      <c r="N270" s="43"/>
      <c r="O270" s="43"/>
      <c r="P270" s="43"/>
      <c r="Q270" s="43"/>
      <c r="R270" s="43"/>
      <c r="S270" s="43"/>
      <c r="T270" s="43"/>
      <c r="U270" s="43"/>
      <c r="V270" s="43"/>
      <c r="W270" s="43"/>
      <c r="X270" s="43"/>
      <c r="Y270" s="43"/>
      <c r="Z270" s="43"/>
      <c r="AA270" s="43"/>
      <c r="AB270" s="43"/>
      <c r="AC270" s="43"/>
      <c r="AD270" s="43"/>
      <c r="AE270" s="43"/>
      <c r="AF270" s="43"/>
      <c r="AG270" s="43"/>
      <c r="AH270" s="43"/>
      <c r="AI270" s="43"/>
      <c r="AJ270" s="43"/>
      <c r="AK270" s="43"/>
      <c r="AL270" s="43"/>
      <c r="AM270" s="43"/>
      <c r="AN270" s="43"/>
      <c r="AO270" s="43"/>
      <c r="AP270" s="43"/>
      <c r="AQ270" s="43"/>
      <c r="AR270" s="43"/>
      <c r="AS270" s="43"/>
      <c r="AT270" s="43"/>
      <c r="AU270" s="43"/>
      <c r="AV270" s="43"/>
      <c r="AW270" s="43"/>
      <c r="AX270" s="43"/>
      <c r="AY270" s="43"/>
      <c r="AZ270" s="43"/>
      <c r="BA270" s="43"/>
      <c r="BB270" s="43"/>
      <c r="BC270" s="43"/>
      <c r="BD270" s="43"/>
      <c r="BE270" s="43"/>
      <c r="BF270" s="43"/>
      <c r="BG270" s="43"/>
      <c r="BH270" s="43"/>
      <c r="BI270" s="43"/>
      <c r="BJ270" s="43"/>
      <c r="BK270" s="43"/>
      <c r="BL270" s="43"/>
      <c r="BM270" s="43"/>
      <c r="BN270" s="43"/>
      <c r="BO270" s="43"/>
      <c r="BP270" s="43"/>
      <c r="BQ270" s="43"/>
      <c r="BR270" s="43"/>
      <c r="BS270" s="43"/>
      <c r="BT270" s="43"/>
      <c r="BU270" s="43"/>
      <c r="BV270" s="43"/>
      <c r="BW270" s="43"/>
      <c r="BX270" s="43"/>
      <c r="BY270" s="43"/>
      <c r="BZ270" s="43"/>
      <c r="CA270" s="43"/>
      <c r="CB270" s="43"/>
      <c r="CC270" s="43"/>
      <c r="CD270" s="43"/>
      <c r="CE270" s="43"/>
      <c r="CF270" s="43"/>
      <c r="CG270" s="43"/>
      <c r="CH270" s="43"/>
      <c r="CI270" s="43"/>
      <c r="CJ270" s="43"/>
      <c r="CK270" s="43"/>
      <c r="CL270" s="43"/>
      <c r="CM270" s="43"/>
      <c r="CN270" s="43"/>
      <c r="CO270" s="43"/>
      <c r="CP270" s="43"/>
      <c r="CQ270" s="43"/>
      <c r="CR270" s="43"/>
      <c r="CS270" s="43"/>
      <c r="CT270" s="43"/>
      <c r="CU270" s="43"/>
      <c r="CV270" s="43"/>
      <c r="CW270" s="43"/>
      <c r="CX270" s="43"/>
      <c r="CY270" s="43"/>
      <c r="CZ270" s="43"/>
      <c r="DA270" s="43"/>
      <c r="DB270" s="43"/>
      <c r="DC270" s="43"/>
      <c r="DD270" s="43"/>
      <c r="DE270" s="43"/>
      <c r="DF270" s="43"/>
      <c r="DG270" s="43"/>
      <c r="DH270" s="43"/>
      <c r="DI270" s="43"/>
      <c r="DJ270" s="43"/>
      <c r="DK270" s="43"/>
      <c r="DL270" s="43"/>
      <c r="DM270" s="43"/>
      <c r="DN270" s="43"/>
      <c r="DO270" s="43"/>
      <c r="DP270" s="43"/>
      <c r="DQ270" s="43"/>
      <c r="DR270" s="43"/>
      <c r="DS270" s="43"/>
      <c r="DT270" s="43"/>
      <c r="DU270" s="43"/>
      <c r="DV270" s="43"/>
      <c r="DW270" s="43"/>
      <c r="DX270" s="43"/>
      <c r="DY270" s="43"/>
      <c r="DZ270" s="43"/>
      <c r="EA270" s="43"/>
      <c r="EB270" s="43"/>
      <c r="EC270" s="43"/>
      <c r="ED270" s="43"/>
      <c r="EE270" s="43"/>
      <c r="EF270" s="43"/>
      <c r="EG270" s="43"/>
      <c r="EH270" s="43"/>
      <c r="EI270" s="43"/>
      <c r="EJ270" s="43"/>
      <c r="EK270" s="43"/>
      <c r="EL270" s="43"/>
      <c r="EM270" s="43"/>
      <c r="EN270" s="43"/>
      <c r="EO270" s="43"/>
      <c r="EP270" s="43"/>
      <c r="EQ270" s="43"/>
      <c r="ER270" s="43"/>
      <c r="ES270" s="43"/>
      <c r="ET270" s="43"/>
      <c r="EU270" s="43"/>
      <c r="EV270" s="43"/>
      <c r="EW270" s="43"/>
      <c r="EX270" s="43"/>
      <c r="EY270" s="43"/>
      <c r="EZ270" s="43"/>
      <c r="FA270" s="43"/>
      <c r="FB270" s="43"/>
      <c r="FC270" s="43"/>
      <c r="FD270" s="43"/>
      <c r="FE270" s="43"/>
      <c r="FF270" s="43"/>
      <c r="FG270" s="43"/>
      <c r="FH270" s="43"/>
      <c r="FI270" s="43"/>
      <c r="FJ270" s="43"/>
      <c r="FK270" s="43"/>
      <c r="FL270" s="43"/>
      <c r="FM270" s="43"/>
      <c r="FN270" s="43"/>
      <c r="FO270" s="43"/>
      <c r="FP270" s="43"/>
      <c r="FQ270" s="43"/>
      <c r="FR270" s="43"/>
      <c r="FS270" s="43"/>
      <c r="FT270" s="43"/>
      <c r="FU270" s="43"/>
      <c r="FV270" s="43"/>
      <c r="FW270" s="43"/>
      <c r="FX270" s="43"/>
      <c r="FY270" s="43"/>
      <c r="FZ270" s="43"/>
      <c r="GA270" s="43"/>
      <c r="GB270" s="43"/>
      <c r="GC270" s="43"/>
      <c r="GD270" s="43"/>
      <c r="GE270" s="43"/>
      <c r="GF270" s="43"/>
      <c r="GG270" s="43"/>
      <c r="GH270" s="43"/>
      <c r="GI270" s="43"/>
      <c r="GJ270" s="43"/>
      <c r="GK270" s="43"/>
      <c r="GL270" s="43"/>
      <c r="GM270" s="43"/>
      <c r="GN270" s="43"/>
      <c r="GO270" s="43"/>
      <c r="GP270" s="43"/>
      <c r="GQ270" s="43"/>
      <c r="GR270" s="43"/>
      <c r="GS270" s="43"/>
      <c r="GT270" s="43"/>
      <c r="GU270" s="43"/>
      <c r="GV270" s="43"/>
      <c r="GW270" s="43"/>
      <c r="GX270" s="43"/>
      <c r="GY270" s="43"/>
      <c r="GZ270" s="43"/>
      <c r="HA270" s="43"/>
      <c r="HB270" s="43"/>
      <c r="HC270" s="43"/>
      <c r="HD270" s="43"/>
      <c r="HE270" s="43"/>
      <c r="HF270" s="43"/>
      <c r="HG270" s="43"/>
      <c r="HH270" s="43"/>
      <c r="HI270" s="43"/>
      <c r="HJ270" s="43"/>
      <c r="HK270" s="43"/>
      <c r="HL270" s="43"/>
      <c r="HM270" s="43"/>
      <c r="HN270" s="43"/>
      <c r="HO270" s="43"/>
      <c r="HP270" s="43"/>
      <c r="HQ270" s="43"/>
      <c r="HR270"/>
      <c r="HS270"/>
      <c r="HT270"/>
      <c r="HU270"/>
      <c r="HV270"/>
      <c r="HW270"/>
      <c r="HX270"/>
      <c r="HY270"/>
      <c r="HZ270"/>
      <c r="IA270"/>
      <c r="IB270"/>
      <c r="IC270"/>
      <c r="ID270"/>
      <c r="IE270"/>
      <c r="IF270"/>
      <c r="IG270"/>
      <c r="IH270"/>
      <c r="II270"/>
      <c r="IJ270"/>
      <c r="IK270" s="32"/>
      <c r="IL270" s="32"/>
      <c r="IM270" s="32"/>
      <c r="IN270" s="32"/>
      <c r="IO270" s="32"/>
      <c r="IP270" s="32"/>
      <c r="IQ270" s="32"/>
    </row>
    <row r="271" spans="1:251" s="33" customFormat="1" hidden="1" outlineLevel="1">
      <c r="A271" s="43"/>
      <c r="B271" s="43"/>
      <c r="C271" s="43"/>
      <c r="D271" s="43"/>
      <c r="E271" s="43"/>
      <c r="F271" s="43"/>
      <c r="G271" s="43"/>
      <c r="H271" s="43"/>
      <c r="I271" s="43"/>
      <c r="J271" s="43"/>
      <c r="K271" s="32"/>
      <c r="L271" s="32"/>
      <c r="M271" s="32"/>
      <c r="N271" s="32"/>
      <c r="O271" s="32"/>
      <c r="P271" s="32"/>
      <c r="Q271" s="43"/>
      <c r="R271" s="43"/>
      <c r="S271" s="43"/>
      <c r="T271" s="43"/>
      <c r="U271" s="43"/>
      <c r="V271" s="43"/>
      <c r="W271" s="43"/>
      <c r="X271" s="43"/>
      <c r="Y271" s="43"/>
      <c r="Z271" s="43"/>
      <c r="AA271" s="43"/>
      <c r="AB271" s="43"/>
      <c r="AC271" s="43"/>
      <c r="AD271" s="43"/>
      <c r="AE271" s="43"/>
      <c r="AF271" s="43"/>
      <c r="AG271" s="43"/>
      <c r="AH271" s="43"/>
      <c r="AI271" s="43"/>
      <c r="AJ271" s="43"/>
      <c r="AK271" s="43"/>
      <c r="AL271" s="43"/>
      <c r="AM271" s="43"/>
      <c r="AN271" s="43"/>
      <c r="AO271" s="43"/>
      <c r="AP271" s="43"/>
      <c r="AQ271" s="43"/>
      <c r="AR271" s="43"/>
      <c r="AS271" s="43"/>
      <c r="AT271" s="43"/>
      <c r="AU271" s="43"/>
      <c r="AV271" s="43"/>
      <c r="AW271" s="43"/>
      <c r="AX271" s="43"/>
      <c r="AY271" s="43"/>
      <c r="AZ271" s="43"/>
      <c r="BA271" s="43"/>
      <c r="BB271" s="43"/>
      <c r="BC271" s="43"/>
      <c r="BD271" s="43"/>
      <c r="BE271" s="43"/>
      <c r="BF271" s="43"/>
      <c r="BG271" s="43"/>
      <c r="BH271" s="43"/>
      <c r="BI271" s="43"/>
      <c r="BJ271" s="43"/>
      <c r="BK271" s="43"/>
      <c r="BL271" s="43"/>
      <c r="BM271" s="43"/>
      <c r="BN271" s="43"/>
      <c r="BO271" s="43"/>
      <c r="BP271" s="43"/>
      <c r="BQ271" s="43"/>
      <c r="BR271" s="43"/>
      <c r="BS271" s="43"/>
      <c r="BT271" s="43"/>
      <c r="BU271" s="43"/>
      <c r="BV271" s="43"/>
      <c r="BW271" s="43"/>
      <c r="BX271" s="43"/>
      <c r="BY271" s="43"/>
      <c r="BZ271" s="43"/>
      <c r="CA271" s="43"/>
      <c r="CB271" s="43"/>
      <c r="CC271" s="43"/>
      <c r="CD271" s="43"/>
      <c r="CE271" s="43"/>
      <c r="CF271" s="43"/>
      <c r="CG271" s="43"/>
      <c r="CH271" s="43"/>
      <c r="CI271" s="43"/>
      <c r="CJ271" s="43"/>
      <c r="CK271" s="43"/>
      <c r="CL271" s="43"/>
      <c r="CM271" s="43"/>
      <c r="CN271" s="43"/>
      <c r="CO271" s="43"/>
      <c r="CP271" s="43"/>
      <c r="CQ271" s="43"/>
      <c r="CR271" s="43"/>
      <c r="CS271" s="43"/>
      <c r="CT271" s="43"/>
      <c r="CU271" s="43"/>
      <c r="CV271" s="43"/>
      <c r="CW271" s="43"/>
      <c r="CX271" s="43"/>
      <c r="CY271" s="43"/>
      <c r="CZ271" s="43"/>
      <c r="DA271" s="43"/>
      <c r="DB271" s="43"/>
      <c r="DC271" s="43"/>
      <c r="DD271" s="43"/>
      <c r="DE271" s="43"/>
      <c r="DF271" s="43"/>
      <c r="DG271" s="43"/>
      <c r="DH271" s="43"/>
      <c r="DI271" s="43"/>
      <c r="DJ271" s="43"/>
      <c r="DK271" s="43"/>
      <c r="DL271" s="43"/>
      <c r="DM271" s="43"/>
      <c r="DN271" s="43"/>
      <c r="DO271" s="43"/>
      <c r="DP271" s="43"/>
      <c r="DQ271" s="43"/>
      <c r="DR271" s="43"/>
      <c r="DS271" s="43"/>
      <c r="DT271" s="43"/>
      <c r="DU271" s="43"/>
      <c r="DV271" s="43"/>
      <c r="DW271" s="43"/>
      <c r="DX271" s="43"/>
      <c r="DY271" s="43"/>
      <c r="DZ271" s="43"/>
      <c r="EA271" s="43"/>
      <c r="EB271" s="43"/>
      <c r="EC271" s="43"/>
      <c r="ED271" s="43"/>
      <c r="EE271" s="43"/>
      <c r="EF271" s="43"/>
      <c r="EG271" s="43"/>
      <c r="EH271" s="43"/>
      <c r="EI271" s="43"/>
      <c r="EJ271" s="43"/>
      <c r="EK271" s="43"/>
      <c r="EL271" s="43"/>
      <c r="EM271" s="43"/>
      <c r="EN271" s="43"/>
      <c r="EO271" s="43"/>
      <c r="EP271" s="43"/>
      <c r="EQ271" s="43"/>
      <c r="ER271" s="43"/>
      <c r="ES271" s="43"/>
      <c r="ET271" s="43"/>
      <c r="EU271" s="43"/>
      <c r="EV271" s="43"/>
      <c r="EW271" s="43"/>
      <c r="EX271" s="43"/>
      <c r="EY271" s="43"/>
      <c r="EZ271" s="43"/>
      <c r="FA271" s="43"/>
      <c r="FB271" s="43"/>
      <c r="FC271" s="43"/>
      <c r="FD271" s="43"/>
      <c r="FE271" s="43"/>
      <c r="FF271" s="43"/>
      <c r="FG271" s="43"/>
      <c r="FH271" s="43"/>
      <c r="FI271" s="43"/>
      <c r="FJ271" s="43"/>
      <c r="FK271" s="43"/>
      <c r="FL271" s="43"/>
      <c r="FM271" s="43"/>
      <c r="FN271" s="43"/>
      <c r="FO271" s="43"/>
      <c r="FP271" s="43"/>
      <c r="FQ271" s="43"/>
      <c r="FR271" s="43"/>
      <c r="FS271" s="43"/>
      <c r="FT271" s="43"/>
      <c r="FU271" s="43"/>
      <c r="FV271" s="43"/>
      <c r="FW271" s="43"/>
      <c r="FX271" s="43"/>
      <c r="FY271" s="43"/>
      <c r="FZ271" s="43"/>
      <c r="GA271" s="43"/>
      <c r="GB271" s="43"/>
      <c r="GC271" s="43"/>
      <c r="GD271" s="43"/>
      <c r="GE271" s="43"/>
      <c r="GF271" s="43"/>
      <c r="GG271" s="43"/>
      <c r="GH271" s="43"/>
      <c r="GI271" s="43"/>
      <c r="GJ271" s="43"/>
      <c r="GK271" s="43"/>
      <c r="GL271" s="43"/>
      <c r="GM271" s="43"/>
      <c r="GN271" s="43"/>
      <c r="GO271" s="43"/>
      <c r="GP271" s="43"/>
      <c r="GQ271" s="43"/>
      <c r="GR271" s="43"/>
      <c r="GS271" s="43"/>
      <c r="GT271" s="43"/>
      <c r="GU271" s="43"/>
      <c r="GV271" s="43"/>
      <c r="GW271" s="43"/>
      <c r="GX271" s="43"/>
      <c r="GY271" s="43"/>
      <c r="GZ271" s="43"/>
      <c r="HA271" s="43"/>
      <c r="HB271" s="43"/>
      <c r="HC271" s="43"/>
      <c r="HD271" s="43"/>
      <c r="HE271" s="43"/>
      <c r="HF271" s="43"/>
      <c r="HG271" s="43"/>
      <c r="HH271" s="43"/>
      <c r="HI271" s="43"/>
      <c r="HJ271" s="43"/>
      <c r="HK271" s="43"/>
      <c r="HL271" s="43"/>
      <c r="HM271" s="43"/>
      <c r="HN271" s="43"/>
      <c r="HO271" s="43"/>
      <c r="HP271" s="43"/>
      <c r="HQ271" s="43"/>
      <c r="HR271"/>
      <c r="HS271"/>
      <c r="HT271"/>
      <c r="HU271"/>
      <c r="HV271"/>
      <c r="HW271"/>
      <c r="HX271"/>
      <c r="HY271"/>
      <c r="HZ271"/>
      <c r="IA271"/>
      <c r="IB271"/>
      <c r="IC271"/>
      <c r="ID271"/>
      <c r="IE271"/>
      <c r="IF271"/>
      <c r="IG271"/>
      <c r="IH271"/>
      <c r="II271"/>
      <c r="IJ271"/>
      <c r="IK271" s="32"/>
      <c r="IL271" s="32"/>
      <c r="IM271" s="32"/>
      <c r="IN271" s="32"/>
      <c r="IO271" s="32"/>
      <c r="IP271" s="32"/>
      <c r="IQ271" s="32"/>
    </row>
    <row r="272" spans="1:251" s="31" customFormat="1" hidden="1" outlineLevel="1">
      <c r="A272" s="15"/>
      <c r="B272" s="15"/>
      <c r="C272" s="15"/>
      <c r="D272" s="15"/>
      <c r="E272" s="15"/>
      <c r="F272" s="15"/>
      <c r="G272" s="15"/>
      <c r="H272" s="15"/>
      <c r="I272" s="15"/>
      <c r="J272" s="15"/>
      <c r="K272" s="15"/>
      <c r="L272" s="15"/>
      <c r="M272" s="15"/>
      <c r="N272" s="15"/>
      <c r="O272" s="15"/>
      <c r="P272" s="15"/>
      <c r="Q272" s="15"/>
      <c r="R272" s="15"/>
      <c r="S272" s="15"/>
      <c r="T272" s="15"/>
      <c r="U272" s="15"/>
      <c r="V272" s="15"/>
      <c r="W272" s="15"/>
      <c r="X272" s="15"/>
      <c r="Y272" s="15"/>
      <c r="Z272" s="15"/>
      <c r="AA272" s="15"/>
      <c r="AB272" s="15"/>
      <c r="AC272" s="15"/>
      <c r="AD272" s="15"/>
      <c r="AE272" s="15"/>
      <c r="AF272" s="15"/>
      <c r="AG272" s="15"/>
      <c r="AH272" s="15"/>
      <c r="AI272" s="15"/>
      <c r="AJ272" s="15"/>
      <c r="AK272" s="15"/>
      <c r="AL272" s="15"/>
      <c r="AM272" s="15"/>
      <c r="AN272" s="15"/>
      <c r="AO272" s="15"/>
      <c r="AP272" s="15"/>
      <c r="AQ272" s="15"/>
      <c r="AR272" s="15"/>
      <c r="AS272" s="15"/>
      <c r="AT272" s="15"/>
      <c r="AU272" s="15"/>
      <c r="AV272" s="15"/>
      <c r="AW272" s="15"/>
      <c r="AX272" s="15"/>
      <c r="AY272" s="15"/>
      <c r="AZ272" s="15"/>
      <c r="BA272" s="15"/>
      <c r="BB272" s="15"/>
      <c r="BC272" s="15"/>
      <c r="BD272" s="15"/>
      <c r="BE272" s="15"/>
      <c r="BF272" s="15"/>
      <c r="BG272" s="15"/>
      <c r="BH272" s="15"/>
      <c r="BI272" s="15"/>
      <c r="BJ272" s="15"/>
      <c r="BK272" s="15"/>
      <c r="BL272" s="15"/>
      <c r="BM272" s="15"/>
      <c r="BN272" s="15"/>
      <c r="BO272" s="15"/>
      <c r="BP272" s="15"/>
      <c r="BQ272" s="15"/>
      <c r="BR272" s="15"/>
      <c r="BS272" s="15"/>
      <c r="BT272" s="15"/>
      <c r="BU272" s="15"/>
      <c r="BV272" s="15"/>
      <c r="BW272" s="15"/>
      <c r="BX272" s="15"/>
      <c r="BY272" s="15"/>
      <c r="BZ272" s="15"/>
      <c r="CA272" s="15"/>
      <c r="CB272" s="15"/>
      <c r="CC272" s="15"/>
      <c r="CD272" s="15"/>
      <c r="CE272" s="15"/>
      <c r="CF272" s="15"/>
      <c r="CG272" s="15"/>
      <c r="CH272" s="15"/>
      <c r="CI272" s="15"/>
      <c r="CJ272" s="15"/>
      <c r="CK272" s="15"/>
      <c r="CL272" s="15"/>
      <c r="CM272" s="15"/>
      <c r="CN272" s="15"/>
      <c r="CO272" s="15"/>
      <c r="CP272" s="15"/>
      <c r="CQ272" s="15"/>
      <c r="CR272" s="15"/>
      <c r="CS272" s="15"/>
      <c r="CT272" s="15"/>
      <c r="CU272" s="15"/>
      <c r="CV272" s="15"/>
      <c r="CW272" s="15"/>
      <c r="CX272" s="15"/>
      <c r="CY272" s="15"/>
      <c r="CZ272" s="15"/>
      <c r="DA272" s="15"/>
      <c r="DB272" s="15"/>
      <c r="DC272" s="15"/>
      <c r="DD272" s="15"/>
      <c r="DE272" s="15"/>
      <c r="DF272" s="15"/>
      <c r="DG272" s="15"/>
      <c r="DH272" s="15"/>
      <c r="DI272" s="15"/>
      <c r="DJ272" s="15"/>
      <c r="DK272" s="15"/>
      <c r="DL272" s="15"/>
      <c r="DM272" s="15"/>
      <c r="DN272" s="15"/>
      <c r="DO272" s="15"/>
      <c r="DP272" s="15"/>
      <c r="DQ272" s="15"/>
      <c r="DR272" s="15"/>
      <c r="DS272" s="15"/>
      <c r="DT272" s="15"/>
      <c r="DU272" s="15"/>
      <c r="DV272" s="15"/>
      <c r="DW272" s="15"/>
      <c r="DX272" s="15"/>
      <c r="DY272" s="15"/>
      <c r="DZ272" s="15"/>
      <c r="EA272" s="15"/>
      <c r="EB272" s="15"/>
      <c r="EC272" s="15"/>
      <c r="ED272" s="15"/>
      <c r="EE272" s="15"/>
      <c r="EF272" s="15"/>
      <c r="EG272" s="15"/>
      <c r="EH272" s="15"/>
      <c r="EI272" s="15"/>
      <c r="EJ272" s="15"/>
      <c r="EK272" s="15"/>
      <c r="EL272" s="15"/>
      <c r="EM272" s="15"/>
      <c r="EN272" s="15"/>
      <c r="EO272" s="15"/>
      <c r="EP272" s="15"/>
      <c r="EQ272" s="15"/>
      <c r="ER272" s="15"/>
      <c r="ES272" s="15"/>
      <c r="ET272" s="15"/>
      <c r="EU272" s="15"/>
      <c r="EV272" s="15"/>
      <c r="EW272" s="15"/>
      <c r="EX272" s="15"/>
      <c r="EY272" s="15"/>
      <c r="EZ272" s="15"/>
      <c r="FA272" s="15"/>
      <c r="FB272" s="15"/>
      <c r="FC272" s="15"/>
      <c r="FD272" s="15"/>
      <c r="FE272" s="15"/>
      <c r="FF272" s="15"/>
      <c r="FG272" s="15"/>
      <c r="FH272" s="15"/>
      <c r="FI272" s="15"/>
      <c r="FJ272" s="15"/>
      <c r="FK272" s="15"/>
      <c r="FL272" s="15"/>
      <c r="FM272" s="15"/>
      <c r="FN272" s="15"/>
      <c r="FO272" s="15"/>
      <c r="FP272" s="15"/>
      <c r="FQ272" s="15"/>
      <c r="FR272" s="15"/>
      <c r="FS272" s="15"/>
      <c r="FT272" s="15"/>
      <c r="FU272" s="15"/>
      <c r="FV272" s="15"/>
      <c r="FW272" s="15"/>
      <c r="FX272" s="15"/>
      <c r="FY272" s="15"/>
      <c r="FZ272" s="15"/>
      <c r="GA272" s="15"/>
      <c r="GB272" s="15"/>
      <c r="GC272" s="15"/>
      <c r="GD272" s="15"/>
      <c r="GE272" s="15"/>
      <c r="GF272" s="15"/>
      <c r="GG272" s="15"/>
      <c r="GH272" s="15"/>
      <c r="GI272" s="15"/>
      <c r="GJ272" s="15"/>
      <c r="GK272" s="15"/>
      <c r="GL272" s="15"/>
      <c r="GM272" s="15"/>
      <c r="GN272" s="15"/>
      <c r="GO272" s="15"/>
      <c r="GP272" s="15"/>
      <c r="GQ272" s="15"/>
      <c r="GR272" s="15"/>
      <c r="GS272" s="15"/>
      <c r="GT272" s="15"/>
      <c r="GU272" s="15"/>
      <c r="GV272" s="15"/>
      <c r="GW272" s="15"/>
      <c r="GX272" s="15"/>
      <c r="GY272" s="15"/>
      <c r="GZ272" s="15"/>
      <c r="HA272" s="15"/>
      <c r="HB272" s="15"/>
      <c r="HC272" s="15"/>
      <c r="HD272" s="15"/>
      <c r="HE272" s="15"/>
      <c r="HF272" s="15"/>
      <c r="HG272" s="15"/>
      <c r="HH272" s="15"/>
      <c r="HI272" s="15"/>
      <c r="HJ272" s="15"/>
      <c r="HK272" s="15"/>
      <c r="HL272" s="15"/>
      <c r="HM272" s="15"/>
      <c r="HN272" s="15"/>
      <c r="HO272" s="15"/>
      <c r="HP272" s="15"/>
      <c r="HQ272" s="15"/>
      <c r="HR272"/>
      <c r="HS272"/>
      <c r="HT272"/>
      <c r="HU272"/>
      <c r="HV272"/>
      <c r="HW272"/>
      <c r="HX272"/>
      <c r="HY272"/>
      <c r="HZ272"/>
      <c r="IA272"/>
      <c r="IB272"/>
      <c r="IC272"/>
      <c r="ID272"/>
      <c r="IE272"/>
      <c r="IF272"/>
      <c r="IG272"/>
      <c r="IH272"/>
      <c r="II272"/>
      <c r="IJ272"/>
      <c r="IK272" s="14"/>
      <c r="IL272" s="14"/>
      <c r="IM272" s="14"/>
      <c r="IN272" s="14"/>
      <c r="IO272" s="14"/>
      <c r="IP272" s="14"/>
      <c r="IQ272" s="14"/>
    </row>
    <row r="273" spans="1:251" s="31" customFormat="1" hidden="1" outlineLevel="1">
      <c r="A273" s="15"/>
      <c r="B273" s="15"/>
      <c r="C273" s="15"/>
      <c r="D273" s="15"/>
      <c r="E273" s="15"/>
      <c r="F273" s="15"/>
      <c r="G273" s="15"/>
      <c r="H273" s="15"/>
      <c r="I273" s="15"/>
      <c r="J273" s="15"/>
      <c r="K273" s="15"/>
      <c r="L273" s="15"/>
      <c r="M273" s="15"/>
      <c r="N273" s="15"/>
      <c r="O273" s="15"/>
      <c r="P273" s="15"/>
      <c r="Q273" s="15"/>
      <c r="R273" s="15"/>
      <c r="S273" s="15"/>
      <c r="T273" s="15"/>
      <c r="U273" s="15"/>
      <c r="V273" s="15"/>
      <c r="W273" s="15"/>
      <c r="X273" s="15"/>
      <c r="Y273" s="15"/>
      <c r="Z273" s="15"/>
      <c r="AA273" s="15"/>
      <c r="AB273" s="15"/>
      <c r="AC273" s="15"/>
      <c r="AD273" s="15"/>
      <c r="AE273" s="15"/>
      <c r="AF273" s="15"/>
      <c r="AG273" s="15"/>
      <c r="AH273" s="15"/>
      <c r="AI273" s="15"/>
      <c r="AJ273" s="15"/>
      <c r="AK273" s="15"/>
      <c r="AL273" s="15"/>
      <c r="AM273" s="15"/>
      <c r="AN273" s="15"/>
      <c r="AO273" s="15"/>
      <c r="AP273" s="15"/>
      <c r="AQ273" s="15"/>
      <c r="AR273" s="15"/>
      <c r="AS273" s="15"/>
      <c r="AT273" s="15"/>
      <c r="AU273" s="15"/>
      <c r="AV273" s="15"/>
      <c r="AW273" s="15"/>
      <c r="AX273" s="15"/>
      <c r="AY273" s="15"/>
      <c r="AZ273" s="15"/>
      <c r="BA273" s="15"/>
      <c r="BB273" s="15"/>
      <c r="BC273" s="15"/>
      <c r="BD273" s="15"/>
      <c r="BE273" s="15"/>
      <c r="BF273" s="15"/>
      <c r="BG273" s="15"/>
      <c r="BH273" s="15"/>
      <c r="BI273" s="15"/>
      <c r="BJ273" s="15"/>
      <c r="BK273" s="15"/>
      <c r="BL273" s="15"/>
      <c r="BM273" s="15"/>
      <c r="BN273" s="15"/>
      <c r="BO273" s="15"/>
      <c r="BP273" s="15"/>
      <c r="BQ273" s="15"/>
      <c r="BR273" s="15"/>
      <c r="BS273" s="15"/>
      <c r="BT273" s="15"/>
      <c r="BU273" s="15"/>
      <c r="BV273" s="15"/>
      <c r="BW273" s="15"/>
      <c r="BX273" s="15"/>
      <c r="BY273" s="15"/>
      <c r="BZ273" s="15"/>
      <c r="CA273" s="15"/>
      <c r="CB273" s="15"/>
      <c r="CC273" s="15"/>
      <c r="CD273" s="15"/>
      <c r="CE273" s="15"/>
      <c r="CF273" s="15"/>
      <c r="CG273" s="15"/>
      <c r="CH273" s="15"/>
      <c r="CI273" s="15"/>
      <c r="CJ273" s="15"/>
      <c r="CK273" s="15"/>
      <c r="CL273" s="15"/>
      <c r="CM273" s="15"/>
      <c r="CN273" s="15"/>
      <c r="CO273" s="15"/>
      <c r="CP273" s="15"/>
      <c r="CQ273" s="15"/>
      <c r="CR273" s="15"/>
      <c r="CS273" s="15"/>
      <c r="CT273" s="15"/>
      <c r="CU273" s="15"/>
      <c r="CV273" s="15"/>
      <c r="CW273" s="15"/>
      <c r="CX273" s="15"/>
      <c r="CY273" s="15"/>
      <c r="CZ273" s="15"/>
      <c r="DA273" s="15"/>
      <c r="DB273" s="15"/>
      <c r="DC273" s="15"/>
      <c r="DD273" s="15"/>
      <c r="DE273" s="15"/>
      <c r="DF273" s="15"/>
      <c r="DG273" s="15"/>
      <c r="DH273" s="15"/>
      <c r="DI273" s="15"/>
      <c r="DJ273" s="15"/>
      <c r="DK273" s="15"/>
      <c r="DL273" s="15"/>
      <c r="DM273" s="15"/>
      <c r="DN273" s="15"/>
      <c r="DO273" s="15"/>
      <c r="DP273" s="15"/>
      <c r="DQ273" s="15"/>
      <c r="DR273" s="15"/>
      <c r="DS273" s="15"/>
      <c r="DT273" s="15"/>
      <c r="DU273" s="15"/>
      <c r="DV273" s="15"/>
      <c r="DW273" s="15"/>
      <c r="DX273" s="15"/>
      <c r="DY273" s="15"/>
      <c r="DZ273" s="15"/>
      <c r="EA273" s="15"/>
      <c r="EB273" s="15"/>
      <c r="EC273" s="15"/>
      <c r="ED273" s="15"/>
      <c r="EE273" s="15"/>
      <c r="EF273" s="15"/>
      <c r="EG273" s="15"/>
      <c r="EH273" s="15"/>
      <c r="EI273" s="15"/>
      <c r="EJ273" s="15"/>
      <c r="EK273" s="15"/>
      <c r="EL273" s="15"/>
      <c r="EM273" s="15"/>
      <c r="EN273" s="15"/>
      <c r="EO273" s="15"/>
      <c r="EP273" s="15"/>
      <c r="EQ273" s="15"/>
      <c r="ER273" s="15"/>
      <c r="ES273" s="15"/>
      <c r="ET273" s="15"/>
      <c r="EU273" s="15"/>
      <c r="EV273" s="15"/>
      <c r="EW273" s="15"/>
      <c r="EX273" s="15"/>
      <c r="EY273" s="15"/>
      <c r="EZ273" s="15"/>
      <c r="FA273" s="15"/>
      <c r="FB273" s="15"/>
      <c r="FC273" s="15"/>
      <c r="FD273" s="15"/>
      <c r="FE273" s="15"/>
      <c r="FF273" s="15"/>
      <c r="FG273" s="15"/>
      <c r="FH273" s="15"/>
      <c r="FI273" s="15"/>
      <c r="FJ273" s="15"/>
      <c r="FK273" s="15"/>
      <c r="FL273" s="15"/>
      <c r="FM273" s="15"/>
      <c r="FN273" s="15"/>
      <c r="FO273" s="15"/>
      <c r="FP273" s="15"/>
      <c r="FQ273" s="15"/>
      <c r="FR273" s="15"/>
      <c r="FS273" s="15"/>
      <c r="FT273" s="15"/>
      <c r="FU273" s="15"/>
      <c r="FV273" s="15"/>
      <c r="FW273" s="15"/>
      <c r="FX273" s="15"/>
      <c r="FY273" s="15"/>
      <c r="FZ273" s="15"/>
      <c r="GA273" s="15"/>
      <c r="GB273" s="15"/>
      <c r="GC273" s="15"/>
      <c r="GD273" s="15"/>
      <c r="GE273" s="15"/>
      <c r="GF273" s="15"/>
      <c r="GG273" s="15"/>
      <c r="GH273" s="15"/>
      <c r="GI273" s="15"/>
      <c r="GJ273" s="15"/>
      <c r="GK273" s="15"/>
      <c r="GL273" s="15"/>
      <c r="GM273" s="15"/>
      <c r="GN273" s="15"/>
      <c r="GO273" s="15"/>
      <c r="GP273" s="15"/>
      <c r="GQ273" s="15"/>
      <c r="GR273" s="15"/>
      <c r="GS273" s="15"/>
      <c r="GT273" s="15"/>
      <c r="GU273" s="15"/>
      <c r="GV273" s="15"/>
      <c r="GW273" s="15"/>
      <c r="GX273" s="15"/>
      <c r="GY273" s="15"/>
      <c r="GZ273" s="15"/>
      <c r="HA273" s="15"/>
      <c r="HB273" s="15"/>
      <c r="HC273" s="15"/>
      <c r="HD273" s="15"/>
      <c r="HE273" s="15"/>
      <c r="HF273" s="15"/>
      <c r="HG273" s="15"/>
      <c r="HH273" s="15"/>
      <c r="HI273" s="15"/>
      <c r="HJ273" s="15"/>
      <c r="HK273" s="15"/>
      <c r="HL273" s="15"/>
      <c r="HM273" s="15"/>
      <c r="HN273" s="15"/>
      <c r="HO273" s="15"/>
      <c r="HP273" s="15"/>
      <c r="HQ273" s="15"/>
      <c r="HR273"/>
      <c r="HS273"/>
      <c r="HT273"/>
      <c r="HU273"/>
      <c r="HV273"/>
      <c r="HW273"/>
      <c r="HX273"/>
      <c r="HY273"/>
      <c r="HZ273"/>
      <c r="IA273"/>
      <c r="IB273"/>
      <c r="IC273"/>
      <c r="ID273"/>
      <c r="IE273"/>
      <c r="IF273"/>
      <c r="IG273"/>
      <c r="IH273"/>
      <c r="II273"/>
      <c r="IJ273"/>
      <c r="IK273" s="14"/>
      <c r="IL273" s="14"/>
      <c r="IM273" s="14"/>
      <c r="IN273" s="14"/>
      <c r="IO273" s="14"/>
      <c r="IP273" s="14"/>
      <c r="IQ273" s="14"/>
    </row>
    <row r="274" spans="1:251" s="33" customFormat="1" hidden="1" outlineLevel="1">
      <c r="A274" s="170" t="s">
        <v>288</v>
      </c>
      <c r="B274" s="43"/>
      <c r="C274" s="43"/>
      <c r="D274" s="43"/>
      <c r="E274" s="109"/>
      <c r="F274" s="109">
        <v>6319</v>
      </c>
      <c r="G274" s="109">
        <v>7363</v>
      </c>
      <c r="H274" s="109">
        <v>7523</v>
      </c>
      <c r="I274" s="107"/>
      <c r="J274" s="107"/>
      <c r="K274" s="107"/>
      <c r="L274" s="107"/>
      <c r="M274" s="107"/>
      <c r="N274" s="43"/>
      <c r="O274" s="43"/>
      <c r="P274" s="43"/>
      <c r="Q274" s="43"/>
      <c r="R274" s="43"/>
      <c r="S274" s="43"/>
      <c r="T274" s="43"/>
      <c r="U274" s="43"/>
      <c r="V274" s="43"/>
      <c r="W274" s="43"/>
      <c r="X274" s="43"/>
      <c r="Y274" s="43"/>
      <c r="Z274" s="43"/>
      <c r="AA274" s="43"/>
      <c r="AB274" s="43"/>
      <c r="AC274" s="43"/>
      <c r="AD274" s="43"/>
      <c r="AE274" s="43"/>
      <c r="AF274" s="43"/>
      <c r="AG274" s="43"/>
      <c r="AH274" s="43"/>
      <c r="AI274" s="43"/>
      <c r="AJ274" s="43"/>
      <c r="AK274" s="43"/>
      <c r="AL274" s="43"/>
      <c r="AM274" s="43"/>
      <c r="AN274" s="43"/>
      <c r="AO274" s="43"/>
      <c r="AP274" s="43"/>
      <c r="AQ274" s="43"/>
      <c r="AR274" s="43"/>
      <c r="AS274" s="43"/>
      <c r="AT274" s="43"/>
      <c r="AU274" s="43"/>
      <c r="AV274" s="43"/>
      <c r="AW274" s="43"/>
      <c r="AX274" s="43"/>
      <c r="AY274" s="43"/>
      <c r="AZ274" s="43"/>
      <c r="BA274" s="43"/>
      <c r="BB274" s="43"/>
      <c r="BC274" s="43"/>
      <c r="BD274" s="43"/>
      <c r="BE274" s="43"/>
      <c r="BF274" s="43"/>
      <c r="BG274" s="43"/>
      <c r="BH274" s="43"/>
      <c r="BI274" s="43"/>
      <c r="BJ274" s="43"/>
      <c r="BK274" s="43"/>
      <c r="BL274" s="43"/>
      <c r="BM274" s="43"/>
      <c r="BN274" s="43"/>
      <c r="BO274" s="43"/>
      <c r="BP274" s="43"/>
      <c r="BQ274" s="43"/>
      <c r="BR274" s="43"/>
      <c r="BS274" s="43"/>
      <c r="BT274" s="43"/>
      <c r="BU274" s="43"/>
      <c r="BV274" s="43"/>
      <c r="BW274" s="43"/>
      <c r="BX274" s="43"/>
      <c r="BY274" s="43"/>
      <c r="BZ274" s="43"/>
      <c r="CA274" s="43"/>
      <c r="CB274" s="43"/>
      <c r="CC274" s="43"/>
      <c r="CD274" s="43"/>
      <c r="CE274" s="43"/>
      <c r="CF274" s="43"/>
      <c r="CG274" s="43"/>
      <c r="CH274" s="43"/>
      <c r="CI274" s="43"/>
      <c r="CJ274" s="43"/>
      <c r="CK274" s="43"/>
      <c r="CL274" s="43"/>
      <c r="CM274" s="43"/>
      <c r="CN274" s="43"/>
      <c r="CO274" s="43"/>
      <c r="CP274" s="43"/>
      <c r="CQ274" s="43"/>
      <c r="CR274" s="43"/>
      <c r="CS274" s="43"/>
      <c r="CT274" s="43"/>
      <c r="CU274" s="43"/>
      <c r="CV274" s="43"/>
      <c r="CW274" s="43"/>
      <c r="CX274" s="43"/>
      <c r="CY274" s="43"/>
      <c r="CZ274" s="43"/>
      <c r="DA274" s="43"/>
      <c r="DB274" s="43"/>
      <c r="DC274" s="43"/>
      <c r="DD274" s="43"/>
      <c r="DE274" s="43"/>
      <c r="DF274" s="43"/>
      <c r="DG274" s="43"/>
      <c r="DH274" s="43"/>
      <c r="DI274" s="43"/>
      <c r="DJ274" s="43"/>
      <c r="DK274" s="43"/>
      <c r="DL274" s="43"/>
      <c r="DM274" s="43"/>
      <c r="DN274" s="43"/>
      <c r="DO274" s="43"/>
      <c r="DP274" s="43"/>
      <c r="DQ274" s="43"/>
      <c r="DR274" s="43"/>
      <c r="DS274" s="43"/>
      <c r="DT274" s="43"/>
      <c r="DU274" s="43"/>
      <c r="DV274" s="43"/>
      <c r="DW274" s="43"/>
      <c r="DX274" s="43"/>
      <c r="DY274" s="43"/>
      <c r="DZ274" s="43"/>
      <c r="EA274" s="43"/>
      <c r="EB274" s="43"/>
      <c r="EC274" s="43"/>
      <c r="ED274" s="43"/>
      <c r="EE274" s="43"/>
      <c r="EF274" s="43"/>
      <c r="EG274" s="43"/>
      <c r="EH274" s="43"/>
      <c r="EI274" s="43"/>
      <c r="EJ274" s="43"/>
      <c r="EK274" s="43"/>
      <c r="EL274" s="43"/>
      <c r="EM274" s="43"/>
      <c r="EN274" s="43"/>
      <c r="EO274" s="43"/>
      <c r="EP274" s="43"/>
      <c r="EQ274" s="43"/>
      <c r="ER274" s="43"/>
      <c r="ES274" s="43"/>
      <c r="ET274" s="43"/>
      <c r="EU274" s="43"/>
      <c r="EV274" s="43"/>
      <c r="EW274" s="43"/>
      <c r="EX274" s="43"/>
      <c r="EY274" s="43"/>
      <c r="EZ274" s="43"/>
      <c r="FA274" s="43"/>
      <c r="FB274" s="43"/>
      <c r="FC274" s="43"/>
      <c r="FD274" s="43"/>
      <c r="FE274" s="43"/>
      <c r="FF274" s="43"/>
      <c r="FG274" s="43"/>
      <c r="FH274" s="43"/>
      <c r="FI274" s="43"/>
      <c r="FJ274" s="43"/>
      <c r="FK274" s="43"/>
      <c r="FL274" s="43"/>
      <c r="FM274" s="43"/>
      <c r="FN274" s="43"/>
      <c r="FO274" s="43"/>
      <c r="FP274" s="43"/>
      <c r="FQ274" s="43"/>
      <c r="FR274" s="43"/>
      <c r="FS274" s="43"/>
      <c r="FT274" s="43"/>
      <c r="FU274" s="43"/>
      <c r="FV274" s="43"/>
      <c r="FW274" s="43"/>
      <c r="FX274" s="43"/>
      <c r="FY274" s="43"/>
      <c r="FZ274" s="43"/>
      <c r="GA274" s="43"/>
      <c r="GB274" s="43"/>
      <c r="GC274" s="43"/>
      <c r="GD274" s="43"/>
      <c r="GE274" s="43"/>
      <c r="GF274" s="43"/>
      <c r="GG274" s="43"/>
      <c r="GH274" s="43"/>
      <c r="GI274" s="43"/>
      <c r="GJ274" s="43"/>
      <c r="GK274" s="43"/>
      <c r="GL274" s="43"/>
      <c r="GM274" s="43"/>
      <c r="GN274" s="43"/>
      <c r="GO274" s="43"/>
      <c r="GP274" s="43"/>
      <c r="GQ274" s="43"/>
      <c r="GR274" s="43"/>
      <c r="GS274" s="43"/>
      <c r="GT274" s="43"/>
      <c r="GU274" s="43"/>
      <c r="GV274" s="43"/>
      <c r="GW274" s="43"/>
      <c r="GX274" s="43"/>
      <c r="GY274" s="43"/>
      <c r="GZ274" s="43"/>
      <c r="HA274" s="43"/>
      <c r="HB274" s="43"/>
      <c r="HC274" s="43"/>
      <c r="HD274" s="43"/>
      <c r="HE274" s="43"/>
      <c r="HF274" s="43"/>
      <c r="HG274" s="43"/>
      <c r="HH274" s="43"/>
      <c r="HI274" s="43"/>
      <c r="HJ274" s="43"/>
      <c r="HK274" s="43"/>
      <c r="HL274" s="43"/>
      <c r="HM274" s="43"/>
      <c r="HN274" s="43"/>
      <c r="HO274" s="43"/>
      <c r="HP274" s="43"/>
      <c r="HQ274" s="43"/>
      <c r="HR274"/>
      <c r="HS274"/>
      <c r="HT274"/>
      <c r="HU274"/>
      <c r="HV274"/>
      <c r="HW274"/>
      <c r="HX274"/>
      <c r="HY274"/>
      <c r="HZ274"/>
      <c r="IA274"/>
      <c r="IB274"/>
      <c r="IC274"/>
      <c r="ID274"/>
      <c r="IE274"/>
      <c r="IF274"/>
      <c r="IG274"/>
      <c r="IH274"/>
      <c r="II274"/>
      <c r="IJ274"/>
      <c r="IK274" s="32"/>
      <c r="IL274" s="32"/>
      <c r="IM274" s="32"/>
      <c r="IN274" s="32"/>
      <c r="IO274" s="32"/>
      <c r="IP274" s="32"/>
      <c r="IQ274" s="32"/>
    </row>
    <row r="275" spans="1:251" s="33" customFormat="1" hidden="1" outlineLevel="1">
      <c r="A275" s="167"/>
      <c r="B275" s="43"/>
      <c r="C275" s="43"/>
      <c r="D275" s="43"/>
      <c r="E275" s="43"/>
      <c r="F275" s="43"/>
      <c r="G275" s="43"/>
      <c r="H275" s="43"/>
      <c r="I275" s="43"/>
      <c r="J275" s="43">
        <v>1188</v>
      </c>
      <c r="K275" s="43">
        <v>464</v>
      </c>
      <c r="L275" s="43">
        <v>-72</v>
      </c>
      <c r="M275" s="43">
        <v>-72</v>
      </c>
      <c r="N275" s="32">
        <v>-228</v>
      </c>
      <c r="O275" s="32"/>
      <c r="P275" s="43">
        <v>-216</v>
      </c>
      <c r="Q275" s="43">
        <v>-216</v>
      </c>
      <c r="R275" s="43">
        <v>-216</v>
      </c>
      <c r="S275" s="43">
        <v>-216</v>
      </c>
      <c r="T275" s="43">
        <v>-216</v>
      </c>
      <c r="U275" s="43">
        <v>-216</v>
      </c>
      <c r="V275" s="43">
        <v>-216</v>
      </c>
      <c r="W275" s="43">
        <v>-216</v>
      </c>
      <c r="X275" s="43">
        <v>-216</v>
      </c>
      <c r="Y275" s="43">
        <v>-216</v>
      </c>
      <c r="Z275" s="43">
        <v>-216</v>
      </c>
      <c r="AA275" s="43">
        <v>-216</v>
      </c>
      <c r="AB275" s="43">
        <v>-216</v>
      </c>
      <c r="AC275" s="43">
        <v>-216</v>
      </c>
      <c r="AD275" s="43">
        <v>-216</v>
      </c>
      <c r="AE275" s="43">
        <v>-216</v>
      </c>
      <c r="AF275" s="43">
        <v>-216</v>
      </c>
      <c r="AG275" s="43">
        <v>-216</v>
      </c>
      <c r="AH275" s="43"/>
      <c r="AI275" s="43"/>
      <c r="AJ275" s="43"/>
      <c r="AK275" s="43"/>
      <c r="AL275" s="43"/>
      <c r="AM275" s="43"/>
      <c r="AN275" s="43"/>
      <c r="AO275" s="43"/>
      <c r="AP275" s="43"/>
      <c r="AQ275" s="43"/>
      <c r="AR275" s="43"/>
      <c r="AS275" s="43"/>
      <c r="AT275" s="43"/>
      <c r="AU275" s="43"/>
      <c r="AV275" s="43"/>
      <c r="AW275" s="43"/>
      <c r="AX275" s="43"/>
      <c r="AY275" s="43"/>
      <c r="AZ275" s="43"/>
      <c r="BA275" s="43"/>
      <c r="BB275" s="43"/>
      <c r="BC275" s="43"/>
      <c r="BD275" s="43"/>
      <c r="BE275" s="43"/>
      <c r="BF275" s="43"/>
      <c r="BG275" s="43"/>
      <c r="BH275" s="43"/>
      <c r="BI275" s="43"/>
      <c r="BJ275" s="43"/>
      <c r="BK275" s="43"/>
      <c r="BL275" s="43"/>
      <c r="BM275" s="43"/>
      <c r="BN275" s="43"/>
      <c r="BO275" s="43"/>
      <c r="BP275" s="43"/>
      <c r="BQ275" s="43"/>
      <c r="BR275" s="43"/>
      <c r="BS275" s="43"/>
      <c r="BT275" s="43"/>
      <c r="BU275" s="43"/>
      <c r="BV275" s="43"/>
      <c r="BW275" s="43"/>
      <c r="BX275" s="43"/>
      <c r="BY275" s="43"/>
      <c r="BZ275" s="43"/>
      <c r="CA275" s="43"/>
      <c r="CB275" s="43"/>
      <c r="CC275" s="43"/>
      <c r="CD275" s="43"/>
      <c r="CE275" s="43"/>
      <c r="CF275" s="43"/>
      <c r="CG275" s="43"/>
      <c r="CH275" s="43"/>
      <c r="CI275" s="43"/>
      <c r="CJ275" s="43"/>
      <c r="CK275" s="43"/>
      <c r="CL275" s="43"/>
      <c r="CM275" s="43"/>
      <c r="CN275" s="43"/>
      <c r="CO275" s="43"/>
      <c r="CP275" s="43"/>
      <c r="CQ275" s="43"/>
      <c r="CR275" s="43"/>
      <c r="CS275" s="43"/>
      <c r="CT275" s="43"/>
      <c r="CU275" s="43"/>
      <c r="CV275" s="43"/>
      <c r="CW275" s="43"/>
      <c r="CX275" s="43"/>
      <c r="CY275" s="43"/>
      <c r="CZ275" s="43"/>
      <c r="DA275" s="43"/>
      <c r="DB275" s="43"/>
      <c r="DC275" s="43"/>
      <c r="DD275" s="43"/>
      <c r="DE275" s="43"/>
      <c r="DF275" s="43"/>
      <c r="DG275" s="43"/>
      <c r="DH275" s="43"/>
      <c r="DI275" s="43"/>
      <c r="DJ275" s="43"/>
      <c r="DK275" s="43"/>
      <c r="DL275" s="43"/>
      <c r="DM275" s="43"/>
      <c r="DN275" s="43"/>
      <c r="DO275" s="43"/>
      <c r="DP275" s="43"/>
      <c r="DQ275" s="43"/>
      <c r="DR275" s="43"/>
      <c r="DS275" s="43"/>
      <c r="DT275" s="43"/>
      <c r="DU275" s="43"/>
      <c r="DV275" s="43"/>
      <c r="DW275" s="43"/>
      <c r="DX275" s="43"/>
      <c r="DY275" s="43"/>
      <c r="DZ275" s="43"/>
      <c r="EA275" s="43"/>
      <c r="EB275" s="43"/>
      <c r="EC275" s="43"/>
      <c r="ED275" s="43"/>
      <c r="EE275" s="43"/>
      <c r="EF275" s="43"/>
      <c r="EG275" s="43"/>
      <c r="EH275" s="43"/>
      <c r="EI275" s="43"/>
      <c r="EJ275" s="43"/>
      <c r="EK275" s="43"/>
      <c r="EL275" s="43"/>
      <c r="EM275" s="43"/>
      <c r="EN275" s="43"/>
      <c r="EO275" s="43"/>
      <c r="EP275" s="43"/>
      <c r="EQ275" s="43"/>
      <c r="ER275" s="43"/>
      <c r="ES275" s="43"/>
      <c r="ET275" s="43"/>
      <c r="EU275" s="43"/>
      <c r="EV275" s="43"/>
      <c r="EW275" s="43"/>
      <c r="EX275" s="43"/>
      <c r="EY275" s="43"/>
      <c r="EZ275" s="43"/>
      <c r="FA275" s="43"/>
      <c r="FB275" s="43"/>
      <c r="FC275" s="43"/>
      <c r="FD275" s="43"/>
      <c r="FE275" s="43"/>
      <c r="FF275" s="43"/>
      <c r="FG275" s="43"/>
      <c r="FH275" s="43"/>
      <c r="FI275" s="43"/>
      <c r="FJ275" s="43"/>
      <c r="FK275" s="43"/>
      <c r="FL275" s="43"/>
      <c r="FM275" s="43"/>
      <c r="FN275" s="43"/>
      <c r="FO275" s="43"/>
      <c r="FP275" s="43"/>
      <c r="FQ275" s="43"/>
      <c r="FR275" s="43"/>
      <c r="FS275" s="43"/>
      <c r="FT275" s="43"/>
      <c r="FU275" s="43"/>
      <c r="FV275" s="43"/>
      <c r="FW275" s="43"/>
      <c r="FX275" s="43"/>
      <c r="FY275" s="43"/>
      <c r="FZ275" s="43"/>
      <c r="GA275" s="43"/>
      <c r="GB275" s="43"/>
      <c r="GC275" s="43"/>
      <c r="GD275" s="43"/>
      <c r="GE275" s="43"/>
      <c r="GF275" s="43"/>
      <c r="GG275" s="43"/>
      <c r="GH275" s="43"/>
      <c r="GI275" s="43"/>
      <c r="GJ275" s="43"/>
      <c r="GK275" s="43"/>
      <c r="GL275" s="43"/>
      <c r="GM275" s="43"/>
      <c r="GN275" s="43"/>
      <c r="GO275" s="43"/>
      <c r="GP275" s="43"/>
      <c r="GQ275" s="43"/>
      <c r="GR275" s="43"/>
      <c r="GS275" s="43"/>
      <c r="GT275" s="43"/>
      <c r="GU275" s="43"/>
      <c r="GV275" s="43"/>
      <c r="GW275" s="43"/>
      <c r="GX275" s="43"/>
      <c r="GY275" s="43"/>
      <c r="GZ275" s="43"/>
      <c r="HA275" s="43"/>
      <c r="HB275" s="43"/>
      <c r="HC275" s="43"/>
      <c r="HD275" s="43"/>
      <c r="HE275" s="43"/>
      <c r="HF275" s="43"/>
      <c r="HG275" s="43"/>
      <c r="HH275" s="43"/>
      <c r="HI275" s="43"/>
      <c r="HJ275" s="43"/>
      <c r="HK275" s="43"/>
      <c r="HL275" s="43"/>
      <c r="HM275" s="43"/>
      <c r="HN275" s="43"/>
      <c r="HO275" s="43"/>
      <c r="HP275" s="43"/>
      <c r="HQ275" s="43"/>
      <c r="HR275"/>
      <c r="HS275"/>
      <c r="HT275"/>
      <c r="HU275"/>
      <c r="HV275"/>
      <c r="HW275"/>
      <c r="HX275"/>
      <c r="HY275"/>
      <c r="HZ275"/>
      <c r="IA275"/>
      <c r="IB275"/>
      <c r="IC275"/>
      <c r="ID275"/>
      <c r="IE275"/>
      <c r="IF275"/>
      <c r="IG275"/>
      <c r="IH275"/>
      <c r="II275"/>
      <c r="IJ275"/>
      <c r="IK275" s="32"/>
      <c r="IL275" s="32"/>
      <c r="IM275" s="32"/>
      <c r="IN275" s="32"/>
      <c r="IO275" s="32"/>
      <c r="IP275" s="32"/>
      <c r="IQ275" s="32"/>
    </row>
    <row r="276" spans="1:251" s="33" customFormat="1" hidden="1" outlineLevel="1">
      <c r="A276" s="167"/>
      <c r="B276" s="43"/>
      <c r="C276" s="43"/>
      <c r="D276" s="43"/>
      <c r="E276" s="43"/>
      <c r="F276" s="43"/>
      <c r="G276" s="43"/>
      <c r="H276" s="43"/>
      <c r="I276" s="43"/>
      <c r="J276" s="43"/>
      <c r="K276" s="43"/>
      <c r="L276" s="43"/>
      <c r="M276" s="43"/>
      <c r="N276" s="43"/>
      <c r="O276" s="43"/>
      <c r="P276" s="43"/>
      <c r="Q276" s="43"/>
      <c r="R276" s="43"/>
      <c r="S276" s="43"/>
      <c r="T276" s="43"/>
      <c r="U276" s="43"/>
      <c r="V276" s="43"/>
      <c r="W276" s="43"/>
      <c r="X276" s="43"/>
      <c r="Y276" s="43"/>
      <c r="Z276" s="43"/>
      <c r="AA276" s="43"/>
      <c r="AB276" s="43"/>
      <c r="AC276" s="43"/>
      <c r="AD276" s="43"/>
      <c r="AE276" s="43"/>
      <c r="AF276" s="43"/>
      <c r="AG276" s="43"/>
      <c r="AH276" s="43"/>
      <c r="AI276" s="43"/>
      <c r="AJ276" s="43"/>
      <c r="AK276" s="43"/>
      <c r="AL276" s="43"/>
      <c r="AM276" s="43"/>
      <c r="AN276" s="43"/>
      <c r="AO276" s="43"/>
      <c r="AP276" s="43"/>
      <c r="AQ276" s="43"/>
      <c r="AR276" s="43"/>
      <c r="AS276" s="43"/>
      <c r="AT276" s="43"/>
      <c r="AU276" s="43"/>
      <c r="AV276" s="43"/>
      <c r="AW276" s="43"/>
      <c r="AX276" s="43"/>
      <c r="AY276" s="43"/>
      <c r="AZ276" s="43"/>
      <c r="BA276" s="43"/>
      <c r="BB276" s="43"/>
      <c r="BC276" s="43"/>
      <c r="BD276" s="43"/>
      <c r="BE276" s="43"/>
      <c r="BF276" s="43"/>
      <c r="BG276" s="43"/>
      <c r="BH276" s="43"/>
      <c r="BI276" s="43"/>
      <c r="BJ276" s="43"/>
      <c r="BK276" s="43"/>
      <c r="BL276" s="43"/>
      <c r="BM276" s="43"/>
      <c r="BN276" s="43"/>
      <c r="BO276" s="43"/>
      <c r="BP276" s="43"/>
      <c r="BQ276" s="43"/>
      <c r="BR276" s="43"/>
      <c r="BS276" s="43"/>
      <c r="BT276" s="43"/>
      <c r="BU276" s="43"/>
      <c r="BV276" s="43"/>
      <c r="BW276" s="43"/>
      <c r="BX276" s="43"/>
      <c r="BY276" s="43"/>
      <c r="BZ276" s="43"/>
      <c r="CA276" s="43"/>
      <c r="CB276" s="43"/>
      <c r="CC276" s="43"/>
      <c r="CD276" s="43"/>
      <c r="CE276" s="43"/>
      <c r="CF276" s="43"/>
      <c r="CG276" s="43"/>
      <c r="CH276" s="43"/>
      <c r="CI276" s="43"/>
      <c r="CJ276" s="43"/>
      <c r="CK276" s="43"/>
      <c r="CL276" s="43"/>
      <c r="CM276" s="43"/>
      <c r="CN276" s="43"/>
      <c r="CO276" s="43"/>
      <c r="CP276" s="43"/>
      <c r="CQ276" s="43"/>
      <c r="CR276" s="43"/>
      <c r="CS276" s="43"/>
      <c r="CT276" s="43"/>
      <c r="CU276" s="43"/>
      <c r="CV276" s="43"/>
      <c r="CW276" s="43"/>
      <c r="CX276" s="43"/>
      <c r="CY276" s="43"/>
      <c r="CZ276" s="43"/>
      <c r="DA276" s="43"/>
      <c r="DB276" s="43"/>
      <c r="DC276" s="43"/>
      <c r="DD276" s="43"/>
      <c r="DE276" s="43"/>
      <c r="DF276" s="43"/>
      <c r="DG276" s="43"/>
      <c r="DH276" s="43"/>
      <c r="DI276" s="43"/>
      <c r="DJ276" s="43"/>
      <c r="DK276" s="43"/>
      <c r="DL276" s="43"/>
      <c r="DM276" s="43"/>
      <c r="DN276" s="43"/>
      <c r="DO276" s="43"/>
      <c r="DP276" s="43"/>
      <c r="DQ276" s="43"/>
      <c r="DR276" s="43"/>
      <c r="DS276" s="43"/>
      <c r="DT276" s="43"/>
      <c r="DU276" s="43"/>
      <c r="DV276" s="43"/>
      <c r="DW276" s="43"/>
      <c r="DX276" s="43"/>
      <c r="DY276" s="43"/>
      <c r="DZ276" s="43"/>
      <c r="EA276" s="43"/>
      <c r="EB276" s="43"/>
      <c r="EC276" s="43"/>
      <c r="ED276" s="43"/>
      <c r="EE276" s="43"/>
      <c r="EF276" s="43"/>
      <c r="EG276" s="43"/>
      <c r="EH276" s="43"/>
      <c r="EI276" s="43"/>
      <c r="EJ276" s="43"/>
      <c r="EK276" s="43"/>
      <c r="EL276" s="43"/>
      <c r="EM276" s="43"/>
      <c r="EN276" s="43"/>
      <c r="EO276" s="43"/>
      <c r="EP276" s="43"/>
      <c r="EQ276" s="43"/>
      <c r="ER276" s="43"/>
      <c r="ES276" s="43"/>
      <c r="ET276" s="43"/>
      <c r="EU276" s="43"/>
      <c r="EV276" s="43"/>
      <c r="EW276" s="43"/>
      <c r="EX276" s="43"/>
      <c r="EY276" s="43"/>
      <c r="EZ276" s="43"/>
      <c r="FA276" s="43"/>
      <c r="FB276" s="43"/>
      <c r="FC276" s="43"/>
      <c r="FD276" s="43"/>
      <c r="FE276" s="43"/>
      <c r="FF276" s="43"/>
      <c r="FG276" s="43"/>
      <c r="FH276" s="43"/>
      <c r="FI276" s="43"/>
      <c r="FJ276" s="43"/>
      <c r="FK276" s="43"/>
      <c r="FL276" s="43"/>
      <c r="FM276" s="43"/>
      <c r="FN276" s="43"/>
      <c r="FO276" s="43"/>
      <c r="FP276" s="43"/>
      <c r="FQ276" s="43"/>
      <c r="FR276" s="43"/>
      <c r="FS276" s="43"/>
      <c r="FT276" s="43"/>
      <c r="FU276" s="43"/>
      <c r="FV276" s="43"/>
      <c r="FW276" s="43"/>
      <c r="FX276" s="43"/>
      <c r="FY276" s="43"/>
      <c r="FZ276" s="43"/>
      <c r="GA276" s="43"/>
      <c r="GB276" s="43"/>
      <c r="GC276" s="43"/>
      <c r="GD276" s="43"/>
      <c r="GE276" s="43"/>
      <c r="GF276" s="43"/>
      <c r="GG276" s="43"/>
      <c r="GH276" s="43"/>
      <c r="GI276" s="43"/>
      <c r="GJ276" s="43"/>
      <c r="GK276" s="43"/>
      <c r="GL276" s="43"/>
      <c r="GM276" s="43"/>
      <c r="GN276" s="43"/>
      <c r="GO276" s="43"/>
      <c r="GP276" s="43"/>
      <c r="GQ276" s="43"/>
      <c r="GR276" s="43"/>
      <c r="GS276" s="43"/>
      <c r="GT276" s="43"/>
      <c r="GU276" s="43"/>
      <c r="GV276" s="43"/>
      <c r="GW276" s="43"/>
      <c r="GX276" s="43"/>
      <c r="GY276" s="43"/>
      <c r="GZ276" s="43"/>
      <c r="HA276" s="43"/>
      <c r="HB276" s="43"/>
      <c r="HC276" s="43"/>
      <c r="HD276" s="43"/>
      <c r="HE276" s="43"/>
      <c r="HF276" s="43"/>
      <c r="HG276" s="43"/>
      <c r="HH276" s="43"/>
      <c r="HI276" s="43"/>
      <c r="HJ276" s="43"/>
      <c r="HK276" s="43"/>
      <c r="HL276" s="43"/>
      <c r="HM276" s="43"/>
      <c r="HN276" s="43"/>
      <c r="HO276" s="43"/>
      <c r="HP276" s="43"/>
      <c r="HQ276" s="43"/>
      <c r="HR276"/>
      <c r="HS276"/>
      <c r="HT276"/>
      <c r="HU276"/>
      <c r="HV276"/>
      <c r="HW276"/>
      <c r="HX276"/>
      <c r="HY276"/>
      <c r="HZ276"/>
      <c r="IA276"/>
      <c r="IB276"/>
      <c r="IC276"/>
      <c r="ID276"/>
      <c r="IE276"/>
      <c r="IF276"/>
      <c r="IG276"/>
      <c r="IH276"/>
      <c r="II276"/>
      <c r="IJ276"/>
      <c r="IK276" s="32"/>
      <c r="IL276" s="32"/>
      <c r="IM276" s="32"/>
      <c r="IN276" s="32"/>
      <c r="IO276" s="32"/>
      <c r="IP276" s="32"/>
      <c r="IQ276" s="32"/>
    </row>
    <row r="277" spans="1:251" s="33" customFormat="1" hidden="1" outlineLevel="1">
      <c r="A277" s="167"/>
      <c r="B277" s="43"/>
      <c r="C277" s="43"/>
      <c r="D277" s="43"/>
      <c r="E277" s="43"/>
      <c r="F277" s="43"/>
      <c r="G277" s="43"/>
      <c r="H277" s="43"/>
      <c r="I277" s="43"/>
      <c r="J277" s="43"/>
      <c r="K277" s="43"/>
      <c r="L277" s="43"/>
      <c r="M277" s="43"/>
      <c r="N277" s="43"/>
      <c r="O277" s="43"/>
      <c r="P277" s="43"/>
      <c r="Q277" s="43"/>
      <c r="R277" s="43"/>
      <c r="S277" s="43"/>
      <c r="T277" s="43"/>
      <c r="U277" s="43"/>
      <c r="V277" s="43"/>
      <c r="W277" s="43"/>
      <c r="X277" s="43"/>
      <c r="Y277" s="43"/>
      <c r="Z277" s="43"/>
      <c r="AA277" s="43"/>
      <c r="AB277" s="43"/>
      <c r="AC277" s="43"/>
      <c r="AD277" s="43"/>
      <c r="AE277" s="43"/>
      <c r="AF277" s="43"/>
      <c r="AG277" s="43"/>
      <c r="AH277" s="43"/>
      <c r="AI277" s="43"/>
      <c r="AJ277" s="43"/>
      <c r="AK277" s="43"/>
      <c r="AL277" s="43"/>
      <c r="AM277" s="43"/>
      <c r="AN277" s="43"/>
      <c r="AO277" s="43"/>
      <c r="AP277" s="43"/>
      <c r="AQ277" s="43"/>
      <c r="AR277" s="43"/>
      <c r="AS277" s="43"/>
      <c r="AT277" s="43"/>
      <c r="AU277" s="43"/>
      <c r="AV277" s="43"/>
      <c r="AW277" s="43"/>
      <c r="AX277" s="43"/>
      <c r="AY277" s="43"/>
      <c r="AZ277" s="43"/>
      <c r="BA277" s="43"/>
      <c r="BB277" s="43"/>
      <c r="BC277" s="43"/>
      <c r="BD277" s="43"/>
      <c r="BE277" s="43"/>
      <c r="BF277" s="43"/>
      <c r="BG277" s="43"/>
      <c r="BH277" s="43"/>
      <c r="BI277" s="43"/>
      <c r="BJ277" s="43"/>
      <c r="BK277" s="43"/>
      <c r="BL277" s="43"/>
      <c r="BM277" s="43"/>
      <c r="BN277" s="43"/>
      <c r="BO277" s="43"/>
      <c r="BP277" s="43"/>
      <c r="BQ277" s="43"/>
      <c r="BR277" s="43"/>
      <c r="BS277" s="43"/>
      <c r="BT277" s="43"/>
      <c r="BU277" s="43"/>
      <c r="BV277" s="43"/>
      <c r="BW277" s="43"/>
      <c r="BX277" s="43"/>
      <c r="BY277" s="43"/>
      <c r="BZ277" s="43"/>
      <c r="CA277" s="43"/>
      <c r="CB277" s="43"/>
      <c r="CC277" s="43"/>
      <c r="CD277" s="43"/>
      <c r="CE277" s="43"/>
      <c r="CF277" s="43"/>
      <c r="CG277" s="43"/>
      <c r="CH277" s="43"/>
      <c r="CI277" s="43"/>
      <c r="CJ277" s="43"/>
      <c r="CK277" s="43"/>
      <c r="CL277" s="43"/>
      <c r="CM277" s="43"/>
      <c r="CN277" s="43"/>
      <c r="CO277" s="43"/>
      <c r="CP277" s="43"/>
      <c r="CQ277" s="43"/>
      <c r="CR277" s="43"/>
      <c r="CS277" s="43"/>
      <c r="CT277" s="43"/>
      <c r="CU277" s="43"/>
      <c r="CV277" s="43"/>
      <c r="CW277" s="43"/>
      <c r="CX277" s="43"/>
      <c r="CY277" s="43"/>
      <c r="CZ277" s="43"/>
      <c r="DA277" s="43"/>
      <c r="DB277" s="43"/>
      <c r="DC277" s="43"/>
      <c r="DD277" s="43"/>
      <c r="DE277" s="43"/>
      <c r="DF277" s="43"/>
      <c r="DG277" s="43"/>
      <c r="DH277" s="43"/>
      <c r="DI277" s="43"/>
      <c r="DJ277" s="43"/>
      <c r="DK277" s="43"/>
      <c r="DL277" s="43"/>
      <c r="DM277" s="43"/>
      <c r="DN277" s="43"/>
      <c r="DO277" s="43"/>
      <c r="DP277" s="43"/>
      <c r="DQ277" s="43"/>
      <c r="DR277" s="43"/>
      <c r="DS277" s="43"/>
      <c r="DT277" s="43"/>
      <c r="DU277" s="43"/>
      <c r="DV277" s="43"/>
      <c r="DW277" s="43"/>
      <c r="DX277" s="43"/>
      <c r="DY277" s="43"/>
      <c r="DZ277" s="43"/>
      <c r="EA277" s="43"/>
      <c r="EB277" s="43"/>
      <c r="EC277" s="43"/>
      <c r="ED277" s="43"/>
      <c r="EE277" s="43"/>
      <c r="EF277" s="43"/>
      <c r="EG277" s="43"/>
      <c r="EH277" s="43"/>
      <c r="EI277" s="43"/>
      <c r="EJ277" s="43"/>
      <c r="EK277" s="43"/>
      <c r="EL277" s="43"/>
      <c r="EM277" s="43"/>
      <c r="EN277" s="43"/>
      <c r="EO277" s="43"/>
      <c r="EP277" s="43"/>
      <c r="EQ277" s="43"/>
      <c r="ER277" s="43"/>
      <c r="ES277" s="43"/>
      <c r="ET277" s="43"/>
      <c r="EU277" s="43"/>
      <c r="EV277" s="43"/>
      <c r="EW277" s="43"/>
      <c r="EX277" s="43"/>
      <c r="EY277" s="43"/>
      <c r="EZ277" s="43"/>
      <c r="FA277" s="43"/>
      <c r="FB277" s="43"/>
      <c r="FC277" s="43"/>
      <c r="FD277" s="43"/>
      <c r="FE277" s="43"/>
      <c r="FF277" s="43"/>
      <c r="FG277" s="43"/>
      <c r="FH277" s="43"/>
      <c r="FI277" s="43"/>
      <c r="FJ277" s="43"/>
      <c r="FK277" s="43"/>
      <c r="FL277" s="43"/>
      <c r="FM277" s="43"/>
      <c r="FN277" s="43"/>
      <c r="FO277" s="43"/>
      <c r="FP277" s="43"/>
      <c r="FQ277" s="43"/>
      <c r="FR277" s="43"/>
      <c r="FS277" s="43"/>
      <c r="FT277" s="43"/>
      <c r="FU277" s="43"/>
      <c r="FV277" s="43"/>
      <c r="FW277" s="43"/>
      <c r="FX277" s="43"/>
      <c r="FY277" s="43"/>
      <c r="FZ277" s="43"/>
      <c r="GA277" s="43"/>
      <c r="GB277" s="43"/>
      <c r="GC277" s="43"/>
      <c r="GD277" s="43"/>
      <c r="GE277" s="43"/>
      <c r="GF277" s="43"/>
      <c r="GG277" s="43"/>
      <c r="GH277" s="43"/>
      <c r="GI277" s="43"/>
      <c r="GJ277" s="43"/>
      <c r="GK277" s="43"/>
      <c r="GL277" s="43"/>
      <c r="GM277" s="43"/>
      <c r="GN277" s="43"/>
      <c r="GO277" s="43"/>
      <c r="GP277" s="43"/>
      <c r="GQ277" s="43"/>
      <c r="GR277" s="43"/>
      <c r="GS277" s="43"/>
      <c r="GT277" s="43"/>
      <c r="GU277" s="43"/>
      <c r="GV277" s="43"/>
      <c r="GW277" s="43"/>
      <c r="GX277" s="43"/>
      <c r="GY277" s="43"/>
      <c r="GZ277" s="43"/>
      <c r="HA277" s="43"/>
      <c r="HB277" s="43"/>
      <c r="HC277" s="43"/>
      <c r="HD277" s="43"/>
      <c r="HE277" s="43"/>
      <c r="HF277" s="43"/>
      <c r="HG277" s="43"/>
      <c r="HH277" s="43"/>
      <c r="HI277" s="43"/>
      <c r="HJ277" s="43"/>
      <c r="HK277" s="43"/>
      <c r="HL277" s="43"/>
      <c r="HM277" s="43"/>
      <c r="HN277" s="43"/>
      <c r="HO277" s="43"/>
      <c r="HP277" s="43"/>
      <c r="HQ277" s="43"/>
      <c r="HR277"/>
      <c r="HS277"/>
      <c r="HT277"/>
      <c r="HU277"/>
      <c r="HV277"/>
      <c r="HW277"/>
      <c r="HX277"/>
      <c r="HY277"/>
      <c r="HZ277"/>
      <c r="IA277"/>
      <c r="IB277"/>
      <c r="IC277"/>
      <c r="ID277"/>
      <c r="IE277"/>
      <c r="IF277"/>
      <c r="IG277"/>
      <c r="IH277"/>
      <c r="II277"/>
      <c r="IJ277"/>
      <c r="IK277" s="32"/>
      <c r="IL277" s="32"/>
      <c r="IM277" s="32"/>
      <c r="IN277" s="32"/>
      <c r="IO277" s="32"/>
      <c r="IP277" s="32"/>
      <c r="IQ277" s="32"/>
    </row>
    <row r="278" spans="1:251" s="33" customFormat="1" hidden="1" outlineLevel="1">
      <c r="A278" s="170"/>
      <c r="B278" s="43"/>
      <c r="C278" s="43"/>
      <c r="D278" s="43"/>
      <c r="E278" s="43"/>
      <c r="F278" s="43"/>
      <c r="G278" s="43"/>
      <c r="H278" s="107"/>
      <c r="I278" s="43">
        <v>8015</v>
      </c>
      <c r="J278" s="107"/>
      <c r="K278" s="107" t="e">
        <f>#REF!</f>
        <v>#REF!</v>
      </c>
      <c r="L278" s="107" t="e">
        <f>#REF!</f>
        <v>#REF!</v>
      </c>
      <c r="M278" s="107" t="e">
        <f>#REF!</f>
        <v>#REF!</v>
      </c>
      <c r="N278" s="43"/>
      <c r="O278" s="43"/>
      <c r="P278" s="43"/>
      <c r="Q278" s="43"/>
      <c r="R278" s="43"/>
      <c r="S278" s="43"/>
      <c r="T278" s="43"/>
      <c r="U278" s="43"/>
      <c r="V278" s="43"/>
      <c r="W278" s="43"/>
      <c r="X278" s="43"/>
      <c r="Y278" s="43"/>
      <c r="Z278" s="43"/>
      <c r="AA278" s="43"/>
      <c r="AB278" s="43"/>
      <c r="AC278" s="43"/>
      <c r="AD278" s="43"/>
      <c r="AE278" s="43"/>
      <c r="AF278" s="43"/>
      <c r="AG278" s="43"/>
      <c r="AH278" s="43"/>
      <c r="AI278" s="43"/>
      <c r="AJ278" s="43"/>
      <c r="AK278" s="43"/>
      <c r="AL278" s="43"/>
      <c r="AM278" s="43"/>
      <c r="AN278" s="43"/>
      <c r="AO278" s="43"/>
      <c r="AP278" s="43"/>
      <c r="AQ278" s="43"/>
      <c r="AR278" s="43"/>
      <c r="AS278" s="43"/>
      <c r="AT278" s="43"/>
      <c r="AU278" s="43"/>
      <c r="AV278" s="43"/>
      <c r="AW278" s="43"/>
      <c r="AX278" s="43"/>
      <c r="AY278" s="43"/>
      <c r="AZ278" s="43"/>
      <c r="BA278" s="43"/>
      <c r="BB278" s="43"/>
      <c r="BC278" s="43"/>
      <c r="BD278" s="43"/>
      <c r="BE278" s="43"/>
      <c r="BF278" s="43"/>
      <c r="BG278" s="43"/>
      <c r="BH278" s="43"/>
      <c r="BI278" s="43"/>
      <c r="BJ278" s="43"/>
      <c r="BK278" s="43"/>
      <c r="BL278" s="43"/>
      <c r="BM278" s="43"/>
      <c r="BN278" s="43"/>
      <c r="BO278" s="43"/>
      <c r="BP278" s="43"/>
      <c r="BQ278" s="43"/>
      <c r="BR278" s="43"/>
      <c r="BS278" s="43"/>
      <c r="BT278" s="43"/>
      <c r="BU278" s="43"/>
      <c r="BV278" s="43"/>
      <c r="BW278" s="43"/>
      <c r="BX278" s="43"/>
      <c r="BY278" s="43"/>
      <c r="BZ278" s="43"/>
      <c r="CA278" s="43"/>
      <c r="CB278" s="43"/>
      <c r="CC278" s="43"/>
      <c r="CD278" s="43"/>
      <c r="CE278" s="43"/>
      <c r="CF278" s="43"/>
      <c r="CG278" s="43"/>
      <c r="CH278" s="43"/>
      <c r="CI278" s="43"/>
      <c r="CJ278" s="43"/>
      <c r="CK278" s="43"/>
      <c r="CL278" s="43"/>
      <c r="CM278" s="43"/>
      <c r="CN278" s="43"/>
      <c r="CO278" s="43"/>
      <c r="CP278" s="43"/>
      <c r="CQ278" s="43"/>
      <c r="CR278" s="43"/>
      <c r="CS278" s="43"/>
      <c r="CT278" s="43"/>
      <c r="CU278" s="43"/>
      <c r="CV278" s="43"/>
      <c r="CW278" s="43"/>
      <c r="CX278" s="43"/>
      <c r="CY278" s="43"/>
      <c r="CZ278" s="43"/>
      <c r="DA278" s="43"/>
      <c r="DB278" s="43"/>
      <c r="DC278" s="43"/>
      <c r="DD278" s="43"/>
      <c r="DE278" s="43"/>
      <c r="DF278" s="43"/>
      <c r="DG278" s="43"/>
      <c r="DH278" s="43"/>
      <c r="DI278" s="43"/>
      <c r="DJ278" s="43"/>
      <c r="DK278" s="43"/>
      <c r="DL278" s="43"/>
      <c r="DM278" s="43"/>
      <c r="DN278" s="43"/>
      <c r="DO278" s="43"/>
      <c r="DP278" s="43"/>
      <c r="DQ278" s="43"/>
      <c r="DR278" s="43"/>
      <c r="DS278" s="43"/>
      <c r="DT278" s="43"/>
      <c r="DU278" s="43"/>
      <c r="DV278" s="43"/>
      <c r="DW278" s="43"/>
      <c r="DX278" s="43"/>
      <c r="DY278" s="43"/>
      <c r="DZ278" s="43"/>
      <c r="EA278" s="43"/>
      <c r="EB278" s="43"/>
      <c r="EC278" s="43"/>
      <c r="ED278" s="43"/>
      <c r="EE278" s="43"/>
      <c r="EF278" s="43"/>
      <c r="EG278" s="43"/>
      <c r="EH278" s="43"/>
      <c r="EI278" s="43"/>
      <c r="EJ278" s="43"/>
      <c r="EK278" s="43"/>
      <c r="EL278" s="43"/>
      <c r="EM278" s="43"/>
      <c r="EN278" s="43"/>
      <c r="EO278" s="43"/>
      <c r="EP278" s="43"/>
      <c r="EQ278" s="43"/>
      <c r="ER278" s="43"/>
      <c r="ES278" s="43"/>
      <c r="ET278" s="43"/>
      <c r="EU278" s="43"/>
      <c r="EV278" s="43"/>
      <c r="EW278" s="43"/>
      <c r="EX278" s="43"/>
      <c r="EY278" s="43"/>
      <c r="EZ278" s="43"/>
      <c r="FA278" s="43"/>
      <c r="FB278" s="43"/>
      <c r="FC278" s="43"/>
      <c r="FD278" s="43"/>
      <c r="FE278" s="43"/>
      <c r="FF278" s="43"/>
      <c r="FG278" s="43"/>
      <c r="FH278" s="43"/>
      <c r="FI278" s="43"/>
      <c r="FJ278" s="43"/>
      <c r="FK278" s="43"/>
      <c r="FL278" s="43"/>
      <c r="FM278" s="43"/>
      <c r="FN278" s="43"/>
      <c r="FO278" s="43"/>
      <c r="FP278" s="43"/>
      <c r="FQ278" s="43"/>
      <c r="FR278" s="43"/>
      <c r="FS278" s="43"/>
      <c r="FT278" s="43"/>
      <c r="FU278" s="43"/>
      <c r="FV278" s="43"/>
      <c r="FW278" s="43"/>
      <c r="FX278" s="43"/>
      <c r="FY278" s="43"/>
      <c r="FZ278" s="43"/>
      <c r="GA278" s="43"/>
      <c r="GB278" s="43"/>
      <c r="GC278" s="43"/>
      <c r="GD278" s="43"/>
      <c r="GE278" s="43"/>
      <c r="GF278" s="43"/>
      <c r="GG278" s="43"/>
      <c r="GH278" s="43"/>
      <c r="GI278" s="43"/>
      <c r="GJ278" s="43"/>
      <c r="GK278" s="43"/>
      <c r="GL278" s="43"/>
      <c r="GM278" s="43"/>
      <c r="GN278" s="43"/>
      <c r="GO278" s="43"/>
      <c r="GP278" s="43"/>
      <c r="GQ278" s="43"/>
      <c r="GR278" s="43"/>
      <c r="GS278" s="43"/>
      <c r="GT278" s="43"/>
      <c r="GU278" s="43"/>
      <c r="GV278" s="43"/>
      <c r="GW278" s="43"/>
      <c r="GX278" s="43"/>
      <c r="GY278" s="43"/>
      <c r="GZ278" s="43"/>
      <c r="HA278" s="43"/>
      <c r="HB278" s="43"/>
      <c r="HC278" s="43"/>
      <c r="HD278" s="43"/>
      <c r="HE278" s="43"/>
      <c r="HF278" s="43"/>
      <c r="HG278" s="43"/>
      <c r="HH278" s="43"/>
      <c r="HI278" s="43"/>
      <c r="HJ278" s="43"/>
      <c r="HK278" s="43"/>
      <c r="HL278" s="43"/>
      <c r="HM278" s="43"/>
      <c r="HN278" s="43"/>
      <c r="HO278" s="43"/>
      <c r="HP278" s="43"/>
      <c r="HQ278" s="43"/>
      <c r="HR278"/>
      <c r="HS278"/>
      <c r="HT278"/>
      <c r="HU278"/>
      <c r="HV278"/>
      <c r="HW278"/>
      <c r="HX278"/>
      <c r="HY278"/>
      <c r="HZ278"/>
      <c r="IA278"/>
      <c r="IB278"/>
      <c r="IC278"/>
      <c r="ID278"/>
      <c r="IE278"/>
      <c r="IF278"/>
      <c r="IG278"/>
      <c r="IH278"/>
      <c r="II278"/>
      <c r="IJ278"/>
      <c r="IK278" s="32"/>
      <c r="IL278" s="32"/>
      <c r="IM278" s="32"/>
      <c r="IN278" s="32"/>
      <c r="IO278" s="32"/>
      <c r="IP278" s="32"/>
      <c r="IQ278" s="32"/>
    </row>
    <row r="279" spans="1:251" s="33" customFormat="1" hidden="1" outlineLevel="1">
      <c r="A279" s="167"/>
      <c r="B279" s="43"/>
      <c r="C279" s="43"/>
      <c r="D279" s="43"/>
      <c r="E279" s="43"/>
      <c r="F279" s="43"/>
      <c r="G279" s="43"/>
      <c r="H279" s="43"/>
      <c r="I279" s="77"/>
      <c r="J279" s="43"/>
      <c r="K279" s="43"/>
      <c r="L279" s="43"/>
      <c r="M279" s="43"/>
      <c r="N279" s="43"/>
      <c r="O279" s="43"/>
      <c r="P279" s="43"/>
      <c r="Q279" s="43"/>
      <c r="R279" s="43"/>
      <c r="S279" s="43"/>
      <c r="T279" s="43"/>
      <c r="U279" s="43"/>
      <c r="V279" s="43"/>
      <c r="W279" s="43"/>
      <c r="X279" s="43"/>
      <c r="Y279" s="43"/>
      <c r="Z279" s="43"/>
      <c r="AA279" s="43"/>
      <c r="AB279" s="43"/>
      <c r="AC279" s="43"/>
      <c r="AD279" s="43"/>
      <c r="AE279" s="43"/>
      <c r="AF279" s="43"/>
      <c r="AG279" s="43"/>
      <c r="AH279" s="43"/>
      <c r="AI279" s="43"/>
      <c r="AJ279" s="43"/>
      <c r="AK279" s="43"/>
      <c r="AL279" s="43"/>
      <c r="AM279" s="43"/>
      <c r="AN279" s="43"/>
      <c r="AO279" s="43"/>
      <c r="AP279" s="43"/>
      <c r="AQ279" s="43"/>
      <c r="AR279" s="43"/>
      <c r="AS279" s="43"/>
      <c r="AT279" s="43"/>
      <c r="AU279" s="43"/>
      <c r="AV279" s="43"/>
      <c r="AW279" s="43"/>
      <c r="AX279" s="43"/>
      <c r="AY279" s="43"/>
      <c r="AZ279" s="43"/>
      <c r="BA279" s="43"/>
      <c r="BB279" s="43"/>
      <c r="BC279" s="43"/>
      <c r="BD279" s="43"/>
      <c r="BE279" s="43"/>
      <c r="BF279" s="43"/>
      <c r="BG279" s="43"/>
      <c r="BH279" s="43"/>
      <c r="BI279" s="43"/>
      <c r="BJ279" s="43"/>
      <c r="BK279" s="43"/>
      <c r="BL279" s="43"/>
      <c r="BM279" s="43"/>
      <c r="BN279" s="43"/>
      <c r="BO279" s="43"/>
      <c r="BP279" s="43"/>
      <c r="BQ279" s="43"/>
      <c r="BR279" s="43"/>
      <c r="BS279" s="43"/>
      <c r="BT279" s="43"/>
      <c r="BU279" s="43"/>
      <c r="BV279" s="43"/>
      <c r="BW279" s="43"/>
      <c r="BX279" s="43"/>
      <c r="BY279" s="43"/>
      <c r="BZ279" s="43"/>
      <c r="CA279" s="43"/>
      <c r="CB279" s="43"/>
      <c r="CC279" s="43"/>
      <c r="CD279" s="43"/>
      <c r="CE279" s="43"/>
      <c r="CF279" s="43"/>
      <c r="CG279" s="43"/>
      <c r="CH279" s="43"/>
      <c r="CI279" s="43"/>
      <c r="CJ279" s="43"/>
      <c r="CK279" s="43"/>
      <c r="CL279" s="43"/>
      <c r="CM279" s="43"/>
      <c r="CN279" s="43"/>
      <c r="CO279" s="43"/>
      <c r="CP279" s="43"/>
      <c r="CQ279" s="43"/>
      <c r="CR279" s="43"/>
      <c r="CS279" s="43"/>
      <c r="CT279" s="43"/>
      <c r="CU279" s="43"/>
      <c r="CV279" s="43"/>
      <c r="CW279" s="43"/>
      <c r="CX279" s="43"/>
      <c r="CY279" s="43"/>
      <c r="CZ279" s="43"/>
      <c r="DA279" s="43"/>
      <c r="DB279" s="43"/>
      <c r="DC279" s="43"/>
      <c r="DD279" s="43"/>
      <c r="DE279" s="43"/>
      <c r="DF279" s="43"/>
      <c r="DG279" s="43"/>
      <c r="DH279" s="43"/>
      <c r="DI279" s="43"/>
      <c r="DJ279" s="43"/>
      <c r="DK279" s="43"/>
      <c r="DL279" s="43"/>
      <c r="DM279" s="43"/>
      <c r="DN279" s="43"/>
      <c r="DO279" s="43"/>
      <c r="DP279" s="43"/>
      <c r="DQ279" s="43"/>
      <c r="DR279" s="43"/>
      <c r="DS279" s="43"/>
      <c r="DT279" s="43"/>
      <c r="DU279" s="43"/>
      <c r="DV279" s="43"/>
      <c r="DW279" s="43"/>
      <c r="DX279" s="43"/>
      <c r="DY279" s="43"/>
      <c r="DZ279" s="43"/>
      <c r="EA279" s="43"/>
      <c r="EB279" s="43"/>
      <c r="EC279" s="43"/>
      <c r="ED279" s="43"/>
      <c r="EE279" s="43"/>
      <c r="EF279" s="43"/>
      <c r="EG279" s="43"/>
      <c r="EH279" s="43"/>
      <c r="EI279" s="43"/>
      <c r="EJ279" s="43"/>
      <c r="EK279" s="43"/>
      <c r="EL279" s="43"/>
      <c r="EM279" s="43"/>
      <c r="EN279" s="43"/>
      <c r="EO279" s="43"/>
      <c r="EP279" s="43"/>
      <c r="EQ279" s="43"/>
      <c r="ER279" s="43"/>
      <c r="ES279" s="43"/>
      <c r="ET279" s="43"/>
      <c r="EU279" s="43"/>
      <c r="EV279" s="43"/>
      <c r="EW279" s="43"/>
      <c r="EX279" s="43"/>
      <c r="EY279" s="43"/>
      <c r="EZ279" s="43"/>
      <c r="FA279" s="43"/>
      <c r="FB279" s="43"/>
      <c r="FC279" s="43"/>
      <c r="FD279" s="43"/>
      <c r="FE279" s="43"/>
      <c r="FF279" s="43"/>
      <c r="FG279" s="43"/>
      <c r="FH279" s="43"/>
      <c r="FI279" s="43"/>
      <c r="FJ279" s="43"/>
      <c r="FK279" s="43"/>
      <c r="FL279" s="43"/>
      <c r="FM279" s="43"/>
      <c r="FN279" s="43"/>
      <c r="FO279" s="43"/>
      <c r="FP279" s="43"/>
      <c r="FQ279" s="43"/>
      <c r="FR279" s="43"/>
      <c r="FS279" s="43"/>
      <c r="FT279" s="43"/>
      <c r="FU279" s="43"/>
      <c r="FV279" s="43"/>
      <c r="FW279" s="43"/>
      <c r="FX279" s="43"/>
      <c r="FY279" s="43"/>
      <c r="FZ279" s="43"/>
      <c r="GA279" s="43"/>
      <c r="GB279" s="43"/>
      <c r="GC279" s="43"/>
      <c r="GD279" s="43"/>
      <c r="GE279" s="43"/>
      <c r="GF279" s="43"/>
      <c r="GG279" s="43"/>
      <c r="GH279" s="43"/>
      <c r="GI279" s="43"/>
      <c r="GJ279" s="43"/>
      <c r="GK279" s="43"/>
      <c r="GL279" s="43"/>
      <c r="GM279" s="43"/>
      <c r="GN279" s="43"/>
      <c r="GO279" s="43"/>
      <c r="GP279" s="43"/>
      <c r="GQ279" s="43"/>
      <c r="GR279" s="43"/>
      <c r="GS279" s="43"/>
      <c r="GT279" s="43"/>
      <c r="GU279" s="43"/>
      <c r="GV279" s="43"/>
      <c r="GW279" s="43"/>
      <c r="GX279" s="43"/>
      <c r="GY279" s="43"/>
      <c r="GZ279" s="43"/>
      <c r="HA279" s="43"/>
      <c r="HB279" s="43"/>
      <c r="HC279" s="43"/>
      <c r="HD279" s="43"/>
      <c r="HE279" s="43"/>
      <c r="HF279" s="43"/>
      <c r="HG279" s="43"/>
      <c r="HH279" s="43"/>
      <c r="HI279" s="43"/>
      <c r="HJ279" s="43"/>
      <c r="HK279" s="43"/>
      <c r="HL279" s="43"/>
      <c r="HM279" s="43"/>
      <c r="HN279" s="43"/>
      <c r="HO279" s="43"/>
      <c r="HP279" s="43"/>
      <c r="HQ279" s="43"/>
      <c r="HR279"/>
      <c r="HS279"/>
      <c r="HT279"/>
      <c r="HU279"/>
      <c r="HV279"/>
      <c r="HW279"/>
      <c r="HX279"/>
      <c r="HY279"/>
      <c r="HZ279"/>
      <c r="IA279"/>
      <c r="IB279"/>
      <c r="IC279"/>
      <c r="ID279"/>
      <c r="IE279"/>
      <c r="IF279"/>
      <c r="IG279"/>
      <c r="IH279"/>
      <c r="II279"/>
      <c r="IJ279"/>
      <c r="IK279" s="32"/>
      <c r="IL279" s="32"/>
      <c r="IM279" s="32"/>
      <c r="IN279" s="32"/>
      <c r="IO279" s="32"/>
      <c r="IP279" s="32"/>
      <c r="IQ279" s="32"/>
    </row>
    <row r="280" spans="1:251" s="33" customFormat="1" hidden="1" outlineLevel="1">
      <c r="A280" s="167"/>
      <c r="B280" s="43"/>
      <c r="C280" s="43"/>
      <c r="D280" s="43"/>
      <c r="E280" s="43"/>
      <c r="F280" s="43"/>
      <c r="G280" s="43"/>
      <c r="H280" s="43"/>
      <c r="I280" s="77">
        <f>I28</f>
        <v>8393</v>
      </c>
      <c r="J280" s="43"/>
      <c r="K280" s="43"/>
      <c r="L280" s="43"/>
      <c r="M280" s="43"/>
      <c r="N280" s="43"/>
      <c r="O280" s="43"/>
      <c r="P280" s="43"/>
      <c r="Q280" s="43"/>
      <c r="R280" s="43"/>
      <c r="S280" s="43"/>
      <c r="T280" s="43"/>
      <c r="U280" s="43"/>
      <c r="V280" s="43"/>
      <c r="W280" s="43"/>
      <c r="X280" s="43"/>
      <c r="Y280" s="43"/>
      <c r="Z280" s="43"/>
      <c r="AA280" s="43"/>
      <c r="AB280" s="43"/>
      <c r="AC280" s="43"/>
      <c r="AD280" s="43"/>
      <c r="AE280" s="43"/>
      <c r="AF280" s="43"/>
      <c r="AG280" s="43"/>
      <c r="AH280" s="43"/>
      <c r="AI280" s="43"/>
      <c r="AJ280" s="43"/>
      <c r="AK280" s="43"/>
      <c r="AL280" s="43"/>
      <c r="AM280" s="43"/>
      <c r="AN280" s="43"/>
      <c r="AO280" s="43"/>
      <c r="AP280" s="43"/>
      <c r="AQ280" s="43"/>
      <c r="AR280" s="43"/>
      <c r="AS280" s="43"/>
      <c r="AT280" s="43"/>
      <c r="AU280" s="43"/>
      <c r="AV280" s="43"/>
      <c r="AW280" s="43"/>
      <c r="AX280" s="43"/>
      <c r="AY280" s="43"/>
      <c r="AZ280" s="43"/>
      <c r="BA280" s="43"/>
      <c r="BB280" s="43"/>
      <c r="BC280" s="43"/>
      <c r="BD280" s="43"/>
      <c r="BE280" s="43"/>
      <c r="BF280" s="43"/>
      <c r="BG280" s="43"/>
      <c r="BH280" s="43"/>
      <c r="BI280" s="43"/>
      <c r="BJ280" s="43"/>
      <c r="BK280" s="43"/>
      <c r="BL280" s="43"/>
      <c r="BM280" s="43"/>
      <c r="BN280" s="43"/>
      <c r="BO280" s="43"/>
      <c r="BP280" s="43"/>
      <c r="BQ280" s="43"/>
      <c r="BR280" s="43"/>
      <c r="BS280" s="43"/>
      <c r="BT280" s="43"/>
      <c r="BU280" s="43"/>
      <c r="BV280" s="43"/>
      <c r="BW280" s="43"/>
      <c r="BX280" s="43"/>
      <c r="BY280" s="43"/>
      <c r="BZ280" s="43"/>
      <c r="CA280" s="43"/>
      <c r="CB280" s="43"/>
      <c r="CC280" s="43"/>
      <c r="CD280" s="43"/>
      <c r="CE280" s="43"/>
      <c r="CF280" s="43"/>
      <c r="CG280" s="43"/>
      <c r="CH280" s="43"/>
      <c r="CI280" s="43"/>
      <c r="CJ280" s="43"/>
      <c r="CK280" s="43"/>
      <c r="CL280" s="43"/>
      <c r="CM280" s="43"/>
      <c r="CN280" s="43"/>
      <c r="CO280" s="43"/>
      <c r="CP280" s="43"/>
      <c r="CQ280" s="43"/>
      <c r="CR280" s="43"/>
      <c r="CS280" s="43"/>
      <c r="CT280" s="43"/>
      <c r="CU280" s="43"/>
      <c r="CV280" s="43"/>
      <c r="CW280" s="43"/>
      <c r="CX280" s="43"/>
      <c r="CY280" s="43"/>
      <c r="CZ280" s="43"/>
      <c r="DA280" s="43"/>
      <c r="DB280" s="43"/>
      <c r="DC280" s="43"/>
      <c r="DD280" s="43"/>
      <c r="DE280" s="43"/>
      <c r="DF280" s="43"/>
      <c r="DG280" s="43"/>
      <c r="DH280" s="43"/>
      <c r="DI280" s="43"/>
      <c r="DJ280" s="43"/>
      <c r="DK280" s="43"/>
      <c r="DL280" s="43"/>
      <c r="DM280" s="43"/>
      <c r="DN280" s="43"/>
      <c r="DO280" s="43"/>
      <c r="DP280" s="43"/>
      <c r="DQ280" s="43"/>
      <c r="DR280" s="43"/>
      <c r="DS280" s="43"/>
      <c r="DT280" s="43"/>
      <c r="DU280" s="43"/>
      <c r="DV280" s="43"/>
      <c r="DW280" s="43"/>
      <c r="DX280" s="43"/>
      <c r="DY280" s="43"/>
      <c r="DZ280" s="43"/>
      <c r="EA280" s="43"/>
      <c r="EB280" s="43"/>
      <c r="EC280" s="43"/>
      <c r="ED280" s="43"/>
      <c r="EE280" s="43"/>
      <c r="EF280" s="43"/>
      <c r="EG280" s="43"/>
      <c r="EH280" s="43"/>
      <c r="EI280" s="43"/>
      <c r="EJ280" s="43"/>
      <c r="EK280" s="43"/>
      <c r="EL280" s="43"/>
      <c r="EM280" s="43"/>
      <c r="EN280" s="43"/>
      <c r="EO280" s="43"/>
      <c r="EP280" s="43"/>
      <c r="EQ280" s="43"/>
      <c r="ER280" s="43"/>
      <c r="ES280" s="43"/>
      <c r="ET280" s="43"/>
      <c r="EU280" s="43"/>
      <c r="EV280" s="43"/>
      <c r="EW280" s="43"/>
      <c r="EX280" s="43"/>
      <c r="EY280" s="43"/>
      <c r="EZ280" s="43"/>
      <c r="FA280" s="43"/>
      <c r="FB280" s="43"/>
      <c r="FC280" s="43"/>
      <c r="FD280" s="43"/>
      <c r="FE280" s="43"/>
      <c r="FF280" s="43"/>
      <c r="FG280" s="43"/>
      <c r="FH280" s="43"/>
      <c r="FI280" s="43"/>
      <c r="FJ280" s="43"/>
      <c r="FK280" s="43"/>
      <c r="FL280" s="43"/>
      <c r="FM280" s="43"/>
      <c r="FN280" s="43"/>
      <c r="FO280" s="43"/>
      <c r="FP280" s="43"/>
      <c r="FQ280" s="43"/>
      <c r="FR280" s="43"/>
      <c r="FS280" s="43"/>
      <c r="FT280" s="43"/>
      <c r="FU280" s="43"/>
      <c r="FV280" s="43"/>
      <c r="FW280" s="43"/>
      <c r="FX280" s="43"/>
      <c r="FY280" s="43"/>
      <c r="FZ280" s="43"/>
      <c r="GA280" s="43"/>
      <c r="GB280" s="43"/>
      <c r="GC280" s="43"/>
      <c r="GD280" s="43"/>
      <c r="GE280" s="43"/>
      <c r="GF280" s="43"/>
      <c r="GG280" s="43"/>
      <c r="GH280" s="43"/>
      <c r="GI280" s="43"/>
      <c r="GJ280" s="43"/>
      <c r="GK280" s="43"/>
      <c r="GL280" s="43"/>
      <c r="GM280" s="43"/>
      <c r="GN280" s="43"/>
      <c r="GO280" s="43"/>
      <c r="GP280" s="43"/>
      <c r="GQ280" s="43"/>
      <c r="GR280" s="43"/>
      <c r="GS280" s="43"/>
      <c r="GT280" s="43"/>
      <c r="GU280" s="43"/>
      <c r="GV280" s="43"/>
      <c r="GW280" s="43"/>
      <c r="GX280" s="43"/>
      <c r="GY280" s="43"/>
      <c r="GZ280" s="43"/>
      <c r="HA280" s="43"/>
      <c r="HB280" s="43"/>
      <c r="HC280" s="43"/>
      <c r="HD280" s="43"/>
      <c r="HE280" s="43"/>
      <c r="HF280" s="43"/>
      <c r="HG280" s="43"/>
      <c r="HH280" s="43"/>
      <c r="HI280" s="43"/>
      <c r="HJ280" s="43"/>
      <c r="HK280" s="43"/>
      <c r="HL280" s="43"/>
      <c r="HM280" s="43"/>
      <c r="HN280" s="43"/>
      <c r="HO280" s="43"/>
      <c r="HP280" s="43"/>
      <c r="HQ280" s="43"/>
      <c r="HR280"/>
      <c r="HS280"/>
      <c r="HT280"/>
      <c r="HU280"/>
      <c r="HV280"/>
      <c r="HW280"/>
      <c r="HX280"/>
      <c r="HY280"/>
      <c r="HZ280"/>
      <c r="IA280"/>
      <c r="IB280"/>
      <c r="IC280"/>
      <c r="ID280"/>
      <c r="IE280"/>
      <c r="IF280"/>
      <c r="IG280"/>
      <c r="IH280"/>
      <c r="II280"/>
      <c r="IJ280"/>
      <c r="IK280" s="32"/>
      <c r="IL280" s="32"/>
      <c r="IM280" s="32"/>
      <c r="IN280" s="32"/>
      <c r="IO280" s="32"/>
      <c r="IP280" s="32"/>
      <c r="IQ280" s="32"/>
    </row>
    <row r="281" spans="1:251" s="33" customFormat="1" hidden="1" outlineLevel="1">
      <c r="A281" s="169" t="s">
        <v>544</v>
      </c>
      <c r="B281" s="43"/>
      <c r="C281" s="43"/>
      <c r="D281" s="77"/>
      <c r="E281" s="77"/>
      <c r="F281" s="77"/>
      <c r="G281" s="77"/>
      <c r="H281" s="77"/>
      <c r="I281" s="43"/>
      <c r="J281" s="77"/>
      <c r="K281" s="77"/>
      <c r="L281" s="77"/>
      <c r="M281" s="77"/>
      <c r="N281" s="43"/>
      <c r="O281" s="43"/>
      <c r="P281" s="43"/>
      <c r="Q281" s="43"/>
      <c r="R281" s="43"/>
      <c r="S281" s="43"/>
      <c r="T281" s="43"/>
      <c r="U281" s="43"/>
      <c r="V281" s="43"/>
      <c r="W281" s="43"/>
      <c r="X281" s="43"/>
      <c r="Y281" s="43"/>
      <c r="Z281" s="43"/>
      <c r="AA281" s="43"/>
      <c r="AB281" s="43"/>
      <c r="AC281" s="43"/>
      <c r="AD281" s="43"/>
      <c r="AE281" s="43"/>
      <c r="AF281" s="43"/>
      <c r="AG281" s="43"/>
      <c r="AH281" s="43"/>
      <c r="AI281" s="43"/>
      <c r="AJ281" s="43"/>
      <c r="AK281" s="43"/>
      <c r="AL281" s="43"/>
      <c r="AM281" s="43"/>
      <c r="AN281" s="43"/>
      <c r="AO281" s="43"/>
      <c r="AP281" s="43"/>
      <c r="AQ281" s="43"/>
      <c r="AR281" s="43"/>
      <c r="AS281" s="43"/>
      <c r="AT281" s="43"/>
      <c r="AU281" s="43"/>
      <c r="AV281" s="43"/>
      <c r="AW281" s="43"/>
      <c r="AX281" s="43"/>
      <c r="AY281" s="43"/>
      <c r="AZ281" s="43"/>
      <c r="BA281" s="43"/>
      <c r="BB281" s="43"/>
      <c r="BC281" s="43"/>
      <c r="BD281" s="43"/>
      <c r="BE281" s="43"/>
      <c r="BF281" s="43"/>
      <c r="BG281" s="43"/>
      <c r="BH281" s="43"/>
      <c r="BI281" s="43"/>
      <c r="BJ281" s="43"/>
      <c r="BK281" s="43"/>
      <c r="BL281" s="43"/>
      <c r="BM281" s="43"/>
      <c r="BN281" s="43"/>
      <c r="BO281" s="43"/>
      <c r="BP281" s="43"/>
      <c r="BQ281" s="43"/>
      <c r="BR281" s="43"/>
      <c r="BS281" s="43"/>
      <c r="BT281" s="43"/>
      <c r="BU281" s="43"/>
      <c r="BV281" s="43"/>
      <c r="BW281" s="43"/>
      <c r="BX281" s="43"/>
      <c r="BY281" s="43"/>
      <c r="BZ281" s="43"/>
      <c r="CA281" s="43"/>
      <c r="CB281" s="43"/>
      <c r="CC281" s="43"/>
      <c r="CD281" s="43"/>
      <c r="CE281" s="43"/>
      <c r="CF281" s="43"/>
      <c r="CG281" s="43"/>
      <c r="CH281" s="43"/>
      <c r="CI281" s="43"/>
      <c r="CJ281" s="43"/>
      <c r="CK281" s="43"/>
      <c r="CL281" s="43"/>
      <c r="CM281" s="43"/>
      <c r="CN281" s="43"/>
      <c r="CO281" s="43"/>
      <c r="CP281" s="43"/>
      <c r="CQ281" s="43"/>
      <c r="CR281" s="43"/>
      <c r="CS281" s="43"/>
      <c r="CT281" s="43"/>
      <c r="CU281" s="43"/>
      <c r="CV281" s="43"/>
      <c r="CW281" s="43"/>
      <c r="CX281" s="43"/>
      <c r="CY281" s="43"/>
      <c r="CZ281" s="43"/>
      <c r="DA281" s="43"/>
      <c r="DB281" s="43"/>
      <c r="DC281" s="43"/>
      <c r="DD281" s="43"/>
      <c r="DE281" s="43"/>
      <c r="DF281" s="43"/>
      <c r="DG281" s="43"/>
      <c r="DH281" s="43"/>
      <c r="DI281" s="43"/>
      <c r="DJ281" s="43"/>
      <c r="DK281" s="43"/>
      <c r="DL281" s="43"/>
      <c r="DM281" s="43"/>
      <c r="DN281" s="43"/>
      <c r="DO281" s="43"/>
      <c r="DP281" s="43"/>
      <c r="DQ281" s="43"/>
      <c r="DR281" s="43"/>
      <c r="DS281" s="43"/>
      <c r="DT281" s="43"/>
      <c r="DU281" s="43"/>
      <c r="DV281" s="43"/>
      <c r="DW281" s="43"/>
      <c r="DX281" s="43"/>
      <c r="DY281" s="43"/>
      <c r="DZ281" s="43"/>
      <c r="EA281" s="43"/>
      <c r="EB281" s="43"/>
      <c r="EC281" s="43"/>
      <c r="ED281" s="43"/>
      <c r="EE281" s="43"/>
      <c r="EF281" s="43"/>
      <c r="EG281" s="43"/>
      <c r="EH281" s="43"/>
      <c r="EI281" s="43"/>
      <c r="EJ281" s="43"/>
      <c r="EK281" s="43"/>
      <c r="EL281" s="43"/>
      <c r="EM281" s="43"/>
      <c r="EN281" s="43"/>
      <c r="EO281" s="43"/>
      <c r="EP281" s="43"/>
      <c r="EQ281" s="43"/>
      <c r="ER281" s="43"/>
      <c r="ES281" s="43"/>
      <c r="ET281" s="43"/>
      <c r="EU281" s="43"/>
      <c r="EV281" s="43"/>
      <c r="EW281" s="43"/>
      <c r="EX281" s="43"/>
      <c r="EY281" s="43"/>
      <c r="EZ281" s="43"/>
      <c r="FA281" s="43"/>
      <c r="FB281" s="43"/>
      <c r="FC281" s="43"/>
      <c r="FD281" s="43"/>
      <c r="FE281" s="43"/>
      <c r="FF281" s="43"/>
      <c r="FG281" s="43"/>
      <c r="FH281" s="43"/>
      <c r="FI281" s="43"/>
      <c r="FJ281" s="43"/>
      <c r="FK281" s="43"/>
      <c r="FL281" s="43"/>
      <c r="FM281" s="43"/>
      <c r="FN281" s="43"/>
      <c r="FO281" s="43"/>
      <c r="FP281" s="43"/>
      <c r="FQ281" s="43"/>
      <c r="FR281" s="43"/>
      <c r="FS281" s="43"/>
      <c r="FT281" s="43"/>
      <c r="FU281" s="43"/>
      <c r="FV281" s="43"/>
      <c r="FW281" s="43"/>
      <c r="FX281" s="43"/>
      <c r="FY281" s="43"/>
      <c r="FZ281" s="43"/>
      <c r="GA281" s="43"/>
      <c r="GB281" s="43"/>
      <c r="GC281" s="43"/>
      <c r="GD281" s="43"/>
      <c r="GE281" s="43"/>
      <c r="GF281" s="43"/>
      <c r="GG281" s="43"/>
      <c r="GH281" s="43"/>
      <c r="GI281" s="43"/>
      <c r="GJ281" s="43"/>
      <c r="GK281" s="43"/>
      <c r="GL281" s="43"/>
      <c r="GM281" s="43"/>
      <c r="GN281" s="43"/>
      <c r="GO281" s="43"/>
      <c r="GP281" s="43"/>
      <c r="GQ281" s="43"/>
      <c r="GR281" s="43"/>
      <c r="GS281" s="43"/>
      <c r="GT281" s="43"/>
      <c r="GU281" s="43"/>
      <c r="GV281" s="43"/>
      <c r="GW281" s="43"/>
      <c r="GX281" s="43"/>
      <c r="GY281" s="43"/>
      <c r="GZ281" s="43"/>
      <c r="HA281" s="43"/>
      <c r="HB281" s="43"/>
      <c r="HC281" s="43"/>
      <c r="HD281" s="43"/>
      <c r="HE281" s="43"/>
      <c r="HF281" s="43"/>
      <c r="HG281" s="43"/>
      <c r="HH281" s="43"/>
      <c r="HI281" s="43"/>
      <c r="HJ281" s="43"/>
      <c r="HK281" s="43"/>
      <c r="HL281" s="43"/>
      <c r="HM281" s="43"/>
      <c r="HN281" s="43"/>
      <c r="HO281" s="43"/>
      <c r="HP281" s="43"/>
      <c r="HQ281" s="43"/>
      <c r="HR281"/>
      <c r="HS281"/>
      <c r="HT281"/>
      <c r="HU281"/>
      <c r="HV281"/>
      <c r="HW281"/>
      <c r="HX281"/>
      <c r="HY281"/>
      <c r="HZ281"/>
      <c r="IA281"/>
      <c r="IB281"/>
      <c r="IC281"/>
      <c r="ID281"/>
      <c r="IE281"/>
      <c r="IF281"/>
      <c r="IG281"/>
      <c r="IH281"/>
      <c r="II281"/>
      <c r="IJ281"/>
      <c r="IK281" s="32"/>
      <c r="IL281" s="32"/>
      <c r="IM281" s="32"/>
      <c r="IN281" s="32"/>
      <c r="IO281" s="32"/>
      <c r="IP281" s="32"/>
      <c r="IQ281" s="32"/>
    </row>
    <row r="282" spans="1:251" s="33" customFormat="1" hidden="1" outlineLevel="1">
      <c r="A282" s="169"/>
      <c r="B282" s="77"/>
      <c r="C282" s="78"/>
      <c r="D282" s="77"/>
      <c r="E282" s="77"/>
      <c r="F282" s="77"/>
      <c r="G282" s="77"/>
      <c r="H282" s="77"/>
      <c r="I282" s="76" t="e">
        <f>#REF!*0.9092</f>
        <v>#REF!</v>
      </c>
      <c r="J282" s="76" t="e">
        <f>#REF!*0.98</f>
        <v>#REF!</v>
      </c>
      <c r="K282" s="76" t="e">
        <f>#REF!*0.98</f>
        <v>#REF!</v>
      </c>
      <c r="L282" s="76" t="e">
        <f>#REF!*0.98</f>
        <v>#REF!</v>
      </c>
      <c r="M282" s="76" t="e">
        <f>#REF!*0.98</f>
        <v>#REF!</v>
      </c>
      <c r="N282" s="76" t="e">
        <f>#REF!*0.98</f>
        <v>#REF!</v>
      </c>
      <c r="O282" s="76" t="e">
        <f>#REF!*0.98</f>
        <v>#REF!</v>
      </c>
      <c r="P282" s="76" t="e">
        <f>#REF!*0.98</f>
        <v>#REF!</v>
      </c>
      <c r="Q282" s="76" t="e">
        <f>#REF!*0.98</f>
        <v>#REF!</v>
      </c>
      <c r="R282" s="76" t="e">
        <f>#REF!*0.98</f>
        <v>#REF!</v>
      </c>
      <c r="S282" s="76" t="e">
        <f>#REF!*0.98</f>
        <v>#REF!</v>
      </c>
      <c r="T282" s="76" t="e">
        <f>#REF!*0.98</f>
        <v>#REF!</v>
      </c>
      <c r="U282" s="76" t="e">
        <f>#REF!*0.98</f>
        <v>#REF!</v>
      </c>
      <c r="V282" s="76" t="e">
        <f>#REF!*0.98</f>
        <v>#REF!</v>
      </c>
      <c r="W282" s="76" t="e">
        <f>#REF!*0.98</f>
        <v>#REF!</v>
      </c>
      <c r="X282" s="76" t="e">
        <f>#REF!*0.98</f>
        <v>#REF!</v>
      </c>
      <c r="Y282" s="76" t="e">
        <f>#REF!*0.98</f>
        <v>#REF!</v>
      </c>
      <c r="Z282" s="76" t="e">
        <f>#REF!*0.98</f>
        <v>#REF!</v>
      </c>
      <c r="AA282" s="76" t="e">
        <f>#REF!*0.98</f>
        <v>#REF!</v>
      </c>
      <c r="AB282" s="76" t="e">
        <f>#REF!*0.98</f>
        <v>#REF!</v>
      </c>
      <c r="AC282" s="76" t="e">
        <f>#REF!*0.98</f>
        <v>#REF!</v>
      </c>
      <c r="AD282" s="76" t="e">
        <f>#REF!*0.98</f>
        <v>#REF!</v>
      </c>
      <c r="AE282" s="76" t="e">
        <f>#REF!*0.98</f>
        <v>#REF!</v>
      </c>
      <c r="AF282" s="76" t="e">
        <f>#REF!*0.98</f>
        <v>#REF!</v>
      </c>
      <c r="AG282" s="76" t="e">
        <f>#REF!*0.98</f>
        <v>#REF!</v>
      </c>
      <c r="AH282" s="43"/>
      <c r="AI282" s="43"/>
      <c r="AJ282" s="43"/>
      <c r="AK282" s="43"/>
      <c r="AL282" s="43"/>
      <c r="AM282" s="43"/>
      <c r="AN282" s="43"/>
      <c r="AO282" s="43"/>
      <c r="AP282" s="43"/>
      <c r="AQ282" s="43"/>
      <c r="AR282" s="43"/>
      <c r="AS282" s="43"/>
      <c r="AT282" s="43"/>
      <c r="AU282" s="43"/>
      <c r="AV282" s="43"/>
      <c r="AW282" s="43"/>
      <c r="AX282" s="43"/>
      <c r="AY282" s="43"/>
      <c r="AZ282" s="43"/>
      <c r="BA282" s="43"/>
      <c r="BB282" s="43"/>
      <c r="BC282" s="43"/>
      <c r="BD282" s="43"/>
      <c r="BE282" s="43"/>
      <c r="BF282" s="43"/>
      <c r="BG282" s="43"/>
      <c r="BH282" s="43"/>
      <c r="BI282" s="43"/>
      <c r="BJ282" s="43"/>
      <c r="BK282" s="43"/>
      <c r="BL282" s="43"/>
      <c r="BM282" s="43"/>
      <c r="BN282" s="43"/>
      <c r="BO282" s="43"/>
      <c r="BP282" s="43"/>
      <c r="BQ282" s="43"/>
      <c r="BR282" s="43"/>
      <c r="BS282" s="43"/>
      <c r="BT282" s="43"/>
      <c r="BU282" s="43"/>
      <c r="BV282" s="43"/>
      <c r="BW282" s="43"/>
      <c r="BX282" s="43"/>
      <c r="BY282" s="43"/>
      <c r="BZ282" s="43"/>
      <c r="CA282" s="43"/>
      <c r="CB282" s="43"/>
      <c r="CC282" s="43"/>
      <c r="CD282" s="43"/>
      <c r="CE282" s="43"/>
      <c r="CF282" s="43"/>
      <c r="CG282" s="43"/>
      <c r="CH282" s="43"/>
      <c r="CI282" s="43"/>
      <c r="CJ282" s="43"/>
      <c r="CK282" s="43"/>
      <c r="CL282" s="43"/>
      <c r="CM282" s="43"/>
      <c r="CN282" s="43"/>
      <c r="CO282" s="43"/>
      <c r="CP282" s="43"/>
      <c r="CQ282" s="43"/>
      <c r="CR282" s="43"/>
      <c r="CS282" s="43"/>
      <c r="CT282" s="43"/>
      <c r="CU282" s="43"/>
      <c r="CV282" s="43"/>
      <c r="CW282" s="43"/>
      <c r="CX282" s="43"/>
      <c r="CY282" s="43"/>
      <c r="CZ282" s="43"/>
      <c r="DA282" s="43"/>
      <c r="DB282" s="43"/>
      <c r="DC282" s="43"/>
      <c r="DD282" s="43"/>
      <c r="DE282" s="43"/>
      <c r="DF282" s="43"/>
      <c r="DG282" s="43"/>
      <c r="DH282" s="43"/>
      <c r="DI282" s="43"/>
      <c r="DJ282" s="43"/>
      <c r="DK282" s="43"/>
      <c r="DL282" s="43"/>
      <c r="DM282" s="43"/>
      <c r="DN282" s="43"/>
      <c r="DO282" s="43"/>
      <c r="DP282" s="43"/>
      <c r="DQ282" s="43"/>
      <c r="DR282" s="43"/>
      <c r="DS282" s="43"/>
      <c r="DT282" s="43"/>
      <c r="DU282" s="43"/>
      <c r="DV282" s="43"/>
      <c r="DW282" s="43"/>
      <c r="DX282" s="43"/>
      <c r="DY282" s="43"/>
      <c r="DZ282" s="43"/>
      <c r="EA282" s="43"/>
      <c r="EB282" s="43"/>
      <c r="EC282" s="43"/>
      <c r="ED282" s="43"/>
      <c r="EE282" s="43"/>
      <c r="EF282" s="43"/>
      <c r="EG282" s="43"/>
      <c r="EH282" s="43"/>
      <c r="EI282" s="43"/>
      <c r="EJ282" s="43"/>
      <c r="EK282" s="43"/>
      <c r="EL282" s="43"/>
      <c r="EM282" s="43"/>
      <c r="EN282" s="43"/>
      <c r="EO282" s="43"/>
      <c r="EP282" s="43"/>
      <c r="EQ282" s="43"/>
      <c r="ER282" s="43"/>
      <c r="ES282" s="43"/>
      <c r="ET282" s="43"/>
      <c r="EU282" s="43"/>
      <c r="EV282" s="43"/>
      <c r="EW282" s="43"/>
      <c r="EX282" s="43"/>
      <c r="EY282" s="43"/>
      <c r="EZ282" s="43"/>
      <c r="FA282" s="43"/>
      <c r="FB282" s="43"/>
      <c r="FC282" s="43"/>
      <c r="FD282" s="43"/>
      <c r="FE282" s="43"/>
      <c r="FF282" s="43"/>
      <c r="FG282" s="43"/>
      <c r="FH282" s="43"/>
      <c r="FI282" s="43"/>
      <c r="FJ282" s="43"/>
      <c r="FK282" s="43"/>
      <c r="FL282" s="43"/>
      <c r="FM282" s="43"/>
      <c r="FN282" s="43"/>
      <c r="FO282" s="43"/>
      <c r="FP282" s="43"/>
      <c r="FQ282" s="43"/>
      <c r="FR282" s="43"/>
      <c r="FS282" s="43"/>
      <c r="FT282" s="43"/>
      <c r="FU282" s="43"/>
      <c r="FV282" s="43"/>
      <c r="FW282" s="43"/>
      <c r="FX282" s="43"/>
      <c r="FY282" s="43"/>
      <c r="FZ282" s="43"/>
      <c r="GA282" s="43"/>
      <c r="GB282" s="43"/>
      <c r="GC282" s="43"/>
      <c r="GD282" s="43"/>
      <c r="GE282" s="43"/>
      <c r="GF282" s="43"/>
      <c r="GG282" s="43"/>
      <c r="GH282" s="43"/>
      <c r="GI282" s="43"/>
      <c r="GJ282" s="43"/>
      <c r="GK282" s="43"/>
      <c r="GL282" s="43"/>
      <c r="GM282" s="43"/>
      <c r="GN282" s="43"/>
      <c r="GO282" s="43"/>
      <c r="GP282" s="43"/>
      <c r="GQ282" s="43"/>
      <c r="GR282" s="43"/>
      <c r="GS282" s="43"/>
      <c r="GT282" s="43"/>
      <c r="GU282" s="43"/>
      <c r="GV282" s="43"/>
      <c r="GW282" s="43"/>
      <c r="GX282" s="43"/>
      <c r="GY282" s="43"/>
      <c r="GZ282" s="43"/>
      <c r="HA282" s="43"/>
      <c r="HB282" s="43"/>
      <c r="HC282" s="43"/>
      <c r="HD282" s="43"/>
      <c r="HE282" s="43"/>
      <c r="HF282" s="43"/>
      <c r="HG282" s="43"/>
      <c r="HH282" s="43"/>
      <c r="HI282" s="43"/>
      <c r="HJ282" s="43"/>
      <c r="HK282" s="43"/>
      <c r="HL282" s="43"/>
      <c r="HM282" s="43"/>
      <c r="HN282" s="43"/>
      <c r="HO282" s="43"/>
      <c r="HP282" s="43"/>
      <c r="HQ282" s="43"/>
      <c r="HR282"/>
      <c r="HS282"/>
      <c r="HT282"/>
      <c r="HU282"/>
      <c r="HV282"/>
      <c r="HW282"/>
      <c r="HX282"/>
      <c r="HY282"/>
      <c r="HZ282"/>
      <c r="IA282"/>
      <c r="IB282"/>
      <c r="IC282"/>
      <c r="ID282"/>
      <c r="IE282"/>
      <c r="IF282"/>
      <c r="IG282"/>
      <c r="IH282"/>
      <c r="II282"/>
      <c r="IJ282"/>
      <c r="IK282" s="32"/>
      <c r="IL282" s="32"/>
      <c r="IM282" s="32"/>
      <c r="IN282" s="32"/>
      <c r="IO282" s="32"/>
      <c r="IP282" s="32"/>
      <c r="IQ282" s="32"/>
    </row>
    <row r="283" spans="1:251" hidden="1" outlineLevel="1"/>
    <row r="284" spans="1:251" hidden="1" outlineLevel="1"/>
    <row r="285" spans="1:251" hidden="1" outlineLevel="1"/>
    <row r="286" spans="1:251" hidden="1" outlineLevel="1"/>
    <row r="287" spans="1:251" hidden="1" outlineLevel="1"/>
    <row r="288" spans="1:251" hidden="1" outlineLevel="1"/>
    <row r="289" spans="2:26" collapsed="1">
      <c r="B289">
        <v>2016</v>
      </c>
      <c r="T289" s="3" t="s">
        <v>669</v>
      </c>
    </row>
    <row r="290" spans="2:26">
      <c r="B290" s="3" t="s">
        <v>664</v>
      </c>
      <c r="T290" s="3" t="s">
        <v>670</v>
      </c>
      <c r="U290" s="3" t="s">
        <v>667</v>
      </c>
      <c r="V290" s="3" t="s">
        <v>668</v>
      </c>
      <c r="W290" s="3" t="s">
        <v>671</v>
      </c>
      <c r="X290" s="3" t="s">
        <v>491</v>
      </c>
      <c r="Y290" s="3" t="s">
        <v>675</v>
      </c>
    </row>
    <row r="291" spans="2:26">
      <c r="B291" s="3" t="s">
        <v>665</v>
      </c>
      <c r="T291" s="752">
        <v>440.58800000000002</v>
      </c>
      <c r="U291" s="724">
        <v>1842.71</v>
      </c>
      <c r="V291" s="359">
        <f>+T291*(U291/1000)</f>
        <v>811.87591348000012</v>
      </c>
      <c r="W291" s="752">
        <f>+V291-T291</f>
        <v>371.2879134800001</v>
      </c>
      <c r="X291" s="351">
        <v>9.9500000000000005E-2</v>
      </c>
      <c r="Y291" s="752">
        <f>+X291*T291</f>
        <v>43.838506000000002</v>
      </c>
    </row>
    <row r="292" spans="2:26">
      <c r="B292" s="3" t="s">
        <v>666</v>
      </c>
      <c r="T292" s="897">
        <v>492</v>
      </c>
      <c r="U292" s="724">
        <v>1884.63</v>
      </c>
      <c r="V292" s="898">
        <f>+T292*(U292/1000)</f>
        <v>927.23796000000004</v>
      </c>
      <c r="W292" s="901">
        <f>+V292-T292</f>
        <v>435.23796000000004</v>
      </c>
      <c r="X292" s="351">
        <v>0.10199999999999999</v>
      </c>
      <c r="Y292" s="897">
        <f>+X292*T292</f>
        <v>50.183999999999997</v>
      </c>
    </row>
    <row r="293" spans="2:26">
      <c r="B293" s="3" t="s">
        <v>73</v>
      </c>
      <c r="T293" s="359">
        <f>+T292+T291</f>
        <v>932.58799999999997</v>
      </c>
      <c r="V293" s="359">
        <f>+V292+V291</f>
        <v>1739.1138734800002</v>
      </c>
      <c r="W293" s="752">
        <f>+V293-T293</f>
        <v>806.5258734800002</v>
      </c>
      <c r="Y293" s="752">
        <f>+Y291+Y292</f>
        <v>94.022505999999993</v>
      </c>
      <c r="Z293" s="359">
        <f>+Y293/T293</f>
        <v>0.10081891038700905</v>
      </c>
    </row>
    <row r="294" spans="2:26">
      <c r="T294">
        <f>0.1*T291</f>
        <v>44.058800000000005</v>
      </c>
    </row>
    <row r="295" spans="2:26">
      <c r="B295" s="3" t="s">
        <v>672</v>
      </c>
      <c r="U295" s="3" t="s">
        <v>491</v>
      </c>
      <c r="V295" s="3" t="s">
        <v>675</v>
      </c>
    </row>
    <row r="296" spans="2:26" ht="15.75">
      <c r="B296" s="900" t="s">
        <v>673</v>
      </c>
      <c r="T296">
        <v>500</v>
      </c>
      <c r="U296" s="351">
        <v>2.6249999999999999E-2</v>
      </c>
      <c r="V296" s="752">
        <f>+U296*T296</f>
        <v>13.125</v>
      </c>
    </row>
    <row r="297" spans="2:26" ht="15.75">
      <c r="B297" s="900" t="s">
        <v>674</v>
      </c>
      <c r="T297" s="899">
        <v>1500</v>
      </c>
      <c r="U297" s="351">
        <v>3.875E-2</v>
      </c>
      <c r="V297" s="897">
        <f>+U297*T297</f>
        <v>58.125</v>
      </c>
    </row>
    <row r="298" spans="2:26">
      <c r="T298">
        <f>+T296+T297</f>
        <v>2000</v>
      </c>
      <c r="V298" s="752">
        <f>+V297+V296</f>
        <v>71.25</v>
      </c>
      <c r="W298" s="22">
        <f>+V298/T298</f>
        <v>3.5624999999999997E-2</v>
      </c>
    </row>
    <row r="300" spans="2:26">
      <c r="B300" s="3" t="s">
        <v>677</v>
      </c>
      <c r="T300" s="359">
        <f>+T298-T293</f>
        <v>1067.412</v>
      </c>
      <c r="U300" s="3" t="s">
        <v>676</v>
      </c>
      <c r="V300" s="723">
        <f>+Y293-V298</f>
        <v>22.772505999999993</v>
      </c>
      <c r="W300" s="351"/>
    </row>
  </sheetData>
  <phoneticPr fontId="2" type="noConversion"/>
  <pageMargins left="0" right="0" top="0" bottom="0" header="0" footer="0"/>
  <pageSetup paperSize="5" scale="10" orientation="landscape" r:id="rId1"/>
  <headerFooter alignWithMargins="0"/>
  <rowBreaks count="2" manualBreakCount="2">
    <brk id="92" max="21" man="1"/>
    <brk id="188" max="20" man="1"/>
  </row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enableFormatConditionsCalculation="0">
    <tabColor indexed="12"/>
    <pageSetUpPr fitToPage="1"/>
  </sheetPr>
  <dimension ref="A1:IQ95"/>
  <sheetViews>
    <sheetView showGridLines="0" zoomScaleNormal="100" workbookViewId="0">
      <pane xSplit="2" ySplit="6" topLeftCell="U7" activePane="bottomRight" state="frozen"/>
      <selection activeCell="BO7" sqref="BO7"/>
      <selection pane="topRight" activeCell="BO7" sqref="BO7"/>
      <selection pane="bottomLeft" activeCell="BO7" sqref="BO7"/>
      <selection pane="bottomRight" activeCell="U7" sqref="U7"/>
    </sheetView>
  </sheetViews>
  <sheetFormatPr defaultRowHeight="12.75" outlineLevelRow="1" outlineLevelCol="1"/>
  <cols>
    <col min="1" max="1" width="2.7109375" customWidth="1"/>
    <col min="2" max="2" width="27.85546875" customWidth="1"/>
    <col min="3" max="9" width="12.7109375" hidden="1" customWidth="1" outlineLevel="1"/>
    <col min="10" max="10" width="12.7109375" hidden="1" customWidth="1" outlineLevel="1" collapsed="1"/>
    <col min="11" max="15" width="12.7109375" hidden="1" customWidth="1" outlineLevel="1"/>
    <col min="16" max="16" width="12.7109375" hidden="1" customWidth="1" outlineLevel="1" collapsed="1"/>
    <col min="17" max="17" width="12.7109375" hidden="1" customWidth="1" outlineLevel="1"/>
    <col min="18" max="18" width="12.7109375" hidden="1" customWidth="1" outlineLevel="1" collapsed="1"/>
    <col min="19" max="20" width="12.7109375" hidden="1" customWidth="1" outlineLevel="1"/>
    <col min="21" max="21" width="12.7109375" customWidth="1" collapsed="1"/>
    <col min="22" max="27" width="12.7109375" customWidth="1"/>
    <col min="28" max="32" width="12.7109375" hidden="1" customWidth="1" outlineLevel="1"/>
    <col min="33" max="33" width="9.140625" collapsed="1"/>
  </cols>
  <sheetData>
    <row r="1" spans="1:251" s="4" customFormat="1" ht="15.75">
      <c r="A1" s="19" t="s">
        <v>431</v>
      </c>
      <c r="AA1" s="396" t="s">
        <v>555</v>
      </c>
      <c r="AJ1" s="9"/>
      <c r="AK1" s="9"/>
      <c r="AL1" s="9"/>
      <c r="AM1" s="9"/>
      <c r="AN1" s="9"/>
      <c r="AO1" s="9"/>
      <c r="AP1" s="9"/>
      <c r="AQ1" s="9"/>
      <c r="AR1" s="9"/>
      <c r="BC1" s="132"/>
      <c r="BH1" s="132"/>
      <c r="BR1" s="132"/>
      <c r="BW1" s="132"/>
      <c r="GY1" s="44"/>
      <c r="GZ1" s="44"/>
      <c r="HA1" s="44"/>
      <c r="HB1" s="44"/>
      <c r="HC1" s="44"/>
      <c r="HD1" s="44"/>
      <c r="HX1"/>
      <c r="HY1"/>
      <c r="HZ1"/>
      <c r="IA1"/>
      <c r="IB1"/>
      <c r="IC1"/>
      <c r="ID1"/>
      <c r="IE1"/>
      <c r="IF1"/>
      <c r="IG1"/>
      <c r="IH1"/>
      <c r="II1"/>
      <c r="IJ1"/>
      <c r="IK1"/>
      <c r="IL1"/>
      <c r="IM1"/>
      <c r="IN1"/>
      <c r="IO1"/>
      <c r="IP1"/>
      <c r="IQ1"/>
    </row>
    <row r="2" spans="1:251" s="9" customFormat="1">
      <c r="A2" s="10" t="s">
        <v>632</v>
      </c>
      <c r="B2" s="4"/>
      <c r="C2" s="4"/>
      <c r="D2" s="4"/>
      <c r="E2" s="4"/>
      <c r="F2" s="4"/>
      <c r="G2" s="4"/>
      <c r="H2" s="4"/>
      <c r="I2" s="4"/>
      <c r="J2" s="4"/>
      <c r="K2" s="4"/>
      <c r="L2" s="4"/>
      <c r="M2" s="4"/>
      <c r="N2" s="4"/>
      <c r="O2" s="4"/>
      <c r="P2" s="4"/>
      <c r="Q2" s="4"/>
      <c r="R2" s="4"/>
      <c r="S2" s="4"/>
      <c r="T2" s="4"/>
      <c r="U2" s="4"/>
      <c r="AA2" s="397" t="s">
        <v>556</v>
      </c>
      <c r="BC2" s="61"/>
      <c r="BH2" s="61"/>
      <c r="BJ2" s="27"/>
      <c r="BP2" s="24"/>
      <c r="BR2" s="61"/>
      <c r="BW2" s="61"/>
      <c r="HX2"/>
      <c r="HY2"/>
      <c r="HZ2"/>
      <c r="IA2"/>
      <c r="IB2"/>
      <c r="IC2"/>
      <c r="ID2"/>
      <c r="IE2"/>
      <c r="IF2"/>
      <c r="IG2"/>
      <c r="IH2"/>
      <c r="II2"/>
      <c r="IJ2"/>
      <c r="IK2"/>
      <c r="IL2"/>
      <c r="IM2"/>
      <c r="IN2"/>
      <c r="IO2"/>
      <c r="IP2"/>
      <c r="IQ2"/>
    </row>
    <row r="3" spans="1:251" s="4" customFormat="1">
      <c r="A3"/>
      <c r="U3" s="28"/>
      <c r="AA3" s="396" t="s">
        <v>557</v>
      </c>
      <c r="AD3" s="21"/>
      <c r="AJ3" s="9"/>
      <c r="AK3" s="9"/>
      <c r="AL3" s="9"/>
      <c r="AM3" s="9"/>
      <c r="AN3" s="9"/>
      <c r="AO3" s="9"/>
      <c r="AP3" s="9"/>
      <c r="AQ3" s="9"/>
      <c r="AR3" s="9"/>
      <c r="BC3" s="199"/>
      <c r="BH3" s="199"/>
      <c r="BN3" s="152"/>
      <c r="BQ3" s="24"/>
      <c r="BR3" s="199"/>
      <c r="BW3" s="199"/>
      <c r="HX3"/>
      <c r="HY3"/>
      <c r="HZ3"/>
      <c r="IA3"/>
      <c r="IB3"/>
      <c r="IC3"/>
      <c r="ID3"/>
      <c r="IE3"/>
      <c r="IF3"/>
      <c r="IG3"/>
      <c r="IH3"/>
      <c r="II3"/>
      <c r="IJ3"/>
      <c r="IK3"/>
      <c r="IL3"/>
      <c r="IM3"/>
      <c r="IN3"/>
      <c r="IO3"/>
      <c r="IP3"/>
      <c r="IQ3"/>
    </row>
    <row r="4" spans="1:251" s="4" customFormat="1">
      <c r="A4" s="169"/>
      <c r="B4" s="333"/>
      <c r="C4" s="333"/>
      <c r="D4" s="333"/>
      <c r="E4" s="333"/>
      <c r="F4" s="333"/>
      <c r="G4" s="333"/>
      <c r="H4" s="333"/>
      <c r="I4" s="333"/>
      <c r="J4" s="333"/>
      <c r="K4" s="333"/>
      <c r="L4" s="333"/>
      <c r="M4" s="333"/>
      <c r="N4" s="333"/>
      <c r="O4" s="333"/>
      <c r="P4" s="333"/>
      <c r="Q4" s="333"/>
      <c r="R4" s="333"/>
      <c r="S4" s="333"/>
      <c r="T4" s="333"/>
      <c r="U4" s="333"/>
      <c r="V4" s="333"/>
      <c r="W4" s="333"/>
      <c r="AA4" s="398"/>
      <c r="AB4" s="333"/>
      <c r="AC4" s="333"/>
      <c r="AD4" s="333"/>
      <c r="AE4" s="333"/>
      <c r="AF4" s="333"/>
      <c r="AG4" s="333"/>
      <c r="AH4" s="333"/>
      <c r="AI4" s="333"/>
      <c r="AJ4" s="333"/>
      <c r="AK4" s="348"/>
      <c r="AL4" s="348"/>
      <c r="AM4" s="348"/>
      <c r="AN4" s="348"/>
      <c r="AO4" s="348"/>
      <c r="AP4" s="338"/>
      <c r="AQ4" s="338"/>
      <c r="AR4" s="338"/>
      <c r="AS4" s="338"/>
      <c r="AT4" s="338"/>
      <c r="AU4" s="338"/>
      <c r="AV4" s="338"/>
      <c r="AW4" s="338"/>
      <c r="AX4" s="338"/>
      <c r="AY4" s="338"/>
      <c r="AZ4" s="338"/>
      <c r="BA4" s="338"/>
      <c r="BB4" s="338"/>
      <c r="BC4" s="338"/>
      <c r="BD4" s="338"/>
      <c r="BE4" s="338"/>
      <c r="BF4" s="338"/>
      <c r="BG4" s="338"/>
      <c r="BH4" s="344"/>
      <c r="BI4" s="338"/>
      <c r="BJ4" s="338"/>
      <c r="BK4" s="338"/>
      <c r="BL4" s="338"/>
      <c r="BM4" s="338"/>
      <c r="BN4" s="338"/>
      <c r="BO4" s="333"/>
      <c r="BP4" s="333"/>
      <c r="BQ4" s="332"/>
      <c r="BR4" s="338"/>
      <c r="BS4" s="356"/>
      <c r="BT4" s="357"/>
      <c r="BU4" s="356"/>
      <c r="BV4" s="332"/>
      <c r="BW4" s="332"/>
      <c r="BX4" s="332"/>
      <c r="BY4" s="332"/>
      <c r="BZ4" s="332"/>
      <c r="CA4" s="332"/>
      <c r="CB4" s="332"/>
      <c r="CC4" s="332"/>
      <c r="CD4" s="332"/>
      <c r="CE4" s="332"/>
      <c r="CF4" s="332"/>
      <c r="CG4" s="332"/>
      <c r="CH4" s="332"/>
      <c r="CI4" s="332"/>
      <c r="CJ4" s="332"/>
      <c r="CK4" s="332"/>
      <c r="CL4" s="332"/>
      <c r="CM4" s="332"/>
      <c r="CN4" s="332"/>
      <c r="CO4" s="332"/>
      <c r="CP4" s="332"/>
      <c r="CQ4" s="332"/>
      <c r="CR4" s="332"/>
      <c r="CS4" s="332"/>
      <c r="CT4" s="332"/>
      <c r="CU4" s="332"/>
      <c r="CV4" s="332"/>
      <c r="CW4" s="332"/>
      <c r="CX4" s="332"/>
      <c r="CY4" s="332"/>
      <c r="CZ4" s="332"/>
      <c r="DA4" s="332"/>
      <c r="DB4" s="332"/>
      <c r="DC4" s="332"/>
      <c r="DD4" s="332"/>
      <c r="DE4" s="332"/>
      <c r="DF4" s="332"/>
      <c r="DG4" s="332"/>
      <c r="DH4" s="332"/>
      <c r="DI4" s="332"/>
      <c r="DJ4" s="332"/>
      <c r="DK4" s="332"/>
      <c r="DL4" s="332"/>
      <c r="DM4" s="332"/>
      <c r="DN4" s="332"/>
      <c r="DO4" s="332"/>
      <c r="DP4" s="332"/>
      <c r="DQ4" s="332"/>
      <c r="DR4" s="332"/>
      <c r="DS4" s="332"/>
      <c r="DT4" s="332"/>
      <c r="DU4" s="332"/>
      <c r="DV4" s="332"/>
      <c r="DW4" s="332"/>
      <c r="DX4" s="332"/>
      <c r="DY4" s="332"/>
      <c r="DZ4" s="332"/>
      <c r="EA4" s="332"/>
      <c r="EB4" s="332"/>
      <c r="EC4" s="332"/>
      <c r="ED4" s="332"/>
      <c r="EE4" s="332"/>
      <c r="EF4" s="332"/>
      <c r="EG4" s="332"/>
      <c r="EH4" s="332"/>
      <c r="EI4" s="332"/>
      <c r="EJ4" s="332"/>
      <c r="EK4" s="332"/>
      <c r="EL4" s="332"/>
      <c r="EM4" s="332"/>
      <c r="EN4" s="332"/>
      <c r="EO4" s="332"/>
      <c r="EP4" s="332"/>
      <c r="EQ4" s="332"/>
      <c r="ER4" s="332"/>
      <c r="ES4" s="332"/>
      <c r="ET4" s="332"/>
      <c r="EU4" s="332"/>
      <c r="EV4" s="332"/>
      <c r="EW4" s="332"/>
      <c r="EX4" s="332"/>
      <c r="EY4" s="332"/>
      <c r="EZ4" s="332"/>
      <c r="FA4" s="332"/>
      <c r="FB4" s="332"/>
      <c r="FC4" s="332"/>
      <c r="FD4" s="332"/>
      <c r="FE4" s="332"/>
      <c r="FF4" s="332"/>
      <c r="FG4" s="332"/>
      <c r="FH4" s="332"/>
      <c r="FI4" s="332"/>
      <c r="FJ4" s="332"/>
      <c r="FK4" s="332"/>
      <c r="FL4" s="332"/>
      <c r="FM4" s="332"/>
      <c r="FN4" s="332"/>
      <c r="FO4" s="332"/>
      <c r="FP4" s="332"/>
      <c r="FQ4" s="332"/>
      <c r="FR4" s="332"/>
      <c r="FS4" s="332"/>
      <c r="FT4" s="332"/>
      <c r="FU4" s="332"/>
      <c r="FV4" s="332"/>
      <c r="FW4" s="332"/>
      <c r="FX4" s="332"/>
      <c r="FY4" s="332"/>
      <c r="FZ4" s="332"/>
      <c r="GA4" s="332"/>
      <c r="GB4" s="332"/>
      <c r="GC4" s="332"/>
      <c r="GD4" s="332"/>
      <c r="GE4" s="332"/>
      <c r="GF4" s="332"/>
      <c r="GG4" s="332"/>
      <c r="GH4" s="332"/>
      <c r="GI4" s="332"/>
      <c r="GJ4" s="332"/>
      <c r="GK4" s="332"/>
      <c r="GL4" s="332"/>
      <c r="GM4" s="332"/>
      <c r="GN4" s="332"/>
      <c r="GO4" s="332"/>
      <c r="GP4" s="332"/>
      <c r="GQ4" s="332"/>
      <c r="GR4" s="332"/>
      <c r="GS4" s="332"/>
      <c r="GT4" s="332"/>
      <c r="GU4" s="332"/>
      <c r="GV4" s="332"/>
      <c r="GW4" s="332"/>
      <c r="GX4" s="332"/>
      <c r="GY4" s="332"/>
      <c r="GZ4" s="332"/>
      <c r="HA4" s="332"/>
      <c r="HB4" s="332"/>
      <c r="HC4" s="332"/>
      <c r="HD4" s="332"/>
      <c r="HE4" s="332"/>
      <c r="HF4" s="332"/>
      <c r="HG4" s="332"/>
      <c r="HH4" s="332"/>
      <c r="HI4" s="332"/>
      <c r="HJ4" s="332"/>
      <c r="HK4" s="332"/>
      <c r="HL4" s="332"/>
      <c r="HM4" s="332"/>
      <c r="HN4" s="332"/>
      <c r="HO4" s="332"/>
      <c r="HP4" s="332"/>
      <c r="HQ4" s="332"/>
      <c r="HX4"/>
      <c r="HY4"/>
      <c r="HZ4"/>
      <c r="IA4"/>
      <c r="IB4"/>
      <c r="IC4"/>
      <c r="ID4"/>
      <c r="IE4"/>
      <c r="IF4"/>
      <c r="IG4"/>
      <c r="IH4"/>
      <c r="II4"/>
      <c r="IJ4"/>
      <c r="IK4"/>
      <c r="IL4"/>
      <c r="IM4"/>
      <c r="IN4"/>
      <c r="IO4"/>
      <c r="IP4"/>
      <c r="IQ4"/>
    </row>
    <row r="5" spans="1:251" ht="11.25" hidden="1" customHeight="1" outlineLevel="1"/>
    <row r="6" spans="1:251" s="9" customFormat="1" collapsed="1">
      <c r="A6" s="280" t="s">
        <v>632</v>
      </c>
      <c r="B6" s="281"/>
      <c r="C6" s="282">
        <v>1998</v>
      </c>
      <c r="D6" s="282">
        <v>1999</v>
      </c>
      <c r="E6" s="282">
        <v>2000</v>
      </c>
      <c r="F6" s="282">
        <v>2001</v>
      </c>
      <c r="G6" s="282">
        <v>2002</v>
      </c>
      <c r="H6" s="282">
        <v>2003</v>
      </c>
      <c r="I6" s="282">
        <v>2004</v>
      </c>
      <c r="J6" s="282">
        <v>2005</v>
      </c>
      <c r="K6" s="282">
        <v>2006</v>
      </c>
      <c r="L6" s="282">
        <v>2006</v>
      </c>
      <c r="M6" s="282">
        <v>2007</v>
      </c>
      <c r="N6" s="282" t="s">
        <v>651</v>
      </c>
      <c r="O6" s="282">
        <v>2008</v>
      </c>
      <c r="P6" s="282">
        <v>2009</v>
      </c>
      <c r="Q6" s="282">
        <v>2010</v>
      </c>
      <c r="R6" s="282">
        <v>2011</v>
      </c>
      <c r="S6" s="282">
        <v>2012</v>
      </c>
      <c r="T6" s="282">
        <v>2013</v>
      </c>
      <c r="U6" s="282">
        <v>2014</v>
      </c>
      <c r="V6" s="282">
        <v>2015</v>
      </c>
      <c r="W6" s="282">
        <v>2016</v>
      </c>
      <c r="X6" s="282" t="s">
        <v>216</v>
      </c>
      <c r="Y6" s="282" t="s">
        <v>217</v>
      </c>
      <c r="Z6" s="282" t="s">
        <v>218</v>
      </c>
      <c r="AA6" s="282" t="s">
        <v>219</v>
      </c>
      <c r="AB6" s="282" t="s">
        <v>687</v>
      </c>
      <c r="AC6" s="282" t="s">
        <v>688</v>
      </c>
      <c r="AD6" s="282" t="s">
        <v>689</v>
      </c>
      <c r="AE6" s="282" t="s">
        <v>690</v>
      </c>
      <c r="AF6" s="282" t="s">
        <v>691</v>
      </c>
      <c r="AG6" s="32"/>
      <c r="AH6" s="32"/>
      <c r="AI6" s="32"/>
      <c r="AJ6" s="32"/>
      <c r="AK6" s="32"/>
      <c r="AL6" s="32"/>
      <c r="IB6"/>
      <c r="IC6"/>
      <c r="ID6"/>
      <c r="IE6"/>
      <c r="IF6"/>
      <c r="IG6"/>
      <c r="IH6"/>
      <c r="II6"/>
      <c r="IJ6"/>
      <c r="IK6"/>
      <c r="IL6"/>
      <c r="IM6"/>
      <c r="IN6"/>
      <c r="IO6"/>
      <c r="IP6"/>
      <c r="IQ6"/>
    </row>
    <row r="7" spans="1:251" s="9" customFormat="1" ht="6" customHeight="1">
      <c r="A7" s="283"/>
      <c r="B7" s="35"/>
      <c r="C7" s="284"/>
      <c r="D7" s="284"/>
      <c r="E7" s="284"/>
      <c r="F7" s="284"/>
      <c r="G7" s="284"/>
      <c r="H7" s="284"/>
      <c r="I7" s="284"/>
      <c r="J7" s="284"/>
      <c r="K7" s="284"/>
      <c r="L7" s="284"/>
      <c r="M7" s="284"/>
      <c r="N7" s="284"/>
      <c r="O7" s="284"/>
      <c r="P7" s="284"/>
      <c r="Q7" s="284"/>
      <c r="R7" s="190"/>
      <c r="S7" s="190"/>
      <c r="T7" s="190"/>
      <c r="U7" s="190"/>
      <c r="V7" s="190"/>
      <c r="W7" s="190"/>
      <c r="X7" s="190"/>
      <c r="Y7" s="190"/>
      <c r="Z7" s="190"/>
      <c r="AA7" s="190"/>
      <c r="AB7" s="32"/>
      <c r="AC7" s="32"/>
      <c r="AD7" s="32"/>
      <c r="AE7" s="32"/>
      <c r="AF7" s="32"/>
      <c r="AG7" s="32"/>
      <c r="AH7" s="32"/>
      <c r="AI7" s="32"/>
      <c r="AJ7" s="32"/>
      <c r="AK7" s="32"/>
      <c r="AL7" s="32"/>
      <c r="IB7"/>
      <c r="IC7"/>
      <c r="ID7"/>
      <c r="IE7"/>
      <c r="IF7"/>
      <c r="IG7"/>
      <c r="IH7"/>
      <c r="II7"/>
      <c r="IJ7"/>
      <c r="IK7"/>
      <c r="IL7"/>
      <c r="IM7"/>
      <c r="IN7"/>
      <c r="IO7"/>
      <c r="IP7"/>
      <c r="IQ7"/>
    </row>
    <row r="8" spans="1:251" s="44" customFormat="1">
      <c r="A8" s="124" t="s">
        <v>282</v>
      </c>
      <c r="B8" s="117"/>
      <c r="C8" s="115"/>
      <c r="D8" s="115"/>
      <c r="E8" s="115"/>
      <c r="F8" s="115"/>
      <c r="G8" s="115"/>
      <c r="H8" s="115"/>
      <c r="I8" s="115"/>
      <c r="J8" s="115"/>
      <c r="K8" s="115"/>
      <c r="L8" s="115"/>
      <c r="M8" s="117"/>
      <c r="N8" s="117"/>
      <c r="O8" s="125"/>
      <c r="P8" s="125"/>
      <c r="Q8" s="125"/>
      <c r="R8" s="125"/>
      <c r="S8" s="125"/>
      <c r="T8" s="125"/>
      <c r="U8" s="125"/>
      <c r="V8" s="125"/>
      <c r="W8" s="125"/>
      <c r="X8" s="125"/>
      <c r="Y8" s="125"/>
      <c r="Z8" s="125"/>
      <c r="AA8" s="125"/>
      <c r="AB8" s="43"/>
      <c r="AC8" s="43"/>
      <c r="AD8" s="43"/>
      <c r="AE8" s="43"/>
      <c r="AF8" s="43"/>
      <c r="AG8" s="43"/>
      <c r="AH8" s="43"/>
      <c r="AI8" s="43"/>
      <c r="AJ8" s="43"/>
      <c r="AK8" s="43"/>
      <c r="AL8" s="43"/>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4"/>
      <c r="CR8" s="4"/>
      <c r="CS8" s="4"/>
      <c r="CT8" s="4"/>
      <c r="CU8" s="4"/>
      <c r="CV8" s="4"/>
      <c r="CW8" s="4"/>
      <c r="CX8" s="4"/>
      <c r="CY8" s="4"/>
      <c r="CZ8" s="4"/>
      <c r="DA8" s="4"/>
      <c r="DB8" s="4"/>
      <c r="DC8" s="4"/>
      <c r="DD8" s="4"/>
      <c r="DE8" s="4"/>
      <c r="DF8" s="4"/>
      <c r="DG8" s="4"/>
      <c r="DH8" s="4"/>
      <c r="DI8" s="4"/>
      <c r="DJ8" s="4"/>
      <c r="DK8" s="4"/>
      <c r="DL8" s="4"/>
      <c r="DM8" s="4"/>
      <c r="DN8" s="4"/>
      <c r="DO8" s="4"/>
      <c r="DP8" s="4"/>
      <c r="DQ8" s="4"/>
      <c r="DR8" s="4"/>
      <c r="DS8" s="4"/>
      <c r="DT8" s="4"/>
      <c r="DU8" s="4"/>
      <c r="DV8" s="4"/>
      <c r="DW8" s="4"/>
      <c r="DX8" s="4"/>
      <c r="DY8" s="4"/>
      <c r="DZ8" s="4"/>
      <c r="EA8" s="4"/>
      <c r="EB8" s="4"/>
      <c r="EC8" s="4"/>
      <c r="ED8" s="4"/>
      <c r="EE8" s="4"/>
      <c r="EF8" s="4"/>
      <c r="EG8" s="4"/>
      <c r="EH8" s="4"/>
      <c r="EI8" s="4"/>
      <c r="EJ8" s="4"/>
      <c r="EK8" s="4"/>
      <c r="EL8" s="4"/>
      <c r="EM8" s="4"/>
      <c r="EN8" s="4"/>
      <c r="EO8" s="4"/>
      <c r="EP8" s="4"/>
      <c r="EQ8" s="4"/>
      <c r="ER8" s="4"/>
      <c r="ES8" s="4"/>
      <c r="ET8" s="4"/>
      <c r="EU8" s="4"/>
      <c r="EV8" s="4"/>
      <c r="EW8" s="4"/>
      <c r="EX8" s="4"/>
      <c r="EY8" s="4"/>
      <c r="EZ8" s="4"/>
      <c r="FA8" s="4"/>
      <c r="FB8" s="4"/>
      <c r="FC8" s="4"/>
      <c r="FD8" s="4"/>
      <c r="FE8" s="4"/>
      <c r="FF8" s="4"/>
      <c r="FG8" s="4"/>
      <c r="FH8" s="4"/>
      <c r="FI8" s="4"/>
      <c r="FJ8" s="4"/>
      <c r="FK8" s="4"/>
      <c r="FL8" s="4"/>
      <c r="FM8" s="4"/>
      <c r="FN8" s="4"/>
      <c r="FO8" s="4"/>
      <c r="FP8" s="4"/>
      <c r="FQ8" s="4"/>
      <c r="FR8" s="4"/>
      <c r="FS8" s="4"/>
      <c r="FT8" s="4"/>
      <c r="FU8" s="4"/>
      <c r="FV8" s="4"/>
      <c r="FW8" s="4"/>
      <c r="FX8" s="4"/>
      <c r="FY8" s="4"/>
      <c r="FZ8" s="4"/>
      <c r="GA8" s="4"/>
      <c r="GB8" s="4"/>
      <c r="GC8" s="4"/>
      <c r="GD8" s="4"/>
      <c r="GE8" s="4"/>
      <c r="GF8" s="4"/>
      <c r="GG8" s="4"/>
      <c r="GH8" s="4"/>
      <c r="GI8" s="4"/>
      <c r="GJ8" s="4"/>
      <c r="GK8" s="4"/>
      <c r="GL8" s="4"/>
      <c r="GM8" s="4"/>
      <c r="GN8" s="4"/>
      <c r="GO8" s="4"/>
      <c r="GP8" s="4"/>
      <c r="GQ8" s="4"/>
      <c r="GR8" s="4"/>
      <c r="GS8" s="4"/>
      <c r="GT8" s="4"/>
      <c r="GU8" s="4"/>
      <c r="GV8" s="4"/>
      <c r="GW8" s="4"/>
      <c r="GX8" s="4"/>
      <c r="GY8" s="4"/>
      <c r="GZ8" s="4"/>
      <c r="HA8" s="4"/>
      <c r="HB8" s="4"/>
      <c r="HC8" s="4"/>
      <c r="HD8" s="4"/>
      <c r="HE8" s="4"/>
      <c r="HF8" s="4"/>
      <c r="HG8" s="4"/>
      <c r="HH8" s="4"/>
      <c r="HI8" s="4"/>
      <c r="HJ8" s="4"/>
      <c r="HK8" s="4"/>
      <c r="HL8" s="4"/>
      <c r="HM8" s="4"/>
      <c r="HN8" s="4"/>
      <c r="HO8" s="4"/>
      <c r="HP8" s="4"/>
      <c r="HQ8" s="4"/>
      <c r="HR8" s="4"/>
      <c r="HS8" s="4"/>
      <c r="HT8" s="4"/>
      <c r="HU8" s="4"/>
      <c r="HV8" s="4"/>
      <c r="HW8" s="4"/>
      <c r="HX8" s="4"/>
      <c r="HY8" s="4"/>
      <c r="HZ8" s="4"/>
      <c r="IA8" s="4"/>
      <c r="IB8"/>
      <c r="IC8"/>
      <c r="ID8"/>
      <c r="IE8"/>
      <c r="IF8"/>
      <c r="IG8"/>
      <c r="IH8"/>
      <c r="II8"/>
      <c r="IJ8"/>
      <c r="IK8"/>
      <c r="IL8"/>
      <c r="IM8"/>
      <c r="IN8"/>
      <c r="IO8"/>
      <c r="IP8"/>
      <c r="IQ8"/>
    </row>
    <row r="9" spans="1:251" s="44" customFormat="1">
      <c r="A9" s="126"/>
      <c r="B9" s="126" t="s">
        <v>376</v>
      </c>
      <c r="C9" s="155">
        <v>5060</v>
      </c>
      <c r="D9" s="155">
        <f>IS!B45</f>
        <v>7953.5779999999995</v>
      </c>
      <c r="E9" s="156">
        <f>8345+165</f>
        <v>8510</v>
      </c>
      <c r="F9" s="156">
        <f>IS!D91</f>
        <v>8376.505000000001</v>
      </c>
      <c r="G9" s="155">
        <f>IS!E91</f>
        <v>10891.777999999998</v>
      </c>
      <c r="H9" s="155">
        <f>IS!F91</f>
        <v>8891.6029542196375</v>
      </c>
      <c r="I9" s="155">
        <f>IS!G91</f>
        <v>9416</v>
      </c>
      <c r="J9" s="155">
        <f>IS!H91</f>
        <v>10435</v>
      </c>
      <c r="K9" s="155">
        <f>IS!I91</f>
        <v>12022</v>
      </c>
      <c r="L9" s="155">
        <f>+K9-2693</f>
        <v>9329</v>
      </c>
      <c r="M9" s="155">
        <f>IS!J91</f>
        <v>9161</v>
      </c>
      <c r="N9" s="456">
        <f>10137-7006</f>
        <v>3131</v>
      </c>
      <c r="O9" s="456">
        <f>4991-1901</f>
        <v>3090</v>
      </c>
      <c r="P9" s="222">
        <v>3208</v>
      </c>
      <c r="Q9" s="222">
        <v>3907</v>
      </c>
      <c r="R9" s="222">
        <v>3393</v>
      </c>
      <c r="S9" s="222">
        <v>4183</v>
      </c>
      <c r="T9" s="222">
        <v>4535</v>
      </c>
      <c r="U9" s="222">
        <v>5070</v>
      </c>
      <c r="V9" s="222">
        <v>5243</v>
      </c>
      <c r="W9" s="156">
        <v>14244</v>
      </c>
      <c r="X9" s="156">
        <f>IS!T91</f>
        <v>6520</v>
      </c>
      <c r="Y9" s="156">
        <f ca="1">IS!U91</f>
        <v>7550.9278395412175</v>
      </c>
      <c r="Z9" s="156">
        <f ca="1">IS!V91</f>
        <v>8176.9351259309678</v>
      </c>
      <c r="AA9" s="156">
        <f ca="1">IS!W91</f>
        <v>8799.658914419746</v>
      </c>
      <c r="AB9" s="156">
        <f ca="1">IS!X91</f>
        <v>9328.5099221845867</v>
      </c>
      <c r="AC9" s="156">
        <f ca="1">IS!Y91</f>
        <v>9857.7253835319079</v>
      </c>
      <c r="AD9" s="156">
        <f ca="1">IS!Z91</f>
        <v>10389.47823666751</v>
      </c>
      <c r="AE9" s="156">
        <f ca="1">IS!AA91</f>
        <v>10925.712680847366</v>
      </c>
      <c r="AF9" s="156">
        <f ca="1">IS!AB91</f>
        <v>11468.361414711935</v>
      </c>
      <c r="AG9" s="43"/>
      <c r="AH9" s="43"/>
      <c r="AI9" s="43"/>
      <c r="AJ9" s="43"/>
      <c r="AK9" s="43"/>
      <c r="AL9" s="43"/>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4"/>
      <c r="CR9" s="4"/>
      <c r="CS9" s="4"/>
      <c r="CT9" s="4"/>
      <c r="CU9" s="4"/>
      <c r="CV9" s="4"/>
      <c r="CW9" s="4"/>
      <c r="CX9" s="4"/>
      <c r="CY9" s="4"/>
      <c r="CZ9" s="4"/>
      <c r="DA9" s="4"/>
      <c r="DB9" s="4"/>
      <c r="DC9" s="4"/>
      <c r="DD9" s="4"/>
      <c r="DE9" s="4"/>
      <c r="DF9" s="4"/>
      <c r="DG9" s="4"/>
      <c r="DH9" s="4"/>
      <c r="DI9" s="4"/>
      <c r="DJ9" s="4"/>
      <c r="DK9" s="4"/>
      <c r="DL9" s="4"/>
      <c r="DM9" s="4"/>
      <c r="DN9" s="4"/>
      <c r="DO9" s="4"/>
      <c r="DP9" s="4"/>
      <c r="DQ9" s="4"/>
      <c r="DR9" s="4"/>
      <c r="DS9" s="4"/>
      <c r="DT9" s="4"/>
      <c r="DU9" s="4"/>
      <c r="DV9" s="4"/>
      <c r="DW9" s="4"/>
      <c r="DX9" s="4"/>
      <c r="DY9" s="4"/>
      <c r="DZ9" s="4"/>
      <c r="EA9" s="4"/>
      <c r="EB9" s="4"/>
      <c r="EC9" s="4"/>
      <c r="ED9" s="4"/>
      <c r="EE9" s="4"/>
      <c r="EF9" s="4"/>
      <c r="EG9" s="4"/>
      <c r="EH9" s="4"/>
      <c r="EI9" s="4"/>
      <c r="EJ9" s="4"/>
      <c r="EK9" s="4"/>
      <c r="EL9" s="4"/>
      <c r="EM9" s="4"/>
      <c r="EN9" s="4"/>
      <c r="EO9" s="4"/>
      <c r="EP9" s="4"/>
      <c r="EQ9" s="4"/>
      <c r="ER9" s="4"/>
      <c r="ES9" s="4"/>
      <c r="ET9" s="4"/>
      <c r="EU9" s="4"/>
      <c r="EV9" s="4"/>
      <c r="EW9" s="4"/>
      <c r="EX9" s="4"/>
      <c r="EY9" s="4"/>
      <c r="EZ9" s="4"/>
      <c r="FA9" s="4"/>
      <c r="FB9" s="4"/>
      <c r="FC9" s="4"/>
      <c r="FD9" s="4"/>
      <c r="FE9" s="4"/>
      <c r="FF9" s="4"/>
      <c r="FG9" s="4"/>
      <c r="FH9" s="4"/>
      <c r="FI9" s="4"/>
      <c r="FJ9" s="4"/>
      <c r="FK9" s="4"/>
      <c r="FL9" s="4"/>
      <c r="FM9" s="4"/>
      <c r="FN9" s="4"/>
      <c r="FO9" s="4"/>
      <c r="FP9" s="4"/>
      <c r="FQ9" s="4"/>
      <c r="FR9" s="4"/>
      <c r="FS9" s="4"/>
      <c r="FT9" s="4"/>
      <c r="FU9" s="4"/>
      <c r="FV9" s="4"/>
      <c r="FW9" s="4"/>
      <c r="FX9" s="4"/>
      <c r="FY9" s="4"/>
      <c r="FZ9" s="4"/>
      <c r="GA9" s="4"/>
      <c r="GB9" s="4"/>
      <c r="GC9" s="4"/>
      <c r="GD9" s="4"/>
      <c r="GE9" s="4"/>
      <c r="GF9" s="4"/>
      <c r="GG9" s="4"/>
      <c r="GH9" s="4"/>
      <c r="GI9" s="4"/>
      <c r="GJ9" s="4"/>
      <c r="GK9" s="4"/>
      <c r="GL9" s="4"/>
      <c r="GM9" s="4"/>
      <c r="GN9" s="4"/>
      <c r="GO9" s="4"/>
      <c r="GP9" s="4"/>
      <c r="GQ9" s="4"/>
      <c r="GR9" s="4"/>
      <c r="GS9" s="4"/>
      <c r="GT9" s="4"/>
      <c r="GU9" s="4"/>
      <c r="GV9" s="4"/>
      <c r="GW9" s="4"/>
      <c r="GX9" s="4"/>
      <c r="GY9" s="4"/>
      <c r="GZ9" s="4"/>
      <c r="HA9" s="4"/>
      <c r="HB9" s="4"/>
      <c r="HC9" s="4"/>
      <c r="HD9" s="4"/>
      <c r="HE9" s="4"/>
      <c r="HF9" s="4"/>
      <c r="HG9" s="4"/>
      <c r="HH9" s="4"/>
      <c r="HI9" s="4"/>
      <c r="HJ9" s="4"/>
      <c r="HK9" s="4"/>
      <c r="HL9" s="4"/>
      <c r="HM9" s="4"/>
      <c r="HN9" s="4"/>
      <c r="HO9" s="4"/>
      <c r="HP9" s="4"/>
      <c r="HQ9" s="4"/>
      <c r="HR9" s="4"/>
      <c r="HS9" s="4"/>
      <c r="HT9" s="4"/>
      <c r="HU9" s="4"/>
      <c r="HV9" s="4"/>
      <c r="HW9" s="4"/>
      <c r="HX9" s="4"/>
      <c r="HY9" s="4"/>
      <c r="HZ9" s="4"/>
      <c r="IA9" s="4"/>
      <c r="IB9"/>
      <c r="IC9"/>
      <c r="ID9"/>
      <c r="IE9"/>
      <c r="IF9"/>
      <c r="IG9"/>
      <c r="IH9"/>
      <c r="II9"/>
      <c r="IJ9"/>
      <c r="IK9"/>
      <c r="IL9"/>
      <c r="IM9"/>
      <c r="IN9"/>
      <c r="IO9"/>
      <c r="IP9"/>
      <c r="IQ9"/>
    </row>
    <row r="10" spans="1:251" s="44" customFormat="1">
      <c r="A10" s="126"/>
      <c r="B10" s="126" t="s">
        <v>582</v>
      </c>
      <c r="C10" s="191">
        <v>1106</v>
      </c>
      <c r="D10" s="191">
        <v>1120</v>
      </c>
      <c r="E10" s="222">
        <v>1126</v>
      </c>
      <c r="F10" s="222">
        <v>1323</v>
      </c>
      <c r="G10" s="222">
        <v>1324</v>
      </c>
      <c r="H10" s="222">
        <v>1432</v>
      </c>
      <c r="I10" s="222">
        <f>1607-I11</f>
        <v>1590</v>
      </c>
      <c r="J10" s="222">
        <f>1675-J11</f>
        <v>1647</v>
      </c>
      <c r="K10" s="222">
        <f>1804-K11</f>
        <v>1774</v>
      </c>
      <c r="L10" s="222">
        <f>913-L11</f>
        <v>890</v>
      </c>
      <c r="M10" s="222">
        <f>980-M11</f>
        <v>957</v>
      </c>
      <c r="N10" s="222">
        <v>210</v>
      </c>
      <c r="O10" s="222">
        <v>215</v>
      </c>
      <c r="P10" s="222">
        <v>291</v>
      </c>
      <c r="Q10" s="222">
        <f>276-Q11</f>
        <v>256</v>
      </c>
      <c r="R10" s="222">
        <f>253-R11</f>
        <v>233</v>
      </c>
      <c r="S10" s="222">
        <f>225-S11</f>
        <v>205</v>
      </c>
      <c r="T10" s="222">
        <f>212-T11</f>
        <v>192</v>
      </c>
      <c r="U10" s="222">
        <v>188</v>
      </c>
      <c r="V10" s="222">
        <f>225-V11</f>
        <v>204</v>
      </c>
      <c r="W10" s="1057">
        <f>204-W11</f>
        <v>183</v>
      </c>
      <c r="X10" s="156">
        <f>BS!Y152</f>
        <v>181.42403116670084</v>
      </c>
      <c r="Y10" s="156">
        <f>BS!Z152</f>
        <v>188.87048390403936</v>
      </c>
      <c r="Z10" s="156">
        <f>BS!AA152</f>
        <v>196.68925927824483</v>
      </c>
      <c r="AA10" s="156">
        <f>BS!AB152</f>
        <v>204.89897342116055</v>
      </c>
      <c r="AB10" s="156">
        <f>BS!AC152</f>
        <v>213.51917327122206</v>
      </c>
      <c r="AC10" s="156">
        <f>BS!AD152</f>
        <v>222.57038311378668</v>
      </c>
      <c r="AD10" s="156">
        <f>BS!AE152</f>
        <v>232.07415344847948</v>
      </c>
      <c r="AE10" s="156">
        <f>BS!AF152</f>
        <v>242.05311229990696</v>
      </c>
      <c r="AF10" s="156">
        <f>BS!AG152</f>
        <v>252.53101909390583</v>
      </c>
      <c r="AG10" s="43"/>
      <c r="AH10" s="43"/>
      <c r="AI10" s="43"/>
      <c r="AJ10" s="43"/>
      <c r="AK10" s="43"/>
      <c r="AL10" s="43"/>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c r="CH10" s="4"/>
      <c r="CI10" s="4"/>
      <c r="CJ10" s="4"/>
      <c r="CK10" s="4"/>
      <c r="CL10" s="4"/>
      <c r="CM10" s="4"/>
      <c r="CN10" s="4"/>
      <c r="CO10" s="4"/>
      <c r="CP10" s="4"/>
      <c r="CQ10" s="4"/>
      <c r="CR10" s="4"/>
      <c r="CS10" s="4"/>
      <c r="CT10" s="4"/>
      <c r="CU10" s="4"/>
      <c r="CV10" s="4"/>
      <c r="CW10" s="4"/>
      <c r="CX10" s="4"/>
      <c r="CY10" s="4"/>
      <c r="CZ10" s="4"/>
      <c r="DA10" s="4"/>
      <c r="DB10" s="4"/>
      <c r="DC10" s="4"/>
      <c r="DD10" s="4"/>
      <c r="DE10" s="4"/>
      <c r="DF10" s="4"/>
      <c r="DG10" s="4"/>
      <c r="DH10" s="4"/>
      <c r="DI10" s="4"/>
      <c r="DJ10" s="4"/>
      <c r="DK10" s="4"/>
      <c r="DL10" s="4"/>
      <c r="DM10" s="4"/>
      <c r="DN10" s="4"/>
      <c r="DO10" s="4"/>
      <c r="DP10" s="4"/>
      <c r="DQ10" s="4"/>
      <c r="DR10" s="4"/>
      <c r="DS10" s="4"/>
      <c r="DT10" s="4"/>
      <c r="DU10" s="4"/>
      <c r="DV10" s="4"/>
      <c r="DW10" s="4"/>
      <c r="DX10" s="4"/>
      <c r="DY10" s="4"/>
      <c r="DZ10" s="4"/>
      <c r="EA10" s="4"/>
      <c r="EB10" s="4"/>
      <c r="EC10" s="4"/>
      <c r="ED10" s="4"/>
      <c r="EE10" s="4"/>
      <c r="EF10" s="4"/>
      <c r="EG10" s="4"/>
      <c r="EH10" s="4"/>
      <c r="EI10" s="4"/>
      <c r="EJ10" s="4"/>
      <c r="EK10" s="4"/>
      <c r="EL10" s="4"/>
      <c r="EM10" s="4"/>
      <c r="EN10" s="4"/>
      <c r="EO10" s="4"/>
      <c r="EP10" s="4"/>
      <c r="EQ10" s="4"/>
      <c r="ER10" s="4"/>
      <c r="ES10" s="4"/>
      <c r="ET10" s="4"/>
      <c r="EU10" s="4"/>
      <c r="EV10" s="4"/>
      <c r="EW10" s="4"/>
      <c r="EX10" s="4"/>
      <c r="EY10" s="4"/>
      <c r="EZ10" s="4"/>
      <c r="FA10" s="4"/>
      <c r="FB10" s="4"/>
      <c r="FC10" s="4"/>
      <c r="FD10" s="4"/>
      <c r="FE10" s="4"/>
      <c r="FF10" s="4"/>
      <c r="FG10" s="4"/>
      <c r="FH10" s="4"/>
      <c r="FI10" s="4"/>
      <c r="FJ10" s="4"/>
      <c r="FK10" s="4"/>
      <c r="FL10" s="4"/>
      <c r="FM10" s="4"/>
      <c r="FN10" s="4"/>
      <c r="FO10" s="4"/>
      <c r="FP10" s="4"/>
      <c r="FQ10" s="4"/>
      <c r="FR10" s="4"/>
      <c r="FS10" s="4"/>
      <c r="FT10" s="4"/>
      <c r="FU10" s="4"/>
      <c r="FV10" s="4"/>
      <c r="FW10" s="4"/>
      <c r="FX10" s="4"/>
      <c r="FY10" s="4"/>
      <c r="FZ10" s="4"/>
      <c r="GA10" s="4"/>
      <c r="GB10" s="4"/>
      <c r="GC10" s="4"/>
      <c r="GD10" s="4"/>
      <c r="GE10" s="4"/>
      <c r="GF10" s="4"/>
      <c r="GG10" s="4"/>
      <c r="GH10" s="4"/>
      <c r="GI10" s="4"/>
      <c r="GJ10" s="4"/>
      <c r="GK10" s="4"/>
      <c r="GL10" s="4"/>
      <c r="GM10" s="4"/>
      <c r="GN10" s="4"/>
      <c r="GO10" s="4"/>
      <c r="GP10" s="4"/>
      <c r="GQ10" s="4"/>
      <c r="GR10" s="4"/>
      <c r="GS10" s="4"/>
      <c r="GT10" s="4"/>
      <c r="GU10" s="4"/>
      <c r="GV10" s="4"/>
      <c r="GW10" s="4"/>
      <c r="GX10" s="4"/>
      <c r="GY10" s="4"/>
      <c r="GZ10" s="4"/>
      <c r="HA10" s="4"/>
      <c r="HB10" s="4"/>
      <c r="HC10" s="4"/>
      <c r="HD10" s="4"/>
      <c r="HE10" s="4"/>
      <c r="HF10" s="4"/>
      <c r="HG10" s="4"/>
      <c r="HH10" s="4"/>
      <c r="HI10" s="4"/>
      <c r="HJ10" s="4"/>
      <c r="HK10" s="4"/>
      <c r="HL10" s="4"/>
      <c r="HM10" s="4"/>
      <c r="HN10" s="4"/>
      <c r="HO10" s="4"/>
      <c r="HP10" s="4"/>
      <c r="HQ10" s="4"/>
      <c r="HR10" s="4"/>
      <c r="HS10" s="4"/>
      <c r="HT10" s="4"/>
      <c r="HU10" s="4"/>
      <c r="HV10" s="4"/>
      <c r="HW10" s="4"/>
      <c r="HX10" s="4"/>
      <c r="HY10" s="4"/>
      <c r="HZ10" s="4"/>
      <c r="IA10" s="4"/>
      <c r="IB10"/>
      <c r="IC10"/>
      <c r="ID10"/>
      <c r="IE10"/>
      <c r="IF10"/>
      <c r="IG10"/>
      <c r="IH10"/>
      <c r="II10"/>
      <c r="IJ10"/>
      <c r="IK10"/>
      <c r="IL10"/>
      <c r="IM10"/>
      <c r="IN10"/>
      <c r="IO10"/>
      <c r="IP10"/>
      <c r="IQ10"/>
    </row>
    <row r="11" spans="1:251" s="44" customFormat="1">
      <c r="A11" s="126"/>
      <c r="B11" s="126" t="s">
        <v>583</v>
      </c>
      <c r="C11" s="155">
        <v>584</v>
      </c>
      <c r="D11" s="155">
        <v>582</v>
      </c>
      <c r="E11" s="156">
        <v>591</v>
      </c>
      <c r="F11" s="156">
        <f>1197-183</f>
        <v>1014</v>
      </c>
      <c r="G11" s="156">
        <v>7</v>
      </c>
      <c r="H11" s="156">
        <f>+IS!F26</f>
        <v>8</v>
      </c>
      <c r="I11" s="156">
        <f>+IS!G26</f>
        <v>17</v>
      </c>
      <c r="J11" s="156">
        <f>+IS!H26</f>
        <v>28</v>
      </c>
      <c r="K11" s="156">
        <f>+IS!I26</f>
        <v>30</v>
      </c>
      <c r="L11" s="156">
        <v>23</v>
      </c>
      <c r="M11" s="156">
        <v>23</v>
      </c>
      <c r="N11" s="222">
        <v>0</v>
      </c>
      <c r="O11" s="222">
        <v>0</v>
      </c>
      <c r="P11" s="222">
        <v>0</v>
      </c>
      <c r="Q11" s="156">
        <f>BS!Q21-BS!R21</f>
        <v>20</v>
      </c>
      <c r="R11" s="156">
        <f>BS!R21-BS!S21</f>
        <v>20</v>
      </c>
      <c r="S11" s="156">
        <f>BS!S21-BS!T21</f>
        <v>20</v>
      </c>
      <c r="T11" s="156">
        <f>BS!T21-BS!U21</f>
        <v>20</v>
      </c>
      <c r="U11" s="156">
        <f>U12-U10</f>
        <v>20</v>
      </c>
      <c r="V11" s="156">
        <v>21</v>
      </c>
      <c r="W11" s="1057">
        <v>21</v>
      </c>
      <c r="X11" s="156">
        <f>BS!X21-BS!Y21</f>
        <v>21.66666666666606</v>
      </c>
      <c r="Y11" s="156">
        <f>BS!Y21-BS!Z21</f>
        <v>21.66666666666606</v>
      </c>
      <c r="Z11" s="156">
        <f>BS!Z21-BS!AA21</f>
        <v>21.66666666666606</v>
      </c>
      <c r="AA11" s="156">
        <f>BS!AA21-BS!AB21</f>
        <v>21.66666666666606</v>
      </c>
      <c r="AB11" s="156">
        <f>BS!AB21-BS!AC21</f>
        <v>21.66666666666606</v>
      </c>
      <c r="AC11" s="156">
        <f>BS!AC21-BS!AD21</f>
        <v>21.66666666666606</v>
      </c>
      <c r="AD11" s="156">
        <f>BS!AD21-BS!AE21</f>
        <v>21.66666666666606</v>
      </c>
      <c r="AE11" s="156">
        <f>BS!AE21-BS!AF21</f>
        <v>21.66666666666606</v>
      </c>
      <c r="AF11" s="156">
        <f>BS!AF21-BS!AG21</f>
        <v>21.66666666666606</v>
      </c>
      <c r="AG11" s="43"/>
      <c r="AH11" s="43"/>
      <c r="AI11" s="43"/>
      <c r="AJ11" s="43"/>
      <c r="AK11" s="43"/>
      <c r="AL11" s="43"/>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c r="CM11" s="4"/>
      <c r="CN11" s="4"/>
      <c r="CO11" s="4"/>
      <c r="CP11" s="4"/>
      <c r="CQ11" s="4"/>
      <c r="CR11" s="4"/>
      <c r="CS11" s="4"/>
      <c r="CT11" s="4"/>
      <c r="CU11" s="4"/>
      <c r="CV11" s="4"/>
      <c r="CW11" s="4"/>
      <c r="CX11" s="4"/>
      <c r="CY11" s="4"/>
      <c r="CZ11" s="4"/>
      <c r="DA11" s="4"/>
      <c r="DB11" s="4"/>
      <c r="DC11" s="4"/>
      <c r="DD11" s="4"/>
      <c r="DE11" s="4"/>
      <c r="DF11" s="4"/>
      <c r="DG11" s="4"/>
      <c r="DH11" s="4"/>
      <c r="DI11" s="4"/>
      <c r="DJ11" s="4"/>
      <c r="DK11" s="4"/>
      <c r="DL11" s="4"/>
      <c r="DM11" s="4"/>
      <c r="DN11" s="4"/>
      <c r="DO11" s="4"/>
      <c r="DP11" s="4"/>
      <c r="DQ11" s="4"/>
      <c r="DR11" s="4"/>
      <c r="DS11" s="4"/>
      <c r="DT11" s="4"/>
      <c r="DU11" s="4"/>
      <c r="DV11" s="4"/>
      <c r="DW11" s="4"/>
      <c r="DX11" s="4"/>
      <c r="DY11" s="4"/>
      <c r="DZ11" s="4"/>
      <c r="EA11" s="4"/>
      <c r="EB11" s="4"/>
      <c r="EC11" s="4"/>
      <c r="ED11" s="4"/>
      <c r="EE11" s="4"/>
      <c r="EF11" s="4"/>
      <c r="EG11" s="4"/>
      <c r="EH11" s="4"/>
      <c r="EI11" s="4"/>
      <c r="EJ11" s="4"/>
      <c r="EK11" s="4"/>
      <c r="EL11" s="4"/>
      <c r="EM11" s="4"/>
      <c r="EN11" s="4"/>
      <c r="EO11" s="4"/>
      <c r="EP11" s="4"/>
      <c r="EQ11" s="4"/>
      <c r="ER11" s="4"/>
      <c r="ES11" s="4"/>
      <c r="ET11" s="4"/>
      <c r="EU11" s="4"/>
      <c r="EV11" s="4"/>
      <c r="EW11" s="4"/>
      <c r="EX11" s="4"/>
      <c r="EY11" s="4"/>
      <c r="EZ11" s="4"/>
      <c r="FA11" s="4"/>
      <c r="FB11" s="4"/>
      <c r="FC11" s="4"/>
      <c r="FD11" s="4"/>
      <c r="FE11" s="4"/>
      <c r="FF11" s="4"/>
      <c r="FG11" s="4"/>
      <c r="FH11" s="4"/>
      <c r="FI11" s="4"/>
      <c r="FJ11" s="4"/>
      <c r="FK11" s="4"/>
      <c r="FL11" s="4"/>
      <c r="FM11" s="4"/>
      <c r="FN11" s="4"/>
      <c r="FO11" s="4"/>
      <c r="FP11" s="4"/>
      <c r="FQ11" s="4"/>
      <c r="FR11" s="4"/>
      <c r="FS11" s="4"/>
      <c r="FT11" s="4"/>
      <c r="FU11" s="4"/>
      <c r="FV11" s="4"/>
      <c r="FW11" s="4"/>
      <c r="FX11" s="4"/>
      <c r="FY11" s="4"/>
      <c r="FZ11" s="4"/>
      <c r="GA11" s="4"/>
      <c r="GB11" s="4"/>
      <c r="GC11" s="4"/>
      <c r="GD11" s="4"/>
      <c r="GE11" s="4"/>
      <c r="GF11" s="4"/>
      <c r="GG11" s="4"/>
      <c r="GH11" s="4"/>
      <c r="GI11" s="4"/>
      <c r="GJ11" s="4"/>
      <c r="GK11" s="4"/>
      <c r="GL11" s="4"/>
      <c r="GM11" s="4"/>
      <c r="GN11" s="4"/>
      <c r="GO11" s="4"/>
      <c r="GP11" s="4"/>
      <c r="GQ11" s="4"/>
      <c r="GR11" s="4"/>
      <c r="GS11" s="4"/>
      <c r="GT11" s="4"/>
      <c r="GU11" s="4"/>
      <c r="GV11" s="4"/>
      <c r="GW11" s="4"/>
      <c r="GX11" s="4"/>
      <c r="GY11" s="4"/>
      <c r="GZ11" s="4"/>
      <c r="HA11" s="4"/>
      <c r="HB11" s="4"/>
      <c r="HC11" s="4"/>
      <c r="HD11" s="4"/>
      <c r="HE11" s="4"/>
      <c r="HF11" s="4"/>
      <c r="HG11" s="4"/>
      <c r="HH11" s="4"/>
      <c r="HI11" s="4"/>
      <c r="HJ11" s="4"/>
      <c r="HK11" s="4"/>
      <c r="HL11" s="4"/>
      <c r="HM11" s="4"/>
      <c r="HN11" s="4"/>
      <c r="HO11" s="4"/>
      <c r="HP11" s="4"/>
      <c r="HQ11" s="4"/>
      <c r="HR11" s="4"/>
      <c r="HS11" s="4"/>
      <c r="HT11" s="4"/>
      <c r="HU11" s="4"/>
      <c r="HV11" s="4"/>
      <c r="HW11" s="4"/>
      <c r="HX11" s="4"/>
      <c r="HY11" s="4"/>
      <c r="HZ11" s="4"/>
      <c r="IA11" s="4"/>
      <c r="IB11"/>
      <c r="IC11"/>
      <c r="ID11"/>
      <c r="IE11"/>
      <c r="IF11"/>
      <c r="IG11"/>
      <c r="IH11"/>
      <c r="II11"/>
      <c r="IJ11"/>
      <c r="IK11"/>
      <c r="IL11"/>
      <c r="IM11"/>
      <c r="IN11"/>
      <c r="IO11"/>
      <c r="IP11"/>
      <c r="IQ11"/>
    </row>
    <row r="12" spans="1:251" s="44" customFormat="1">
      <c r="A12" s="126"/>
      <c r="B12" s="126" t="s">
        <v>492</v>
      </c>
      <c r="C12" s="155">
        <f>C10+C11</f>
        <v>1690</v>
      </c>
      <c r="D12" s="155">
        <f t="shared" ref="D12:L12" si="0">D10+D11</f>
        <v>1702</v>
      </c>
      <c r="E12" s="156">
        <f t="shared" si="0"/>
        <v>1717</v>
      </c>
      <c r="F12" s="156">
        <f t="shared" si="0"/>
        <v>2337</v>
      </c>
      <c r="G12" s="156">
        <f>G10+G11</f>
        <v>1331</v>
      </c>
      <c r="H12" s="156">
        <f t="shared" si="0"/>
        <v>1440</v>
      </c>
      <c r="I12" s="156">
        <f t="shared" si="0"/>
        <v>1607</v>
      </c>
      <c r="J12" s="156">
        <f t="shared" si="0"/>
        <v>1675</v>
      </c>
      <c r="K12" s="156">
        <f t="shared" si="0"/>
        <v>1804</v>
      </c>
      <c r="L12" s="156">
        <f t="shared" si="0"/>
        <v>913</v>
      </c>
      <c r="M12" s="156">
        <f t="shared" ref="M12:V12" si="1">M10+M11</f>
        <v>980</v>
      </c>
      <c r="N12" s="156">
        <f t="shared" si="1"/>
        <v>210</v>
      </c>
      <c r="O12" s="156">
        <f t="shared" si="1"/>
        <v>215</v>
      </c>
      <c r="P12" s="156">
        <f t="shared" si="1"/>
        <v>291</v>
      </c>
      <c r="Q12" s="156">
        <f t="shared" si="1"/>
        <v>276</v>
      </c>
      <c r="R12" s="156">
        <f t="shared" si="1"/>
        <v>253</v>
      </c>
      <c r="S12" s="156">
        <f t="shared" si="1"/>
        <v>225</v>
      </c>
      <c r="T12" s="156">
        <f t="shared" si="1"/>
        <v>212</v>
      </c>
      <c r="U12" s="222">
        <v>208</v>
      </c>
      <c r="V12" s="222">
        <f t="shared" si="1"/>
        <v>225</v>
      </c>
      <c r="W12" s="156">
        <f t="shared" ref="W12:AF12" si="2">W10+W11</f>
        <v>204</v>
      </c>
      <c r="X12" s="156">
        <f t="shared" si="2"/>
        <v>203.0906978333669</v>
      </c>
      <c r="Y12" s="156">
        <f t="shared" si="2"/>
        <v>210.53715057070542</v>
      </c>
      <c r="Z12" s="156">
        <f t="shared" si="2"/>
        <v>218.35592594491089</v>
      </c>
      <c r="AA12" s="156">
        <f t="shared" si="2"/>
        <v>226.56564008782661</v>
      </c>
      <c r="AB12" s="156">
        <f t="shared" si="2"/>
        <v>235.18583993788812</v>
      </c>
      <c r="AC12" s="156">
        <f t="shared" si="2"/>
        <v>244.23704978045274</v>
      </c>
      <c r="AD12" s="156">
        <f t="shared" si="2"/>
        <v>253.74082011514554</v>
      </c>
      <c r="AE12" s="156">
        <f t="shared" si="2"/>
        <v>263.71977896657302</v>
      </c>
      <c r="AF12" s="156">
        <f t="shared" si="2"/>
        <v>274.19768576057186</v>
      </c>
      <c r="AG12" s="43"/>
      <c r="AH12" s="43"/>
      <c r="AI12" s="43"/>
      <c r="AJ12" s="43"/>
      <c r="AK12" s="43"/>
      <c r="AL12" s="43"/>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c r="CU12" s="4"/>
      <c r="CV12" s="4"/>
      <c r="CW12" s="4"/>
      <c r="CX12" s="4"/>
      <c r="CY12" s="4"/>
      <c r="CZ12" s="4"/>
      <c r="DA12" s="4"/>
      <c r="DB12" s="4"/>
      <c r="DC12" s="4"/>
      <c r="DD12" s="4"/>
      <c r="DE12" s="4"/>
      <c r="DF12" s="4"/>
      <c r="DG12" s="4"/>
      <c r="DH12" s="4"/>
      <c r="DI12" s="4"/>
      <c r="DJ12" s="4"/>
      <c r="DK12" s="4"/>
      <c r="DL12" s="4"/>
      <c r="DM12" s="4"/>
      <c r="DN12" s="4"/>
      <c r="DO12" s="4"/>
      <c r="DP12" s="4"/>
      <c r="DQ12" s="4"/>
      <c r="DR12" s="4"/>
      <c r="DS12" s="4"/>
      <c r="DT12" s="4"/>
      <c r="DU12" s="4"/>
      <c r="DV12" s="4"/>
      <c r="DW12" s="4"/>
      <c r="DX12" s="4"/>
      <c r="DY12" s="4"/>
      <c r="DZ12" s="4"/>
      <c r="EA12" s="4"/>
      <c r="EB12" s="4"/>
      <c r="EC12" s="4"/>
      <c r="ED12" s="4"/>
      <c r="EE12" s="4"/>
      <c r="EF12" s="4"/>
      <c r="EG12" s="4"/>
      <c r="EH12" s="4"/>
      <c r="EI12" s="4"/>
      <c r="EJ12" s="4"/>
      <c r="EK12" s="4"/>
      <c r="EL12" s="4"/>
      <c r="EM12" s="4"/>
      <c r="EN12" s="4"/>
      <c r="EO12" s="4"/>
      <c r="EP12" s="4"/>
      <c r="EQ12" s="4"/>
      <c r="ER12" s="4"/>
      <c r="ES12" s="4"/>
      <c r="ET12" s="4"/>
      <c r="EU12" s="4"/>
      <c r="EV12" s="4"/>
      <c r="EW12" s="4"/>
      <c r="EX12" s="4"/>
      <c r="EY12" s="4"/>
      <c r="EZ12" s="4"/>
      <c r="FA12" s="4"/>
      <c r="FB12" s="4"/>
      <c r="FC12" s="4"/>
      <c r="FD12" s="4"/>
      <c r="FE12" s="4"/>
      <c r="FF12" s="4"/>
      <c r="FG12" s="4"/>
      <c r="FH12" s="4"/>
      <c r="FI12" s="4"/>
      <c r="FJ12" s="4"/>
      <c r="FK12" s="4"/>
      <c r="FL12" s="4"/>
      <c r="FM12" s="4"/>
      <c r="FN12" s="4"/>
      <c r="FO12" s="4"/>
      <c r="FP12" s="4"/>
      <c r="FQ12" s="4"/>
      <c r="FR12" s="4"/>
      <c r="FS12" s="4"/>
      <c r="FT12" s="4"/>
      <c r="FU12" s="4"/>
      <c r="FV12" s="4"/>
      <c r="FW12" s="4"/>
      <c r="FX12" s="4"/>
      <c r="FY12" s="4"/>
      <c r="FZ12" s="4"/>
      <c r="GA12" s="4"/>
      <c r="GB12" s="4"/>
      <c r="GC12" s="4"/>
      <c r="GD12" s="4"/>
      <c r="GE12" s="4"/>
      <c r="GF12" s="4"/>
      <c r="GG12" s="4"/>
      <c r="GH12" s="4"/>
      <c r="GI12" s="4"/>
      <c r="GJ12" s="4"/>
      <c r="GK12" s="4"/>
      <c r="GL12" s="4"/>
      <c r="GM12" s="4"/>
      <c r="GN12" s="4"/>
      <c r="GO12" s="4"/>
      <c r="GP12" s="4"/>
      <c r="GQ12" s="4"/>
      <c r="GR12" s="4"/>
      <c r="GS12" s="4"/>
      <c r="GT12" s="4"/>
      <c r="GU12" s="4"/>
      <c r="GV12" s="4"/>
      <c r="GW12" s="4"/>
      <c r="GX12" s="4"/>
      <c r="GY12" s="4"/>
      <c r="GZ12" s="4"/>
      <c r="HA12" s="4"/>
      <c r="HB12" s="4"/>
      <c r="HC12" s="4"/>
      <c r="HD12" s="4"/>
      <c r="HE12" s="4"/>
      <c r="HF12" s="4"/>
      <c r="HG12" s="4"/>
      <c r="HH12" s="4"/>
      <c r="HI12" s="4"/>
      <c r="HJ12" s="4"/>
      <c r="HK12" s="4"/>
      <c r="HL12" s="4"/>
      <c r="HM12" s="4"/>
      <c r="HN12" s="4"/>
      <c r="HO12" s="4"/>
      <c r="HP12" s="4"/>
      <c r="HQ12" s="4"/>
      <c r="HR12" s="4"/>
      <c r="HS12" s="4"/>
      <c r="HT12" s="4"/>
      <c r="HU12" s="4"/>
      <c r="HV12" s="4"/>
      <c r="HW12" s="4"/>
      <c r="HX12" s="4"/>
      <c r="HY12" s="4"/>
      <c r="HZ12" s="4"/>
      <c r="IA12" s="4"/>
      <c r="IB12"/>
      <c r="IC12"/>
      <c r="ID12"/>
      <c r="IE12"/>
      <c r="IF12"/>
      <c r="IG12"/>
      <c r="IH12"/>
      <c r="II12"/>
      <c r="IJ12"/>
      <c r="IK12"/>
      <c r="IL12"/>
      <c r="IM12"/>
      <c r="IN12"/>
      <c r="IO12"/>
      <c r="IP12"/>
      <c r="IQ12"/>
    </row>
    <row r="13" spans="1:251" s="44" customFormat="1">
      <c r="A13" s="126"/>
      <c r="B13" s="126" t="s">
        <v>634</v>
      </c>
      <c r="C13" s="294">
        <v>11</v>
      </c>
      <c r="D13" s="294">
        <v>-156</v>
      </c>
      <c r="E13" s="156">
        <v>660</v>
      </c>
      <c r="F13" s="156">
        <v>277</v>
      </c>
      <c r="G13" s="222">
        <v>1310</v>
      </c>
      <c r="H13" s="222">
        <v>717</v>
      </c>
      <c r="I13" s="222">
        <v>381</v>
      </c>
      <c r="J13" s="222">
        <v>-863</v>
      </c>
      <c r="K13" s="222">
        <v>-274</v>
      </c>
      <c r="L13" s="222">
        <v>-106</v>
      </c>
      <c r="M13" s="222">
        <v>80</v>
      </c>
      <c r="N13" s="156">
        <f>+M13--21</f>
        <v>101</v>
      </c>
      <c r="O13" s="222">
        <f>121-259</f>
        <v>-138</v>
      </c>
      <c r="P13" s="222">
        <f>499-456</f>
        <v>43</v>
      </c>
      <c r="Q13" s="222">
        <f>408-284</f>
        <v>124</v>
      </c>
      <c r="R13" s="222">
        <f>382-825</f>
        <v>-443</v>
      </c>
      <c r="S13" s="222">
        <f>406-1335</f>
        <v>-929</v>
      </c>
      <c r="T13" s="222">
        <v>-86</v>
      </c>
      <c r="U13" s="222">
        <v>-129</v>
      </c>
      <c r="V13" s="222">
        <v>-132</v>
      </c>
      <c r="W13" s="156">
        <v>3119</v>
      </c>
      <c r="X13" s="156">
        <f>+BS!Y49-BS!X49+BS!Y56-BS!X56</f>
        <v>0</v>
      </c>
      <c r="Y13" s="156">
        <f>+BS!Z49-BS!Y49+BS!Z56-BS!Y56</f>
        <v>0</v>
      </c>
      <c r="Z13" s="156">
        <f>+BS!AA49-BS!Z49+BS!AA56-BS!Z56</f>
        <v>0</v>
      </c>
      <c r="AA13" s="156">
        <f>+BS!AB49-BS!AA49+BS!AB56-BS!AA56</f>
        <v>0</v>
      </c>
      <c r="AB13" s="156">
        <f>+BS!AC49-BS!AB49+BS!AC56-BS!AB56</f>
        <v>0</v>
      </c>
      <c r="AC13" s="156">
        <f>+BS!AD49-BS!AC49+BS!AD56-BS!AC56</f>
        <v>0</v>
      </c>
      <c r="AD13" s="156">
        <f>+BS!AE49-BS!AD49+BS!AE56-BS!AD56</f>
        <v>0</v>
      </c>
      <c r="AE13" s="156">
        <f>+BS!AF49-BS!AE49+BS!AF56-BS!AE56</f>
        <v>0</v>
      </c>
      <c r="AF13" s="156">
        <f>+BS!AG49-BS!AF49+BS!AG56-BS!AF56</f>
        <v>0</v>
      </c>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c r="CG13" s="4"/>
      <c r="CH13" s="4"/>
      <c r="CI13" s="4"/>
      <c r="CJ13" s="4"/>
      <c r="CK13" s="4"/>
      <c r="CL13" s="4"/>
      <c r="CM13" s="4"/>
      <c r="CN13" s="4"/>
      <c r="CO13" s="4"/>
      <c r="CP13" s="4"/>
      <c r="CQ13" s="4"/>
      <c r="CR13" s="4"/>
      <c r="CS13" s="4"/>
      <c r="CT13" s="4"/>
      <c r="CU13" s="4"/>
      <c r="CV13" s="4"/>
      <c r="CW13" s="4"/>
      <c r="CX13" s="4"/>
      <c r="CY13" s="4"/>
      <c r="CZ13" s="4"/>
      <c r="DA13" s="4"/>
      <c r="DB13" s="4"/>
      <c r="DC13" s="4"/>
      <c r="DD13" s="4"/>
      <c r="DE13" s="4"/>
      <c r="DF13" s="4"/>
      <c r="DG13" s="4"/>
      <c r="DH13" s="4"/>
      <c r="DI13" s="4"/>
      <c r="DJ13" s="4"/>
      <c r="DK13" s="4"/>
      <c r="DL13" s="4"/>
      <c r="DM13" s="4"/>
      <c r="DN13" s="4"/>
      <c r="DO13" s="4"/>
      <c r="DP13" s="4"/>
      <c r="DQ13" s="4"/>
      <c r="DR13" s="4"/>
      <c r="DS13" s="4"/>
      <c r="DT13" s="4"/>
      <c r="DU13" s="4"/>
      <c r="DV13" s="4"/>
      <c r="DW13" s="4"/>
      <c r="DX13" s="4"/>
      <c r="DY13" s="4"/>
      <c r="DZ13" s="4"/>
      <c r="EA13" s="4"/>
      <c r="EB13" s="4"/>
      <c r="EC13" s="4"/>
      <c r="ED13" s="4"/>
      <c r="EE13" s="4"/>
      <c r="EF13" s="4"/>
      <c r="EG13" s="4"/>
      <c r="EH13" s="4"/>
      <c r="EI13" s="4"/>
      <c r="EJ13" s="4"/>
      <c r="EK13" s="4"/>
      <c r="EL13" s="4"/>
      <c r="EM13" s="4"/>
      <c r="EN13" s="4"/>
      <c r="EO13" s="4"/>
      <c r="EP13" s="4"/>
      <c r="EQ13" s="4"/>
      <c r="ER13" s="4"/>
      <c r="ES13" s="4"/>
      <c r="ET13" s="4"/>
      <c r="EU13" s="4"/>
      <c r="EV13" s="4"/>
      <c r="EW13" s="4"/>
      <c r="EX13" s="4"/>
      <c r="EY13" s="4"/>
      <c r="EZ13" s="4"/>
      <c r="FA13" s="4"/>
      <c r="FB13" s="4"/>
      <c r="FC13" s="4"/>
      <c r="FD13" s="4"/>
      <c r="FE13" s="4"/>
      <c r="FF13" s="4"/>
      <c r="FG13" s="4"/>
      <c r="FH13" s="4"/>
      <c r="FI13" s="4"/>
      <c r="FJ13" s="4"/>
      <c r="FK13" s="4"/>
      <c r="FL13" s="4"/>
      <c r="FM13" s="4"/>
      <c r="FN13" s="4"/>
      <c r="FO13" s="4"/>
      <c r="FP13" s="4"/>
      <c r="FQ13" s="4"/>
      <c r="FR13" s="4"/>
      <c r="FS13" s="4"/>
      <c r="FT13" s="4"/>
      <c r="FU13" s="4"/>
      <c r="FV13" s="4"/>
      <c r="FW13" s="4"/>
      <c r="FX13" s="4"/>
      <c r="FY13" s="4"/>
      <c r="FZ13" s="4"/>
      <c r="GA13" s="4"/>
      <c r="GB13" s="4"/>
      <c r="GC13" s="4"/>
      <c r="GD13" s="4"/>
      <c r="GE13" s="4"/>
      <c r="GF13" s="4"/>
      <c r="GG13" s="4"/>
      <c r="GH13" s="4"/>
      <c r="GI13" s="4"/>
      <c r="GJ13" s="4"/>
      <c r="GK13" s="4"/>
      <c r="GL13" s="4"/>
      <c r="GM13" s="4"/>
      <c r="GN13" s="4"/>
      <c r="GO13" s="4"/>
      <c r="GP13" s="4"/>
      <c r="GQ13" s="4"/>
      <c r="GR13" s="4"/>
      <c r="GS13" s="4"/>
      <c r="GT13" s="4"/>
      <c r="GU13" s="4"/>
      <c r="GV13" s="4"/>
      <c r="GW13" s="4"/>
      <c r="GX13" s="4"/>
      <c r="GY13" s="4"/>
      <c r="GZ13" s="4"/>
      <c r="HA13" s="4"/>
      <c r="HB13" s="4"/>
      <c r="HC13" s="4"/>
      <c r="HD13" s="4"/>
      <c r="HE13" s="4"/>
      <c r="HF13" s="4"/>
      <c r="HG13" s="4"/>
      <c r="HH13" s="4"/>
      <c r="HI13" s="4"/>
      <c r="HJ13" s="4"/>
      <c r="HK13" s="4"/>
      <c r="HL13" s="4"/>
      <c r="HM13" s="4"/>
      <c r="HN13" s="4"/>
      <c r="HO13" s="4"/>
      <c r="HP13" s="4"/>
      <c r="HQ13" s="4"/>
      <c r="HR13" s="4"/>
      <c r="HS13" s="4"/>
      <c r="HT13" s="4"/>
      <c r="HU13" s="4"/>
      <c r="HV13" s="4"/>
      <c r="HW13" s="4"/>
      <c r="HX13" s="4"/>
      <c r="HY13" s="4"/>
      <c r="HZ13" s="4"/>
      <c r="IA13" s="4"/>
      <c r="IB13"/>
      <c r="IC13"/>
      <c r="ID13"/>
      <c r="IE13"/>
      <c r="IF13"/>
      <c r="IG13"/>
      <c r="IH13"/>
      <c r="II13"/>
      <c r="IJ13"/>
      <c r="IK13"/>
      <c r="IL13"/>
      <c r="IM13"/>
      <c r="IN13"/>
      <c r="IO13"/>
      <c r="IP13"/>
      <c r="IQ13"/>
    </row>
    <row r="14" spans="1:251" s="44" customFormat="1">
      <c r="A14" s="126"/>
      <c r="B14" s="127" t="s">
        <v>360</v>
      </c>
      <c r="C14" s="294">
        <f>-352-192-150+565+254</f>
        <v>125</v>
      </c>
      <c r="D14" s="294">
        <f>95-39+122+401+1343</f>
        <v>1922</v>
      </c>
      <c r="E14" s="156">
        <f t="shared" ref="E14:T14" si="3">E15+E20+E21+E22+E23</f>
        <v>512</v>
      </c>
      <c r="F14" s="156">
        <f t="shared" si="3"/>
        <v>-1057</v>
      </c>
      <c r="G14" s="156">
        <f t="shared" si="3"/>
        <v>-846</v>
      </c>
      <c r="H14" s="156">
        <f t="shared" si="3"/>
        <v>-584</v>
      </c>
      <c r="I14" s="156">
        <f t="shared" si="3"/>
        <v>-1</v>
      </c>
      <c r="J14" s="156">
        <f t="shared" si="3"/>
        <v>-596</v>
      </c>
      <c r="K14" s="156">
        <f t="shared" si="3"/>
        <v>-1478</v>
      </c>
      <c r="L14" s="156">
        <f t="shared" si="3"/>
        <v>-950</v>
      </c>
      <c r="M14" s="156">
        <f t="shared" si="3"/>
        <v>-2265</v>
      </c>
      <c r="N14" s="156">
        <f t="shared" si="3"/>
        <v>-507</v>
      </c>
      <c r="O14" s="156">
        <f t="shared" si="3"/>
        <v>-137</v>
      </c>
      <c r="P14" s="156">
        <f t="shared" si="3"/>
        <v>177</v>
      </c>
      <c r="Q14" s="156">
        <f t="shared" si="3"/>
        <v>-149</v>
      </c>
      <c r="R14" s="156">
        <f t="shared" si="3"/>
        <v>-204</v>
      </c>
      <c r="S14" s="156">
        <f t="shared" si="3"/>
        <v>-485</v>
      </c>
      <c r="T14" s="156">
        <f t="shared" si="3"/>
        <v>-809</v>
      </c>
      <c r="U14" s="156">
        <f>U15+U20+U21+U22+U23</f>
        <v>-188</v>
      </c>
      <c r="V14" s="156">
        <f t="shared" ref="V14:AA14" si="4">V15+V20+V21+V22+V23</f>
        <v>240</v>
      </c>
      <c r="W14" s="156">
        <f t="shared" si="4"/>
        <v>-300</v>
      </c>
      <c r="X14" s="156">
        <f t="shared" si="4"/>
        <v>152.55354650579687</v>
      </c>
      <c r="Y14" s="156">
        <f t="shared" si="4"/>
        <v>-80.465788092832639</v>
      </c>
      <c r="Z14" s="156">
        <f t="shared" si="4"/>
        <v>-0.69931618291940367</v>
      </c>
      <c r="AA14" s="156">
        <f t="shared" si="4"/>
        <v>31.848505413251928</v>
      </c>
      <c r="AB14" s="156">
        <f>AB15+AB20+AB21+AB22+AB23</f>
        <v>-42.211428647516925</v>
      </c>
      <c r="AC14" s="156">
        <f>AC15+AC20+AC21+AC22+AC23</f>
        <v>-44.228341383660648</v>
      </c>
      <c r="AD14" s="156">
        <f>AD15+AD20+AD21+AD22+AD23</f>
        <v>-46.061154354636443</v>
      </c>
      <c r="AE14" s="156">
        <f>AE15+AE20+AE21+AE22+AE23</f>
        <v>-47.727830653421989</v>
      </c>
      <c r="AF14" s="156">
        <f>AF15+AF20+AF21+AF22+AF23</f>
        <v>-49.244902733104141</v>
      </c>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c r="CG14" s="4"/>
      <c r="CH14" s="4"/>
      <c r="CI14" s="4"/>
      <c r="CJ14" s="4"/>
      <c r="CK14" s="4"/>
      <c r="CL14" s="4"/>
      <c r="CM14" s="4"/>
      <c r="CN14" s="4"/>
      <c r="CO14" s="4"/>
      <c r="CP14" s="4"/>
      <c r="CQ14" s="4"/>
      <c r="CR14" s="4"/>
      <c r="CS14" s="4"/>
      <c r="CT14" s="4"/>
      <c r="CU14" s="4"/>
      <c r="CV14" s="4"/>
      <c r="CW14" s="4"/>
      <c r="CX14" s="4"/>
      <c r="CY14" s="4"/>
      <c r="CZ14" s="4"/>
      <c r="DA14" s="4"/>
      <c r="DB14" s="4"/>
      <c r="DC14" s="4"/>
      <c r="DD14" s="4"/>
      <c r="DE14" s="4"/>
      <c r="DF14" s="4"/>
      <c r="DG14" s="4"/>
      <c r="DH14" s="4"/>
      <c r="DI14" s="4"/>
      <c r="DJ14" s="4"/>
      <c r="DK14" s="4"/>
      <c r="DL14" s="4"/>
      <c r="DM14" s="4"/>
      <c r="DN14" s="4"/>
      <c r="DO14" s="4"/>
      <c r="DP14" s="4"/>
      <c r="DQ14" s="4"/>
      <c r="DR14" s="4"/>
      <c r="DS14" s="4"/>
      <c r="DT14" s="4"/>
      <c r="DU14" s="4"/>
      <c r="DV14" s="4"/>
      <c r="DW14" s="4"/>
      <c r="DX14" s="4"/>
      <c r="DY14" s="4"/>
      <c r="DZ14" s="4"/>
      <c r="EA14" s="4"/>
      <c r="EB14" s="4"/>
      <c r="EC14" s="4"/>
      <c r="ED14" s="4"/>
      <c r="EE14" s="4"/>
      <c r="EF14" s="4"/>
      <c r="EG14" s="4"/>
      <c r="EH14" s="4"/>
      <c r="EI14" s="4"/>
      <c r="EJ14" s="4"/>
      <c r="EK14" s="4"/>
      <c r="EL14" s="4"/>
      <c r="EM14" s="4"/>
      <c r="EN14" s="4"/>
      <c r="EO14" s="4"/>
      <c r="EP14" s="4"/>
      <c r="EQ14" s="4"/>
      <c r="ER14" s="4"/>
      <c r="ES14" s="4"/>
      <c r="ET14" s="4"/>
      <c r="EU14" s="4"/>
      <c r="EV14" s="4"/>
      <c r="EW14" s="4"/>
      <c r="EX14" s="4"/>
      <c r="EY14" s="4"/>
      <c r="EZ14" s="4"/>
      <c r="FA14" s="4"/>
      <c r="FB14" s="4"/>
      <c r="FC14" s="4"/>
      <c r="FD14" s="4"/>
      <c r="FE14" s="4"/>
      <c r="FF14" s="4"/>
      <c r="FG14" s="4"/>
      <c r="FH14" s="4"/>
      <c r="FI14" s="4"/>
      <c r="FJ14" s="4"/>
      <c r="FK14" s="4"/>
      <c r="FL14" s="4"/>
      <c r="FM14" s="4"/>
      <c r="FN14" s="4"/>
      <c r="FO14" s="4"/>
      <c r="FP14" s="4"/>
      <c r="FQ14" s="4"/>
      <c r="FR14" s="4"/>
      <c r="FS14" s="4"/>
      <c r="FT14" s="4"/>
      <c r="FU14" s="4"/>
      <c r="FV14" s="4"/>
      <c r="FW14" s="4"/>
      <c r="FX14" s="4"/>
      <c r="FY14" s="4"/>
      <c r="FZ14" s="4"/>
      <c r="GA14" s="4"/>
      <c r="GB14" s="4"/>
      <c r="GC14" s="4"/>
      <c r="GD14" s="4"/>
      <c r="GE14" s="4"/>
      <c r="GF14" s="4"/>
      <c r="GG14" s="4"/>
      <c r="GH14" s="4"/>
      <c r="GI14" s="4"/>
      <c r="GJ14" s="4"/>
      <c r="GK14" s="4"/>
      <c r="GL14" s="4"/>
      <c r="GM14" s="4"/>
      <c r="GN14" s="4"/>
      <c r="GO14" s="4"/>
      <c r="GP14" s="4"/>
      <c r="GQ14" s="4"/>
      <c r="GR14" s="4"/>
      <c r="GS14" s="4"/>
      <c r="GT14" s="4"/>
      <c r="GU14" s="4"/>
      <c r="GV14" s="4"/>
      <c r="GW14" s="4"/>
      <c r="GX14" s="4"/>
      <c r="GY14" s="4"/>
      <c r="GZ14" s="4"/>
      <c r="HA14" s="4"/>
      <c r="HB14" s="4"/>
      <c r="HC14" s="4"/>
      <c r="HD14" s="4"/>
      <c r="HE14" s="4"/>
      <c r="HF14" s="4"/>
      <c r="HG14" s="4"/>
      <c r="HH14" s="4"/>
      <c r="HI14" s="4"/>
      <c r="HJ14" s="4"/>
      <c r="HK14" s="4"/>
      <c r="HL14" s="4"/>
      <c r="HM14" s="4"/>
      <c r="HN14" s="4"/>
      <c r="HO14" s="4"/>
      <c r="HP14" s="4"/>
      <c r="HQ14" s="4"/>
      <c r="HR14" s="4"/>
      <c r="HS14" s="4"/>
      <c r="HT14" s="4"/>
      <c r="HU14" s="4"/>
      <c r="HV14" s="4"/>
      <c r="HW14" s="4"/>
      <c r="HX14" s="4"/>
      <c r="HY14" s="4"/>
      <c r="HZ14" s="4"/>
      <c r="IA14" s="4"/>
      <c r="IB14"/>
      <c r="IC14"/>
      <c r="ID14"/>
      <c r="IE14"/>
      <c r="IF14"/>
      <c r="IG14"/>
      <c r="IH14"/>
      <c r="II14"/>
      <c r="IJ14"/>
      <c r="IK14"/>
      <c r="IL14"/>
      <c r="IM14"/>
      <c r="IN14"/>
      <c r="IO14"/>
      <c r="IP14"/>
      <c r="IQ14"/>
    </row>
    <row r="15" spans="1:251" s="44" customFormat="1">
      <c r="A15" s="126"/>
      <c r="B15" s="126" t="s">
        <v>584</v>
      </c>
      <c r="C15" s="294"/>
      <c r="D15" s="294"/>
      <c r="E15" s="156">
        <v>28</v>
      </c>
      <c r="F15" s="156">
        <v>-320</v>
      </c>
      <c r="G15" s="222">
        <v>-161</v>
      </c>
      <c r="H15" s="222">
        <v>295</v>
      </c>
      <c r="I15" s="222">
        <v>-193</v>
      </c>
      <c r="J15" s="222">
        <v>253</v>
      </c>
      <c r="K15" s="222">
        <v>-271</v>
      </c>
      <c r="L15" s="222">
        <v>62</v>
      </c>
      <c r="M15" s="222">
        <v>-705</v>
      </c>
      <c r="N15" s="156">
        <f>+M15--867-8</f>
        <v>154</v>
      </c>
      <c r="O15" s="222">
        <v>-84</v>
      </c>
      <c r="P15" s="222">
        <v>-7</v>
      </c>
      <c r="Q15" s="222">
        <v>15</v>
      </c>
      <c r="R15" s="222">
        <v>-19</v>
      </c>
      <c r="S15" s="222">
        <v>202</v>
      </c>
      <c r="T15" s="222">
        <v>78</v>
      </c>
      <c r="U15" s="222">
        <v>-8</v>
      </c>
      <c r="V15" s="222">
        <v>3</v>
      </c>
      <c r="W15" s="156">
        <v>-27</v>
      </c>
      <c r="X15" s="156">
        <f>BS!X10-BS!Y10</f>
        <v>-63.990971428571441</v>
      </c>
      <c r="Y15" s="156">
        <f>BS!Y10-BS!Z10</f>
        <v>-1.0635986791881749</v>
      </c>
      <c r="Z15" s="156">
        <f>BS!Z10-BS!AA10</f>
        <v>-3.0777507587019386</v>
      </c>
      <c r="AA15" s="156">
        <f>BS!AA10-BS!AB10</f>
        <v>-3.8011996119570313</v>
      </c>
      <c r="AB15" s="156">
        <f>BS!AB10-BS!AC10</f>
        <v>-4.1735049949436984</v>
      </c>
      <c r="AC15" s="156">
        <f>BS!AC10-BS!AD10</f>
        <v>-4.3395525866569358</v>
      </c>
      <c r="AD15" s="156">
        <f>BS!AD10-BS!AE10</f>
        <v>-4.514596767793563</v>
      </c>
      <c r="AE15" s="156">
        <f>BS!AE10-BS!AF10</f>
        <v>-4.6991577791337988</v>
      </c>
      <c r="AF15" s="156">
        <f>BS!AF10-BS!AG10</f>
        <v>-4.8937863975924643</v>
      </c>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c r="CG15" s="4"/>
      <c r="CH15" s="4"/>
      <c r="CI15" s="4"/>
      <c r="CJ15" s="4"/>
      <c r="CK15" s="4"/>
      <c r="CL15" s="4"/>
      <c r="CM15" s="4"/>
      <c r="CN15" s="4"/>
      <c r="CO15" s="4"/>
      <c r="CP15" s="4"/>
      <c r="CQ15" s="4"/>
      <c r="CR15" s="4"/>
      <c r="CS15" s="4"/>
      <c r="CT15" s="4"/>
      <c r="CU15" s="4"/>
      <c r="CV15" s="4"/>
      <c r="CW15" s="4"/>
      <c r="CX15" s="4"/>
      <c r="CY15" s="4"/>
      <c r="CZ15" s="4"/>
      <c r="DA15" s="4"/>
      <c r="DB15" s="4"/>
      <c r="DC15" s="4"/>
      <c r="DD15" s="4"/>
      <c r="DE15" s="4"/>
      <c r="DF15" s="4"/>
      <c r="DG15" s="4"/>
      <c r="DH15" s="4"/>
      <c r="DI15" s="4"/>
      <c r="DJ15" s="4"/>
      <c r="DK15" s="4"/>
      <c r="DL15" s="4"/>
      <c r="DM15" s="4"/>
      <c r="DN15" s="4"/>
      <c r="DO15" s="4"/>
      <c r="DP15" s="4"/>
      <c r="DQ15" s="4"/>
      <c r="DR15" s="4"/>
      <c r="DS15" s="4"/>
      <c r="DT15" s="4"/>
      <c r="DU15" s="4"/>
      <c r="DV15" s="4"/>
      <c r="DW15" s="4"/>
      <c r="DX15" s="4"/>
      <c r="DY15" s="4"/>
      <c r="DZ15" s="4"/>
      <c r="EA15" s="4"/>
      <c r="EB15" s="4"/>
      <c r="EC15" s="4"/>
      <c r="ED15" s="4"/>
      <c r="EE15" s="4"/>
      <c r="EF15" s="4"/>
      <c r="EG15" s="4"/>
      <c r="EH15" s="4"/>
      <c r="EI15" s="4"/>
      <c r="EJ15" s="4"/>
      <c r="EK15" s="4"/>
      <c r="EL15" s="4"/>
      <c r="EM15" s="4"/>
      <c r="EN15" s="4"/>
      <c r="EO15" s="4"/>
      <c r="EP15" s="4"/>
      <c r="EQ15" s="4"/>
      <c r="ER15" s="4"/>
      <c r="ES15" s="4"/>
      <c r="ET15" s="4"/>
      <c r="EU15" s="4"/>
      <c r="EV15" s="4"/>
      <c r="EW15" s="4"/>
      <c r="EX15" s="4"/>
      <c r="EY15" s="4"/>
      <c r="EZ15" s="4"/>
      <c r="FA15" s="4"/>
      <c r="FB15" s="4"/>
      <c r="FC15" s="4"/>
      <c r="FD15" s="4"/>
      <c r="FE15" s="4"/>
      <c r="FF15" s="4"/>
      <c r="FG15" s="4"/>
      <c r="FH15" s="4"/>
      <c r="FI15" s="4"/>
      <c r="FJ15" s="4"/>
      <c r="FK15" s="4"/>
      <c r="FL15" s="4"/>
      <c r="FM15" s="4"/>
      <c r="FN15" s="4"/>
      <c r="FO15" s="4"/>
      <c r="FP15" s="4"/>
      <c r="FQ15" s="4"/>
      <c r="FR15" s="4"/>
      <c r="FS15" s="4"/>
      <c r="FT15" s="4"/>
      <c r="FU15" s="4"/>
      <c r="FV15" s="4"/>
      <c r="FW15" s="4"/>
      <c r="FX15" s="4"/>
      <c r="FY15" s="4"/>
      <c r="FZ15" s="4"/>
      <c r="GA15" s="4"/>
      <c r="GB15" s="4"/>
      <c r="GC15" s="4"/>
      <c r="GD15" s="4"/>
      <c r="GE15" s="4"/>
      <c r="GF15" s="4"/>
      <c r="GG15" s="4"/>
      <c r="GH15" s="4"/>
      <c r="GI15" s="4"/>
      <c r="GJ15" s="4"/>
      <c r="GK15" s="4"/>
      <c r="GL15" s="4"/>
      <c r="GM15" s="4"/>
      <c r="GN15" s="4"/>
      <c r="GO15" s="4"/>
      <c r="GP15" s="4"/>
      <c r="GQ15" s="4"/>
      <c r="GR15" s="4"/>
      <c r="GS15" s="4"/>
      <c r="GT15" s="4"/>
      <c r="GU15" s="4"/>
      <c r="GV15" s="4"/>
      <c r="GW15" s="4"/>
      <c r="GX15" s="4"/>
      <c r="GY15" s="4"/>
      <c r="GZ15" s="4"/>
      <c r="HA15" s="4"/>
      <c r="HB15" s="4"/>
      <c r="HC15" s="4"/>
      <c r="HD15" s="4"/>
      <c r="HE15" s="4"/>
      <c r="HF15" s="4"/>
      <c r="HG15" s="4"/>
      <c r="HH15" s="4"/>
      <c r="HI15" s="4"/>
      <c r="HJ15" s="4"/>
      <c r="HK15" s="4"/>
      <c r="HL15" s="4"/>
      <c r="HM15" s="4"/>
      <c r="HN15" s="4"/>
      <c r="HO15" s="4"/>
      <c r="HP15" s="4"/>
      <c r="HQ15" s="4"/>
      <c r="HR15" s="4"/>
      <c r="HS15" s="4"/>
      <c r="HT15" s="4"/>
      <c r="HU15" s="4"/>
      <c r="HV15" s="4"/>
      <c r="HW15" s="4"/>
      <c r="HX15" s="4"/>
      <c r="HY15" s="4"/>
      <c r="HZ15" s="4"/>
      <c r="IA15" s="4"/>
      <c r="IB15"/>
      <c r="IC15"/>
      <c r="ID15"/>
      <c r="IE15"/>
      <c r="IF15"/>
      <c r="IG15"/>
      <c r="IH15"/>
      <c r="II15"/>
      <c r="IJ15"/>
      <c r="IK15"/>
      <c r="IL15"/>
      <c r="IM15"/>
      <c r="IN15"/>
      <c r="IO15"/>
      <c r="IP15"/>
      <c r="IQ15"/>
    </row>
    <row r="16" spans="1:251" s="44" customFormat="1" hidden="1" outlineLevel="1">
      <c r="A16" s="127"/>
      <c r="B16" s="127" t="s">
        <v>585</v>
      </c>
      <c r="C16" s="294"/>
      <c r="D16" s="294"/>
      <c r="E16" s="156"/>
      <c r="F16" s="156"/>
      <c r="G16" s="222"/>
      <c r="H16" s="222" t="e">
        <f>BS!#REF!-BS!#REF!</f>
        <v>#REF!</v>
      </c>
      <c r="I16" s="222"/>
      <c r="J16" s="222"/>
      <c r="K16" s="222"/>
      <c r="L16" s="222"/>
      <c r="M16" s="222"/>
      <c r="N16" s="222"/>
      <c r="O16" s="222"/>
      <c r="P16" s="222"/>
      <c r="Q16" s="222"/>
      <c r="R16" s="222"/>
      <c r="S16" s="222"/>
      <c r="T16" s="222"/>
      <c r="U16" s="222"/>
      <c r="V16" s="222"/>
      <c r="W16" s="222"/>
      <c r="X16" s="222"/>
      <c r="Y16" s="222"/>
      <c r="Z16" s="222"/>
      <c r="AA16" s="222"/>
      <c r="AB16" s="222"/>
      <c r="AC16" s="222"/>
      <c r="AD16" s="222"/>
      <c r="AE16" s="222"/>
      <c r="AF16" s="222"/>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c r="DA16" s="4"/>
      <c r="DB16" s="4"/>
      <c r="DC16" s="4"/>
      <c r="DD16" s="4"/>
      <c r="DE16" s="4"/>
      <c r="DF16" s="4"/>
      <c r="DG16" s="4"/>
      <c r="DH16" s="4"/>
      <c r="DI16" s="4"/>
      <c r="DJ16" s="4"/>
      <c r="DK16" s="4"/>
      <c r="DL16" s="4"/>
      <c r="DM16" s="4"/>
      <c r="DN16" s="4"/>
      <c r="DO16" s="4"/>
      <c r="DP16" s="4"/>
      <c r="DQ16" s="4"/>
      <c r="DR16" s="4"/>
      <c r="DS16" s="4"/>
      <c r="DT16" s="4"/>
      <c r="DU16" s="4"/>
      <c r="DV16" s="4"/>
      <c r="DW16" s="4"/>
      <c r="DX16" s="4"/>
      <c r="DY16" s="4"/>
      <c r="DZ16" s="4"/>
      <c r="EA16" s="4"/>
      <c r="EB16" s="4"/>
      <c r="EC16" s="4"/>
      <c r="ED16" s="4"/>
      <c r="EE16" s="4"/>
      <c r="EF16" s="4"/>
      <c r="EG16" s="4"/>
      <c r="EH16" s="4"/>
      <c r="EI16" s="4"/>
      <c r="EJ16" s="4"/>
      <c r="EK16" s="4"/>
      <c r="EL16" s="4"/>
      <c r="EM16" s="4"/>
      <c r="EN16" s="4"/>
      <c r="EO16" s="4"/>
      <c r="EP16" s="4"/>
      <c r="EQ16" s="4"/>
      <c r="ER16" s="4"/>
      <c r="ES16" s="4"/>
      <c r="ET16" s="4"/>
      <c r="EU16" s="4"/>
      <c r="EV16" s="4"/>
      <c r="EW16" s="4"/>
      <c r="EX16" s="4"/>
      <c r="EY16" s="4"/>
      <c r="EZ16" s="4"/>
      <c r="FA16" s="4"/>
      <c r="FB16" s="4"/>
      <c r="FC16" s="4"/>
      <c r="FD16" s="4"/>
      <c r="FE16" s="4"/>
      <c r="FF16" s="4"/>
      <c r="FG16" s="4"/>
      <c r="FH16" s="4"/>
      <c r="FI16" s="4"/>
      <c r="FJ16" s="4"/>
      <c r="FK16" s="4"/>
      <c r="FL16" s="4"/>
      <c r="FM16" s="4"/>
      <c r="FN16" s="4"/>
      <c r="FO16" s="4"/>
      <c r="FP16" s="4"/>
      <c r="FQ16" s="4"/>
      <c r="FR16" s="4"/>
      <c r="FS16" s="4"/>
      <c r="FT16" s="4"/>
      <c r="FU16" s="4"/>
      <c r="FV16" s="4"/>
      <c r="FW16" s="4"/>
      <c r="FX16" s="4"/>
      <c r="FY16" s="4"/>
      <c r="FZ16" s="4"/>
      <c r="GA16" s="4"/>
      <c r="GB16" s="4"/>
      <c r="GC16" s="4"/>
      <c r="GD16" s="4"/>
      <c r="GE16" s="4"/>
      <c r="GF16" s="4"/>
      <c r="GG16" s="4"/>
      <c r="GH16" s="4"/>
      <c r="GI16" s="4"/>
      <c r="GJ16" s="4"/>
      <c r="GK16" s="4"/>
      <c r="GL16" s="4"/>
      <c r="GM16" s="4"/>
      <c r="GN16" s="4"/>
      <c r="GO16" s="4"/>
      <c r="GP16" s="4"/>
      <c r="GQ16" s="4"/>
      <c r="GR16" s="4"/>
      <c r="GS16" s="4"/>
      <c r="GT16" s="4"/>
      <c r="GU16" s="4"/>
      <c r="GV16" s="4"/>
      <c r="GW16" s="4"/>
      <c r="GX16" s="4"/>
      <c r="GY16" s="4"/>
      <c r="GZ16" s="4"/>
      <c r="HA16" s="4"/>
      <c r="HB16" s="4"/>
      <c r="HC16" s="4"/>
      <c r="HD16" s="4"/>
      <c r="HE16" s="4"/>
      <c r="HF16" s="4"/>
      <c r="HG16" s="4"/>
      <c r="HH16" s="4"/>
      <c r="HI16" s="4"/>
      <c r="HJ16" s="4"/>
      <c r="HK16" s="4"/>
      <c r="HL16" s="4"/>
      <c r="HM16" s="4"/>
      <c r="HN16" s="4"/>
      <c r="HO16" s="4"/>
      <c r="HP16" s="4"/>
      <c r="HQ16" s="4"/>
      <c r="HR16" s="4"/>
      <c r="HS16" s="4"/>
      <c r="HT16" s="4"/>
      <c r="HU16" s="4"/>
      <c r="HV16" s="4"/>
      <c r="HW16" s="4"/>
      <c r="HX16" s="4"/>
      <c r="HY16" s="4"/>
      <c r="HZ16" s="4"/>
      <c r="IA16" s="4"/>
      <c r="IB16"/>
      <c r="IC16"/>
      <c r="ID16"/>
      <c r="IE16"/>
      <c r="IF16"/>
      <c r="IG16"/>
      <c r="IH16"/>
      <c r="II16"/>
      <c r="IJ16"/>
      <c r="IK16"/>
      <c r="IL16"/>
      <c r="IM16"/>
      <c r="IN16"/>
      <c r="IO16"/>
      <c r="IP16"/>
      <c r="IQ16"/>
    </row>
    <row r="17" spans="1:251" s="44" customFormat="1" hidden="1" outlineLevel="1">
      <c r="A17" s="79"/>
      <c r="B17" s="79" t="s">
        <v>289</v>
      </c>
      <c r="C17" s="294"/>
      <c r="D17" s="294"/>
      <c r="E17" s="156" t="s">
        <v>269</v>
      </c>
      <c r="F17" s="156" t="s">
        <v>269</v>
      </c>
      <c r="G17" s="222"/>
      <c r="H17" s="222">
        <f>BS!H12-BS!I12</f>
        <v>14</v>
      </c>
      <c r="I17" s="222"/>
      <c r="J17" s="222"/>
      <c r="K17" s="156"/>
      <c r="L17" s="156"/>
      <c r="M17" s="222"/>
      <c r="N17" s="156"/>
      <c r="O17" s="156"/>
      <c r="P17" s="156"/>
      <c r="Q17" s="156"/>
      <c r="R17" s="156"/>
      <c r="S17" s="156"/>
      <c r="T17" s="156"/>
      <c r="U17" s="156"/>
      <c r="V17" s="156"/>
      <c r="W17" s="156"/>
      <c r="X17" s="156"/>
      <c r="Y17" s="156"/>
      <c r="Z17" s="156"/>
      <c r="AA17" s="156"/>
      <c r="AB17" s="156"/>
      <c r="AC17" s="156"/>
      <c r="AD17" s="156"/>
      <c r="AE17" s="156"/>
      <c r="AF17" s="156"/>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4"/>
      <c r="CY17" s="4"/>
      <c r="CZ17" s="4"/>
      <c r="DA17" s="4"/>
      <c r="DB17" s="4"/>
      <c r="DC17" s="4"/>
      <c r="DD17" s="4"/>
      <c r="DE17" s="4"/>
      <c r="DF17" s="4"/>
      <c r="DG17" s="4"/>
      <c r="DH17" s="4"/>
      <c r="DI17" s="4"/>
      <c r="DJ17" s="4"/>
      <c r="DK17" s="4"/>
      <c r="DL17" s="4"/>
      <c r="DM17" s="4"/>
      <c r="DN17" s="4"/>
      <c r="DO17" s="4"/>
      <c r="DP17" s="4"/>
      <c r="DQ17" s="4"/>
      <c r="DR17" s="4"/>
      <c r="DS17" s="4"/>
      <c r="DT17" s="4"/>
      <c r="DU17" s="4"/>
      <c r="DV17" s="4"/>
      <c r="DW17" s="4"/>
      <c r="DX17" s="4"/>
      <c r="DY17" s="4"/>
      <c r="DZ17" s="4"/>
      <c r="EA17" s="4"/>
      <c r="EB17" s="4"/>
      <c r="EC17" s="4"/>
      <c r="ED17" s="4"/>
      <c r="EE17" s="4"/>
      <c r="EF17" s="4"/>
      <c r="EG17" s="4"/>
      <c r="EH17" s="4"/>
      <c r="EI17" s="4"/>
      <c r="EJ17" s="4"/>
      <c r="EK17" s="4"/>
      <c r="EL17" s="4"/>
      <c r="EM17" s="4"/>
      <c r="EN17" s="4"/>
      <c r="EO17" s="4"/>
      <c r="EP17" s="4"/>
      <c r="EQ17" s="4"/>
      <c r="ER17" s="4"/>
      <c r="ES17" s="4"/>
      <c r="ET17" s="4"/>
      <c r="EU17" s="4"/>
      <c r="EV17" s="4"/>
      <c r="EW17" s="4"/>
      <c r="EX17" s="4"/>
      <c r="EY17" s="4"/>
      <c r="EZ17" s="4"/>
      <c r="FA17" s="4"/>
      <c r="FB17" s="4"/>
      <c r="FC17" s="4"/>
      <c r="FD17" s="4"/>
      <c r="FE17" s="4"/>
      <c r="FF17" s="4"/>
      <c r="FG17" s="4"/>
      <c r="FH17" s="4"/>
      <c r="FI17" s="4"/>
      <c r="FJ17" s="4"/>
      <c r="FK17" s="4"/>
      <c r="FL17" s="4"/>
      <c r="FM17" s="4"/>
      <c r="FN17" s="4"/>
      <c r="FO17" s="4"/>
      <c r="FP17" s="4"/>
      <c r="FQ17" s="4"/>
      <c r="FR17" s="4"/>
      <c r="FS17" s="4"/>
      <c r="FT17" s="4"/>
      <c r="FU17" s="4"/>
      <c r="FV17" s="4"/>
      <c r="FW17" s="4"/>
      <c r="FX17" s="4"/>
      <c r="FY17" s="4"/>
      <c r="FZ17" s="4"/>
      <c r="GA17" s="4"/>
      <c r="GB17" s="4"/>
      <c r="GC17" s="4"/>
      <c r="GD17" s="4"/>
      <c r="GE17" s="4"/>
      <c r="GF17" s="4"/>
      <c r="GG17" s="4"/>
      <c r="GH17" s="4"/>
      <c r="GI17" s="4"/>
      <c r="GJ17" s="4"/>
      <c r="GK17" s="4"/>
      <c r="GL17" s="4"/>
      <c r="GM17" s="4"/>
      <c r="GN17" s="4"/>
      <c r="GO17" s="4"/>
      <c r="GP17" s="4"/>
      <c r="GQ17" s="4"/>
      <c r="GR17" s="4"/>
      <c r="GS17" s="4"/>
      <c r="GT17" s="4"/>
      <c r="GU17" s="4"/>
      <c r="GV17" s="4"/>
      <c r="GW17" s="4"/>
      <c r="GX17" s="4"/>
      <c r="GY17" s="4"/>
      <c r="GZ17" s="4"/>
      <c r="HA17" s="4"/>
      <c r="HB17" s="4"/>
      <c r="HC17" s="4"/>
      <c r="HD17" s="4"/>
      <c r="HE17" s="4"/>
      <c r="HF17" s="4"/>
      <c r="HG17" s="4"/>
      <c r="HH17" s="4"/>
      <c r="HI17" s="4"/>
      <c r="HJ17" s="4"/>
      <c r="HK17" s="4"/>
      <c r="HL17" s="4"/>
      <c r="HM17" s="4"/>
      <c r="HN17" s="4"/>
      <c r="HO17" s="4"/>
      <c r="HP17" s="4"/>
      <c r="HQ17" s="4"/>
      <c r="HR17" s="4"/>
      <c r="HS17" s="4"/>
      <c r="HT17" s="4"/>
      <c r="HU17" s="4"/>
      <c r="HV17" s="4"/>
      <c r="HW17" s="4"/>
      <c r="HX17" s="4"/>
      <c r="HY17" s="4"/>
      <c r="HZ17" s="4"/>
      <c r="IA17" s="4"/>
      <c r="IB17"/>
      <c r="IC17"/>
      <c r="ID17"/>
      <c r="IE17"/>
      <c r="IF17"/>
      <c r="IG17"/>
      <c r="IH17"/>
      <c r="II17"/>
      <c r="IJ17"/>
      <c r="IK17"/>
      <c r="IL17"/>
      <c r="IM17"/>
      <c r="IN17"/>
      <c r="IO17"/>
      <c r="IP17"/>
      <c r="IQ17"/>
    </row>
    <row r="18" spans="1:251" s="44" customFormat="1" hidden="1" outlineLevel="1">
      <c r="A18" s="42"/>
      <c r="B18" s="42" t="s">
        <v>554</v>
      </c>
      <c r="C18" s="294"/>
      <c r="D18" s="294"/>
      <c r="E18" s="156" t="s">
        <v>269</v>
      </c>
      <c r="F18" s="156" t="s">
        <v>269</v>
      </c>
      <c r="G18" s="222"/>
      <c r="H18" s="222">
        <f>BS!H13-BS!I13</f>
        <v>-74</v>
      </c>
      <c r="I18" s="222"/>
      <c r="J18" s="222"/>
      <c r="K18" s="156"/>
      <c r="L18" s="156"/>
      <c r="M18" s="222"/>
      <c r="N18" s="156"/>
      <c r="O18" s="156"/>
      <c r="P18" s="156"/>
      <c r="Q18" s="156"/>
      <c r="R18" s="156"/>
      <c r="S18" s="156"/>
      <c r="T18" s="156"/>
      <c r="U18" s="156"/>
      <c r="V18" s="156"/>
      <c r="W18" s="156"/>
      <c r="X18" s="156"/>
      <c r="Y18" s="156"/>
      <c r="Z18" s="156"/>
      <c r="AA18" s="156"/>
      <c r="AB18" s="156"/>
      <c r="AC18" s="156"/>
      <c r="AD18" s="156"/>
      <c r="AE18" s="156"/>
      <c r="AF18" s="156"/>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c r="DA18" s="4"/>
      <c r="DB18" s="4"/>
      <c r="DC18" s="4"/>
      <c r="DD18" s="4"/>
      <c r="DE18" s="4"/>
      <c r="DF18" s="4"/>
      <c r="DG18" s="4"/>
      <c r="DH18" s="4"/>
      <c r="DI18" s="4"/>
      <c r="DJ18" s="4"/>
      <c r="DK18" s="4"/>
      <c r="DL18" s="4"/>
      <c r="DM18" s="4"/>
      <c r="DN18" s="4"/>
      <c r="DO18" s="4"/>
      <c r="DP18" s="4"/>
      <c r="DQ18" s="4"/>
      <c r="DR18" s="4"/>
      <c r="DS18" s="4"/>
      <c r="DT18" s="4"/>
      <c r="DU18" s="4"/>
      <c r="DV18" s="4"/>
      <c r="DW18" s="4"/>
      <c r="DX18" s="4"/>
      <c r="DY18" s="4"/>
      <c r="DZ18" s="4"/>
      <c r="EA18" s="4"/>
      <c r="EB18" s="4"/>
      <c r="EC18" s="4"/>
      <c r="ED18" s="4"/>
      <c r="EE18" s="4"/>
      <c r="EF18" s="4"/>
      <c r="EG18" s="4"/>
      <c r="EH18" s="4"/>
      <c r="EI18" s="4"/>
      <c r="EJ18" s="4"/>
      <c r="EK18" s="4"/>
      <c r="EL18" s="4"/>
      <c r="EM18" s="4"/>
      <c r="EN18" s="4"/>
      <c r="EO18" s="4"/>
      <c r="EP18" s="4"/>
      <c r="EQ18" s="4"/>
      <c r="ER18" s="4"/>
      <c r="ES18" s="4"/>
      <c r="ET18" s="4"/>
      <c r="EU18" s="4"/>
      <c r="EV18" s="4"/>
      <c r="EW18" s="4"/>
      <c r="EX18" s="4"/>
      <c r="EY18" s="4"/>
      <c r="EZ18" s="4"/>
      <c r="FA18" s="4"/>
      <c r="FB18" s="4"/>
      <c r="FC18" s="4"/>
      <c r="FD18" s="4"/>
      <c r="FE18" s="4"/>
      <c r="FF18" s="4"/>
      <c r="FG18" s="4"/>
      <c r="FH18" s="4"/>
      <c r="FI18" s="4"/>
      <c r="FJ18" s="4"/>
      <c r="FK18" s="4"/>
      <c r="FL18" s="4"/>
      <c r="FM18" s="4"/>
      <c r="FN18" s="4"/>
      <c r="FO18" s="4"/>
      <c r="FP18" s="4"/>
      <c r="FQ18" s="4"/>
      <c r="FR18" s="4"/>
      <c r="FS18" s="4"/>
      <c r="FT18" s="4"/>
      <c r="FU18" s="4"/>
      <c r="FV18" s="4"/>
      <c r="FW18" s="4"/>
      <c r="FX18" s="4"/>
      <c r="FY18" s="4"/>
      <c r="FZ18" s="4"/>
      <c r="GA18" s="4"/>
      <c r="GB18" s="4"/>
      <c r="GC18" s="4"/>
      <c r="GD18" s="4"/>
      <c r="GE18" s="4"/>
      <c r="GF18" s="4"/>
      <c r="GG18" s="4"/>
      <c r="GH18" s="4"/>
      <c r="GI18" s="4"/>
      <c r="GJ18" s="4"/>
      <c r="GK18" s="4"/>
      <c r="GL18" s="4"/>
      <c r="GM18" s="4"/>
      <c r="GN18" s="4"/>
      <c r="GO18" s="4"/>
      <c r="GP18" s="4"/>
      <c r="GQ18" s="4"/>
      <c r="GR18" s="4"/>
      <c r="GS18" s="4"/>
      <c r="GT18" s="4"/>
      <c r="GU18" s="4"/>
      <c r="GV18" s="4"/>
      <c r="GW18" s="4"/>
      <c r="GX18" s="4"/>
      <c r="GY18" s="4"/>
      <c r="GZ18" s="4"/>
      <c r="HA18" s="4"/>
      <c r="HB18" s="4"/>
      <c r="HC18" s="4"/>
      <c r="HD18" s="4"/>
      <c r="HE18" s="4"/>
      <c r="HF18" s="4"/>
      <c r="HG18" s="4"/>
      <c r="HH18" s="4"/>
      <c r="HI18" s="4"/>
      <c r="HJ18" s="4"/>
      <c r="HK18" s="4"/>
      <c r="HL18" s="4"/>
      <c r="HM18" s="4"/>
      <c r="HN18" s="4"/>
      <c r="HO18" s="4"/>
      <c r="HP18" s="4"/>
      <c r="HQ18" s="4"/>
      <c r="HR18" s="4"/>
      <c r="HS18" s="4"/>
      <c r="HT18" s="4"/>
      <c r="HU18" s="4"/>
      <c r="HV18" s="4"/>
      <c r="HW18" s="4"/>
      <c r="HX18" s="4"/>
      <c r="HY18" s="4"/>
      <c r="HZ18" s="4"/>
      <c r="IA18" s="4"/>
      <c r="IB18"/>
      <c r="IC18"/>
      <c r="ID18"/>
      <c r="IE18"/>
      <c r="IF18"/>
      <c r="IG18"/>
      <c r="IH18"/>
      <c r="II18"/>
      <c r="IJ18"/>
      <c r="IK18"/>
      <c r="IL18"/>
      <c r="IM18"/>
      <c r="IN18"/>
      <c r="IO18"/>
      <c r="IP18"/>
      <c r="IQ18"/>
    </row>
    <row r="19" spans="1:251" s="44" customFormat="1" hidden="1" outlineLevel="1" collapsed="1">
      <c r="A19" s="42"/>
      <c r="B19" s="42" t="s">
        <v>87</v>
      </c>
      <c r="C19" s="294"/>
      <c r="D19" s="294"/>
      <c r="E19" s="156" t="s">
        <v>269</v>
      </c>
      <c r="F19" s="156" t="s">
        <v>269</v>
      </c>
      <c r="G19" s="222"/>
      <c r="H19" s="222">
        <f>BS!H14-BS!I14</f>
        <v>-353</v>
      </c>
      <c r="I19" s="222"/>
      <c r="J19" s="222"/>
      <c r="K19" s="156"/>
      <c r="L19" s="156"/>
      <c r="M19" s="222"/>
      <c r="N19" s="156"/>
      <c r="O19" s="156"/>
      <c r="P19" s="156"/>
      <c r="Q19" s="156"/>
      <c r="R19" s="156"/>
      <c r="S19" s="156"/>
      <c r="T19" s="156"/>
      <c r="U19" s="156"/>
      <c r="V19" s="156"/>
      <c r="W19" s="156"/>
      <c r="X19" s="156"/>
      <c r="Y19" s="156"/>
      <c r="Z19" s="156"/>
      <c r="AA19" s="156"/>
      <c r="AB19" s="156"/>
      <c r="AC19" s="156"/>
      <c r="AD19" s="156"/>
      <c r="AE19" s="156"/>
      <c r="AF19" s="156"/>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c r="CG19" s="4"/>
      <c r="CH19" s="4"/>
      <c r="CI19" s="4"/>
      <c r="CJ19" s="4"/>
      <c r="CK19" s="4"/>
      <c r="CL19" s="4"/>
      <c r="CM19" s="4"/>
      <c r="CN19" s="4"/>
      <c r="CO19" s="4"/>
      <c r="CP19" s="4"/>
      <c r="CQ19" s="4"/>
      <c r="CR19" s="4"/>
      <c r="CS19" s="4"/>
      <c r="CT19" s="4"/>
      <c r="CU19" s="4"/>
      <c r="CV19" s="4"/>
      <c r="CW19" s="4"/>
      <c r="CX19" s="4"/>
      <c r="CY19" s="4"/>
      <c r="CZ19" s="4"/>
      <c r="DA19" s="4"/>
      <c r="DB19" s="4"/>
      <c r="DC19" s="4"/>
      <c r="DD19" s="4"/>
      <c r="DE19" s="4"/>
      <c r="DF19" s="4"/>
      <c r="DG19" s="4"/>
      <c r="DH19" s="4"/>
      <c r="DI19" s="4"/>
      <c r="DJ19" s="4"/>
      <c r="DK19" s="4"/>
      <c r="DL19" s="4"/>
      <c r="DM19" s="4"/>
      <c r="DN19" s="4"/>
      <c r="DO19" s="4"/>
      <c r="DP19" s="4"/>
      <c r="DQ19" s="4"/>
      <c r="DR19" s="4"/>
      <c r="DS19" s="4"/>
      <c r="DT19" s="4"/>
      <c r="DU19" s="4"/>
      <c r="DV19" s="4"/>
      <c r="DW19" s="4"/>
      <c r="DX19" s="4"/>
      <c r="DY19" s="4"/>
      <c r="DZ19" s="4"/>
      <c r="EA19" s="4"/>
      <c r="EB19" s="4"/>
      <c r="EC19" s="4"/>
      <c r="ED19" s="4"/>
      <c r="EE19" s="4"/>
      <c r="EF19" s="4"/>
      <c r="EG19" s="4"/>
      <c r="EH19" s="4"/>
      <c r="EI19" s="4"/>
      <c r="EJ19" s="4"/>
      <c r="EK19" s="4"/>
      <c r="EL19" s="4"/>
      <c r="EM19" s="4"/>
      <c r="EN19" s="4"/>
      <c r="EO19" s="4"/>
      <c r="EP19" s="4"/>
      <c r="EQ19" s="4"/>
      <c r="ER19" s="4"/>
      <c r="ES19" s="4"/>
      <c r="ET19" s="4"/>
      <c r="EU19" s="4"/>
      <c r="EV19" s="4"/>
      <c r="EW19" s="4"/>
      <c r="EX19" s="4"/>
      <c r="EY19" s="4"/>
      <c r="EZ19" s="4"/>
      <c r="FA19" s="4"/>
      <c r="FB19" s="4"/>
      <c r="FC19" s="4"/>
      <c r="FD19" s="4"/>
      <c r="FE19" s="4"/>
      <c r="FF19" s="4"/>
      <c r="FG19" s="4"/>
      <c r="FH19" s="4"/>
      <c r="FI19" s="4"/>
      <c r="FJ19" s="4"/>
      <c r="FK19" s="4"/>
      <c r="FL19" s="4"/>
      <c r="FM19" s="4"/>
      <c r="FN19" s="4"/>
      <c r="FO19" s="4"/>
      <c r="FP19" s="4"/>
      <c r="FQ19" s="4"/>
      <c r="FR19" s="4"/>
      <c r="FS19" s="4"/>
      <c r="FT19" s="4"/>
      <c r="FU19" s="4"/>
      <c r="FV19" s="4"/>
      <c r="FW19" s="4"/>
      <c r="FX19" s="4"/>
      <c r="FY19" s="4"/>
      <c r="FZ19" s="4"/>
      <c r="GA19" s="4"/>
      <c r="GB19" s="4"/>
      <c r="GC19" s="4"/>
      <c r="GD19" s="4"/>
      <c r="GE19" s="4"/>
      <c r="GF19" s="4"/>
      <c r="GG19" s="4"/>
      <c r="GH19" s="4"/>
      <c r="GI19" s="4"/>
      <c r="GJ19" s="4"/>
      <c r="GK19" s="4"/>
      <c r="GL19" s="4"/>
      <c r="GM19" s="4"/>
      <c r="GN19" s="4"/>
      <c r="GO19" s="4"/>
      <c r="GP19" s="4"/>
      <c r="GQ19" s="4"/>
      <c r="GR19" s="4"/>
      <c r="GS19" s="4"/>
      <c r="GT19" s="4"/>
      <c r="GU19" s="4"/>
      <c r="GV19" s="4"/>
      <c r="GW19" s="4"/>
      <c r="GX19" s="4"/>
      <c r="GY19" s="4"/>
      <c r="GZ19" s="4"/>
      <c r="HA19" s="4"/>
      <c r="HB19" s="4"/>
      <c r="HC19" s="4"/>
      <c r="HD19" s="4"/>
      <c r="HE19" s="4"/>
      <c r="HF19" s="4"/>
      <c r="HG19" s="4"/>
      <c r="HH19" s="4"/>
      <c r="HI19" s="4"/>
      <c r="HJ19" s="4"/>
      <c r="HK19" s="4"/>
      <c r="HL19" s="4"/>
      <c r="HM19" s="4"/>
      <c r="HN19" s="4"/>
      <c r="HO19" s="4"/>
      <c r="HP19" s="4"/>
      <c r="HQ19" s="4"/>
      <c r="HR19" s="4"/>
      <c r="HS19" s="4"/>
      <c r="HT19" s="4"/>
      <c r="HU19" s="4"/>
      <c r="HV19" s="4"/>
      <c r="HW19" s="4"/>
      <c r="HX19" s="4"/>
      <c r="HY19" s="4"/>
      <c r="HZ19" s="4"/>
      <c r="IA19" s="4"/>
      <c r="IB19"/>
      <c r="IC19"/>
      <c r="ID19"/>
      <c r="IE19"/>
      <c r="IF19"/>
      <c r="IG19"/>
      <c r="IH19"/>
      <c r="II19"/>
      <c r="IJ19"/>
      <c r="IK19"/>
      <c r="IL19"/>
      <c r="IM19"/>
      <c r="IN19"/>
      <c r="IO19"/>
      <c r="IP19"/>
      <c r="IQ19"/>
    </row>
    <row r="20" spans="1:251" s="44" customFormat="1" collapsed="1">
      <c r="A20" s="42"/>
      <c r="B20" s="42" t="s">
        <v>283</v>
      </c>
      <c r="C20" s="294"/>
      <c r="D20" s="294"/>
      <c r="E20" s="156">
        <v>741</v>
      </c>
      <c r="F20" s="156">
        <v>-293</v>
      </c>
      <c r="G20" s="222">
        <v>38</v>
      </c>
      <c r="H20" s="222">
        <v>251</v>
      </c>
      <c r="I20" s="222">
        <v>-140</v>
      </c>
      <c r="J20" s="222">
        <v>-524</v>
      </c>
      <c r="K20" s="222">
        <v>-1010</v>
      </c>
      <c r="L20" s="222">
        <v>-861</v>
      </c>
      <c r="M20" s="222">
        <v>-889</v>
      </c>
      <c r="N20" s="156">
        <f>+M20--1264</f>
        <v>375</v>
      </c>
      <c r="O20" s="222">
        <v>185</v>
      </c>
      <c r="P20" s="222">
        <v>51</v>
      </c>
      <c r="Q20" s="222">
        <v>7</v>
      </c>
      <c r="R20" s="222">
        <v>24</v>
      </c>
      <c r="S20" s="222">
        <v>33</v>
      </c>
      <c r="T20" s="222">
        <v>-133</v>
      </c>
      <c r="U20" s="222">
        <v>-184</v>
      </c>
      <c r="V20" s="222">
        <v>-33</v>
      </c>
      <c r="W20" s="156">
        <v>-34</v>
      </c>
      <c r="X20" s="156">
        <f>BS!X11-BS!Y11</f>
        <v>375.84380564741855</v>
      </c>
      <c r="Y20" s="156">
        <f>BS!Y11-BS!Z11</f>
        <v>-35.720044722952025</v>
      </c>
      <c r="Z20" s="156">
        <f>BS!Z11-BS!AA11</f>
        <v>57.525773685650165</v>
      </c>
      <c r="AA20" s="156">
        <f>BS!AA11-BS!AB11</f>
        <v>85.838568887679457</v>
      </c>
      <c r="AB20" s="156">
        <f>BS!AB11-BS!AC11</f>
        <v>57.191662548016666</v>
      </c>
      <c r="AC20" s="156">
        <f>BS!AC11-BS!AD11</f>
        <v>52.800036444913303</v>
      </c>
      <c r="AD20" s="156">
        <f>BS!AD11-BS!AE11</f>
        <v>48.701900045502271</v>
      </c>
      <c r="AE20" s="156">
        <f>BS!AE11-BS!AF11</f>
        <v>44.873156428726816</v>
      </c>
      <c r="AF20" s="156">
        <f>BS!AF11-BS!AG11</f>
        <v>41.291688849941011</v>
      </c>
      <c r="AG20" s="4"/>
      <c r="AH20" s="4"/>
      <c r="AI20" s="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c r="CG20" s="4"/>
      <c r="CH20" s="4"/>
      <c r="CI20" s="4"/>
      <c r="CJ20" s="4"/>
      <c r="CK20" s="4"/>
      <c r="CL20" s="4"/>
      <c r="CM20" s="4"/>
      <c r="CN20" s="4"/>
      <c r="CO20" s="4"/>
      <c r="CP20" s="4"/>
      <c r="CQ20" s="4"/>
      <c r="CR20" s="4"/>
      <c r="CS20" s="4"/>
      <c r="CT20" s="4"/>
      <c r="CU20" s="4"/>
      <c r="CV20" s="4"/>
      <c r="CW20" s="4"/>
      <c r="CX20" s="4"/>
      <c r="CY20" s="4"/>
      <c r="CZ20" s="4"/>
      <c r="DA20" s="4"/>
      <c r="DB20" s="4"/>
      <c r="DC20" s="4"/>
      <c r="DD20" s="4"/>
      <c r="DE20" s="4"/>
      <c r="DF20" s="4"/>
      <c r="DG20" s="4"/>
      <c r="DH20" s="4"/>
      <c r="DI20" s="4"/>
      <c r="DJ20" s="4"/>
      <c r="DK20" s="4"/>
      <c r="DL20" s="4"/>
      <c r="DM20" s="4"/>
      <c r="DN20" s="4"/>
      <c r="DO20" s="4"/>
      <c r="DP20" s="4"/>
      <c r="DQ20" s="4"/>
      <c r="DR20" s="4"/>
      <c r="DS20" s="4"/>
      <c r="DT20" s="4"/>
      <c r="DU20" s="4"/>
      <c r="DV20" s="4"/>
      <c r="DW20" s="4"/>
      <c r="DX20" s="4"/>
      <c r="DY20" s="4"/>
      <c r="DZ20" s="4"/>
      <c r="EA20" s="4"/>
      <c r="EB20" s="4"/>
      <c r="EC20" s="4"/>
      <c r="ED20" s="4"/>
      <c r="EE20" s="4"/>
      <c r="EF20" s="4"/>
      <c r="EG20" s="4"/>
      <c r="EH20" s="4"/>
      <c r="EI20" s="4"/>
      <c r="EJ20" s="4"/>
      <c r="EK20" s="4"/>
      <c r="EL20" s="4"/>
      <c r="EM20" s="4"/>
      <c r="EN20" s="4"/>
      <c r="EO20" s="4"/>
      <c r="EP20" s="4"/>
      <c r="EQ20" s="4"/>
      <c r="ER20" s="4"/>
      <c r="ES20" s="4"/>
      <c r="ET20" s="4"/>
      <c r="EU20" s="4"/>
      <c r="EV20" s="4"/>
      <c r="EW20" s="4"/>
      <c r="EX20" s="4"/>
      <c r="EY20" s="4"/>
      <c r="EZ20" s="4"/>
      <c r="FA20" s="4"/>
      <c r="FB20" s="4"/>
      <c r="FC20" s="4"/>
      <c r="FD20" s="4"/>
      <c r="FE20" s="4"/>
      <c r="FF20" s="4"/>
      <c r="FG20" s="4"/>
      <c r="FH20" s="4"/>
      <c r="FI20" s="4"/>
      <c r="FJ20" s="4"/>
      <c r="FK20" s="4"/>
      <c r="FL20" s="4"/>
      <c r="FM20" s="4"/>
      <c r="FN20" s="4"/>
      <c r="FO20" s="4"/>
      <c r="FP20" s="4"/>
      <c r="FQ20" s="4"/>
      <c r="FR20" s="4"/>
      <c r="FS20" s="4"/>
      <c r="FT20" s="4"/>
      <c r="FU20" s="4"/>
      <c r="FV20" s="4"/>
      <c r="FW20" s="4"/>
      <c r="FX20" s="4"/>
      <c r="FY20" s="4"/>
      <c r="FZ20" s="4"/>
      <c r="GA20" s="4"/>
      <c r="GB20" s="4"/>
      <c r="GC20" s="4"/>
      <c r="GD20" s="4"/>
      <c r="GE20" s="4"/>
      <c r="GF20" s="4"/>
      <c r="GG20" s="4"/>
      <c r="GH20" s="4"/>
      <c r="GI20" s="4"/>
      <c r="GJ20" s="4"/>
      <c r="GK20" s="4"/>
      <c r="GL20" s="4"/>
      <c r="GM20" s="4"/>
      <c r="GN20" s="4"/>
      <c r="GO20" s="4"/>
      <c r="GP20" s="4"/>
      <c r="GQ20" s="4"/>
      <c r="GR20" s="4"/>
      <c r="GS20" s="4"/>
      <c r="GT20" s="4"/>
      <c r="GU20" s="4"/>
      <c r="GV20" s="4"/>
      <c r="GW20" s="4"/>
      <c r="GX20" s="4"/>
      <c r="GY20" s="4"/>
      <c r="GZ20" s="4"/>
      <c r="HA20" s="4"/>
      <c r="HB20" s="4"/>
      <c r="HC20" s="4"/>
      <c r="HD20" s="4"/>
      <c r="HE20" s="4"/>
      <c r="HF20" s="4"/>
      <c r="HG20" s="4"/>
      <c r="HH20" s="4"/>
      <c r="HI20" s="4"/>
      <c r="HJ20" s="4"/>
      <c r="HK20" s="4"/>
      <c r="HL20" s="4"/>
      <c r="HM20" s="4"/>
      <c r="HN20" s="4"/>
      <c r="HO20" s="4"/>
      <c r="HP20" s="4"/>
      <c r="HQ20" s="4"/>
      <c r="HR20" s="4"/>
      <c r="HS20" s="4"/>
      <c r="HT20" s="4"/>
      <c r="HU20" s="4"/>
      <c r="HV20" s="4"/>
      <c r="HW20" s="4"/>
      <c r="HX20" s="4"/>
      <c r="HY20" s="4"/>
      <c r="HZ20" s="4"/>
      <c r="IA20" s="4"/>
      <c r="IB20"/>
      <c r="IC20"/>
      <c r="ID20"/>
      <c r="IE20"/>
      <c r="IF20"/>
      <c r="IG20"/>
      <c r="IH20"/>
      <c r="II20"/>
      <c r="IJ20"/>
      <c r="IK20"/>
      <c r="IL20"/>
      <c r="IM20"/>
      <c r="IN20"/>
      <c r="IO20"/>
      <c r="IP20"/>
      <c r="IQ20"/>
    </row>
    <row r="21" spans="1:251" s="44" customFormat="1">
      <c r="A21" s="42"/>
      <c r="B21" s="42" t="s">
        <v>98</v>
      </c>
      <c r="C21" s="294"/>
      <c r="D21" s="294"/>
      <c r="E21" s="156">
        <f>-178+316</f>
        <v>138</v>
      </c>
      <c r="F21" s="156">
        <f>782+480</f>
        <v>1262</v>
      </c>
      <c r="G21" s="222">
        <f>-189-151</f>
        <v>-340</v>
      </c>
      <c r="H21" s="222">
        <v>-119</v>
      </c>
      <c r="I21" s="222">
        <v>-502</v>
      </c>
      <c r="J21" s="222">
        <v>203</v>
      </c>
      <c r="K21" s="222">
        <v>-504</v>
      </c>
      <c r="L21" s="222">
        <v>-399</v>
      </c>
      <c r="M21" s="222">
        <v>-681</v>
      </c>
      <c r="N21" s="156">
        <f>+M21-327</f>
        <v>-1008</v>
      </c>
      <c r="O21" s="222">
        <f>-201-27+5</f>
        <v>-223</v>
      </c>
      <c r="P21" s="222">
        <f>130+218-346</f>
        <v>2</v>
      </c>
      <c r="Q21" s="222">
        <f>-53-221-100</f>
        <v>-374</v>
      </c>
      <c r="R21" s="222">
        <f>-151+21-22</f>
        <v>-152</v>
      </c>
      <c r="S21" s="222">
        <f>-449-14+103</f>
        <v>-360</v>
      </c>
      <c r="T21" s="222">
        <f>+-95-107-225-35</f>
        <v>-462</v>
      </c>
      <c r="U21" s="222">
        <f>1-107+109</f>
        <v>3</v>
      </c>
      <c r="V21" s="222"/>
      <c r="W21" s="156">
        <v>0</v>
      </c>
      <c r="X21" s="156">
        <f>BS!X15-BS!Y15</f>
        <v>0</v>
      </c>
      <c r="Y21" s="156">
        <f>BS!Y15-BS!Z15</f>
        <v>0</v>
      </c>
      <c r="Z21" s="156">
        <f>BS!Z15-BS!AA15</f>
        <v>0</v>
      </c>
      <c r="AA21" s="156">
        <f>BS!AA15-BS!AB15</f>
        <v>0</v>
      </c>
      <c r="AB21" s="156">
        <f>BS!AB15-BS!AC15</f>
        <v>0</v>
      </c>
      <c r="AC21" s="156">
        <f>BS!AC15-BS!AD15</f>
        <v>0</v>
      </c>
      <c r="AD21" s="156">
        <f>BS!AD15-BS!AE15</f>
        <v>0</v>
      </c>
      <c r="AE21" s="156">
        <f>BS!AE15-BS!AF15</f>
        <v>0</v>
      </c>
      <c r="AF21" s="156">
        <f>BS!AF15-BS!AG15</f>
        <v>0</v>
      </c>
      <c r="AG21" s="4"/>
      <c r="AH21" s="4"/>
      <c r="AI21" s="4"/>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c r="DA21" s="4"/>
      <c r="DB21" s="4"/>
      <c r="DC21" s="4"/>
      <c r="DD21" s="4"/>
      <c r="DE21" s="4"/>
      <c r="DF21" s="4"/>
      <c r="DG21" s="4"/>
      <c r="DH21" s="4"/>
      <c r="DI21" s="4"/>
      <c r="DJ21" s="4"/>
      <c r="DK21" s="4"/>
      <c r="DL21" s="4"/>
      <c r="DM21" s="4"/>
      <c r="DN21" s="4"/>
      <c r="DO21" s="4"/>
      <c r="DP21" s="4"/>
      <c r="DQ21" s="4"/>
      <c r="DR21" s="4"/>
      <c r="DS21" s="4"/>
      <c r="DT21" s="4"/>
      <c r="DU21" s="4"/>
      <c r="DV21" s="4"/>
      <c r="DW21" s="4"/>
      <c r="DX21" s="4"/>
      <c r="DY21" s="4"/>
      <c r="DZ21" s="4"/>
      <c r="EA21" s="4"/>
      <c r="EB21" s="4"/>
      <c r="EC21" s="4"/>
      <c r="ED21" s="4"/>
      <c r="EE21" s="4"/>
      <c r="EF21" s="4"/>
      <c r="EG21" s="4"/>
      <c r="EH21" s="4"/>
      <c r="EI21" s="4"/>
      <c r="EJ21" s="4"/>
      <c r="EK21" s="4"/>
      <c r="EL21" s="4"/>
      <c r="EM21" s="4"/>
      <c r="EN21" s="4"/>
      <c r="EO21" s="4"/>
      <c r="EP21" s="4"/>
      <c r="EQ21" s="4"/>
      <c r="ER21" s="4"/>
      <c r="ES21" s="4"/>
      <c r="ET21" s="4"/>
      <c r="EU21" s="4"/>
      <c r="EV21" s="4"/>
      <c r="EW21" s="4"/>
      <c r="EX21" s="4"/>
      <c r="EY21" s="4"/>
      <c r="EZ21" s="4"/>
      <c r="FA21" s="4"/>
      <c r="FB21" s="4"/>
      <c r="FC21" s="4"/>
      <c r="FD21" s="4"/>
      <c r="FE21" s="4"/>
      <c r="FF21" s="4"/>
      <c r="FG21" s="4"/>
      <c r="FH21" s="4"/>
      <c r="FI21" s="4"/>
      <c r="FJ21" s="4"/>
      <c r="FK21" s="4"/>
      <c r="FL21" s="4"/>
      <c r="FM21" s="4"/>
      <c r="FN21" s="4"/>
      <c r="FO21" s="4"/>
      <c r="FP21" s="4"/>
      <c r="FQ21" s="4"/>
      <c r="FR21" s="4"/>
      <c r="FS21" s="4"/>
      <c r="FT21" s="4"/>
      <c r="FU21" s="4"/>
      <c r="FV21" s="4"/>
      <c r="FW21" s="4"/>
      <c r="FX21" s="4"/>
      <c r="FY21" s="4"/>
      <c r="FZ21" s="4"/>
      <c r="GA21" s="4"/>
      <c r="GB21" s="4"/>
      <c r="GC21" s="4"/>
      <c r="GD21" s="4"/>
      <c r="GE21" s="4"/>
      <c r="GF21" s="4"/>
      <c r="GG21" s="4"/>
      <c r="GH21" s="4"/>
      <c r="GI21" s="4"/>
      <c r="GJ21" s="4"/>
      <c r="GK21" s="4"/>
      <c r="GL21" s="4"/>
      <c r="GM21" s="4"/>
      <c r="GN21" s="4"/>
      <c r="GO21" s="4"/>
      <c r="GP21" s="4"/>
      <c r="GQ21" s="4"/>
      <c r="GR21" s="4"/>
      <c r="GS21" s="4"/>
      <c r="GT21" s="4"/>
      <c r="GU21" s="4"/>
      <c r="GV21" s="4"/>
      <c r="GW21" s="4"/>
      <c r="GX21" s="4"/>
      <c r="GY21" s="4"/>
      <c r="GZ21" s="4"/>
      <c r="HA21" s="4"/>
      <c r="HB21" s="4"/>
      <c r="HC21" s="4"/>
      <c r="HD21" s="4"/>
      <c r="HE21" s="4"/>
      <c r="HF21" s="4"/>
      <c r="HG21" s="4"/>
      <c r="HH21" s="4"/>
      <c r="HI21" s="4"/>
      <c r="HJ21" s="4"/>
      <c r="HK21" s="4"/>
      <c r="HL21" s="4"/>
      <c r="HM21" s="4"/>
      <c r="HN21" s="4"/>
      <c r="HO21" s="4"/>
      <c r="HP21" s="4"/>
      <c r="HQ21" s="4"/>
      <c r="HR21" s="4"/>
      <c r="HS21" s="4"/>
      <c r="HT21" s="4"/>
      <c r="HU21" s="4"/>
      <c r="HV21" s="4"/>
      <c r="HW21" s="4"/>
      <c r="HX21" s="4"/>
      <c r="HY21" s="4"/>
      <c r="HZ21" s="4"/>
      <c r="IA21" s="4"/>
      <c r="IB21"/>
      <c r="IC21"/>
      <c r="ID21"/>
      <c r="IE21"/>
      <c r="IF21"/>
      <c r="IG21"/>
      <c r="IH21"/>
      <c r="II21"/>
      <c r="IJ21"/>
      <c r="IK21"/>
      <c r="IL21"/>
      <c r="IM21"/>
      <c r="IN21"/>
      <c r="IO21"/>
      <c r="IP21"/>
      <c r="IQ21"/>
    </row>
    <row r="22" spans="1:251" s="44" customFormat="1">
      <c r="A22" s="126"/>
      <c r="B22" s="126" t="s">
        <v>153</v>
      </c>
      <c r="C22" s="294"/>
      <c r="D22" s="294"/>
      <c r="E22" s="156">
        <v>84</v>
      </c>
      <c r="F22" s="156">
        <v>-309</v>
      </c>
      <c r="G22" s="222">
        <v>-640</v>
      </c>
      <c r="H22" s="222">
        <v>-220</v>
      </c>
      <c r="I22" s="222">
        <v>49</v>
      </c>
      <c r="J22" s="222">
        <v>27</v>
      </c>
      <c r="K22" s="222">
        <v>123</v>
      </c>
      <c r="L22" s="222">
        <v>-133</v>
      </c>
      <c r="M22" s="222">
        <v>-71</v>
      </c>
      <c r="N22" s="156">
        <f>+M22-38</f>
        <v>-109</v>
      </c>
      <c r="O22" s="222">
        <v>-162</v>
      </c>
      <c r="P22" s="222">
        <v>-25</v>
      </c>
      <c r="Q22" s="222">
        <v>48</v>
      </c>
      <c r="R22" s="222">
        <v>-60</v>
      </c>
      <c r="S22" s="222">
        <v>5</v>
      </c>
      <c r="T22" s="222">
        <v>-76</v>
      </c>
      <c r="U22" s="222">
        <v>-5</v>
      </c>
      <c r="V22" s="222">
        <v>-7</v>
      </c>
      <c r="W22" s="156">
        <v>-6</v>
      </c>
      <c r="X22" s="156">
        <f>-BS!X35+BS!Y35</f>
        <v>7.7007122869497948</v>
      </c>
      <c r="Y22" s="156">
        <f>-BS!Y35+BS!Z35</f>
        <v>9.2266553093077164</v>
      </c>
      <c r="Z22" s="156">
        <f>-BS!Z35+BS!AA35</f>
        <v>-14.859177509867209</v>
      </c>
      <c r="AA22" s="156">
        <f>-BS!AA35+BS!AB35</f>
        <v>-22.172505480150903</v>
      </c>
      <c r="AB22" s="156">
        <f>-BS!AB35+BS!AC35</f>
        <v>-14.772875033880609</v>
      </c>
      <c r="AC22" s="156">
        <f>-BS!AC35+BS!AD35</f>
        <v>-13.6384973864009</v>
      </c>
      <c r="AD22" s="156">
        <f>-BS!AD35+BS!AE35</f>
        <v>-12.579929507744225</v>
      </c>
      <c r="AE22" s="156">
        <f>-BS!AE35+BS!AF35</f>
        <v>-11.590947050032014</v>
      </c>
      <c r="AF22" s="156">
        <f>-BS!AF35+BS!AG35</f>
        <v>-10.665837154251619</v>
      </c>
      <c r="AG22" s="4"/>
      <c r="AH22" s="4"/>
      <c r="AI22" s="4"/>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c r="CG22" s="4"/>
      <c r="CH22" s="4"/>
      <c r="CI22" s="4"/>
      <c r="CJ22" s="4"/>
      <c r="CK22" s="4"/>
      <c r="CL22" s="4"/>
      <c r="CM22" s="4"/>
      <c r="CN22" s="4"/>
      <c r="CO22" s="4"/>
      <c r="CP22" s="4"/>
      <c r="CQ22" s="4"/>
      <c r="CR22" s="4"/>
      <c r="CS22" s="4"/>
      <c r="CT22" s="4"/>
      <c r="CU22" s="4"/>
      <c r="CV22" s="4"/>
      <c r="CW22" s="4"/>
      <c r="CX22" s="4"/>
      <c r="CY22" s="4"/>
      <c r="CZ22" s="4"/>
      <c r="DA22" s="4"/>
      <c r="DB22" s="4"/>
      <c r="DC22" s="4"/>
      <c r="DD22" s="4"/>
      <c r="DE22" s="4"/>
      <c r="DF22" s="4"/>
      <c r="DG22" s="4"/>
      <c r="DH22" s="4"/>
      <c r="DI22" s="4"/>
      <c r="DJ22" s="4"/>
      <c r="DK22" s="4"/>
      <c r="DL22" s="4"/>
      <c r="DM22" s="4"/>
      <c r="DN22" s="4"/>
      <c r="DO22" s="4"/>
      <c r="DP22" s="4"/>
      <c r="DQ22" s="4"/>
      <c r="DR22" s="4"/>
      <c r="DS22" s="4"/>
      <c r="DT22" s="4"/>
      <c r="DU22" s="4"/>
      <c r="DV22" s="4"/>
      <c r="DW22" s="4"/>
      <c r="DX22" s="4"/>
      <c r="DY22" s="4"/>
      <c r="DZ22" s="4"/>
      <c r="EA22" s="4"/>
      <c r="EB22" s="4"/>
      <c r="EC22" s="4"/>
      <c r="ED22" s="4"/>
      <c r="EE22" s="4"/>
      <c r="EF22" s="4"/>
      <c r="EG22" s="4"/>
      <c r="EH22" s="4"/>
      <c r="EI22" s="4"/>
      <c r="EJ22" s="4"/>
      <c r="EK22" s="4"/>
      <c r="EL22" s="4"/>
      <c r="EM22" s="4"/>
      <c r="EN22" s="4"/>
      <c r="EO22" s="4"/>
      <c r="EP22" s="4"/>
      <c r="EQ22" s="4"/>
      <c r="ER22" s="4"/>
      <c r="ES22" s="4"/>
      <c r="ET22" s="4"/>
      <c r="EU22" s="4"/>
      <c r="EV22" s="4"/>
      <c r="EW22" s="4"/>
      <c r="EX22" s="4"/>
      <c r="EY22" s="4"/>
      <c r="EZ22" s="4"/>
      <c r="FA22" s="4"/>
      <c r="FB22" s="4"/>
      <c r="FC22" s="4"/>
      <c r="FD22" s="4"/>
      <c r="FE22" s="4"/>
      <c r="FF22" s="4"/>
      <c r="FG22" s="4"/>
      <c r="FH22" s="4"/>
      <c r="FI22" s="4"/>
      <c r="FJ22" s="4"/>
      <c r="FK22" s="4"/>
      <c r="FL22" s="4"/>
      <c r="FM22" s="4"/>
      <c r="FN22" s="4"/>
      <c r="FO22" s="4"/>
      <c r="FP22" s="4"/>
      <c r="FQ22" s="4"/>
      <c r="FR22" s="4"/>
      <c r="FS22" s="4"/>
      <c r="FT22" s="4"/>
      <c r="FU22" s="4"/>
      <c r="FV22" s="4"/>
      <c r="FW22" s="4"/>
      <c r="FX22" s="4"/>
      <c r="FY22" s="4"/>
      <c r="FZ22" s="4"/>
      <c r="GA22" s="4"/>
      <c r="GB22" s="4"/>
      <c r="GC22" s="4"/>
      <c r="GD22" s="4"/>
      <c r="GE22" s="4"/>
      <c r="GF22" s="4"/>
      <c r="GG22" s="4"/>
      <c r="GH22" s="4"/>
      <c r="GI22" s="4"/>
      <c r="GJ22" s="4"/>
      <c r="GK22" s="4"/>
      <c r="GL22" s="4"/>
      <c r="GM22" s="4"/>
      <c r="GN22" s="4"/>
      <c r="GO22" s="4"/>
      <c r="GP22" s="4"/>
      <c r="GQ22" s="4"/>
      <c r="GR22" s="4"/>
      <c r="GS22" s="4"/>
      <c r="GT22" s="4"/>
      <c r="GU22" s="4"/>
      <c r="GV22" s="4"/>
      <c r="GW22" s="4"/>
      <c r="GX22" s="4"/>
      <c r="GY22" s="4"/>
      <c r="GZ22" s="4"/>
      <c r="HA22" s="4"/>
      <c r="HB22" s="4"/>
      <c r="HC22" s="4"/>
      <c r="HD22" s="4"/>
      <c r="HE22" s="4"/>
      <c r="HF22" s="4"/>
      <c r="HG22" s="4"/>
      <c r="HH22" s="4"/>
      <c r="HI22" s="4"/>
      <c r="HJ22" s="4"/>
      <c r="HK22" s="4"/>
      <c r="HL22" s="4"/>
      <c r="HM22" s="4"/>
      <c r="HN22" s="4"/>
      <c r="HO22" s="4"/>
      <c r="HP22" s="4"/>
      <c r="HQ22" s="4"/>
      <c r="HR22" s="4"/>
      <c r="HS22" s="4"/>
      <c r="HT22" s="4"/>
      <c r="HU22" s="4"/>
      <c r="HV22" s="4"/>
      <c r="HW22" s="4"/>
      <c r="HX22" s="4"/>
      <c r="HY22" s="4"/>
      <c r="HZ22" s="4"/>
      <c r="IA22" s="4"/>
      <c r="IB22"/>
      <c r="IC22"/>
      <c r="ID22"/>
      <c r="IE22"/>
      <c r="IF22"/>
      <c r="IG22"/>
      <c r="IH22"/>
      <c r="II22"/>
      <c r="IJ22"/>
      <c r="IK22"/>
      <c r="IL22"/>
      <c r="IM22"/>
      <c r="IN22"/>
      <c r="IO22"/>
      <c r="IP22"/>
      <c r="IQ22"/>
    </row>
    <row r="23" spans="1:251" s="44" customFormat="1">
      <c r="A23" s="126"/>
      <c r="B23" s="126" t="s">
        <v>648</v>
      </c>
      <c r="C23" s="294"/>
      <c r="D23" s="294"/>
      <c r="E23" s="156">
        <v>-479</v>
      </c>
      <c r="F23" s="156">
        <v>-1397</v>
      </c>
      <c r="G23" s="222">
        <v>257</v>
      </c>
      <c r="H23" s="222">
        <v>-791</v>
      </c>
      <c r="I23" s="222">
        <v>785</v>
      </c>
      <c r="J23" s="222">
        <v>-555</v>
      </c>
      <c r="K23" s="222">
        <v>184</v>
      </c>
      <c r="L23" s="222">
        <v>381</v>
      </c>
      <c r="M23" s="222">
        <v>81</v>
      </c>
      <c r="N23" s="156">
        <f>+M23</f>
        <v>81</v>
      </c>
      <c r="O23" s="222">
        <f>-45+192</f>
        <v>147</v>
      </c>
      <c r="P23" s="222">
        <f>-37+193</f>
        <v>156</v>
      </c>
      <c r="Q23" s="222">
        <f>-30+185</f>
        <v>155</v>
      </c>
      <c r="R23" s="222">
        <f>-240+243</f>
        <v>3</v>
      </c>
      <c r="S23" s="222">
        <f>-557+192</f>
        <v>-365</v>
      </c>
      <c r="T23" s="222">
        <f>+-393+177</f>
        <v>-216</v>
      </c>
      <c r="U23" s="222">
        <f>-15+21</f>
        <v>6</v>
      </c>
      <c r="V23" s="222">
        <f>199+90-12</f>
        <v>277</v>
      </c>
      <c r="W23" s="156">
        <f>+-231-113+111</f>
        <v>-233</v>
      </c>
      <c r="X23" s="156">
        <f>+BS!Y36-BS!X36</f>
        <v>-167</v>
      </c>
      <c r="Y23" s="156">
        <f>+BS!Z36-BS!Y36</f>
        <v>-52.908800000000156</v>
      </c>
      <c r="Z23" s="156">
        <f>+BS!AA36-BS!Z36</f>
        <v>-40.288161600000421</v>
      </c>
      <c r="AA23" s="156">
        <f>+BS!AB36-BS!AA36</f>
        <v>-28.016358382319595</v>
      </c>
      <c r="AB23" s="156">
        <f>+BS!AC36-BS!AB36</f>
        <v>-80.456711166709283</v>
      </c>
      <c r="AC23" s="156">
        <f>+BS!AD36-BS!AC36</f>
        <v>-79.050327855516116</v>
      </c>
      <c r="AD23" s="156">
        <f>+BS!AE36-BS!AD36</f>
        <v>-77.668528124600925</v>
      </c>
      <c r="AE23" s="156">
        <f>+BS!AF36-BS!AE36</f>
        <v>-76.310882252982992</v>
      </c>
      <c r="AF23" s="156">
        <f>+BS!AG36-BS!AF36</f>
        <v>-74.976968031201068</v>
      </c>
      <c r="AG23" s="4"/>
      <c r="AH23" s="4"/>
      <c r="AI23" s="4"/>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c r="CG23" s="4"/>
      <c r="CH23" s="4"/>
      <c r="CI23" s="4"/>
      <c r="CJ23" s="4"/>
      <c r="CK23" s="4"/>
      <c r="CL23" s="4"/>
      <c r="CM23" s="4"/>
      <c r="CN23" s="4"/>
      <c r="CO23" s="4"/>
      <c r="CP23" s="4"/>
      <c r="CQ23" s="4"/>
      <c r="CR23" s="4"/>
      <c r="CS23" s="4"/>
      <c r="CT23" s="4"/>
      <c r="CU23" s="4"/>
      <c r="CV23" s="4"/>
      <c r="CW23" s="4"/>
      <c r="CX23" s="4"/>
      <c r="CY23" s="4"/>
      <c r="CZ23" s="4"/>
      <c r="DA23" s="4"/>
      <c r="DB23" s="4"/>
      <c r="DC23" s="4"/>
      <c r="DD23" s="4"/>
      <c r="DE23" s="4"/>
      <c r="DF23" s="4"/>
      <c r="DG23" s="4"/>
      <c r="DH23" s="4"/>
      <c r="DI23" s="4"/>
      <c r="DJ23" s="4"/>
      <c r="DK23" s="4"/>
      <c r="DL23" s="4"/>
      <c r="DM23" s="4"/>
      <c r="DN23" s="4"/>
      <c r="DO23" s="4"/>
      <c r="DP23" s="4"/>
      <c r="DQ23" s="4"/>
      <c r="DR23" s="4"/>
      <c r="DS23" s="4"/>
      <c r="DT23" s="4"/>
      <c r="DU23" s="4"/>
      <c r="DV23" s="4"/>
      <c r="DW23" s="4"/>
      <c r="DX23" s="4"/>
      <c r="DY23" s="4"/>
      <c r="DZ23" s="4"/>
      <c r="EA23" s="4"/>
      <c r="EB23" s="4"/>
      <c r="EC23" s="4"/>
      <c r="ED23" s="4"/>
      <c r="EE23" s="4"/>
      <c r="EF23" s="4"/>
      <c r="EG23" s="4"/>
      <c r="EH23" s="4"/>
      <c r="EI23" s="4"/>
      <c r="EJ23" s="4"/>
      <c r="EK23" s="4"/>
      <c r="EL23" s="4"/>
      <c r="EM23" s="4"/>
      <c r="EN23" s="4"/>
      <c r="EO23" s="4"/>
      <c r="EP23" s="4"/>
      <c r="EQ23" s="4"/>
      <c r="ER23" s="4"/>
      <c r="ES23" s="4"/>
      <c r="ET23" s="4"/>
      <c r="EU23" s="4"/>
      <c r="EV23" s="4"/>
      <c r="EW23" s="4"/>
      <c r="EX23" s="4"/>
      <c r="EY23" s="4"/>
      <c r="EZ23" s="4"/>
      <c r="FA23" s="4"/>
      <c r="FB23" s="4"/>
      <c r="FC23" s="4"/>
      <c r="FD23" s="4"/>
      <c r="FE23" s="4"/>
      <c r="FF23" s="4"/>
      <c r="FG23" s="4"/>
      <c r="FH23" s="4"/>
      <c r="FI23" s="4"/>
      <c r="FJ23" s="4"/>
      <c r="FK23" s="4"/>
      <c r="FL23" s="4"/>
      <c r="FM23" s="4"/>
      <c r="FN23" s="4"/>
      <c r="FO23" s="4"/>
      <c r="FP23" s="4"/>
      <c r="FQ23" s="4"/>
      <c r="FR23" s="4"/>
      <c r="FS23" s="4"/>
      <c r="FT23" s="4"/>
      <c r="FU23" s="4"/>
      <c r="FV23" s="4"/>
      <c r="FW23" s="4"/>
      <c r="FX23" s="4"/>
      <c r="FY23" s="4"/>
      <c r="FZ23" s="4"/>
      <c r="GA23" s="4"/>
      <c r="GB23" s="4"/>
      <c r="GC23" s="4"/>
      <c r="GD23" s="4"/>
      <c r="GE23" s="4"/>
      <c r="GF23" s="4"/>
      <c r="GG23" s="4"/>
      <c r="GH23" s="4"/>
      <c r="GI23" s="4"/>
      <c r="GJ23" s="4"/>
      <c r="GK23" s="4"/>
      <c r="GL23" s="4"/>
      <c r="GM23" s="4"/>
      <c r="GN23" s="4"/>
      <c r="GO23" s="4"/>
      <c r="GP23" s="4"/>
      <c r="GQ23" s="4"/>
      <c r="GR23" s="4"/>
      <c r="GS23" s="4"/>
      <c r="GT23" s="4"/>
      <c r="GU23" s="4"/>
      <c r="GV23" s="4"/>
      <c r="GW23" s="4"/>
      <c r="GX23" s="4"/>
      <c r="GY23" s="4"/>
      <c r="GZ23" s="4"/>
      <c r="HA23" s="4"/>
      <c r="HB23" s="4"/>
      <c r="HC23" s="4"/>
      <c r="HD23" s="4"/>
      <c r="HE23" s="4"/>
      <c r="HF23" s="4"/>
      <c r="HG23" s="4"/>
      <c r="HH23" s="4"/>
      <c r="HI23" s="4"/>
      <c r="HJ23" s="4"/>
      <c r="HK23" s="4"/>
      <c r="HL23" s="4"/>
      <c r="HM23" s="4"/>
      <c r="HN23" s="4"/>
      <c r="HO23" s="4"/>
      <c r="HP23" s="4"/>
      <c r="HQ23" s="4"/>
      <c r="HR23" s="4"/>
      <c r="HS23" s="4"/>
      <c r="HT23" s="4"/>
      <c r="HU23" s="4"/>
      <c r="HV23" s="4"/>
      <c r="HW23" s="4"/>
      <c r="HX23" s="4"/>
      <c r="HY23" s="4"/>
      <c r="HZ23" s="4"/>
      <c r="IA23" s="4"/>
      <c r="IB23"/>
      <c r="IC23"/>
      <c r="ID23"/>
      <c r="IE23"/>
      <c r="IF23"/>
      <c r="IG23"/>
      <c r="IH23"/>
      <c r="II23"/>
      <c r="IJ23"/>
      <c r="IK23"/>
      <c r="IL23"/>
      <c r="IM23"/>
      <c r="IN23"/>
      <c r="IO23"/>
      <c r="IP23"/>
      <c r="IQ23"/>
    </row>
    <row r="24" spans="1:251" s="33" customFormat="1">
      <c r="A24" s="127"/>
      <c r="B24" s="127" t="s">
        <v>514</v>
      </c>
      <c r="C24" s="296">
        <f>671+265-14</f>
        <v>922</v>
      </c>
      <c r="D24" s="296">
        <f>-62-17+300+11</f>
        <v>232</v>
      </c>
      <c r="E24" s="207">
        <f>127-274-391-146+346-17</f>
        <v>-355</v>
      </c>
      <c r="F24" s="207">
        <f>311+82+19-1200-8-350-500+408+8+6</f>
        <v>-1224</v>
      </c>
      <c r="G24" s="208">
        <f>572+111+223-2631-80-1104+86+275+290-27-12.8</f>
        <v>-2297.8000000000002</v>
      </c>
      <c r="H24" s="208">
        <f>405+57+35-610-26+62-31-791+497-1169+500+267+52+791</f>
        <v>39</v>
      </c>
      <c r="I24" s="208">
        <f>44-57-22-820-1+510+107+3-31-1078+425+314+7+140-54</f>
        <v>-513</v>
      </c>
      <c r="J24" s="208">
        <f>149-9-115-420-1+382+32-108-30-1234+793+874-126+200+22</f>
        <v>409</v>
      </c>
      <c r="K24" s="208">
        <f>163-2+1850+882-251-605-1006+50-1024+886+826-234+103-126</f>
        <v>1512</v>
      </c>
      <c r="L24" s="208">
        <f>-209+1850+89-488-1006+50-425+415+661-234+103-126</f>
        <v>680</v>
      </c>
      <c r="M24" s="208">
        <f>-237+1300+410+434-132+249+596-335-86</f>
        <v>2199</v>
      </c>
      <c r="N24" s="208">
        <f>M24-(273-52+77+219-95-27+207)</f>
        <v>1597</v>
      </c>
      <c r="O24" s="208">
        <f>-467+249+197-404+393+139+100-22</f>
        <v>185</v>
      </c>
      <c r="P24" s="208">
        <f>-600+254-22+232+15-155</f>
        <v>-276</v>
      </c>
      <c r="Q24" s="208">
        <f>-628+303-188+96-29-945</f>
        <v>-1391</v>
      </c>
      <c r="R24" s="208">
        <f>-730+357+179+47+490+25+246</f>
        <v>614</v>
      </c>
      <c r="S24" s="208">
        <f>-69+1332-1224+402-73-456+874+126+7-10</f>
        <v>909</v>
      </c>
      <c r="T24" s="208">
        <f>+-991+439+1084-9</f>
        <v>523</v>
      </c>
      <c r="U24" s="208">
        <f>-1006+456+44+208</f>
        <v>-298</v>
      </c>
      <c r="V24" s="208">
        <f>+-28+114+182+495-757+228</f>
        <v>234</v>
      </c>
      <c r="W24" s="207">
        <f>+-531-73+120-795-13865+739+106+823</f>
        <v>-13476</v>
      </c>
      <c r="X24" s="910">
        <f>+BS!Y42-BS!X42+BS!Y51-BS!X51+BS!Y57-BS!X57+BS!Y50-BS!X50+(BS!X25-BS!Y25)</f>
        <v>25.686945959484547</v>
      </c>
      <c r="Y24" s="910">
        <f>+BS!Z42-BS!Y42+BS!Z51-BS!Y51+BS!Z57-BS!Y57+BS!Z50-BS!Y50+(BS!Y25-BS!Z25)</f>
        <v>29.724720535742961</v>
      </c>
      <c r="Z24" s="910">
        <f>+BS!AA42-BS!Z42+BS!AA51-BS!Z51+BS!AA57-BS!Z57+BS!AA50-BS!Z50+(BS!Z25-BS!AA25)</f>
        <v>34.126264027450247</v>
      </c>
      <c r="AA24" s="910">
        <f>+BS!AB42-BS!AA42+BS!AB51-BS!AA51+BS!AB57-BS!AA57+BS!AB50-BS!AA50+(BS!AA25-BS!AB25)</f>
        <v>38.917697009523977</v>
      </c>
      <c r="AB24" s="910">
        <f>+BS!AC42-BS!AB42+BS!AC51-BS!AB51+BS!AC57-BS!AB57+BS!AC50-BS!AB50+(BS!AB25-BS!AC25)</f>
        <v>44.126834759955784</v>
      </c>
      <c r="AC24" s="910">
        <f>+BS!AD42-BS!AC42+BS!AD51-BS!AC51+BS!AD57-BS!AC57+BS!AD50-BS!AC50+(BS!AC25-BS!AD25)</f>
        <v>49.783291040006986</v>
      </c>
      <c r="AD24" s="910">
        <f>+BS!AE42-BS!AD42+BS!AE51-BS!AD51+BS!AE57-BS!AD57+BS!AE50-BS!AD50+(BS!AD25-BS!AE25)</f>
        <v>55.918587996621341</v>
      </c>
      <c r="AE24" s="910">
        <f>+BS!AF42-BS!AE42+BS!AF51-BS!AE51+BS!AF57-BS!AE57+BS!AF50-BS!AE50+(BS!AE25-BS!AF25)</f>
        <v>62.56627253889252</v>
      </c>
      <c r="AF24" s="910">
        <f>+BS!AG42-BS!AF42+BS!AG51-BS!AF51+BS!AG57-BS!AF57+BS!AG50-BS!AF50+(BS!AF25-BS!AG25)</f>
        <v>69.762039560256824</v>
      </c>
      <c r="AG24" s="43"/>
      <c r="AH24" s="43"/>
      <c r="AI24" s="43"/>
      <c r="AJ24" s="43"/>
      <c r="AK24" s="43"/>
      <c r="AL24" s="43"/>
      <c r="AM24" s="43"/>
      <c r="AN24" s="43"/>
      <c r="AO24" s="43"/>
      <c r="AP24" s="43"/>
      <c r="AQ24" s="43"/>
      <c r="AR24" s="43"/>
      <c r="AS24" s="43"/>
      <c r="AT24" s="43"/>
      <c r="AU24" s="43"/>
      <c r="AV24" s="43"/>
      <c r="AW24" s="43"/>
      <c r="AX24" s="43"/>
      <c r="AY24" s="43"/>
      <c r="AZ24" s="43"/>
      <c r="BA24" s="43"/>
      <c r="BB24" s="43"/>
      <c r="BC24" s="43"/>
      <c r="BD24" s="43"/>
      <c r="BE24" s="43"/>
      <c r="BF24" s="43"/>
      <c r="BG24" s="43"/>
      <c r="BH24" s="43"/>
      <c r="BI24" s="43"/>
      <c r="BJ24" s="43"/>
      <c r="BK24" s="43"/>
      <c r="BL24" s="43"/>
      <c r="BM24" s="43"/>
      <c r="BN24" s="43"/>
      <c r="BO24" s="43"/>
      <c r="BP24" s="43"/>
      <c r="BQ24" s="43"/>
      <c r="BR24" s="43"/>
      <c r="BS24" s="43"/>
      <c r="BT24" s="43"/>
      <c r="BU24" s="43"/>
      <c r="BV24" s="43"/>
      <c r="BW24" s="43"/>
      <c r="BX24" s="43"/>
      <c r="BY24" s="43"/>
      <c r="BZ24" s="43"/>
      <c r="CA24" s="43"/>
      <c r="CB24" s="43"/>
      <c r="CC24" s="43"/>
      <c r="CD24" s="43"/>
      <c r="CE24" s="43"/>
      <c r="CF24" s="43"/>
      <c r="CG24" s="43"/>
      <c r="CH24" s="43"/>
      <c r="CI24" s="43"/>
      <c r="CJ24" s="43"/>
      <c r="CK24" s="43"/>
      <c r="CL24" s="43"/>
      <c r="CM24" s="43"/>
      <c r="CN24" s="43"/>
      <c r="CO24" s="43"/>
      <c r="CP24" s="43"/>
      <c r="CQ24" s="43"/>
      <c r="CR24" s="43"/>
      <c r="CS24" s="43"/>
      <c r="CT24" s="43"/>
      <c r="CU24" s="43"/>
      <c r="CV24" s="43"/>
      <c r="CW24" s="43"/>
      <c r="CX24" s="43"/>
      <c r="CY24" s="43"/>
      <c r="CZ24" s="43"/>
      <c r="DA24" s="43"/>
      <c r="DB24" s="43"/>
      <c r="DC24" s="43"/>
      <c r="DD24" s="43"/>
      <c r="DE24" s="43"/>
      <c r="DF24" s="43"/>
      <c r="DG24" s="43"/>
      <c r="DH24" s="43"/>
      <c r="DI24" s="43"/>
      <c r="DJ24" s="43"/>
      <c r="DK24" s="43"/>
      <c r="DL24" s="43"/>
      <c r="DM24" s="43"/>
      <c r="DN24" s="43"/>
      <c r="DO24" s="43"/>
      <c r="DP24" s="43"/>
      <c r="DQ24" s="43"/>
      <c r="DR24" s="43"/>
      <c r="DS24" s="43"/>
      <c r="DT24" s="43"/>
      <c r="DU24" s="43"/>
      <c r="DV24" s="43"/>
      <c r="DW24" s="43"/>
      <c r="DX24" s="43"/>
      <c r="DY24" s="43"/>
      <c r="DZ24" s="43"/>
      <c r="EA24" s="43"/>
      <c r="EB24" s="43"/>
      <c r="EC24" s="43"/>
      <c r="ED24" s="43"/>
      <c r="EE24" s="43"/>
      <c r="EF24" s="43"/>
      <c r="EG24" s="43"/>
      <c r="EH24" s="43"/>
      <c r="EI24" s="43"/>
      <c r="EJ24" s="43"/>
      <c r="EK24" s="43"/>
      <c r="EL24" s="43"/>
      <c r="EM24" s="43"/>
      <c r="EN24" s="43"/>
      <c r="EO24" s="43"/>
      <c r="EP24" s="43"/>
      <c r="EQ24" s="43"/>
      <c r="ER24" s="43"/>
      <c r="ES24" s="43"/>
      <c r="ET24" s="43"/>
      <c r="EU24" s="43"/>
      <c r="EV24" s="43"/>
      <c r="EW24" s="43"/>
      <c r="EX24" s="43"/>
      <c r="EY24" s="43"/>
      <c r="EZ24" s="43"/>
      <c r="FA24" s="43"/>
      <c r="FB24" s="43"/>
      <c r="FC24" s="43"/>
      <c r="FD24" s="43"/>
      <c r="FE24" s="43"/>
      <c r="FF24" s="43"/>
      <c r="FG24" s="43"/>
      <c r="FH24" s="43"/>
      <c r="FI24" s="43"/>
      <c r="FJ24" s="43"/>
      <c r="FK24" s="43"/>
      <c r="FL24" s="43"/>
      <c r="FM24" s="43"/>
      <c r="FN24" s="43"/>
      <c r="FO24" s="43"/>
      <c r="FP24" s="43"/>
      <c r="FQ24" s="43"/>
      <c r="FR24" s="43"/>
      <c r="FS24" s="43"/>
      <c r="FT24" s="43"/>
      <c r="FU24" s="43"/>
      <c r="FV24" s="43"/>
      <c r="FW24" s="43"/>
      <c r="FX24" s="43"/>
      <c r="FY24" s="43"/>
      <c r="FZ24" s="43"/>
      <c r="GA24" s="43"/>
      <c r="GB24" s="43"/>
      <c r="GC24" s="43"/>
      <c r="GD24" s="43"/>
      <c r="GE24" s="43"/>
      <c r="GF24" s="43"/>
      <c r="GG24" s="43"/>
      <c r="GH24" s="43"/>
      <c r="GI24" s="43"/>
      <c r="GJ24" s="43"/>
      <c r="GK24" s="43"/>
      <c r="GL24" s="43"/>
      <c r="GM24" s="43"/>
      <c r="GN24" s="43"/>
      <c r="GO24" s="43"/>
      <c r="GP24" s="43"/>
      <c r="GQ24" s="43"/>
      <c r="GR24" s="43"/>
      <c r="GS24" s="43"/>
      <c r="GT24" s="43"/>
      <c r="GU24" s="43"/>
      <c r="GV24" s="43"/>
      <c r="GW24" s="43"/>
      <c r="GX24" s="43"/>
      <c r="GY24" s="43"/>
      <c r="GZ24" s="43"/>
      <c r="HA24" s="43"/>
      <c r="HB24" s="43"/>
      <c r="HC24" s="43"/>
      <c r="HD24" s="43"/>
      <c r="HE24" s="43"/>
      <c r="HF24" s="43"/>
      <c r="HG24" s="43"/>
      <c r="HH24" s="43"/>
      <c r="HI24" s="43"/>
      <c r="HJ24" s="43"/>
      <c r="HK24" s="43"/>
      <c r="HL24" s="43"/>
      <c r="HM24" s="43"/>
      <c r="HN24" s="43"/>
      <c r="HO24" s="43"/>
      <c r="HP24" s="43"/>
      <c r="HQ24" s="43"/>
      <c r="HR24" s="43"/>
      <c r="HS24" s="43"/>
      <c r="HT24" s="43"/>
      <c r="HU24" s="43"/>
      <c r="HV24" s="43"/>
      <c r="HW24" s="43"/>
      <c r="HX24" s="43"/>
      <c r="HY24" s="43"/>
      <c r="HZ24" s="43"/>
      <c r="IA24" s="43"/>
      <c r="IB24"/>
      <c r="IC24"/>
      <c r="ID24"/>
      <c r="IE24"/>
      <c r="IF24"/>
      <c r="IG24"/>
      <c r="IH24"/>
      <c r="II24"/>
      <c r="IJ24"/>
      <c r="IK24"/>
      <c r="IL24"/>
      <c r="IM24"/>
      <c r="IN24"/>
      <c r="IO24"/>
      <c r="IP24"/>
      <c r="IQ24"/>
    </row>
    <row r="25" spans="1:251" s="44" customFormat="1">
      <c r="A25" s="124" t="s">
        <v>586</v>
      </c>
      <c r="B25" s="125"/>
      <c r="C25" s="294">
        <f>SUM(C9:C13)</f>
        <v>8451</v>
      </c>
      <c r="D25" s="294">
        <f>SUM(D9:D13)</f>
        <v>11201.578</v>
      </c>
      <c r="E25" s="156">
        <f t="shared" ref="E25:W25" si="5">E9+E12+E13+E15+E20+E21+E22+E23+E24</f>
        <v>11044</v>
      </c>
      <c r="F25" s="156">
        <f t="shared" si="5"/>
        <v>8709.505000000001</v>
      </c>
      <c r="G25" s="156">
        <f t="shared" si="5"/>
        <v>10388.977999999999</v>
      </c>
      <c r="H25" s="156">
        <f t="shared" si="5"/>
        <v>10503.602954219637</v>
      </c>
      <c r="I25" s="156">
        <f t="shared" si="5"/>
        <v>10890</v>
      </c>
      <c r="J25" s="156">
        <f t="shared" si="5"/>
        <v>11060</v>
      </c>
      <c r="K25" s="156">
        <f t="shared" si="5"/>
        <v>13586</v>
      </c>
      <c r="L25" s="156">
        <f t="shared" si="5"/>
        <v>9866</v>
      </c>
      <c r="M25" s="156">
        <f t="shared" si="5"/>
        <v>10155</v>
      </c>
      <c r="N25" s="156">
        <f t="shared" si="5"/>
        <v>4532</v>
      </c>
      <c r="O25" s="156">
        <f t="shared" si="5"/>
        <v>3215</v>
      </c>
      <c r="P25" s="156">
        <f t="shared" si="5"/>
        <v>3443</v>
      </c>
      <c r="Q25" s="156">
        <f t="shared" si="5"/>
        <v>2767</v>
      </c>
      <c r="R25" s="156">
        <f t="shared" si="5"/>
        <v>3613</v>
      </c>
      <c r="S25" s="156">
        <f t="shared" si="5"/>
        <v>3903</v>
      </c>
      <c r="T25" s="156">
        <f t="shared" si="5"/>
        <v>4375</v>
      </c>
      <c r="U25" s="156">
        <f t="shared" si="5"/>
        <v>4663</v>
      </c>
      <c r="V25" s="156">
        <f t="shared" si="5"/>
        <v>5810</v>
      </c>
      <c r="W25" s="156">
        <f t="shared" si="5"/>
        <v>3791</v>
      </c>
      <c r="X25" s="156">
        <f t="shared" ref="X25:AF25" si="6">X9+X12+X13+X15+X20+X21+X22+X23+X24</f>
        <v>6901.3311902986488</v>
      </c>
      <c r="Y25" s="156">
        <f t="shared" ca="1" si="6"/>
        <v>7710.7239225548319</v>
      </c>
      <c r="Z25" s="156">
        <f t="shared" ca="1" si="6"/>
        <v>8428.7179997204112</v>
      </c>
      <c r="AA25" s="156">
        <f t="shared" ca="1" si="6"/>
        <v>9096.9907569303487</v>
      </c>
      <c r="AB25" s="156">
        <f t="shared" ca="1" si="6"/>
        <v>9565.6111682349147</v>
      </c>
      <c r="AC25" s="156">
        <f t="shared" ca="1" si="6"/>
        <v>10107.517382968708</v>
      </c>
      <c r="AD25" s="156">
        <f t="shared" ca="1" si="6"/>
        <v>10653.076490424639</v>
      </c>
      <c r="AE25" s="156">
        <f t="shared" ca="1" si="6"/>
        <v>11204.270901699409</v>
      </c>
      <c r="AF25" s="156">
        <f t="shared" ca="1" si="6"/>
        <v>11763.076237299661</v>
      </c>
      <c r="AG25" s="4"/>
      <c r="AH25" s="4"/>
      <c r="AI25" s="4"/>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c r="DC25" s="4"/>
      <c r="DD25" s="4"/>
      <c r="DE25" s="4"/>
      <c r="DF25" s="4"/>
      <c r="DG25" s="4"/>
      <c r="DH25" s="4"/>
      <c r="DI25" s="4"/>
      <c r="DJ25" s="4"/>
      <c r="DK25" s="4"/>
      <c r="DL25" s="4"/>
      <c r="DM25" s="4"/>
      <c r="DN25" s="4"/>
      <c r="DO25" s="4"/>
      <c r="DP25" s="4"/>
      <c r="DQ25" s="4"/>
      <c r="DR25" s="4"/>
      <c r="DS25" s="4"/>
      <c r="DT25" s="4"/>
      <c r="DU25" s="4"/>
      <c r="DV25" s="4"/>
      <c r="DW25" s="4"/>
      <c r="DX25" s="4"/>
      <c r="DY25" s="4"/>
      <c r="DZ25" s="4"/>
      <c r="EA25" s="4"/>
      <c r="EB25" s="4"/>
      <c r="EC25" s="4"/>
      <c r="ED25" s="4"/>
      <c r="EE25" s="4"/>
      <c r="EF25" s="4"/>
      <c r="EG25" s="4"/>
      <c r="EH25" s="4"/>
      <c r="EI25" s="4"/>
      <c r="EJ25" s="4"/>
      <c r="EK25" s="4"/>
      <c r="EL25" s="4"/>
      <c r="EM25" s="4"/>
      <c r="EN25" s="4"/>
      <c r="EO25" s="4"/>
      <c r="EP25" s="4"/>
      <c r="EQ25" s="4"/>
      <c r="ER25" s="4"/>
      <c r="ES25" s="4"/>
      <c r="ET25" s="4"/>
      <c r="EU25" s="4"/>
      <c r="EV25" s="4"/>
      <c r="EW25" s="4"/>
      <c r="EX25" s="4"/>
      <c r="EY25" s="4"/>
      <c r="EZ25" s="4"/>
      <c r="FA25" s="4"/>
      <c r="FB25" s="4"/>
      <c r="FC25" s="4"/>
      <c r="FD25" s="4"/>
      <c r="FE25" s="4"/>
      <c r="FF25" s="4"/>
      <c r="FG25" s="4"/>
      <c r="FH25" s="4"/>
      <c r="FI25" s="4"/>
      <c r="FJ25" s="4"/>
      <c r="FK25" s="4"/>
      <c r="FL25" s="4"/>
      <c r="FM25" s="4"/>
      <c r="FN25" s="4"/>
      <c r="FO25" s="4"/>
      <c r="FP25" s="4"/>
      <c r="FQ25" s="4"/>
      <c r="FR25" s="4"/>
      <c r="FS25" s="4"/>
      <c r="FT25" s="4"/>
      <c r="FU25" s="4"/>
      <c r="FV25" s="4"/>
      <c r="FW25" s="4"/>
      <c r="FX25" s="4"/>
      <c r="FY25" s="4"/>
      <c r="FZ25" s="4"/>
      <c r="GA25" s="4"/>
      <c r="GB25" s="4"/>
      <c r="GC25" s="4"/>
      <c r="GD25" s="4"/>
      <c r="GE25" s="4"/>
      <c r="GF25" s="4"/>
      <c r="GG25" s="4"/>
      <c r="GH25" s="4"/>
      <c r="GI25" s="4"/>
      <c r="GJ25" s="4"/>
      <c r="GK25" s="4"/>
      <c r="GL25" s="4"/>
      <c r="GM25" s="4"/>
      <c r="GN25" s="4"/>
      <c r="GO25" s="4"/>
      <c r="GP25" s="4"/>
      <c r="GQ25" s="4"/>
      <c r="GR25" s="4"/>
      <c r="GS25" s="4"/>
      <c r="GT25" s="4"/>
      <c r="GU25" s="4"/>
      <c r="GV25" s="4"/>
      <c r="GW25" s="4"/>
      <c r="GX25" s="4"/>
      <c r="GY25" s="4"/>
      <c r="GZ25" s="4"/>
      <c r="HA25" s="4"/>
      <c r="HB25" s="4"/>
      <c r="HC25" s="4"/>
      <c r="HD25" s="4"/>
      <c r="HE25" s="4"/>
      <c r="HF25" s="4"/>
      <c r="HG25" s="4"/>
      <c r="HH25" s="4"/>
      <c r="HI25" s="4"/>
      <c r="HJ25" s="4"/>
      <c r="HK25" s="4"/>
      <c r="HL25" s="4"/>
      <c r="HM25" s="4"/>
      <c r="HN25" s="4"/>
      <c r="HO25" s="4"/>
      <c r="HP25" s="4"/>
      <c r="HQ25" s="4"/>
      <c r="HR25" s="4"/>
      <c r="HS25" s="4"/>
      <c r="HT25" s="4"/>
      <c r="HU25" s="4"/>
      <c r="HV25" s="4"/>
      <c r="HW25" s="4"/>
      <c r="HX25" s="4"/>
      <c r="HY25" s="4"/>
      <c r="HZ25" s="4"/>
      <c r="IA25" s="4"/>
      <c r="IB25"/>
      <c r="IC25"/>
      <c r="ID25"/>
      <c r="IE25"/>
      <c r="IF25"/>
      <c r="IG25"/>
      <c r="IH25"/>
      <c r="II25"/>
      <c r="IJ25"/>
      <c r="IK25"/>
      <c r="IL25"/>
      <c r="IM25"/>
      <c r="IN25"/>
      <c r="IO25"/>
      <c r="IP25"/>
      <c r="IQ25"/>
    </row>
    <row r="26" spans="1:251" s="44" customFormat="1">
      <c r="A26" s="126"/>
      <c r="B26" s="125"/>
      <c r="C26" s="294"/>
      <c r="D26" s="294"/>
      <c r="E26" s="156"/>
      <c r="F26" s="156"/>
      <c r="G26" s="156"/>
      <c r="H26" s="156"/>
      <c r="I26" s="156"/>
      <c r="J26" s="156"/>
      <c r="K26" s="156"/>
      <c r="L26" s="156"/>
      <c r="M26" s="156"/>
      <c r="N26" s="156"/>
      <c r="O26" s="155"/>
      <c r="P26" s="294"/>
      <c r="Q26" s="294"/>
      <c r="R26" s="155"/>
      <c r="S26" s="294"/>
      <c r="T26" s="294"/>
      <c r="U26" s="294"/>
      <c r="V26" s="294">
        <f>+V25-5810</f>
        <v>0</v>
      </c>
      <c r="W26" s="294">
        <f>+W25-3791</f>
        <v>0</v>
      </c>
      <c r="X26" s="294"/>
      <c r="Y26" s="294"/>
      <c r="Z26" s="294"/>
      <c r="AA26" s="294"/>
      <c r="AB26" s="294"/>
      <c r="AC26" s="294"/>
      <c r="AD26" s="294"/>
      <c r="AE26" s="294"/>
      <c r="AF26" s="294"/>
      <c r="AG26" s="4"/>
      <c r="AH26" s="4"/>
      <c r="AI26" s="4"/>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c r="DC26" s="4"/>
      <c r="DD26" s="4"/>
      <c r="DE26" s="4"/>
      <c r="DF26" s="4"/>
      <c r="DG26" s="4"/>
      <c r="DH26" s="4"/>
      <c r="DI26" s="4"/>
      <c r="DJ26" s="4"/>
      <c r="DK26" s="4"/>
      <c r="DL26" s="4"/>
      <c r="DM26" s="4"/>
      <c r="DN26" s="4"/>
      <c r="DO26" s="4"/>
      <c r="DP26" s="4"/>
      <c r="DQ26" s="4"/>
      <c r="DR26" s="4"/>
      <c r="DS26" s="4"/>
      <c r="DT26" s="4"/>
      <c r="DU26" s="4"/>
      <c r="DV26" s="4"/>
      <c r="DW26" s="4"/>
      <c r="DX26" s="4"/>
      <c r="DY26" s="4"/>
      <c r="DZ26" s="4"/>
      <c r="EA26" s="4"/>
      <c r="EB26" s="4"/>
      <c r="EC26" s="4"/>
      <c r="ED26" s="4"/>
      <c r="EE26" s="4"/>
      <c r="EF26" s="4"/>
      <c r="EG26" s="4"/>
      <c r="EH26" s="4"/>
      <c r="EI26" s="4"/>
      <c r="EJ26" s="4"/>
      <c r="EK26" s="4"/>
      <c r="EL26" s="4"/>
      <c r="EM26" s="4"/>
      <c r="EN26" s="4"/>
      <c r="EO26" s="4"/>
      <c r="EP26" s="4"/>
      <c r="EQ26" s="4"/>
      <c r="ER26" s="4"/>
      <c r="ES26" s="4"/>
      <c r="ET26" s="4"/>
      <c r="EU26" s="4"/>
      <c r="EV26" s="4"/>
      <c r="EW26" s="4"/>
      <c r="EX26" s="4"/>
      <c r="EY26" s="4"/>
      <c r="EZ26" s="4"/>
      <c r="FA26" s="4"/>
      <c r="FB26" s="4"/>
      <c r="FC26" s="4"/>
      <c r="FD26" s="4"/>
      <c r="FE26" s="4"/>
      <c r="FF26" s="4"/>
      <c r="FG26" s="4"/>
      <c r="FH26" s="4"/>
      <c r="FI26" s="4"/>
      <c r="FJ26" s="4"/>
      <c r="FK26" s="4"/>
      <c r="FL26" s="4"/>
      <c r="FM26" s="4"/>
      <c r="FN26" s="4"/>
      <c r="FO26" s="4"/>
      <c r="FP26" s="4"/>
      <c r="FQ26" s="4"/>
      <c r="FR26" s="4"/>
      <c r="FS26" s="4"/>
      <c r="FT26" s="4"/>
      <c r="FU26" s="4"/>
      <c r="FV26" s="4"/>
      <c r="FW26" s="4"/>
      <c r="FX26" s="4"/>
      <c r="FY26" s="4"/>
      <c r="FZ26" s="4"/>
      <c r="GA26" s="4"/>
      <c r="GB26" s="4"/>
      <c r="GC26" s="4"/>
      <c r="GD26" s="4"/>
      <c r="GE26" s="4"/>
      <c r="GF26" s="4"/>
      <c r="GG26" s="4"/>
      <c r="GH26" s="4"/>
      <c r="GI26" s="4"/>
      <c r="GJ26" s="4"/>
      <c r="GK26" s="4"/>
      <c r="GL26" s="4"/>
      <c r="GM26" s="4"/>
      <c r="GN26" s="4"/>
      <c r="GO26" s="4"/>
      <c r="GP26" s="4"/>
      <c r="GQ26" s="4"/>
      <c r="GR26" s="4"/>
      <c r="GS26" s="4"/>
      <c r="GT26" s="4"/>
      <c r="GU26" s="4"/>
      <c r="GV26" s="4"/>
      <c r="GW26" s="4"/>
      <c r="GX26" s="4"/>
      <c r="GY26" s="4"/>
      <c r="GZ26" s="4"/>
      <c r="HA26" s="4"/>
      <c r="HB26" s="4"/>
      <c r="HC26" s="4"/>
      <c r="HD26" s="4"/>
      <c r="HE26" s="4"/>
      <c r="HF26" s="4"/>
      <c r="HG26" s="4"/>
      <c r="HH26" s="4"/>
      <c r="HI26" s="4"/>
      <c r="HJ26" s="4"/>
      <c r="HK26" s="4"/>
      <c r="HL26" s="4"/>
      <c r="HM26" s="4"/>
      <c r="HN26" s="4"/>
      <c r="HO26" s="4"/>
      <c r="HP26" s="4"/>
      <c r="HQ26" s="4"/>
      <c r="HR26" s="4"/>
      <c r="HS26" s="4"/>
      <c r="HT26" s="4"/>
      <c r="HU26" s="4"/>
      <c r="HV26" s="4"/>
      <c r="HW26" s="4"/>
      <c r="HX26" s="4"/>
      <c r="HY26" s="4"/>
      <c r="HZ26" s="4"/>
      <c r="IA26" s="4"/>
      <c r="IB26"/>
      <c r="IC26"/>
      <c r="ID26"/>
      <c r="IE26"/>
      <c r="IF26"/>
      <c r="IG26"/>
      <c r="IH26"/>
      <c r="II26"/>
      <c r="IJ26"/>
      <c r="IK26"/>
      <c r="IL26"/>
      <c r="IM26"/>
      <c r="IN26"/>
      <c r="IO26"/>
      <c r="IP26"/>
      <c r="IQ26"/>
    </row>
    <row r="27" spans="1:251" s="44" customFormat="1">
      <c r="A27" s="124" t="s">
        <v>575</v>
      </c>
      <c r="B27" s="125"/>
      <c r="C27" s="294"/>
      <c r="D27" s="294"/>
      <c r="E27" s="156"/>
      <c r="F27" s="156"/>
      <c r="G27" s="156"/>
      <c r="H27" s="156"/>
      <c r="I27" s="156"/>
      <c r="J27" s="156"/>
      <c r="K27" s="156"/>
      <c r="L27" s="156"/>
      <c r="M27" s="156"/>
      <c r="N27" s="156"/>
      <c r="O27" s="155"/>
      <c r="P27" s="294"/>
      <c r="Q27" s="294"/>
      <c r="R27" s="155"/>
      <c r="S27" s="294"/>
      <c r="T27" s="294"/>
      <c r="U27" s="294"/>
      <c r="V27" s="294"/>
      <c r="W27" s="294"/>
      <c r="X27" s="294"/>
      <c r="Y27" s="294"/>
      <c r="Z27" s="294"/>
      <c r="AA27" s="294"/>
      <c r="AB27" s="294"/>
      <c r="AC27" s="294"/>
      <c r="AD27" s="294"/>
      <c r="AE27" s="294"/>
      <c r="AF27" s="294"/>
      <c r="AG27" s="4"/>
      <c r="AH27" s="4"/>
      <c r="AI27" s="4"/>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c r="DC27" s="4"/>
      <c r="DD27" s="4"/>
      <c r="DE27" s="4"/>
      <c r="DF27" s="4"/>
      <c r="DG27" s="4"/>
      <c r="DH27" s="4"/>
      <c r="DI27" s="4"/>
      <c r="DJ27" s="4"/>
      <c r="DK27" s="4"/>
      <c r="DL27" s="4"/>
      <c r="DM27" s="4"/>
      <c r="DN27" s="4"/>
      <c r="DO27" s="4"/>
      <c r="DP27" s="4"/>
      <c r="DQ27" s="4"/>
      <c r="DR27" s="4"/>
      <c r="DS27" s="4"/>
      <c r="DT27" s="4"/>
      <c r="DU27" s="4"/>
      <c r="DV27" s="4"/>
      <c r="DW27" s="4"/>
      <c r="DX27" s="4"/>
      <c r="DY27" s="4"/>
      <c r="DZ27" s="4"/>
      <c r="EA27" s="4"/>
      <c r="EB27" s="4"/>
      <c r="EC27" s="4"/>
      <c r="ED27" s="4"/>
      <c r="EE27" s="4"/>
      <c r="EF27" s="4"/>
      <c r="EG27" s="4"/>
      <c r="EH27" s="4"/>
      <c r="EI27" s="4"/>
      <c r="EJ27" s="4"/>
      <c r="EK27" s="4"/>
      <c r="EL27" s="4"/>
      <c r="EM27" s="4"/>
      <c r="EN27" s="4"/>
      <c r="EO27" s="4"/>
      <c r="EP27" s="4"/>
      <c r="EQ27" s="4"/>
      <c r="ER27" s="4"/>
      <c r="ES27" s="4"/>
      <c r="ET27" s="4"/>
      <c r="EU27" s="4"/>
      <c r="EV27" s="4"/>
      <c r="EW27" s="4"/>
      <c r="EX27" s="4"/>
      <c r="EY27" s="4"/>
      <c r="EZ27" s="4"/>
      <c r="FA27" s="4"/>
      <c r="FB27" s="4"/>
      <c r="FC27" s="4"/>
      <c r="FD27" s="4"/>
      <c r="FE27" s="4"/>
      <c r="FF27" s="4"/>
      <c r="FG27" s="4"/>
      <c r="FH27" s="4"/>
      <c r="FI27" s="4"/>
      <c r="FJ27" s="4"/>
      <c r="FK27" s="4"/>
      <c r="FL27" s="4"/>
      <c r="FM27" s="4"/>
      <c r="FN27" s="4"/>
      <c r="FO27" s="4"/>
      <c r="FP27" s="4"/>
      <c r="FQ27" s="4"/>
      <c r="FR27" s="4"/>
      <c r="FS27" s="4"/>
      <c r="FT27" s="4"/>
      <c r="FU27" s="4"/>
      <c r="FV27" s="4"/>
      <c r="FW27" s="4"/>
      <c r="FX27" s="4"/>
      <c r="FY27" s="4"/>
      <c r="FZ27" s="4"/>
      <c r="GA27" s="4"/>
      <c r="GB27" s="4"/>
      <c r="GC27" s="4"/>
      <c r="GD27" s="4"/>
      <c r="GE27" s="4"/>
      <c r="GF27" s="4"/>
      <c r="GG27" s="4"/>
      <c r="GH27" s="4"/>
      <c r="GI27" s="4"/>
      <c r="GJ27" s="4"/>
      <c r="GK27" s="4"/>
      <c r="GL27" s="4"/>
      <c r="GM27" s="4"/>
      <c r="GN27" s="4"/>
      <c r="GO27" s="4"/>
      <c r="GP27" s="4"/>
      <c r="GQ27" s="4"/>
      <c r="GR27" s="4"/>
      <c r="GS27" s="4"/>
      <c r="GT27" s="4"/>
      <c r="GU27" s="4"/>
      <c r="GV27" s="4"/>
      <c r="GW27" s="4"/>
      <c r="GX27" s="4"/>
      <c r="GY27" s="4"/>
      <c r="GZ27" s="4"/>
      <c r="HA27" s="4"/>
      <c r="HB27" s="4"/>
      <c r="HC27" s="4"/>
      <c r="HD27" s="4"/>
      <c r="HE27" s="4"/>
      <c r="HF27" s="4"/>
      <c r="HG27" s="4"/>
      <c r="HH27" s="4"/>
      <c r="HI27" s="4"/>
      <c r="HJ27" s="4"/>
      <c r="HK27" s="4"/>
      <c r="HL27" s="4"/>
      <c r="HM27" s="4"/>
      <c r="HN27" s="4"/>
      <c r="HO27" s="4"/>
      <c r="HP27" s="4"/>
      <c r="HQ27" s="4"/>
      <c r="HR27" s="4"/>
      <c r="HS27" s="4"/>
      <c r="HT27" s="4"/>
      <c r="HU27" s="4"/>
      <c r="HV27" s="4"/>
      <c r="HW27" s="4"/>
      <c r="HX27" s="4"/>
      <c r="HY27" s="4"/>
      <c r="HZ27" s="4"/>
      <c r="IA27" s="4"/>
      <c r="IB27"/>
      <c r="IC27"/>
      <c r="ID27"/>
      <c r="IE27"/>
      <c r="IF27"/>
      <c r="IG27"/>
      <c r="IH27"/>
      <c r="II27"/>
      <c r="IJ27"/>
      <c r="IK27"/>
      <c r="IL27"/>
      <c r="IM27"/>
      <c r="IN27"/>
      <c r="IO27"/>
      <c r="IP27"/>
      <c r="IQ27"/>
    </row>
    <row r="28" spans="1:251" s="44" customFormat="1">
      <c r="A28" s="126"/>
      <c r="B28" s="126" t="s">
        <v>520</v>
      </c>
      <c r="C28" s="294">
        <v>-1804</v>
      </c>
      <c r="D28" s="294">
        <v>-1749</v>
      </c>
      <c r="E28" s="156">
        <v>-1682</v>
      </c>
      <c r="F28" s="156">
        <v>-1922</v>
      </c>
      <c r="G28" s="222">
        <v>-2009</v>
      </c>
      <c r="H28" s="222">
        <v>-1974</v>
      </c>
      <c r="I28" s="222">
        <v>-1913</v>
      </c>
      <c r="J28" s="222">
        <v>-2206</v>
      </c>
      <c r="K28" s="222">
        <v>-2454</v>
      </c>
      <c r="L28" s="222">
        <v>-1285</v>
      </c>
      <c r="M28" s="222">
        <v>-1458</v>
      </c>
      <c r="N28" s="222">
        <v>-352</v>
      </c>
      <c r="O28" s="222">
        <v>-241</v>
      </c>
      <c r="P28" s="222">
        <v>-273</v>
      </c>
      <c r="Q28" s="222">
        <v>-168</v>
      </c>
      <c r="R28" s="222">
        <v>-105</v>
      </c>
      <c r="S28" s="222">
        <v>-124</v>
      </c>
      <c r="T28" s="222">
        <v>-131</v>
      </c>
      <c r="U28" s="222">
        <v>-163</v>
      </c>
      <c r="V28" s="222">
        <v>-229</v>
      </c>
      <c r="W28" s="156">
        <v>-189</v>
      </c>
      <c r="X28" s="156">
        <f>-BS!Y145</f>
        <v>-198.45000000000002</v>
      </c>
      <c r="Y28" s="156">
        <f>-BS!Z145</f>
        <v>-208.37250000000003</v>
      </c>
      <c r="Z28" s="156">
        <f>-BS!AA145</f>
        <v>-218.79112500000005</v>
      </c>
      <c r="AA28" s="156">
        <f>-BS!AB145</f>
        <v>-229.73068125000006</v>
      </c>
      <c r="AB28" s="156">
        <f>-BS!AC145</f>
        <v>-241.21721531250009</v>
      </c>
      <c r="AC28" s="156">
        <f>-BS!AD145</f>
        <v>-253.27807607812511</v>
      </c>
      <c r="AD28" s="156">
        <f>-BS!AE145</f>
        <v>-265.94197988203138</v>
      </c>
      <c r="AE28" s="156">
        <f>-BS!AF145</f>
        <v>-279.23907887613296</v>
      </c>
      <c r="AF28" s="156">
        <f>-BS!AG145</f>
        <v>-293.2010328199396</v>
      </c>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c r="DC28" s="4"/>
      <c r="DD28" s="4"/>
      <c r="DE28" s="4"/>
      <c r="DF28" s="4"/>
      <c r="DG28" s="4"/>
      <c r="DH28" s="4"/>
      <c r="DI28" s="4"/>
      <c r="DJ28" s="4"/>
      <c r="DK28" s="4"/>
      <c r="DL28" s="4"/>
      <c r="DM28" s="4"/>
      <c r="DN28" s="4"/>
      <c r="DO28" s="4"/>
      <c r="DP28" s="4"/>
      <c r="DQ28" s="4"/>
      <c r="DR28" s="4"/>
      <c r="DS28" s="4"/>
      <c r="DT28" s="4"/>
      <c r="DU28" s="4"/>
      <c r="DV28" s="4"/>
      <c r="DW28" s="4"/>
      <c r="DX28" s="4"/>
      <c r="DY28" s="4"/>
      <c r="DZ28" s="4"/>
      <c r="EA28" s="4"/>
      <c r="EB28" s="4"/>
      <c r="EC28" s="4"/>
      <c r="ED28" s="4"/>
      <c r="EE28" s="4"/>
      <c r="EF28" s="4"/>
      <c r="EG28" s="4"/>
      <c r="EH28" s="4"/>
      <c r="EI28" s="4"/>
      <c r="EJ28" s="4"/>
      <c r="EK28" s="4"/>
      <c r="EL28" s="4"/>
      <c r="EM28" s="4"/>
      <c r="EN28" s="4"/>
      <c r="EO28" s="4"/>
      <c r="EP28" s="4"/>
      <c r="EQ28" s="4"/>
      <c r="ER28" s="4"/>
      <c r="ES28" s="4"/>
      <c r="ET28" s="4"/>
      <c r="EU28" s="4"/>
      <c r="EV28" s="4"/>
      <c r="EW28" s="4"/>
      <c r="EX28" s="4"/>
      <c r="EY28" s="4"/>
      <c r="EZ28" s="4"/>
      <c r="FA28" s="4"/>
      <c r="FB28" s="4"/>
      <c r="FC28" s="4"/>
      <c r="FD28" s="4"/>
      <c r="FE28" s="4"/>
      <c r="FF28" s="4"/>
      <c r="FG28" s="4"/>
      <c r="FH28" s="4"/>
      <c r="FI28" s="4"/>
      <c r="FJ28" s="4"/>
      <c r="FK28" s="4"/>
      <c r="FL28" s="4"/>
      <c r="FM28" s="4"/>
      <c r="FN28" s="4"/>
      <c r="FO28" s="4"/>
      <c r="FP28" s="4"/>
      <c r="FQ28" s="4"/>
      <c r="FR28" s="4"/>
      <c r="FS28" s="4"/>
      <c r="FT28" s="4"/>
      <c r="FU28" s="4"/>
      <c r="FV28" s="4"/>
      <c r="FW28" s="4"/>
      <c r="FX28" s="4"/>
      <c r="FY28" s="4"/>
      <c r="FZ28" s="4"/>
      <c r="GA28" s="4"/>
      <c r="GB28" s="4"/>
      <c r="GC28" s="4"/>
      <c r="GD28" s="4"/>
      <c r="GE28" s="4"/>
      <c r="GF28" s="4"/>
      <c r="GG28" s="4"/>
      <c r="GH28" s="4"/>
      <c r="GI28" s="4"/>
      <c r="GJ28" s="4"/>
      <c r="GK28" s="4"/>
      <c r="GL28" s="4"/>
      <c r="GM28" s="4"/>
      <c r="GN28" s="4"/>
      <c r="GO28" s="4"/>
      <c r="GP28" s="4"/>
      <c r="GQ28" s="4"/>
      <c r="GR28" s="4"/>
      <c r="GS28" s="4"/>
      <c r="GT28" s="4"/>
      <c r="GU28" s="4"/>
      <c r="GV28" s="4"/>
      <c r="GW28" s="4"/>
      <c r="GX28" s="4"/>
      <c r="GY28" s="4"/>
      <c r="GZ28" s="4"/>
      <c r="HA28" s="4"/>
      <c r="HB28" s="4"/>
      <c r="HC28" s="4"/>
      <c r="HD28" s="4"/>
      <c r="HE28" s="4"/>
      <c r="HF28" s="4"/>
      <c r="HG28" s="4"/>
      <c r="HH28" s="4"/>
      <c r="HI28" s="4"/>
      <c r="HJ28" s="4"/>
      <c r="HK28" s="4"/>
      <c r="HL28" s="4"/>
      <c r="HM28" s="4"/>
      <c r="HN28" s="4"/>
      <c r="HO28" s="4"/>
      <c r="HP28" s="4"/>
      <c r="HQ28" s="4"/>
      <c r="HR28" s="4"/>
      <c r="HS28" s="4"/>
      <c r="HT28" s="4"/>
      <c r="HU28" s="4"/>
      <c r="HV28" s="4"/>
      <c r="HW28" s="4"/>
      <c r="HX28" s="4"/>
      <c r="HY28" s="4"/>
      <c r="HZ28" s="4"/>
      <c r="IA28" s="4"/>
      <c r="IB28"/>
      <c r="IC28"/>
      <c r="ID28"/>
      <c r="IE28"/>
      <c r="IF28"/>
      <c r="IG28"/>
      <c r="IH28"/>
      <c r="II28"/>
      <c r="IJ28"/>
      <c r="IK28"/>
      <c r="IL28"/>
      <c r="IM28"/>
      <c r="IN28"/>
      <c r="IO28"/>
      <c r="IP28"/>
      <c r="IQ28"/>
    </row>
    <row r="29" spans="1:251" s="44" customFormat="1">
      <c r="A29" s="126"/>
      <c r="B29" s="126" t="s">
        <v>339</v>
      </c>
      <c r="C29" s="294">
        <v>-17</v>
      </c>
      <c r="D29" s="294">
        <v>-522</v>
      </c>
      <c r="E29" s="156">
        <f>-15159-417</f>
        <v>-15576</v>
      </c>
      <c r="F29" s="156">
        <f>-451-960+21</f>
        <v>-1390</v>
      </c>
      <c r="G29" s="222">
        <v>-1097</v>
      </c>
      <c r="H29" s="222">
        <v>0</v>
      </c>
      <c r="I29" s="222">
        <v>0</v>
      </c>
      <c r="J29" s="222">
        <v>-4895</v>
      </c>
      <c r="K29" s="222">
        <v>0</v>
      </c>
      <c r="L29" s="222">
        <v>-4</v>
      </c>
      <c r="M29" s="222">
        <v>-4417</v>
      </c>
      <c r="N29" s="222">
        <f>M29--1519</f>
        <v>-2898</v>
      </c>
      <c r="O29" s="222">
        <v>0</v>
      </c>
      <c r="P29" s="222">
        <v>-10244</v>
      </c>
      <c r="Q29" s="222">
        <v>0</v>
      </c>
      <c r="R29" s="222">
        <v>0</v>
      </c>
      <c r="S29" s="222">
        <v>0</v>
      </c>
      <c r="T29" s="222">
        <v>0</v>
      </c>
      <c r="U29" s="222">
        <v>-102</v>
      </c>
      <c r="V29" s="222">
        <v>0</v>
      </c>
      <c r="W29" s="222">
        <v>-1578</v>
      </c>
      <c r="X29" s="222">
        <v>0</v>
      </c>
      <c r="Y29" s="222">
        <v>0</v>
      </c>
      <c r="Z29" s="222">
        <v>0</v>
      </c>
      <c r="AA29" s="222">
        <v>0</v>
      </c>
      <c r="AB29" s="222">
        <v>0</v>
      </c>
      <c r="AC29" s="222">
        <v>0</v>
      </c>
      <c r="AD29" s="222">
        <v>0</v>
      </c>
      <c r="AE29" s="222">
        <v>0</v>
      </c>
      <c r="AF29" s="222">
        <v>0</v>
      </c>
      <c r="AG29" s="4"/>
      <c r="AH29" s="4"/>
      <c r="AI29" s="4"/>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c r="DC29" s="4"/>
      <c r="DD29" s="4"/>
      <c r="DE29" s="4"/>
      <c r="DF29" s="4"/>
      <c r="DG29" s="4"/>
      <c r="DH29" s="4"/>
      <c r="DI29" s="4"/>
      <c r="DJ29" s="4"/>
      <c r="DK29" s="4"/>
      <c r="DL29" s="4"/>
      <c r="DM29" s="4"/>
      <c r="DN29" s="4"/>
      <c r="DO29" s="4"/>
      <c r="DP29" s="4"/>
      <c r="DQ29" s="4"/>
      <c r="DR29" s="4"/>
      <c r="DS29" s="4"/>
      <c r="DT29" s="4"/>
      <c r="DU29" s="4"/>
      <c r="DV29" s="4"/>
      <c r="DW29" s="4"/>
      <c r="DX29" s="4"/>
      <c r="DY29" s="4"/>
      <c r="DZ29" s="4"/>
      <c r="EA29" s="4"/>
      <c r="EB29" s="4"/>
      <c r="EC29" s="4"/>
      <c r="ED29" s="4"/>
      <c r="EE29" s="4"/>
      <c r="EF29" s="4"/>
      <c r="EG29" s="4"/>
      <c r="EH29" s="4"/>
      <c r="EI29" s="4"/>
      <c r="EJ29" s="4"/>
      <c r="EK29" s="4"/>
      <c r="EL29" s="4"/>
      <c r="EM29" s="4"/>
      <c r="EN29" s="4"/>
      <c r="EO29" s="4"/>
      <c r="EP29" s="4"/>
      <c r="EQ29" s="4"/>
      <c r="ER29" s="4"/>
      <c r="ES29" s="4"/>
      <c r="ET29" s="4"/>
      <c r="EU29" s="4"/>
      <c r="EV29" s="4"/>
      <c r="EW29" s="4"/>
      <c r="EX29" s="4"/>
      <c r="EY29" s="4"/>
      <c r="EZ29" s="4"/>
      <c r="FA29" s="4"/>
      <c r="FB29" s="4"/>
      <c r="FC29" s="4"/>
      <c r="FD29" s="4"/>
      <c r="FE29" s="4"/>
      <c r="FF29" s="4"/>
      <c r="FG29" s="4"/>
      <c r="FH29" s="4"/>
      <c r="FI29" s="4"/>
      <c r="FJ29" s="4"/>
      <c r="FK29" s="4"/>
      <c r="FL29" s="4"/>
      <c r="FM29" s="4"/>
      <c r="FN29" s="4"/>
      <c r="FO29" s="4"/>
      <c r="FP29" s="4"/>
      <c r="FQ29" s="4"/>
      <c r="FR29" s="4"/>
      <c r="FS29" s="4"/>
      <c r="FT29" s="4"/>
      <c r="FU29" s="4"/>
      <c r="FV29" s="4"/>
      <c r="FW29" s="4"/>
      <c r="FX29" s="4"/>
      <c r="FY29" s="4"/>
      <c r="FZ29" s="4"/>
      <c r="GA29" s="4"/>
      <c r="GB29" s="4"/>
      <c r="GC29" s="4"/>
      <c r="GD29" s="4"/>
      <c r="GE29" s="4"/>
      <c r="GF29" s="4"/>
      <c r="GG29" s="4"/>
      <c r="GH29" s="4"/>
      <c r="GI29" s="4"/>
      <c r="GJ29" s="4"/>
      <c r="GK29" s="4"/>
      <c r="GL29" s="4"/>
      <c r="GM29" s="4"/>
      <c r="GN29" s="4"/>
      <c r="GO29" s="4"/>
      <c r="GP29" s="4"/>
      <c r="GQ29" s="4"/>
      <c r="GR29" s="4"/>
      <c r="GS29" s="4"/>
      <c r="GT29" s="4"/>
      <c r="GU29" s="4"/>
      <c r="GV29" s="4"/>
      <c r="GW29" s="4"/>
      <c r="GX29" s="4"/>
      <c r="GY29" s="4"/>
      <c r="GZ29" s="4"/>
      <c r="HA29" s="4"/>
      <c r="HB29" s="4"/>
      <c r="HC29" s="4"/>
      <c r="HD29" s="4"/>
      <c r="HE29" s="4"/>
      <c r="HF29" s="4"/>
      <c r="HG29" s="4"/>
      <c r="HH29" s="4"/>
      <c r="HI29" s="4"/>
      <c r="HJ29" s="4"/>
      <c r="HK29" s="4"/>
      <c r="HL29" s="4"/>
      <c r="HM29" s="4"/>
      <c r="HN29" s="4"/>
      <c r="HO29" s="4"/>
      <c r="HP29" s="4"/>
      <c r="HQ29" s="4"/>
      <c r="HR29" s="4"/>
      <c r="HS29" s="4"/>
      <c r="HT29" s="4"/>
      <c r="HU29" s="4"/>
      <c r="HV29" s="4"/>
      <c r="HW29" s="4"/>
      <c r="HX29" s="4"/>
      <c r="HY29" s="4"/>
      <c r="HZ29" s="4"/>
      <c r="IA29" s="4"/>
      <c r="IB29"/>
      <c r="IC29"/>
      <c r="ID29"/>
      <c r="IE29"/>
      <c r="IF29"/>
      <c r="IG29"/>
      <c r="IH29"/>
      <c r="II29"/>
      <c r="IJ29"/>
      <c r="IK29"/>
      <c r="IL29"/>
      <c r="IM29"/>
      <c r="IN29"/>
      <c r="IO29"/>
      <c r="IP29"/>
      <c r="IQ29"/>
    </row>
    <row r="30" spans="1:251" s="44" customFormat="1">
      <c r="A30" s="126"/>
      <c r="B30" s="126" t="s">
        <v>25</v>
      </c>
      <c r="C30" s="294"/>
      <c r="D30" s="294"/>
      <c r="E30" s="156"/>
      <c r="F30" s="156"/>
      <c r="G30" s="222">
        <v>0</v>
      </c>
      <c r="H30" s="222">
        <v>0</v>
      </c>
      <c r="I30" s="222">
        <v>0</v>
      </c>
      <c r="J30" s="222">
        <v>0</v>
      </c>
      <c r="K30" s="222">
        <v>0</v>
      </c>
      <c r="L30" s="222">
        <v>0</v>
      </c>
      <c r="M30" s="222">
        <v>0</v>
      </c>
      <c r="N30" s="222">
        <f>+M30</f>
        <v>0</v>
      </c>
      <c r="O30" s="222">
        <v>0</v>
      </c>
      <c r="P30" s="222">
        <v>0</v>
      </c>
      <c r="Q30" s="222">
        <v>0</v>
      </c>
      <c r="R30" s="222">
        <v>0</v>
      </c>
      <c r="S30" s="222">
        <v>0</v>
      </c>
      <c r="T30" s="222">
        <v>0</v>
      </c>
      <c r="U30" s="222">
        <v>0</v>
      </c>
      <c r="V30" s="222">
        <v>0</v>
      </c>
      <c r="W30" s="222">
        <v>0</v>
      </c>
      <c r="X30" s="222">
        <v>0</v>
      </c>
      <c r="Y30" s="222">
        <v>0</v>
      </c>
      <c r="Z30" s="222">
        <v>0</v>
      </c>
      <c r="AA30" s="222">
        <v>0</v>
      </c>
      <c r="AB30" s="222">
        <v>0</v>
      </c>
      <c r="AC30" s="222">
        <v>0</v>
      </c>
      <c r="AD30" s="222">
        <v>0</v>
      </c>
      <c r="AE30" s="222">
        <v>0</v>
      </c>
      <c r="AF30" s="222">
        <v>0</v>
      </c>
      <c r="AG30" s="4"/>
      <c r="AH30" s="4"/>
      <c r="AI30" s="4"/>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c r="DC30" s="4"/>
      <c r="DD30" s="4"/>
      <c r="DE30" s="4"/>
      <c r="DF30" s="4"/>
      <c r="DG30" s="4"/>
      <c r="DH30" s="4"/>
      <c r="DI30" s="4"/>
      <c r="DJ30" s="4"/>
      <c r="DK30" s="4"/>
      <c r="DL30" s="4"/>
      <c r="DM30" s="4"/>
      <c r="DN30" s="4"/>
      <c r="DO30" s="4"/>
      <c r="DP30" s="4"/>
      <c r="DQ30" s="4"/>
      <c r="DR30" s="4"/>
      <c r="DS30" s="4"/>
      <c r="DT30" s="4"/>
      <c r="DU30" s="4"/>
      <c r="DV30" s="4"/>
      <c r="DW30" s="4"/>
      <c r="DX30" s="4"/>
      <c r="DY30" s="4"/>
      <c r="DZ30" s="4"/>
      <c r="EA30" s="4"/>
      <c r="EB30" s="4"/>
      <c r="EC30" s="4"/>
      <c r="ED30" s="4"/>
      <c r="EE30" s="4"/>
      <c r="EF30" s="4"/>
      <c r="EG30" s="4"/>
      <c r="EH30" s="4"/>
      <c r="EI30" s="4"/>
      <c r="EJ30" s="4"/>
      <c r="EK30" s="4"/>
      <c r="EL30" s="4"/>
      <c r="EM30" s="4"/>
      <c r="EN30" s="4"/>
      <c r="EO30" s="4"/>
      <c r="EP30" s="4"/>
      <c r="EQ30" s="4"/>
      <c r="ER30" s="4"/>
      <c r="ES30" s="4"/>
      <c r="ET30" s="4"/>
      <c r="EU30" s="4"/>
      <c r="EV30" s="4"/>
      <c r="EW30" s="4"/>
      <c r="EX30" s="4"/>
      <c r="EY30" s="4"/>
      <c r="EZ30" s="4"/>
      <c r="FA30" s="4"/>
      <c r="FB30" s="4"/>
      <c r="FC30" s="4"/>
      <c r="FD30" s="4"/>
      <c r="FE30" s="4"/>
      <c r="FF30" s="4"/>
      <c r="FG30" s="4"/>
      <c r="FH30" s="4"/>
      <c r="FI30" s="4"/>
      <c r="FJ30" s="4"/>
      <c r="FK30" s="4"/>
      <c r="FL30" s="4"/>
      <c r="FM30" s="4"/>
      <c r="FN30" s="4"/>
      <c r="FO30" s="4"/>
      <c r="FP30" s="4"/>
      <c r="FQ30" s="4"/>
      <c r="FR30" s="4"/>
      <c r="FS30" s="4"/>
      <c r="FT30" s="4"/>
      <c r="FU30" s="4"/>
      <c r="FV30" s="4"/>
      <c r="FW30" s="4"/>
      <c r="FX30" s="4"/>
      <c r="FY30" s="4"/>
      <c r="FZ30" s="4"/>
      <c r="GA30" s="4"/>
      <c r="GB30" s="4"/>
      <c r="GC30" s="4"/>
      <c r="GD30" s="4"/>
      <c r="GE30" s="4"/>
      <c r="GF30" s="4"/>
      <c r="GG30" s="4"/>
      <c r="GH30" s="4"/>
      <c r="GI30" s="4"/>
      <c r="GJ30" s="4"/>
      <c r="GK30" s="4"/>
      <c r="GL30" s="4"/>
      <c r="GM30" s="4"/>
      <c r="GN30" s="4"/>
      <c r="GO30" s="4"/>
      <c r="GP30" s="4"/>
      <c r="GQ30" s="4"/>
      <c r="GR30" s="4"/>
      <c r="GS30" s="4"/>
      <c r="GT30" s="4"/>
      <c r="GU30" s="4"/>
      <c r="GV30" s="4"/>
      <c r="GW30" s="4"/>
      <c r="GX30" s="4"/>
      <c r="GY30" s="4"/>
      <c r="GZ30" s="4"/>
      <c r="HA30" s="4"/>
      <c r="HB30" s="4"/>
      <c r="HC30" s="4"/>
      <c r="HD30" s="4"/>
      <c r="HE30" s="4"/>
      <c r="HF30" s="4"/>
      <c r="HG30" s="4"/>
      <c r="HH30" s="4"/>
      <c r="HI30" s="4"/>
      <c r="HJ30" s="4"/>
      <c r="HK30" s="4"/>
      <c r="HL30" s="4"/>
      <c r="HM30" s="4"/>
      <c r="HN30" s="4"/>
      <c r="HO30" s="4"/>
      <c r="HP30" s="4"/>
      <c r="HQ30" s="4"/>
      <c r="HR30" s="4"/>
      <c r="HS30" s="4"/>
      <c r="HT30" s="4"/>
      <c r="HU30" s="4"/>
      <c r="HV30" s="4"/>
      <c r="HW30" s="4"/>
      <c r="HX30" s="4"/>
      <c r="HY30" s="4"/>
      <c r="HZ30" s="4"/>
      <c r="IA30" s="4"/>
      <c r="IB30"/>
      <c r="IC30"/>
      <c r="ID30"/>
      <c r="IE30"/>
      <c r="IF30"/>
      <c r="IG30"/>
      <c r="IH30"/>
      <c r="II30"/>
      <c r="IJ30"/>
      <c r="IK30"/>
      <c r="IL30"/>
      <c r="IM30"/>
      <c r="IN30"/>
      <c r="IO30"/>
      <c r="IP30"/>
      <c r="IQ30"/>
    </row>
    <row r="31" spans="1:251" s="44" customFormat="1">
      <c r="A31" s="127"/>
      <c r="B31" s="127" t="s">
        <v>119</v>
      </c>
      <c r="C31" s="294">
        <v>16</v>
      </c>
      <c r="D31" s="294">
        <v>175</v>
      </c>
      <c r="E31" s="156">
        <v>433</v>
      </c>
      <c r="F31" s="156">
        <v>139</v>
      </c>
      <c r="G31" s="222">
        <v>360</v>
      </c>
      <c r="H31" s="222">
        <v>0</v>
      </c>
      <c r="I31" s="222">
        <v>0</v>
      </c>
      <c r="J31" s="222">
        <v>0</v>
      </c>
      <c r="K31" s="222">
        <v>0</v>
      </c>
      <c r="L31" s="222">
        <v>520</v>
      </c>
      <c r="M31" s="222">
        <v>4</v>
      </c>
      <c r="N31" s="222">
        <f>M31-87</f>
        <v>-83</v>
      </c>
      <c r="O31" s="222">
        <v>0</v>
      </c>
      <c r="P31" s="222">
        <v>0</v>
      </c>
      <c r="Q31" s="222">
        <v>0</v>
      </c>
      <c r="R31" s="222">
        <v>0</v>
      </c>
      <c r="S31" s="222">
        <v>0</v>
      </c>
      <c r="T31" s="222">
        <v>0</v>
      </c>
      <c r="U31" s="222">
        <v>0</v>
      </c>
      <c r="V31" s="222">
        <v>0</v>
      </c>
      <c r="W31" s="222">
        <v>4773</v>
      </c>
      <c r="X31" s="222">
        <v>0</v>
      </c>
      <c r="Y31" s="222">
        <v>0</v>
      </c>
      <c r="Z31" s="222">
        <v>0</v>
      </c>
      <c r="AA31" s="222">
        <v>0</v>
      </c>
      <c r="AB31" s="222">
        <v>0</v>
      </c>
      <c r="AC31" s="222">
        <v>0</v>
      </c>
      <c r="AD31" s="222">
        <v>0</v>
      </c>
      <c r="AE31" s="222">
        <v>0</v>
      </c>
      <c r="AF31" s="222">
        <v>0</v>
      </c>
      <c r="AG31" s="4"/>
      <c r="AH31" s="4"/>
      <c r="AI31" s="4"/>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c r="DC31" s="4"/>
      <c r="DD31" s="4"/>
      <c r="DE31" s="4"/>
      <c r="DF31" s="4"/>
      <c r="DG31" s="4"/>
      <c r="DH31" s="4"/>
      <c r="DI31" s="4"/>
      <c r="DJ31" s="4"/>
      <c r="DK31" s="4"/>
      <c r="DL31" s="4"/>
      <c r="DM31" s="4"/>
      <c r="DN31" s="4"/>
      <c r="DO31" s="4"/>
      <c r="DP31" s="4"/>
      <c r="DQ31" s="4"/>
      <c r="DR31" s="4"/>
      <c r="DS31" s="4"/>
      <c r="DT31" s="4"/>
      <c r="DU31" s="4"/>
      <c r="DV31" s="4"/>
      <c r="DW31" s="4"/>
      <c r="DX31" s="4"/>
      <c r="DY31" s="4"/>
      <c r="DZ31" s="4"/>
      <c r="EA31" s="4"/>
      <c r="EB31" s="4"/>
      <c r="EC31" s="4"/>
      <c r="ED31" s="4"/>
      <c r="EE31" s="4"/>
      <c r="EF31" s="4"/>
      <c r="EG31" s="4"/>
      <c r="EH31" s="4"/>
      <c r="EI31" s="4"/>
      <c r="EJ31" s="4"/>
      <c r="EK31" s="4"/>
      <c r="EL31" s="4"/>
      <c r="EM31" s="4"/>
      <c r="EN31" s="4"/>
      <c r="EO31" s="4"/>
      <c r="EP31" s="4"/>
      <c r="EQ31" s="4"/>
      <c r="ER31" s="4"/>
      <c r="ES31" s="4"/>
      <c r="ET31" s="4"/>
      <c r="EU31" s="4"/>
      <c r="EV31" s="4"/>
      <c r="EW31" s="4"/>
      <c r="EX31" s="4"/>
      <c r="EY31" s="4"/>
      <c r="EZ31" s="4"/>
      <c r="FA31" s="4"/>
      <c r="FB31" s="4"/>
      <c r="FC31" s="4"/>
      <c r="FD31" s="4"/>
      <c r="FE31" s="4"/>
      <c r="FF31" s="4"/>
      <c r="FG31" s="4"/>
      <c r="FH31" s="4"/>
      <c r="FI31" s="4"/>
      <c r="FJ31" s="4"/>
      <c r="FK31" s="4"/>
      <c r="FL31" s="4"/>
      <c r="FM31" s="4"/>
      <c r="FN31" s="4"/>
      <c r="FO31" s="4"/>
      <c r="FP31" s="4"/>
      <c r="FQ31" s="4"/>
      <c r="FR31" s="4"/>
      <c r="FS31" s="4"/>
      <c r="FT31" s="4"/>
      <c r="FU31" s="4"/>
      <c r="FV31" s="4"/>
      <c r="FW31" s="4"/>
      <c r="FX31" s="4"/>
      <c r="FY31" s="4"/>
      <c r="FZ31" s="4"/>
      <c r="GA31" s="4"/>
      <c r="GB31" s="4"/>
      <c r="GC31" s="4"/>
      <c r="GD31" s="4"/>
      <c r="GE31" s="4"/>
      <c r="GF31" s="4"/>
      <c r="GG31" s="4"/>
      <c r="GH31" s="4"/>
      <c r="GI31" s="4"/>
      <c r="GJ31" s="4"/>
      <c r="GK31" s="4"/>
      <c r="GL31" s="4"/>
      <c r="GM31" s="4"/>
      <c r="GN31" s="4"/>
      <c r="GO31" s="4"/>
      <c r="GP31" s="4"/>
      <c r="GQ31" s="4"/>
      <c r="GR31" s="4"/>
      <c r="GS31" s="4"/>
      <c r="GT31" s="4"/>
      <c r="GU31" s="4"/>
      <c r="GV31" s="4"/>
      <c r="GW31" s="4"/>
      <c r="GX31" s="4"/>
      <c r="GY31" s="4"/>
      <c r="GZ31" s="4"/>
      <c r="HA31" s="4"/>
      <c r="HB31" s="4"/>
      <c r="HC31" s="4"/>
      <c r="HD31" s="4"/>
      <c r="HE31" s="4"/>
      <c r="HF31" s="4"/>
      <c r="HG31" s="4"/>
      <c r="HH31" s="4"/>
      <c r="HI31" s="4"/>
      <c r="HJ31" s="4"/>
      <c r="HK31" s="4"/>
      <c r="HL31" s="4"/>
      <c r="HM31" s="4"/>
      <c r="HN31" s="4"/>
      <c r="HO31" s="4"/>
      <c r="HP31" s="4"/>
      <c r="HQ31" s="4"/>
      <c r="HR31" s="4"/>
      <c r="HS31" s="4"/>
      <c r="HT31" s="4"/>
      <c r="HU31" s="4"/>
      <c r="HV31" s="4"/>
      <c r="HW31" s="4"/>
      <c r="HX31" s="4"/>
      <c r="HY31" s="4"/>
      <c r="HZ31" s="4"/>
      <c r="IA31" s="4"/>
      <c r="IB31"/>
      <c r="IC31"/>
      <c r="ID31"/>
      <c r="IE31"/>
      <c r="IF31"/>
      <c r="IG31"/>
      <c r="IH31"/>
      <c r="II31"/>
      <c r="IJ31"/>
      <c r="IK31"/>
      <c r="IL31"/>
      <c r="IM31"/>
      <c r="IN31"/>
      <c r="IO31"/>
      <c r="IP31"/>
      <c r="IQ31"/>
    </row>
    <row r="32" spans="1:251" s="33" customFormat="1">
      <c r="A32" s="127"/>
      <c r="B32" s="127" t="s">
        <v>178</v>
      </c>
      <c r="C32" s="296">
        <f>-154-736+141</f>
        <v>-749</v>
      </c>
      <c r="D32" s="296">
        <f>37-682+59</f>
        <v>-586</v>
      </c>
      <c r="E32" s="207">
        <f>28-865+156</f>
        <v>-681</v>
      </c>
      <c r="F32" s="207">
        <v>257</v>
      </c>
      <c r="G32" s="208">
        <v>275</v>
      </c>
      <c r="H32" s="208">
        <v>-453</v>
      </c>
      <c r="I32" s="208">
        <f>-179+18+24-10+644</f>
        <v>497</v>
      </c>
      <c r="J32" s="208">
        <f>-4932-J29+1668+112-3+476</f>
        <v>2216</v>
      </c>
      <c r="K32" s="208">
        <f>-4+1466+32-15+357</f>
        <v>1836</v>
      </c>
      <c r="L32" s="208">
        <f>-75-15+357</f>
        <v>267</v>
      </c>
      <c r="M32" s="208">
        <f>26-5+569</f>
        <v>590</v>
      </c>
      <c r="N32" s="208">
        <f>+M32--82</f>
        <v>672</v>
      </c>
      <c r="O32" s="208">
        <f>525+110-1+403</f>
        <v>1037</v>
      </c>
      <c r="P32" s="208">
        <f>-31-9+793</f>
        <v>753</v>
      </c>
      <c r="Q32" s="208">
        <f>115+312</f>
        <v>427</v>
      </c>
      <c r="R32" s="208">
        <f>2+490</f>
        <v>492</v>
      </c>
      <c r="S32" s="208">
        <f>-5+1049</f>
        <v>1044</v>
      </c>
      <c r="T32" s="208">
        <f>716+17</f>
        <v>733</v>
      </c>
      <c r="U32" s="208">
        <f>369+73</f>
        <v>442</v>
      </c>
      <c r="V32" s="208">
        <f>354-132-8</f>
        <v>214</v>
      </c>
      <c r="W32" s="207">
        <f>231-3+510-36</f>
        <v>702</v>
      </c>
      <c r="X32" s="207">
        <f>BS!X28-BS!Y28+BS!X29-BS!Y29+BS!X24-BS!Y24+BS!X23-BS!Y23</f>
        <v>175.06698950766804</v>
      </c>
      <c r="Y32" s="207">
        <f>BS!Y28-BS!Z28+BS!Y29-BS!Z29+BS!Y24-BS!Z24+BS!Y23-BS!Z23</f>
        <v>145.25332139942111</v>
      </c>
      <c r="Z32" s="207">
        <f>BS!Z28-BS!AA28+BS!Z29-BS!AA29+BS!Z24-BS!AA24+BS!Z23-BS!AA23</f>
        <v>120.51688006344193</v>
      </c>
      <c r="AA32" s="207">
        <f>BS!AA28-BS!AB28+BS!AA29-BS!AB29+BS!AA24-BS!AB24+BS!AA23-BS!AB23</f>
        <v>99.993020746744151</v>
      </c>
      <c r="AB32" s="207">
        <f>BS!AB28-BS!AC28+BS!AB29-BS!AC29+BS!AB24-BS!AC24+BS!AB23-BS!AC23</f>
        <v>82.964346511424083</v>
      </c>
      <c r="AC32" s="207">
        <f>BS!AC28-BS!AD28+BS!AC29-BS!AD29+BS!AC24-BS!AD24+BS!AC23-BS!AD23</f>
        <v>68.835632133774197</v>
      </c>
      <c r="AD32" s="207">
        <f>BS!AD28-BS!AE28+BS!AD29-BS!AE29+BS!AD24-BS!AE24+BS!AD23-BS!AE23</f>
        <v>57.113018428990472</v>
      </c>
      <c r="AE32" s="207">
        <f>BS!AE28-BS!AF28+BS!AE29-BS!AF29+BS!AE24-BS!AF24+BS!AE23-BS!AF23</f>
        <v>47.38674975383401</v>
      </c>
      <c r="AF32" s="207">
        <f>BS!AF28-BS!AG28+BS!AF29-BS!AG29+BS!AF24-BS!AG24+BS!AF23-BS!AG23</f>
        <v>39.316851288895123</v>
      </c>
      <c r="AG32" s="43"/>
      <c r="AH32" s="43"/>
      <c r="AI32" s="43"/>
      <c r="AJ32" s="43"/>
      <c r="AK32" s="43"/>
      <c r="AL32" s="43"/>
      <c r="AM32" s="43"/>
      <c r="AN32" s="43"/>
      <c r="AO32" s="43"/>
      <c r="AP32" s="43"/>
      <c r="AQ32" s="43"/>
      <c r="AR32" s="43"/>
      <c r="AS32" s="43"/>
      <c r="AT32" s="43"/>
      <c r="AU32" s="43"/>
      <c r="AV32" s="43"/>
      <c r="AW32" s="43"/>
      <c r="AX32" s="43"/>
      <c r="AY32" s="43"/>
      <c r="AZ32" s="43"/>
      <c r="BA32" s="43"/>
      <c r="BB32" s="43"/>
      <c r="BC32" s="43"/>
      <c r="BD32" s="43"/>
      <c r="BE32" s="43"/>
      <c r="BF32" s="43"/>
      <c r="BG32" s="43"/>
      <c r="BH32" s="43"/>
      <c r="BI32" s="43"/>
      <c r="BJ32" s="43"/>
      <c r="BK32" s="43"/>
      <c r="BL32" s="43"/>
      <c r="BM32" s="43"/>
      <c r="BN32" s="43"/>
      <c r="BO32" s="43"/>
      <c r="BP32" s="43"/>
      <c r="BQ32" s="43"/>
      <c r="BR32" s="43"/>
      <c r="BS32" s="43"/>
      <c r="BT32" s="43"/>
      <c r="BU32" s="43"/>
      <c r="BV32" s="43"/>
      <c r="BW32" s="43"/>
      <c r="BX32" s="43"/>
      <c r="BY32" s="43"/>
      <c r="BZ32" s="43"/>
      <c r="CA32" s="43"/>
      <c r="CB32" s="43"/>
      <c r="CC32" s="43"/>
      <c r="CD32" s="43"/>
      <c r="CE32" s="43"/>
      <c r="CF32" s="43"/>
      <c r="CG32" s="43"/>
      <c r="CH32" s="43"/>
      <c r="CI32" s="43"/>
      <c r="CJ32" s="43"/>
      <c r="CK32" s="43"/>
      <c r="CL32" s="43"/>
      <c r="CM32" s="43"/>
      <c r="CN32" s="43"/>
      <c r="CO32" s="43"/>
      <c r="CP32" s="43"/>
      <c r="CQ32" s="43"/>
      <c r="CR32" s="43"/>
      <c r="CS32" s="43"/>
      <c r="CT32" s="43"/>
      <c r="CU32" s="43"/>
      <c r="CV32" s="43"/>
      <c r="CW32" s="43"/>
      <c r="CX32" s="43"/>
      <c r="CY32" s="43"/>
      <c r="CZ32" s="43"/>
      <c r="DA32" s="43"/>
      <c r="DB32" s="43"/>
      <c r="DC32" s="43"/>
      <c r="DD32" s="43"/>
      <c r="DE32" s="43"/>
      <c r="DF32" s="43"/>
      <c r="DG32" s="43"/>
      <c r="DH32" s="43"/>
      <c r="DI32" s="43"/>
      <c r="DJ32" s="43"/>
      <c r="DK32" s="43"/>
      <c r="DL32" s="43"/>
      <c r="DM32" s="43"/>
      <c r="DN32" s="43"/>
      <c r="DO32" s="43"/>
      <c r="DP32" s="43"/>
      <c r="DQ32" s="43"/>
      <c r="DR32" s="43"/>
      <c r="DS32" s="43"/>
      <c r="DT32" s="43"/>
      <c r="DU32" s="43"/>
      <c r="DV32" s="43"/>
      <c r="DW32" s="43"/>
      <c r="DX32" s="43"/>
      <c r="DY32" s="43"/>
      <c r="DZ32" s="43"/>
      <c r="EA32" s="43"/>
      <c r="EB32" s="43"/>
      <c r="EC32" s="43"/>
      <c r="ED32" s="43"/>
      <c r="EE32" s="43"/>
      <c r="EF32" s="43"/>
      <c r="EG32" s="43"/>
      <c r="EH32" s="43"/>
      <c r="EI32" s="43"/>
      <c r="EJ32" s="43"/>
      <c r="EK32" s="43"/>
      <c r="EL32" s="43"/>
      <c r="EM32" s="43"/>
      <c r="EN32" s="43"/>
      <c r="EO32" s="43"/>
      <c r="EP32" s="43"/>
      <c r="EQ32" s="43"/>
      <c r="ER32" s="43"/>
      <c r="ES32" s="43"/>
      <c r="ET32" s="43"/>
      <c r="EU32" s="43"/>
      <c r="EV32" s="43"/>
      <c r="EW32" s="43"/>
      <c r="EX32" s="43"/>
      <c r="EY32" s="43"/>
      <c r="EZ32" s="43"/>
      <c r="FA32" s="43"/>
      <c r="FB32" s="43"/>
      <c r="FC32" s="43"/>
      <c r="FD32" s="43"/>
      <c r="FE32" s="43"/>
      <c r="FF32" s="43"/>
      <c r="FG32" s="43"/>
      <c r="FH32" s="43"/>
      <c r="FI32" s="43"/>
      <c r="FJ32" s="43"/>
      <c r="FK32" s="43"/>
      <c r="FL32" s="43"/>
      <c r="FM32" s="43"/>
      <c r="FN32" s="43"/>
      <c r="FO32" s="43"/>
      <c r="FP32" s="43"/>
      <c r="FQ32" s="43"/>
      <c r="FR32" s="43"/>
      <c r="FS32" s="43"/>
      <c r="FT32" s="43"/>
      <c r="FU32" s="43"/>
      <c r="FV32" s="43"/>
      <c r="FW32" s="43"/>
      <c r="FX32" s="43"/>
      <c r="FY32" s="43"/>
      <c r="FZ32" s="43"/>
      <c r="GA32" s="43"/>
      <c r="GB32" s="43"/>
      <c r="GC32" s="43"/>
      <c r="GD32" s="43"/>
      <c r="GE32" s="43"/>
      <c r="GF32" s="43"/>
      <c r="GG32" s="43"/>
      <c r="GH32" s="43"/>
      <c r="GI32" s="43"/>
      <c r="GJ32" s="43"/>
      <c r="GK32" s="43"/>
      <c r="GL32" s="43"/>
      <c r="GM32" s="43"/>
      <c r="GN32" s="43"/>
      <c r="GO32" s="43"/>
      <c r="GP32" s="43"/>
      <c r="GQ32" s="43"/>
      <c r="GR32" s="43"/>
      <c r="GS32" s="43"/>
      <c r="GT32" s="43"/>
      <c r="GU32" s="43"/>
      <c r="GV32" s="43"/>
      <c r="GW32" s="43"/>
      <c r="GX32" s="43"/>
      <c r="GY32" s="43"/>
      <c r="GZ32" s="43"/>
      <c r="HA32" s="43"/>
      <c r="HB32" s="43"/>
      <c r="HC32" s="43"/>
      <c r="HD32" s="43"/>
      <c r="HE32" s="43"/>
      <c r="HF32" s="43"/>
      <c r="HG32" s="43"/>
      <c r="HH32" s="43"/>
      <c r="HI32" s="43"/>
      <c r="HJ32" s="43"/>
      <c r="HK32" s="43"/>
      <c r="HL32" s="43"/>
      <c r="HM32" s="43"/>
      <c r="HN32" s="43"/>
      <c r="HO32" s="43"/>
      <c r="HP32" s="43"/>
      <c r="HQ32" s="43"/>
      <c r="HR32" s="43"/>
      <c r="HS32" s="43"/>
      <c r="HT32" s="43"/>
      <c r="HU32" s="43"/>
      <c r="HV32" s="43"/>
      <c r="HW32" s="43"/>
      <c r="HX32" s="43"/>
      <c r="HY32" s="43"/>
      <c r="HZ32" s="43"/>
      <c r="IA32" s="43"/>
      <c r="IB32"/>
      <c r="IC32"/>
      <c r="ID32"/>
      <c r="IE32"/>
      <c r="IF32"/>
      <c r="IG32"/>
      <c r="IH32"/>
      <c r="II32"/>
      <c r="IJ32"/>
      <c r="IK32"/>
      <c r="IL32"/>
      <c r="IM32"/>
      <c r="IN32"/>
      <c r="IO32"/>
      <c r="IP32"/>
      <c r="IQ32"/>
    </row>
    <row r="33" spans="1:251" s="37" customFormat="1">
      <c r="A33" s="285" t="s">
        <v>574</v>
      </c>
      <c r="B33" s="172"/>
      <c r="C33" s="220">
        <f t="shared" ref="C33:L33" si="7">SUM(C28:C32)</f>
        <v>-2554</v>
      </c>
      <c r="D33" s="220">
        <f t="shared" si="7"/>
        <v>-2682</v>
      </c>
      <c r="E33" s="196">
        <f t="shared" si="7"/>
        <v>-17506</v>
      </c>
      <c r="F33" s="196">
        <f t="shared" si="7"/>
        <v>-2916</v>
      </c>
      <c r="G33" s="196">
        <f t="shared" si="7"/>
        <v>-2471</v>
      </c>
      <c r="H33" s="196">
        <f>SUM(H28:H32)</f>
        <v>-2427</v>
      </c>
      <c r="I33" s="196">
        <f t="shared" si="7"/>
        <v>-1416</v>
      </c>
      <c r="J33" s="196">
        <f t="shared" si="7"/>
        <v>-4885</v>
      </c>
      <c r="K33" s="196">
        <f t="shared" si="7"/>
        <v>-618</v>
      </c>
      <c r="L33" s="196">
        <f t="shared" si="7"/>
        <v>-502</v>
      </c>
      <c r="M33" s="196">
        <f t="shared" ref="M33:V33" si="8">SUM(M28:M32)</f>
        <v>-5281</v>
      </c>
      <c r="N33" s="196">
        <f t="shared" si="8"/>
        <v>-2661</v>
      </c>
      <c r="O33" s="196">
        <f t="shared" si="8"/>
        <v>796</v>
      </c>
      <c r="P33" s="196">
        <f t="shared" si="8"/>
        <v>-9764</v>
      </c>
      <c r="Q33" s="196">
        <f t="shared" si="8"/>
        <v>259</v>
      </c>
      <c r="R33" s="196">
        <f t="shared" si="8"/>
        <v>387</v>
      </c>
      <c r="S33" s="196">
        <f t="shared" si="8"/>
        <v>920</v>
      </c>
      <c r="T33" s="196">
        <f t="shared" si="8"/>
        <v>602</v>
      </c>
      <c r="U33" s="196">
        <f t="shared" si="8"/>
        <v>177</v>
      </c>
      <c r="V33" s="196">
        <f t="shared" si="8"/>
        <v>-15</v>
      </c>
      <c r="W33" s="196">
        <f t="shared" ref="W33:AF33" si="9">SUM(W28:W32)</f>
        <v>3708</v>
      </c>
      <c r="X33" s="196">
        <f t="shared" si="9"/>
        <v>-23.383010492331977</v>
      </c>
      <c r="Y33" s="196">
        <f t="shared" si="9"/>
        <v>-63.11917860057892</v>
      </c>
      <c r="Z33" s="196">
        <f t="shared" si="9"/>
        <v>-98.274244936558119</v>
      </c>
      <c r="AA33" s="196">
        <f t="shared" si="9"/>
        <v>-129.73766050325591</v>
      </c>
      <c r="AB33" s="196">
        <f t="shared" si="9"/>
        <v>-158.252868801076</v>
      </c>
      <c r="AC33" s="196">
        <f t="shared" si="9"/>
        <v>-184.44244394435091</v>
      </c>
      <c r="AD33" s="196">
        <f t="shared" si="9"/>
        <v>-208.8289614530409</v>
      </c>
      <c r="AE33" s="196">
        <f t="shared" si="9"/>
        <v>-231.85232912229895</v>
      </c>
      <c r="AF33" s="196">
        <f t="shared" si="9"/>
        <v>-253.88418153104448</v>
      </c>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c r="BC33" s="129"/>
      <c r="BD33" s="129"/>
      <c r="BE33" s="129"/>
      <c r="BF33" s="129"/>
      <c r="BG33" s="129"/>
      <c r="BH33" s="129"/>
      <c r="BI33" s="129"/>
      <c r="BJ33" s="129"/>
      <c r="BK33" s="129"/>
      <c r="BL33" s="129"/>
      <c r="BM33" s="129"/>
      <c r="BN33" s="129"/>
      <c r="BO33" s="129"/>
      <c r="BP33" s="129"/>
      <c r="BQ33" s="129"/>
      <c r="BR33" s="129"/>
      <c r="BS33" s="129"/>
      <c r="BT33" s="129"/>
      <c r="BU33" s="129"/>
      <c r="BV33" s="129"/>
      <c r="BW33" s="129"/>
      <c r="BX33" s="129"/>
      <c r="BY33" s="129"/>
      <c r="BZ33" s="129"/>
      <c r="CA33" s="129"/>
      <c r="CB33" s="129"/>
      <c r="CC33" s="129"/>
      <c r="CD33" s="129"/>
      <c r="CE33" s="129"/>
      <c r="CF33" s="129"/>
      <c r="CG33" s="129"/>
      <c r="CH33" s="129"/>
      <c r="CI33" s="129"/>
      <c r="CJ33" s="129"/>
      <c r="CK33" s="129"/>
      <c r="CL33" s="129"/>
      <c r="CM33" s="129"/>
      <c r="CN33" s="129"/>
      <c r="CO33" s="129"/>
      <c r="CP33" s="129"/>
      <c r="CQ33" s="129"/>
      <c r="CR33" s="129"/>
      <c r="CS33" s="129"/>
      <c r="CT33" s="129"/>
      <c r="CU33" s="129"/>
      <c r="CV33" s="129"/>
      <c r="CW33" s="129"/>
      <c r="CX33" s="129"/>
      <c r="CY33" s="129"/>
      <c r="CZ33" s="129"/>
      <c r="DA33" s="129"/>
      <c r="DB33" s="129"/>
      <c r="DC33" s="129"/>
      <c r="DD33" s="129"/>
      <c r="DE33" s="129"/>
      <c r="DF33" s="129"/>
      <c r="DG33" s="129"/>
      <c r="DH33" s="129"/>
      <c r="DI33" s="129"/>
      <c r="DJ33" s="129"/>
      <c r="DK33" s="129"/>
      <c r="DL33" s="129"/>
      <c r="DM33" s="129"/>
      <c r="DN33" s="129"/>
      <c r="DO33" s="129"/>
      <c r="DP33" s="129"/>
      <c r="DQ33" s="129"/>
      <c r="DR33" s="129"/>
      <c r="DS33" s="129"/>
      <c r="DT33" s="129"/>
      <c r="DU33" s="129"/>
      <c r="DV33" s="129"/>
      <c r="DW33" s="129"/>
      <c r="DX33" s="129"/>
      <c r="DY33" s="129"/>
      <c r="DZ33" s="129"/>
      <c r="EA33" s="129"/>
      <c r="EB33" s="129"/>
      <c r="EC33" s="129"/>
      <c r="ED33" s="129"/>
      <c r="EE33" s="129"/>
      <c r="EF33" s="129"/>
      <c r="EG33" s="129"/>
      <c r="EH33" s="129"/>
      <c r="EI33" s="129"/>
      <c r="EJ33" s="129"/>
      <c r="EK33" s="129"/>
      <c r="EL33" s="129"/>
      <c r="EM33" s="129"/>
      <c r="EN33" s="129"/>
      <c r="EO33" s="129"/>
      <c r="EP33" s="129"/>
      <c r="EQ33" s="129"/>
      <c r="ER33" s="129"/>
      <c r="ES33" s="129"/>
      <c r="ET33" s="129"/>
      <c r="EU33" s="129"/>
      <c r="EV33" s="129"/>
      <c r="EW33" s="129"/>
      <c r="EX33" s="129"/>
      <c r="EY33" s="129"/>
      <c r="EZ33" s="129"/>
      <c r="FA33" s="129"/>
      <c r="FB33" s="129"/>
      <c r="FC33" s="129"/>
      <c r="FD33" s="129"/>
      <c r="FE33" s="129"/>
      <c r="FF33" s="129"/>
      <c r="FG33" s="129"/>
      <c r="FH33" s="129"/>
      <c r="FI33" s="129"/>
      <c r="FJ33" s="129"/>
      <c r="FK33" s="129"/>
      <c r="FL33" s="129"/>
      <c r="FM33" s="129"/>
      <c r="FN33" s="129"/>
      <c r="FO33" s="129"/>
      <c r="FP33" s="129"/>
      <c r="FQ33" s="129"/>
      <c r="FR33" s="129"/>
      <c r="FS33" s="129"/>
      <c r="FT33" s="129"/>
      <c r="FU33" s="129"/>
      <c r="FV33" s="129"/>
      <c r="FW33" s="129"/>
      <c r="FX33" s="129"/>
      <c r="FY33" s="129"/>
      <c r="FZ33" s="129"/>
      <c r="GA33" s="129"/>
      <c r="GB33" s="129"/>
      <c r="GC33" s="129"/>
      <c r="GD33" s="129"/>
      <c r="GE33" s="129"/>
      <c r="GF33" s="129"/>
      <c r="GG33" s="129"/>
      <c r="GH33" s="129"/>
      <c r="GI33" s="129"/>
      <c r="GJ33" s="129"/>
      <c r="GK33" s="129"/>
      <c r="GL33" s="129"/>
      <c r="GM33" s="129"/>
      <c r="GN33" s="129"/>
      <c r="GO33" s="129"/>
      <c r="GP33" s="129"/>
      <c r="GQ33" s="129"/>
      <c r="GR33" s="129"/>
      <c r="GS33" s="129"/>
      <c r="GT33" s="129"/>
      <c r="GU33" s="129"/>
      <c r="GV33" s="129"/>
      <c r="GW33" s="129"/>
      <c r="GX33" s="129"/>
      <c r="GY33" s="129"/>
      <c r="GZ33" s="129"/>
      <c r="HA33" s="129"/>
      <c r="HB33" s="129"/>
      <c r="HC33" s="129"/>
      <c r="HD33" s="129"/>
      <c r="HE33" s="129"/>
      <c r="HF33" s="129"/>
      <c r="HG33" s="129"/>
      <c r="HH33" s="129"/>
      <c r="HI33" s="129"/>
      <c r="HJ33" s="129"/>
      <c r="HK33" s="129"/>
      <c r="HL33" s="129"/>
      <c r="HM33" s="129"/>
      <c r="HN33" s="129"/>
      <c r="HO33" s="129"/>
      <c r="HP33" s="129"/>
      <c r="HQ33" s="129"/>
      <c r="HR33" s="129"/>
      <c r="HS33" s="129"/>
      <c r="HT33" s="129"/>
      <c r="HU33" s="129"/>
      <c r="HV33" s="129"/>
      <c r="HW33" s="129"/>
      <c r="HX33" s="129"/>
      <c r="HY33" s="129"/>
      <c r="HZ33" s="129"/>
      <c r="IA33" s="129"/>
      <c r="IB33"/>
      <c r="IC33"/>
      <c r="ID33"/>
      <c r="IE33"/>
      <c r="IF33"/>
      <c r="IG33"/>
      <c r="IH33"/>
      <c r="II33"/>
      <c r="IJ33"/>
      <c r="IK33"/>
      <c r="IL33"/>
      <c r="IM33"/>
      <c r="IN33"/>
      <c r="IO33"/>
      <c r="IP33"/>
      <c r="IQ33"/>
    </row>
    <row r="34" spans="1:251" s="33" customFormat="1">
      <c r="A34" s="127"/>
      <c r="B34" s="125"/>
      <c r="C34" s="205"/>
      <c r="D34" s="205"/>
      <c r="E34" s="156"/>
      <c r="F34" s="156"/>
      <c r="G34" s="156"/>
      <c r="H34" s="156"/>
      <c r="I34" s="156"/>
      <c r="J34" s="156"/>
      <c r="K34" s="156"/>
      <c r="L34" s="156"/>
      <c r="M34" s="156"/>
      <c r="N34" s="156"/>
      <c r="O34" s="205"/>
      <c r="P34" s="205"/>
      <c r="Q34" s="205"/>
      <c r="R34" s="156"/>
      <c r="S34" s="205"/>
      <c r="T34" s="205"/>
      <c r="U34" s="205"/>
      <c r="V34" s="205"/>
      <c r="W34" s="205"/>
      <c r="X34" s="205"/>
      <c r="Y34" s="205"/>
      <c r="Z34" s="205"/>
      <c r="AA34" s="205"/>
      <c r="AB34" s="205"/>
      <c r="AC34" s="205"/>
      <c r="AD34" s="205"/>
      <c r="AE34" s="205"/>
      <c r="AF34" s="205"/>
      <c r="AG34" s="43"/>
      <c r="AH34" s="43"/>
      <c r="AI34" s="43"/>
      <c r="AJ34" s="43"/>
      <c r="AK34" s="43"/>
      <c r="AL34" s="43"/>
      <c r="AM34" s="43"/>
      <c r="AN34" s="43"/>
      <c r="AO34" s="43"/>
      <c r="AP34" s="43"/>
      <c r="AQ34" s="43"/>
      <c r="AR34" s="43"/>
      <c r="AS34" s="43"/>
      <c r="AT34" s="43"/>
      <c r="AU34" s="43"/>
      <c r="AV34" s="43"/>
      <c r="AW34" s="43"/>
      <c r="AX34" s="43"/>
      <c r="AY34" s="43"/>
      <c r="AZ34" s="43"/>
      <c r="BA34" s="43"/>
      <c r="BB34" s="43"/>
      <c r="BC34" s="43"/>
      <c r="BD34" s="43"/>
      <c r="BE34" s="43"/>
      <c r="BF34" s="43"/>
      <c r="BG34" s="43"/>
      <c r="BH34" s="43"/>
      <c r="BI34" s="43"/>
      <c r="BJ34" s="43"/>
      <c r="BK34" s="43"/>
      <c r="BL34" s="43"/>
      <c r="BM34" s="43"/>
      <c r="BN34" s="43"/>
      <c r="BO34" s="43"/>
      <c r="BP34" s="43"/>
      <c r="BQ34" s="43"/>
      <c r="BR34" s="43"/>
      <c r="BS34" s="43"/>
      <c r="BT34" s="43"/>
      <c r="BU34" s="43"/>
      <c r="BV34" s="43"/>
      <c r="BW34" s="43"/>
      <c r="BX34" s="43"/>
      <c r="BY34" s="43"/>
      <c r="BZ34" s="43"/>
      <c r="CA34" s="43"/>
      <c r="CB34" s="43"/>
      <c r="CC34" s="43"/>
      <c r="CD34" s="43"/>
      <c r="CE34" s="43"/>
      <c r="CF34" s="43"/>
      <c r="CG34" s="43"/>
      <c r="CH34" s="43"/>
      <c r="CI34" s="43"/>
      <c r="CJ34" s="43"/>
      <c r="CK34" s="43"/>
      <c r="CL34" s="43"/>
      <c r="CM34" s="43"/>
      <c r="CN34" s="43"/>
      <c r="CO34" s="43"/>
      <c r="CP34" s="43"/>
      <c r="CQ34" s="43"/>
      <c r="CR34" s="43"/>
      <c r="CS34" s="43"/>
      <c r="CT34" s="43"/>
      <c r="CU34" s="43"/>
      <c r="CV34" s="43"/>
      <c r="CW34" s="43"/>
      <c r="CX34" s="43"/>
      <c r="CY34" s="43"/>
      <c r="CZ34" s="43"/>
      <c r="DA34" s="43"/>
      <c r="DB34" s="43"/>
      <c r="DC34" s="43"/>
      <c r="DD34" s="43"/>
      <c r="DE34" s="43"/>
      <c r="DF34" s="43"/>
      <c r="DG34" s="43"/>
      <c r="DH34" s="43"/>
      <c r="DI34" s="43"/>
      <c r="DJ34" s="43"/>
      <c r="DK34" s="43"/>
      <c r="DL34" s="43"/>
      <c r="DM34" s="43"/>
      <c r="DN34" s="43"/>
      <c r="DO34" s="43"/>
      <c r="DP34" s="43"/>
      <c r="DQ34" s="43"/>
      <c r="DR34" s="43"/>
      <c r="DS34" s="43"/>
      <c r="DT34" s="43"/>
      <c r="DU34" s="43"/>
      <c r="DV34" s="43"/>
      <c r="DW34" s="43"/>
      <c r="DX34" s="43"/>
      <c r="DY34" s="43"/>
      <c r="DZ34" s="43"/>
      <c r="EA34" s="43"/>
      <c r="EB34" s="43"/>
      <c r="EC34" s="43"/>
      <c r="ED34" s="43"/>
      <c r="EE34" s="43"/>
      <c r="EF34" s="43"/>
      <c r="EG34" s="43"/>
      <c r="EH34" s="43"/>
      <c r="EI34" s="43"/>
      <c r="EJ34" s="43"/>
      <c r="EK34" s="43"/>
      <c r="EL34" s="43"/>
      <c r="EM34" s="43"/>
      <c r="EN34" s="43"/>
      <c r="EO34" s="43"/>
      <c r="EP34" s="43"/>
      <c r="EQ34" s="43"/>
      <c r="ER34" s="43"/>
      <c r="ES34" s="43"/>
      <c r="ET34" s="43"/>
      <c r="EU34" s="43"/>
      <c r="EV34" s="43"/>
      <c r="EW34" s="43"/>
      <c r="EX34" s="43"/>
      <c r="EY34" s="43"/>
      <c r="EZ34" s="43"/>
      <c r="FA34" s="43"/>
      <c r="FB34" s="43"/>
      <c r="FC34" s="43"/>
      <c r="FD34" s="43"/>
      <c r="FE34" s="43"/>
      <c r="FF34" s="43"/>
      <c r="FG34" s="43"/>
      <c r="FH34" s="43"/>
      <c r="FI34" s="43"/>
      <c r="FJ34" s="43"/>
      <c r="FK34" s="43"/>
      <c r="FL34" s="43"/>
      <c r="FM34" s="43"/>
      <c r="FN34" s="43"/>
      <c r="FO34" s="43"/>
      <c r="FP34" s="43"/>
      <c r="FQ34" s="43"/>
      <c r="FR34" s="43"/>
      <c r="FS34" s="43"/>
      <c r="FT34" s="43"/>
      <c r="FU34" s="43"/>
      <c r="FV34" s="43"/>
      <c r="FW34" s="43"/>
      <c r="FX34" s="43"/>
      <c r="FY34" s="43"/>
      <c r="FZ34" s="43"/>
      <c r="GA34" s="43"/>
      <c r="GB34" s="43"/>
      <c r="GC34" s="43"/>
      <c r="GD34" s="43"/>
      <c r="GE34" s="43"/>
      <c r="GF34" s="43"/>
      <c r="GG34" s="43"/>
      <c r="GH34" s="43"/>
      <c r="GI34" s="43"/>
      <c r="GJ34" s="43"/>
      <c r="GK34" s="43"/>
      <c r="GL34" s="43"/>
      <c r="GM34" s="43"/>
      <c r="GN34" s="43"/>
      <c r="GO34" s="43"/>
      <c r="GP34" s="43"/>
      <c r="GQ34" s="43"/>
      <c r="GR34" s="43"/>
      <c r="GS34" s="43"/>
      <c r="GT34" s="43"/>
      <c r="GU34" s="43"/>
      <c r="GV34" s="43"/>
      <c r="GW34" s="43"/>
      <c r="GX34" s="43"/>
      <c r="GY34" s="43"/>
      <c r="GZ34" s="43"/>
      <c r="HA34" s="43"/>
      <c r="HB34" s="43"/>
      <c r="HC34" s="43"/>
      <c r="HD34" s="43"/>
      <c r="HE34" s="43"/>
      <c r="HF34" s="43"/>
      <c r="HG34" s="43"/>
      <c r="HH34" s="43"/>
      <c r="HI34" s="43"/>
      <c r="HJ34" s="43"/>
      <c r="HK34" s="43"/>
      <c r="HL34" s="43"/>
      <c r="HM34" s="43"/>
      <c r="HN34" s="43"/>
      <c r="HO34" s="43"/>
      <c r="HP34" s="43"/>
      <c r="HQ34" s="43"/>
      <c r="HR34" s="43"/>
      <c r="HS34" s="43"/>
      <c r="HT34" s="43"/>
      <c r="HU34" s="43"/>
      <c r="HV34" s="43"/>
      <c r="HW34" s="43"/>
      <c r="HX34" s="43"/>
      <c r="HY34" s="43"/>
      <c r="HZ34" s="43"/>
      <c r="IA34" s="43"/>
      <c r="IB34"/>
      <c r="IC34"/>
      <c r="ID34"/>
      <c r="IE34"/>
      <c r="IF34"/>
      <c r="IG34"/>
      <c r="IH34"/>
      <c r="II34"/>
      <c r="IJ34"/>
      <c r="IK34"/>
      <c r="IL34"/>
      <c r="IM34"/>
      <c r="IN34"/>
      <c r="IO34"/>
      <c r="IP34"/>
      <c r="IQ34"/>
    </row>
    <row r="35" spans="1:251" s="33" customFormat="1">
      <c r="A35" s="285" t="s">
        <v>633</v>
      </c>
      <c r="B35" s="125"/>
      <c r="C35" s="205"/>
      <c r="D35" s="205"/>
      <c r="E35" s="156"/>
      <c r="F35" s="156"/>
      <c r="G35" s="156"/>
      <c r="H35" s="156"/>
      <c r="I35" s="156"/>
      <c r="J35" s="156"/>
      <c r="K35" s="156"/>
      <c r="L35" s="156"/>
      <c r="M35" s="156"/>
      <c r="N35" s="156"/>
      <c r="O35" s="205"/>
      <c r="P35" s="205"/>
      <c r="Q35" s="205"/>
      <c r="R35" s="156"/>
      <c r="S35" s="205"/>
      <c r="T35" s="205"/>
      <c r="U35" s="205"/>
      <c r="V35" s="205"/>
      <c r="W35" s="205"/>
      <c r="X35" s="205"/>
      <c r="Y35" s="205"/>
      <c r="Z35" s="205"/>
      <c r="AA35" s="205"/>
      <c r="AB35" s="205"/>
      <c r="AC35" s="205"/>
      <c r="AD35" s="205"/>
      <c r="AE35" s="205"/>
      <c r="AF35" s="205"/>
      <c r="AG35" s="43"/>
      <c r="AH35" s="43"/>
      <c r="AI35" s="43"/>
      <c r="AJ35" s="43"/>
      <c r="AK35" s="43"/>
      <c r="AL35" s="43"/>
      <c r="AM35" s="43"/>
      <c r="AN35" s="43"/>
      <c r="AO35" s="43"/>
      <c r="AP35" s="43"/>
      <c r="AQ35" s="43"/>
      <c r="AR35" s="43"/>
      <c r="AS35" s="43"/>
      <c r="AT35" s="43"/>
      <c r="AU35" s="43"/>
      <c r="AV35" s="43"/>
      <c r="AW35" s="43"/>
      <c r="AX35" s="43"/>
      <c r="AY35" s="43"/>
      <c r="AZ35" s="43"/>
      <c r="BA35" s="43"/>
      <c r="BB35" s="43"/>
      <c r="BC35" s="43"/>
      <c r="BD35" s="43"/>
      <c r="BE35" s="43"/>
      <c r="BF35" s="43"/>
      <c r="BG35" s="43"/>
      <c r="BH35" s="43"/>
      <c r="BI35" s="43"/>
      <c r="BJ35" s="43"/>
      <c r="BK35" s="43"/>
      <c r="BL35" s="43"/>
      <c r="BM35" s="43"/>
      <c r="BN35" s="43"/>
      <c r="BO35" s="43"/>
      <c r="BP35" s="43"/>
      <c r="BQ35" s="43"/>
      <c r="BR35" s="43"/>
      <c r="BS35" s="43"/>
      <c r="BT35" s="43"/>
      <c r="BU35" s="43"/>
      <c r="BV35" s="43"/>
      <c r="BW35" s="43"/>
      <c r="BX35" s="43"/>
      <c r="BY35" s="43"/>
      <c r="BZ35" s="43"/>
      <c r="CA35" s="43"/>
      <c r="CB35" s="43"/>
      <c r="CC35" s="43"/>
      <c r="CD35" s="43"/>
      <c r="CE35" s="43"/>
      <c r="CF35" s="43"/>
      <c r="CG35" s="43"/>
      <c r="CH35" s="43"/>
      <c r="CI35" s="43"/>
      <c r="CJ35" s="43"/>
      <c r="CK35" s="43"/>
      <c r="CL35" s="43"/>
      <c r="CM35" s="43"/>
      <c r="CN35" s="43"/>
      <c r="CO35" s="43"/>
      <c r="CP35" s="43"/>
      <c r="CQ35" s="43"/>
      <c r="CR35" s="43"/>
      <c r="CS35" s="43"/>
      <c r="CT35" s="43"/>
      <c r="CU35" s="43"/>
      <c r="CV35" s="43"/>
      <c r="CW35" s="43"/>
      <c r="CX35" s="43"/>
      <c r="CY35" s="43"/>
      <c r="CZ35" s="43"/>
      <c r="DA35" s="43"/>
      <c r="DB35" s="43"/>
      <c r="DC35" s="43"/>
      <c r="DD35" s="43"/>
      <c r="DE35" s="43"/>
      <c r="DF35" s="43"/>
      <c r="DG35" s="43"/>
      <c r="DH35" s="43"/>
      <c r="DI35" s="43"/>
      <c r="DJ35" s="43"/>
      <c r="DK35" s="43"/>
      <c r="DL35" s="43"/>
      <c r="DM35" s="43"/>
      <c r="DN35" s="43"/>
      <c r="DO35" s="43"/>
      <c r="DP35" s="43"/>
      <c r="DQ35" s="43"/>
      <c r="DR35" s="43"/>
      <c r="DS35" s="43"/>
      <c r="DT35" s="43"/>
      <c r="DU35" s="43"/>
      <c r="DV35" s="43"/>
      <c r="DW35" s="43"/>
      <c r="DX35" s="43"/>
      <c r="DY35" s="43"/>
      <c r="DZ35" s="43"/>
      <c r="EA35" s="43"/>
      <c r="EB35" s="43"/>
      <c r="EC35" s="43"/>
      <c r="ED35" s="43"/>
      <c r="EE35" s="43"/>
      <c r="EF35" s="43"/>
      <c r="EG35" s="43"/>
      <c r="EH35" s="43"/>
      <c r="EI35" s="43"/>
      <c r="EJ35" s="43"/>
      <c r="EK35" s="43"/>
      <c r="EL35" s="43"/>
      <c r="EM35" s="43"/>
      <c r="EN35" s="43"/>
      <c r="EO35" s="43"/>
      <c r="EP35" s="43"/>
      <c r="EQ35" s="43"/>
      <c r="ER35" s="43"/>
      <c r="ES35" s="43"/>
      <c r="ET35" s="43"/>
      <c r="EU35" s="43"/>
      <c r="EV35" s="43"/>
      <c r="EW35" s="43"/>
      <c r="EX35" s="43"/>
      <c r="EY35" s="43"/>
      <c r="EZ35" s="43"/>
      <c r="FA35" s="43"/>
      <c r="FB35" s="43"/>
      <c r="FC35" s="43"/>
      <c r="FD35" s="43"/>
      <c r="FE35" s="43"/>
      <c r="FF35" s="43"/>
      <c r="FG35" s="43"/>
      <c r="FH35" s="43"/>
      <c r="FI35" s="43"/>
      <c r="FJ35" s="43"/>
      <c r="FK35" s="43"/>
      <c r="FL35" s="43"/>
      <c r="FM35" s="43"/>
      <c r="FN35" s="43"/>
      <c r="FO35" s="43"/>
      <c r="FP35" s="43"/>
      <c r="FQ35" s="43"/>
      <c r="FR35" s="43"/>
      <c r="FS35" s="43"/>
      <c r="FT35" s="43"/>
      <c r="FU35" s="43"/>
      <c r="FV35" s="43"/>
      <c r="FW35" s="43"/>
      <c r="FX35" s="43"/>
      <c r="FY35" s="43"/>
      <c r="FZ35" s="43"/>
      <c r="GA35" s="43"/>
      <c r="GB35" s="43"/>
      <c r="GC35" s="43"/>
      <c r="GD35" s="43"/>
      <c r="GE35" s="43"/>
      <c r="GF35" s="43"/>
      <c r="GG35" s="43"/>
      <c r="GH35" s="43"/>
      <c r="GI35" s="43"/>
      <c r="GJ35" s="43"/>
      <c r="GK35" s="43"/>
      <c r="GL35" s="43"/>
      <c r="GM35" s="43"/>
      <c r="GN35" s="43"/>
      <c r="GO35" s="43"/>
      <c r="GP35" s="43"/>
      <c r="GQ35" s="43"/>
      <c r="GR35" s="43"/>
      <c r="GS35" s="43"/>
      <c r="GT35" s="43"/>
      <c r="GU35" s="43"/>
      <c r="GV35" s="43"/>
      <c r="GW35" s="43"/>
      <c r="GX35" s="43"/>
      <c r="GY35" s="43"/>
      <c r="GZ35" s="43"/>
      <c r="HA35" s="43"/>
      <c r="HB35" s="43"/>
      <c r="HC35" s="43"/>
      <c r="HD35" s="43"/>
      <c r="HE35" s="43"/>
      <c r="HF35" s="43"/>
      <c r="HG35" s="43"/>
      <c r="HH35" s="43"/>
      <c r="HI35" s="43"/>
      <c r="HJ35" s="43"/>
      <c r="HK35" s="43"/>
      <c r="HL35" s="43"/>
      <c r="HM35" s="43"/>
      <c r="HN35" s="43"/>
      <c r="HO35" s="43"/>
      <c r="HP35" s="43"/>
      <c r="HQ35" s="43"/>
      <c r="HR35" s="43"/>
      <c r="HS35" s="43"/>
      <c r="HT35" s="43"/>
      <c r="HU35" s="43"/>
      <c r="HV35" s="43"/>
      <c r="HW35" s="43"/>
      <c r="HX35" s="43"/>
      <c r="HY35" s="43"/>
      <c r="HZ35" s="43"/>
      <c r="IA35" s="43"/>
      <c r="IB35"/>
      <c r="IC35"/>
      <c r="ID35"/>
      <c r="IE35"/>
      <c r="IF35"/>
      <c r="IG35"/>
      <c r="IH35"/>
      <c r="II35"/>
      <c r="IJ35"/>
      <c r="IK35"/>
      <c r="IL35"/>
      <c r="IM35"/>
      <c r="IN35"/>
      <c r="IO35"/>
      <c r="IP35"/>
      <c r="IQ35"/>
    </row>
    <row r="36" spans="1:251" s="33" customFormat="1">
      <c r="A36" s="127"/>
      <c r="B36" s="127" t="s">
        <v>636</v>
      </c>
      <c r="C36" s="205">
        <v>-3984</v>
      </c>
      <c r="D36" s="205">
        <v>-4338</v>
      </c>
      <c r="E36" s="156">
        <v>-4500</v>
      </c>
      <c r="F36" s="156">
        <v>-4769</v>
      </c>
      <c r="G36" s="222">
        <v>-5068</v>
      </c>
      <c r="H36" s="222">
        <v>-5285</v>
      </c>
      <c r="I36" s="222">
        <v>-5672</v>
      </c>
      <c r="J36" s="222">
        <v>-6191</v>
      </c>
      <c r="K36" s="222">
        <v>-6815</v>
      </c>
      <c r="L36" s="222">
        <v>-6815</v>
      </c>
      <c r="M36" s="222">
        <v>-6652</v>
      </c>
      <c r="N36" s="156">
        <f>+M36--6560</f>
        <v>-92</v>
      </c>
      <c r="O36" s="222">
        <v>-4428</v>
      </c>
      <c r="P36" s="222">
        <v>-2693</v>
      </c>
      <c r="Q36" s="222">
        <v>-2958</v>
      </c>
      <c r="R36" s="222">
        <v>-3222</v>
      </c>
      <c r="S36" s="222">
        <v>-3400</v>
      </c>
      <c r="T36" s="222">
        <v>-3612</v>
      </c>
      <c r="U36" s="222">
        <v>-3892</v>
      </c>
      <c r="V36" s="156">
        <v>-4179</v>
      </c>
      <c r="W36" s="156">
        <v>-4512</v>
      </c>
      <c r="X36" s="156">
        <f>-IS!T492</f>
        <v>-4976.8014164970073</v>
      </c>
      <c r="Y36" s="156">
        <f ca="1">-IS!U492</f>
        <v>-5586.5181056968231</v>
      </c>
      <c r="Z36" s="156">
        <f ca="1">-IS!V492</f>
        <v>-6201.9166288488786</v>
      </c>
      <c r="AA36" s="156">
        <f ca="1">-IS!W492</f>
        <v>-6682.4985637595146</v>
      </c>
      <c r="AB36" s="156">
        <f ca="1">-IS!X492</f>
        <v>-7135.235056097029</v>
      </c>
      <c r="AC36" s="156">
        <f ca="1">-IS!Y492</f>
        <v>-7551.4162028773681</v>
      </c>
      <c r="AD36" s="156">
        <f ca="1">-IS!Z492</f>
        <v>-7968.7271282790734</v>
      </c>
      <c r="AE36" s="156">
        <f ca="1">-IS!AA492</f>
        <v>-8388.7871332356935</v>
      </c>
      <c r="AF36" s="156">
        <f ca="1">-IS!AB492</f>
        <v>-8813.1214562944679</v>
      </c>
      <c r="AG36" s="43"/>
      <c r="AH36" s="43"/>
      <c r="AI36" s="43"/>
      <c r="AJ36" s="43"/>
      <c r="AK36" s="43"/>
      <c r="AL36" s="43"/>
      <c r="AM36" s="43"/>
      <c r="AN36" s="43"/>
      <c r="AO36" s="43"/>
      <c r="AP36" s="43"/>
      <c r="AQ36" s="43"/>
      <c r="AR36" s="43"/>
      <c r="AS36" s="43"/>
      <c r="AT36" s="43"/>
      <c r="AU36" s="43"/>
      <c r="AV36" s="43"/>
      <c r="AW36" s="43"/>
      <c r="AX36" s="43"/>
      <c r="AY36" s="43"/>
      <c r="AZ36" s="43"/>
      <c r="BA36" s="43"/>
      <c r="BB36" s="43"/>
      <c r="BC36" s="43"/>
      <c r="BD36" s="43"/>
      <c r="BE36" s="43"/>
      <c r="BF36" s="43"/>
      <c r="BG36" s="43"/>
      <c r="BH36" s="43"/>
      <c r="BI36" s="43"/>
      <c r="BJ36" s="43"/>
      <c r="BK36" s="43"/>
      <c r="BL36" s="43"/>
      <c r="BM36" s="43"/>
      <c r="BN36" s="43"/>
      <c r="BO36" s="43"/>
      <c r="BP36" s="43"/>
      <c r="BQ36" s="43"/>
      <c r="BR36" s="43"/>
      <c r="BS36" s="43"/>
      <c r="BT36" s="43"/>
      <c r="BU36" s="43"/>
      <c r="BV36" s="43"/>
      <c r="BW36" s="43"/>
      <c r="BX36" s="43"/>
      <c r="BY36" s="43"/>
      <c r="BZ36" s="43"/>
      <c r="CA36" s="43"/>
      <c r="CB36" s="43"/>
      <c r="CC36" s="43"/>
      <c r="CD36" s="43"/>
      <c r="CE36" s="43"/>
      <c r="CF36" s="43"/>
      <c r="CG36" s="43"/>
      <c r="CH36" s="43"/>
      <c r="CI36" s="43"/>
      <c r="CJ36" s="43"/>
      <c r="CK36" s="43"/>
      <c r="CL36" s="43"/>
      <c r="CM36" s="43"/>
      <c r="CN36" s="43"/>
      <c r="CO36" s="43"/>
      <c r="CP36" s="43"/>
      <c r="CQ36" s="43"/>
      <c r="CR36" s="43"/>
      <c r="CS36" s="43"/>
      <c r="CT36" s="43"/>
      <c r="CU36" s="43"/>
      <c r="CV36" s="43"/>
      <c r="CW36" s="43"/>
      <c r="CX36" s="43"/>
      <c r="CY36" s="43"/>
      <c r="CZ36" s="43"/>
      <c r="DA36" s="43"/>
      <c r="DB36" s="43"/>
      <c r="DC36" s="43"/>
      <c r="DD36" s="43"/>
      <c r="DE36" s="43"/>
      <c r="DF36" s="43"/>
      <c r="DG36" s="43"/>
      <c r="DH36" s="43"/>
      <c r="DI36" s="43"/>
      <c r="DJ36" s="43"/>
      <c r="DK36" s="43"/>
      <c r="DL36" s="43"/>
      <c r="DM36" s="43"/>
      <c r="DN36" s="43"/>
      <c r="DO36" s="43"/>
      <c r="DP36" s="43"/>
      <c r="DQ36" s="43"/>
      <c r="DR36" s="43"/>
      <c r="DS36" s="43"/>
      <c r="DT36" s="43"/>
      <c r="DU36" s="43"/>
      <c r="DV36" s="43"/>
      <c r="DW36" s="43"/>
      <c r="DX36" s="43"/>
      <c r="DY36" s="43"/>
      <c r="DZ36" s="43"/>
      <c r="EA36" s="43"/>
      <c r="EB36" s="43"/>
      <c r="EC36" s="43"/>
      <c r="ED36" s="43"/>
      <c r="EE36" s="43"/>
      <c r="EF36" s="43"/>
      <c r="EG36" s="43"/>
      <c r="EH36" s="43"/>
      <c r="EI36" s="43"/>
      <c r="EJ36" s="43"/>
      <c r="EK36" s="43"/>
      <c r="EL36" s="43"/>
      <c r="EM36" s="43"/>
      <c r="EN36" s="43"/>
      <c r="EO36" s="43"/>
      <c r="EP36" s="43"/>
      <c r="EQ36" s="43"/>
      <c r="ER36" s="43"/>
      <c r="ES36" s="43"/>
      <c r="ET36" s="43"/>
      <c r="EU36" s="43"/>
      <c r="EV36" s="43"/>
      <c r="EW36" s="43"/>
      <c r="EX36" s="43"/>
      <c r="EY36" s="43"/>
      <c r="EZ36" s="43"/>
      <c r="FA36" s="43"/>
      <c r="FB36" s="43"/>
      <c r="FC36" s="43"/>
      <c r="FD36" s="43"/>
      <c r="FE36" s="43"/>
      <c r="FF36" s="43"/>
      <c r="FG36" s="43"/>
      <c r="FH36" s="43"/>
      <c r="FI36" s="43"/>
      <c r="FJ36" s="43"/>
      <c r="FK36" s="43"/>
      <c r="FL36" s="43"/>
      <c r="FM36" s="43"/>
      <c r="FN36" s="43"/>
      <c r="FO36" s="43"/>
      <c r="FP36" s="43"/>
      <c r="FQ36" s="43"/>
      <c r="FR36" s="43"/>
      <c r="FS36" s="43"/>
      <c r="FT36" s="43"/>
      <c r="FU36" s="43"/>
      <c r="FV36" s="43"/>
      <c r="FW36" s="43"/>
      <c r="FX36" s="43"/>
      <c r="FY36" s="43"/>
      <c r="FZ36" s="43"/>
      <c r="GA36" s="43"/>
      <c r="GB36" s="43"/>
      <c r="GC36" s="43"/>
      <c r="GD36" s="43"/>
      <c r="GE36" s="43"/>
      <c r="GF36" s="43"/>
      <c r="GG36" s="43"/>
      <c r="GH36" s="43"/>
      <c r="GI36" s="43"/>
      <c r="GJ36" s="43"/>
      <c r="GK36" s="43"/>
      <c r="GL36" s="43"/>
      <c r="GM36" s="43"/>
      <c r="GN36" s="43"/>
      <c r="GO36" s="43"/>
      <c r="GP36" s="43"/>
      <c r="GQ36" s="43"/>
      <c r="GR36" s="43"/>
      <c r="GS36" s="43"/>
      <c r="GT36" s="43"/>
      <c r="GU36" s="43"/>
      <c r="GV36" s="43"/>
      <c r="GW36" s="43"/>
      <c r="GX36" s="43"/>
      <c r="GY36" s="43"/>
      <c r="GZ36" s="43"/>
      <c r="HA36" s="43"/>
      <c r="HB36" s="43"/>
      <c r="HC36" s="43"/>
      <c r="HD36" s="43"/>
      <c r="HE36" s="43"/>
      <c r="HF36" s="43"/>
      <c r="HG36" s="43"/>
      <c r="HH36" s="43"/>
      <c r="HI36" s="43"/>
      <c r="HJ36" s="43"/>
      <c r="HK36" s="43"/>
      <c r="HL36" s="43"/>
      <c r="HM36" s="43"/>
      <c r="HN36" s="43"/>
      <c r="HO36" s="43"/>
      <c r="HP36" s="43"/>
      <c r="HQ36" s="43"/>
      <c r="HR36" s="43"/>
      <c r="HS36" s="43"/>
      <c r="HT36" s="43"/>
      <c r="HU36" s="43"/>
      <c r="HV36" s="43"/>
      <c r="HW36" s="43"/>
      <c r="HX36" s="43"/>
      <c r="HY36" s="43"/>
      <c r="HZ36" s="43"/>
      <c r="IA36" s="43"/>
      <c r="IB36"/>
      <c r="IC36"/>
      <c r="ID36"/>
      <c r="IE36"/>
      <c r="IF36"/>
      <c r="IG36"/>
      <c r="IH36"/>
      <c r="II36"/>
      <c r="IJ36"/>
      <c r="IK36"/>
      <c r="IL36"/>
      <c r="IM36"/>
      <c r="IN36"/>
      <c r="IO36"/>
      <c r="IP36"/>
      <c r="IQ36"/>
    </row>
    <row r="37" spans="1:251" s="33" customFormat="1" ht="12" customHeight="1">
      <c r="A37" s="127"/>
      <c r="B37" s="127" t="s">
        <v>637</v>
      </c>
      <c r="C37" s="205">
        <f>61</f>
        <v>61</v>
      </c>
      <c r="D37" s="205">
        <f>435</f>
        <v>435</v>
      </c>
      <c r="E37" s="156">
        <f>8501+1027</f>
        <v>9528</v>
      </c>
      <c r="F37" s="156">
        <f>-5678-515</f>
        <v>-6193</v>
      </c>
      <c r="G37" s="222">
        <v>-985</v>
      </c>
      <c r="H37" s="222">
        <v>-419</v>
      </c>
      <c r="I37" s="222">
        <v>-1090</v>
      </c>
      <c r="J37" s="222">
        <v>3114</v>
      </c>
      <c r="K37" s="222">
        <v>-2059</v>
      </c>
      <c r="L37" s="222">
        <v>-2402</v>
      </c>
      <c r="M37" s="222">
        <v>2389</v>
      </c>
      <c r="N37" s="222">
        <f>+M37-2387</f>
        <v>2</v>
      </c>
      <c r="O37" s="222">
        <f>BS!P44-BS!O44</f>
        <v>-2219</v>
      </c>
      <c r="P37" s="222">
        <v>-205</v>
      </c>
      <c r="Q37" s="222">
        <v>0</v>
      </c>
      <c r="R37" s="222">
        <v>0</v>
      </c>
      <c r="S37" s="222">
        <v>0</v>
      </c>
      <c r="T37" s="222">
        <v>0</v>
      </c>
      <c r="U37" s="222">
        <v>0</v>
      </c>
      <c r="V37" s="222">
        <v>-1793</v>
      </c>
      <c r="W37" s="222">
        <v>0</v>
      </c>
      <c r="X37" s="222">
        <v>0</v>
      </c>
      <c r="Y37" s="222">
        <v>0</v>
      </c>
      <c r="Z37" s="222">
        <v>0</v>
      </c>
      <c r="AA37" s="222">
        <v>0</v>
      </c>
      <c r="AB37" s="222">
        <v>0</v>
      </c>
      <c r="AC37" s="222">
        <v>0</v>
      </c>
      <c r="AD37" s="222">
        <v>0</v>
      </c>
      <c r="AE37" s="222">
        <v>0</v>
      </c>
      <c r="AF37" s="222">
        <v>0</v>
      </c>
      <c r="AG37" s="43"/>
      <c r="AH37" s="43"/>
      <c r="AI37" s="43"/>
      <c r="AJ37" s="43"/>
      <c r="AK37" s="43"/>
      <c r="AL37" s="43"/>
      <c r="AM37" s="43"/>
      <c r="AN37" s="43"/>
      <c r="AO37" s="43"/>
      <c r="AP37" s="43"/>
      <c r="AQ37" s="43"/>
      <c r="AR37" s="43"/>
      <c r="AS37" s="43"/>
      <c r="AT37" s="43"/>
      <c r="AU37" s="43"/>
      <c r="AV37" s="43"/>
      <c r="AW37" s="43"/>
      <c r="AX37" s="43"/>
      <c r="AY37" s="43"/>
      <c r="AZ37" s="43"/>
      <c r="BA37" s="43"/>
      <c r="BB37" s="43"/>
      <c r="BC37" s="43"/>
      <c r="BD37" s="43"/>
      <c r="BE37" s="43"/>
      <c r="BF37" s="43"/>
      <c r="BG37" s="43"/>
      <c r="BH37" s="43"/>
      <c r="BI37" s="43"/>
      <c r="BJ37" s="43"/>
      <c r="BK37" s="43"/>
      <c r="BL37" s="43"/>
      <c r="BM37" s="43"/>
      <c r="BN37" s="43"/>
      <c r="BO37" s="43"/>
      <c r="BP37" s="43"/>
      <c r="BQ37" s="43"/>
      <c r="BR37" s="43"/>
      <c r="BS37" s="43"/>
      <c r="BT37" s="43"/>
      <c r="BU37" s="43"/>
      <c r="BV37" s="43"/>
      <c r="BW37" s="43"/>
      <c r="BX37" s="43"/>
      <c r="BY37" s="43"/>
      <c r="BZ37" s="43"/>
      <c r="CA37" s="43"/>
      <c r="CB37" s="43"/>
      <c r="CC37" s="43"/>
      <c r="CD37" s="43"/>
      <c r="CE37" s="43"/>
      <c r="CF37" s="43"/>
      <c r="CG37" s="43"/>
      <c r="CH37" s="43"/>
      <c r="CI37" s="43"/>
      <c r="CJ37" s="43"/>
      <c r="CK37" s="43"/>
      <c r="CL37" s="43"/>
      <c r="CM37" s="43"/>
      <c r="CN37" s="43"/>
      <c r="CO37" s="43"/>
      <c r="CP37" s="43"/>
      <c r="CQ37" s="43"/>
      <c r="CR37" s="43"/>
      <c r="CS37" s="43"/>
      <c r="CT37" s="43"/>
      <c r="CU37" s="43"/>
      <c r="CV37" s="43"/>
      <c r="CW37" s="43"/>
      <c r="CX37" s="43"/>
      <c r="CY37" s="43"/>
      <c r="CZ37" s="43"/>
      <c r="DA37" s="43"/>
      <c r="DB37" s="43"/>
      <c r="DC37" s="43"/>
      <c r="DD37" s="43"/>
      <c r="DE37" s="43"/>
      <c r="DF37" s="43"/>
      <c r="DG37" s="43"/>
      <c r="DH37" s="43"/>
      <c r="DI37" s="43"/>
      <c r="DJ37" s="43"/>
      <c r="DK37" s="43"/>
      <c r="DL37" s="43"/>
      <c r="DM37" s="43"/>
      <c r="DN37" s="43"/>
      <c r="DO37" s="43"/>
      <c r="DP37" s="43"/>
      <c r="DQ37" s="43"/>
      <c r="DR37" s="43"/>
      <c r="DS37" s="43"/>
      <c r="DT37" s="43"/>
      <c r="DU37" s="43"/>
      <c r="DV37" s="43"/>
      <c r="DW37" s="43"/>
      <c r="DX37" s="43"/>
      <c r="DY37" s="43"/>
      <c r="DZ37" s="43"/>
      <c r="EA37" s="43"/>
      <c r="EB37" s="43"/>
      <c r="EC37" s="43"/>
      <c r="ED37" s="43"/>
      <c r="EE37" s="43"/>
      <c r="EF37" s="43"/>
      <c r="EG37" s="43"/>
      <c r="EH37" s="43"/>
      <c r="EI37" s="43"/>
      <c r="EJ37" s="43"/>
      <c r="EK37" s="43"/>
      <c r="EL37" s="43"/>
      <c r="EM37" s="43"/>
      <c r="EN37" s="43"/>
      <c r="EO37" s="43"/>
      <c r="EP37" s="43"/>
      <c r="EQ37" s="43"/>
      <c r="ER37" s="43"/>
      <c r="ES37" s="43"/>
      <c r="ET37" s="43"/>
      <c r="EU37" s="43"/>
      <c r="EV37" s="43"/>
      <c r="EW37" s="43"/>
      <c r="EX37" s="43"/>
      <c r="EY37" s="43"/>
      <c r="EZ37" s="43"/>
      <c r="FA37" s="43"/>
      <c r="FB37" s="43"/>
      <c r="FC37" s="43"/>
      <c r="FD37" s="43"/>
      <c r="FE37" s="43"/>
      <c r="FF37" s="43"/>
      <c r="FG37" s="43"/>
      <c r="FH37" s="43"/>
      <c r="FI37" s="43"/>
      <c r="FJ37" s="43"/>
      <c r="FK37" s="43"/>
      <c r="FL37" s="43"/>
      <c r="FM37" s="43"/>
      <c r="FN37" s="43"/>
      <c r="FO37" s="43"/>
      <c r="FP37" s="43"/>
      <c r="FQ37" s="43"/>
      <c r="FR37" s="43"/>
      <c r="FS37" s="43"/>
      <c r="FT37" s="43"/>
      <c r="FU37" s="43"/>
      <c r="FV37" s="43"/>
      <c r="FW37" s="43"/>
      <c r="FX37" s="43"/>
      <c r="FY37" s="43"/>
      <c r="FZ37" s="43"/>
      <c r="GA37" s="43"/>
      <c r="GB37" s="43"/>
      <c r="GC37" s="43"/>
      <c r="GD37" s="43"/>
      <c r="GE37" s="43"/>
      <c r="GF37" s="43"/>
      <c r="GG37" s="43"/>
      <c r="GH37" s="43"/>
      <c r="GI37" s="43"/>
      <c r="GJ37" s="43"/>
      <c r="GK37" s="43"/>
      <c r="GL37" s="43"/>
      <c r="GM37" s="43"/>
      <c r="GN37" s="43"/>
      <c r="GO37" s="43"/>
      <c r="GP37" s="43"/>
      <c r="GQ37" s="43"/>
      <c r="GR37" s="43"/>
      <c r="GS37" s="43"/>
      <c r="GT37" s="43"/>
      <c r="GU37" s="43"/>
      <c r="GV37" s="43"/>
      <c r="GW37" s="43"/>
      <c r="GX37" s="43"/>
      <c r="GY37" s="43"/>
      <c r="GZ37" s="43"/>
      <c r="HA37" s="43"/>
      <c r="HB37" s="43"/>
      <c r="HC37" s="43"/>
      <c r="HD37" s="43"/>
      <c r="HE37" s="43"/>
      <c r="HF37" s="43"/>
      <c r="HG37" s="43"/>
      <c r="HH37" s="43"/>
      <c r="HI37" s="43"/>
      <c r="HJ37" s="43"/>
      <c r="HK37" s="43"/>
      <c r="HL37" s="43"/>
      <c r="HM37" s="43"/>
      <c r="HN37" s="43"/>
      <c r="HO37" s="43"/>
      <c r="HP37" s="43"/>
      <c r="HQ37" s="43"/>
      <c r="HR37" s="43"/>
      <c r="HS37" s="43"/>
      <c r="HT37" s="43"/>
      <c r="HU37" s="43"/>
      <c r="HV37" s="43"/>
      <c r="HW37" s="43"/>
      <c r="HX37" s="43"/>
      <c r="HY37" s="43"/>
      <c r="HZ37" s="43"/>
      <c r="IA37" s="43"/>
      <c r="IB37"/>
      <c r="IC37"/>
      <c r="ID37"/>
      <c r="IE37"/>
      <c r="IF37"/>
      <c r="IG37"/>
      <c r="IH37"/>
      <c r="II37"/>
      <c r="IJ37"/>
      <c r="IK37"/>
      <c r="IL37"/>
      <c r="IM37"/>
      <c r="IN37"/>
      <c r="IO37"/>
      <c r="IP37"/>
      <c r="IQ37"/>
    </row>
    <row r="38" spans="1:251" s="33" customFormat="1">
      <c r="A38" s="127"/>
      <c r="B38" s="127" t="s">
        <v>638</v>
      </c>
      <c r="C38" s="205">
        <f>2065-1616-178-307</f>
        <v>-36</v>
      </c>
      <c r="D38" s="205">
        <f>1339-1843+500-200</f>
        <v>-204</v>
      </c>
      <c r="E38" s="156">
        <f>3110-1702</f>
        <v>1408</v>
      </c>
      <c r="F38" s="156">
        <f>4079-5215+557</f>
        <v>-579</v>
      </c>
      <c r="G38" s="222">
        <f>5325-2024+440</f>
        <v>3741</v>
      </c>
      <c r="H38" s="222">
        <v>1059</v>
      </c>
      <c r="I38" s="222">
        <f>-1594+833-189</f>
        <v>-950</v>
      </c>
      <c r="J38" s="222">
        <f>-1779+69</f>
        <v>-1710</v>
      </c>
      <c r="K38" s="222">
        <f>-3459+69-1015</f>
        <v>-4405</v>
      </c>
      <c r="L38" s="222">
        <f>-2135-1015</f>
        <v>-3150</v>
      </c>
      <c r="M38" s="222">
        <f>4160-3881-617</f>
        <v>-338</v>
      </c>
      <c r="N38" s="222">
        <f>M38-4160--3381</f>
        <v>-1117</v>
      </c>
      <c r="O38" s="222">
        <f>6738-4057-O37</f>
        <v>4900</v>
      </c>
      <c r="P38" s="222">
        <f>4221-375-500</f>
        <v>3346</v>
      </c>
      <c r="Q38" s="222">
        <f>1007-775</f>
        <v>232</v>
      </c>
      <c r="R38" s="222">
        <f>1494</f>
        <v>1494</v>
      </c>
      <c r="S38" s="222">
        <f>2787-2600</f>
        <v>187</v>
      </c>
      <c r="T38" s="222">
        <f>4179-3559</f>
        <v>620</v>
      </c>
      <c r="U38" s="222">
        <f>999-825</f>
        <v>174</v>
      </c>
      <c r="V38" s="222">
        <v>0</v>
      </c>
      <c r="W38" s="222">
        <f>1976-933</f>
        <v>1043</v>
      </c>
      <c r="X38" s="222">
        <v>-1000</v>
      </c>
      <c r="Y38" s="222">
        <v>-1000</v>
      </c>
      <c r="Z38" s="222">
        <v>-1000</v>
      </c>
      <c r="AA38" s="222">
        <v>0</v>
      </c>
      <c r="AB38" s="222">
        <v>0</v>
      </c>
      <c r="AC38" s="222">
        <v>0</v>
      </c>
      <c r="AD38" s="222">
        <v>0</v>
      </c>
      <c r="AE38" s="222">
        <v>0</v>
      </c>
      <c r="AF38" s="222">
        <v>0</v>
      </c>
      <c r="AG38" s="43"/>
      <c r="AH38" s="43"/>
      <c r="AI38" s="43"/>
      <c r="AJ38" s="43"/>
      <c r="AK38" s="43"/>
      <c r="AL38" s="43"/>
      <c r="AM38" s="43"/>
      <c r="AN38" s="43"/>
      <c r="AO38" s="43"/>
      <c r="AP38" s="43"/>
      <c r="AQ38" s="43"/>
      <c r="AR38" s="43"/>
      <c r="AS38" s="43"/>
      <c r="AT38" s="43"/>
      <c r="AU38" s="43"/>
      <c r="AV38" s="43"/>
      <c r="AW38" s="43"/>
      <c r="AX38" s="43"/>
      <c r="AY38" s="43"/>
      <c r="AZ38" s="43"/>
      <c r="BA38" s="43"/>
      <c r="BB38" s="43"/>
      <c r="BC38" s="43"/>
      <c r="BD38" s="43"/>
      <c r="BE38" s="43"/>
      <c r="BF38" s="43"/>
      <c r="BG38" s="43"/>
      <c r="BH38" s="43"/>
      <c r="BI38" s="43"/>
      <c r="BJ38" s="43"/>
      <c r="BK38" s="43"/>
      <c r="BL38" s="43"/>
      <c r="BM38" s="43"/>
      <c r="BN38" s="43"/>
      <c r="BO38" s="43"/>
      <c r="BP38" s="43"/>
      <c r="BQ38" s="43"/>
      <c r="BR38" s="43"/>
      <c r="BS38" s="43"/>
      <c r="BT38" s="43"/>
      <c r="BU38" s="43"/>
      <c r="BV38" s="43"/>
      <c r="BW38" s="43"/>
      <c r="BX38" s="43"/>
      <c r="BY38" s="43"/>
      <c r="BZ38" s="43"/>
      <c r="CA38" s="43"/>
      <c r="CB38" s="43"/>
      <c r="CC38" s="43"/>
      <c r="CD38" s="43"/>
      <c r="CE38" s="43"/>
      <c r="CF38" s="43"/>
      <c r="CG38" s="43"/>
      <c r="CH38" s="43"/>
      <c r="CI38" s="43"/>
      <c r="CJ38" s="43"/>
      <c r="CK38" s="43"/>
      <c r="CL38" s="43"/>
      <c r="CM38" s="43"/>
      <c r="CN38" s="43"/>
      <c r="CO38" s="43"/>
      <c r="CP38" s="43"/>
      <c r="CQ38" s="43"/>
      <c r="CR38" s="43"/>
      <c r="CS38" s="43"/>
      <c r="CT38" s="43"/>
      <c r="CU38" s="43"/>
      <c r="CV38" s="43"/>
      <c r="CW38" s="43"/>
      <c r="CX38" s="43"/>
      <c r="CY38" s="43"/>
      <c r="CZ38" s="43"/>
      <c r="DA38" s="43"/>
      <c r="DB38" s="43"/>
      <c r="DC38" s="43"/>
      <c r="DD38" s="43"/>
      <c r="DE38" s="43"/>
      <c r="DF38" s="43"/>
      <c r="DG38" s="43"/>
      <c r="DH38" s="43"/>
      <c r="DI38" s="43"/>
      <c r="DJ38" s="43"/>
      <c r="DK38" s="43"/>
      <c r="DL38" s="43"/>
      <c r="DM38" s="43"/>
      <c r="DN38" s="43"/>
      <c r="DO38" s="43"/>
      <c r="DP38" s="43"/>
      <c r="DQ38" s="43"/>
      <c r="DR38" s="43"/>
      <c r="DS38" s="43"/>
      <c r="DT38" s="43"/>
      <c r="DU38" s="43"/>
      <c r="DV38" s="43"/>
      <c r="DW38" s="43"/>
      <c r="DX38" s="43"/>
      <c r="DY38" s="43"/>
      <c r="DZ38" s="43"/>
      <c r="EA38" s="43"/>
      <c r="EB38" s="43"/>
      <c r="EC38" s="43"/>
      <c r="ED38" s="43"/>
      <c r="EE38" s="43"/>
      <c r="EF38" s="43"/>
      <c r="EG38" s="43"/>
      <c r="EH38" s="43"/>
      <c r="EI38" s="43"/>
      <c r="EJ38" s="43"/>
      <c r="EK38" s="43"/>
      <c r="EL38" s="43"/>
      <c r="EM38" s="43"/>
      <c r="EN38" s="43"/>
      <c r="EO38" s="43"/>
      <c r="EP38" s="43"/>
      <c r="EQ38" s="43"/>
      <c r="ER38" s="43"/>
      <c r="ES38" s="43"/>
      <c r="ET38" s="43"/>
      <c r="EU38" s="43"/>
      <c r="EV38" s="43"/>
      <c r="EW38" s="43"/>
      <c r="EX38" s="43"/>
      <c r="EY38" s="43"/>
      <c r="EZ38" s="43"/>
      <c r="FA38" s="43"/>
      <c r="FB38" s="43"/>
      <c r="FC38" s="43"/>
      <c r="FD38" s="43"/>
      <c r="FE38" s="43"/>
      <c r="FF38" s="43"/>
      <c r="FG38" s="43"/>
      <c r="FH38" s="43"/>
      <c r="FI38" s="43"/>
      <c r="FJ38" s="43"/>
      <c r="FK38" s="43"/>
      <c r="FL38" s="43"/>
      <c r="FM38" s="43"/>
      <c r="FN38" s="43"/>
      <c r="FO38" s="43"/>
      <c r="FP38" s="43"/>
      <c r="FQ38" s="43"/>
      <c r="FR38" s="43"/>
      <c r="FS38" s="43"/>
      <c r="FT38" s="43"/>
      <c r="FU38" s="43"/>
      <c r="FV38" s="43"/>
      <c r="FW38" s="43"/>
      <c r="FX38" s="43"/>
      <c r="FY38" s="43"/>
      <c r="FZ38" s="43"/>
      <c r="GA38" s="43"/>
      <c r="GB38" s="43"/>
      <c r="GC38" s="43"/>
      <c r="GD38" s="43"/>
      <c r="GE38" s="43"/>
      <c r="GF38" s="43"/>
      <c r="GG38" s="43"/>
      <c r="GH38" s="43"/>
      <c r="GI38" s="43"/>
      <c r="GJ38" s="43"/>
      <c r="GK38" s="43"/>
      <c r="GL38" s="43"/>
      <c r="GM38" s="43"/>
      <c r="GN38" s="43"/>
      <c r="GO38" s="43"/>
      <c r="GP38" s="43"/>
      <c r="GQ38" s="43"/>
      <c r="GR38" s="43"/>
      <c r="GS38" s="43"/>
      <c r="GT38" s="43"/>
      <c r="GU38" s="43"/>
      <c r="GV38" s="43"/>
      <c r="GW38" s="43"/>
      <c r="GX38" s="43"/>
      <c r="GY38" s="43"/>
      <c r="GZ38" s="43"/>
      <c r="HA38" s="43"/>
      <c r="HB38" s="43"/>
      <c r="HC38" s="43"/>
      <c r="HD38" s="43"/>
      <c r="HE38" s="43"/>
      <c r="HF38" s="43"/>
      <c r="HG38" s="43"/>
      <c r="HH38" s="43"/>
      <c r="HI38" s="43"/>
      <c r="HJ38" s="43"/>
      <c r="HK38" s="43"/>
      <c r="HL38" s="43"/>
      <c r="HM38" s="43"/>
      <c r="HN38" s="43"/>
      <c r="HO38" s="43"/>
      <c r="HP38" s="43"/>
      <c r="HQ38" s="43"/>
      <c r="HR38" s="43"/>
      <c r="HS38" s="43"/>
      <c r="HT38" s="43"/>
      <c r="HU38" s="43"/>
      <c r="HV38" s="43"/>
      <c r="HW38" s="43"/>
      <c r="HX38" s="43"/>
      <c r="HY38" s="43"/>
      <c r="HZ38" s="43"/>
      <c r="IA38" s="43"/>
      <c r="IB38"/>
      <c r="IC38"/>
      <c r="ID38"/>
      <c r="IE38"/>
      <c r="IF38"/>
      <c r="IG38"/>
      <c r="IH38"/>
      <c r="II38"/>
      <c r="IJ38"/>
      <c r="IK38"/>
      <c r="IL38"/>
      <c r="IM38"/>
      <c r="IN38"/>
      <c r="IO38"/>
      <c r="IP38"/>
      <c r="IQ38"/>
    </row>
    <row r="39" spans="1:251" s="33" customFormat="1">
      <c r="A39" s="127"/>
      <c r="B39" s="127" t="s">
        <v>240</v>
      </c>
      <c r="C39" s="205">
        <v>-307</v>
      </c>
      <c r="D39" s="205">
        <v>-3329</v>
      </c>
      <c r="E39" s="156">
        <v>-3597</v>
      </c>
      <c r="F39" s="156">
        <v>-3960</v>
      </c>
      <c r="G39" s="222">
        <v>-6220</v>
      </c>
      <c r="H39" s="222">
        <v>-777</v>
      </c>
      <c r="I39" s="222">
        <f>+-IS!G446</f>
        <v>0</v>
      </c>
      <c r="J39" s="222">
        <v>0</v>
      </c>
      <c r="K39" s="222">
        <v>0</v>
      </c>
      <c r="L39" s="222">
        <v>0</v>
      </c>
      <c r="M39" s="222">
        <v>0</v>
      </c>
      <c r="N39" s="156">
        <f>+M39</f>
        <v>0</v>
      </c>
      <c r="O39" s="156">
        <f>+N39</f>
        <v>0</v>
      </c>
      <c r="P39" s="156">
        <f>+O39</f>
        <v>0</v>
      </c>
      <c r="Q39" s="156">
        <f>+P39</f>
        <v>0</v>
      </c>
      <c r="R39" s="222">
        <v>-1327</v>
      </c>
      <c r="S39" s="222"/>
      <c r="T39" s="222"/>
      <c r="U39" s="222">
        <v>0</v>
      </c>
      <c r="V39" s="156"/>
      <c r="W39" s="156"/>
      <c r="X39" s="156"/>
      <c r="Y39" s="156"/>
      <c r="Z39" s="156"/>
      <c r="AA39" s="156"/>
      <c r="AB39" s="156"/>
      <c r="AC39" s="156"/>
      <c r="AD39" s="156"/>
      <c r="AE39" s="156"/>
      <c r="AF39" s="156"/>
      <c r="AG39" s="43"/>
      <c r="AH39" s="43"/>
      <c r="AI39" s="43"/>
      <c r="AJ39" s="43"/>
      <c r="AK39" s="43"/>
      <c r="AL39" s="43"/>
      <c r="AM39" s="43"/>
      <c r="AN39" s="43"/>
      <c r="AO39" s="43"/>
      <c r="AP39" s="43"/>
      <c r="AQ39" s="43"/>
      <c r="AR39" s="43"/>
      <c r="AS39" s="43"/>
      <c r="AT39" s="43"/>
      <c r="AU39" s="43"/>
      <c r="AV39" s="43"/>
      <c r="AW39" s="43"/>
      <c r="AX39" s="43"/>
      <c r="AY39" s="43"/>
      <c r="AZ39" s="43"/>
      <c r="BA39" s="43"/>
      <c r="BB39" s="43"/>
      <c r="BC39" s="43"/>
      <c r="BD39" s="43"/>
      <c r="BE39" s="43"/>
      <c r="BF39" s="43"/>
      <c r="BG39" s="43"/>
      <c r="BH39" s="43"/>
      <c r="BI39" s="43"/>
      <c r="BJ39" s="43"/>
      <c r="BK39" s="43"/>
      <c r="BL39" s="43"/>
      <c r="BM39" s="43"/>
      <c r="BN39" s="43"/>
      <c r="BO39" s="43"/>
      <c r="BP39" s="43"/>
      <c r="BQ39" s="43"/>
      <c r="BR39" s="43"/>
      <c r="BS39" s="43"/>
      <c r="BT39" s="43"/>
      <c r="BU39" s="43"/>
      <c r="BV39" s="43"/>
      <c r="BW39" s="43"/>
      <c r="BX39" s="43"/>
      <c r="BY39" s="43"/>
      <c r="BZ39" s="43"/>
      <c r="CA39" s="43"/>
      <c r="CB39" s="43"/>
      <c r="CC39" s="43"/>
      <c r="CD39" s="43"/>
      <c r="CE39" s="43"/>
      <c r="CF39" s="43"/>
      <c r="CG39" s="43"/>
      <c r="CH39" s="43"/>
      <c r="CI39" s="43"/>
      <c r="CJ39" s="43"/>
      <c r="CK39" s="43"/>
      <c r="CL39" s="43"/>
      <c r="CM39" s="43"/>
      <c r="CN39" s="43"/>
      <c r="CO39" s="43"/>
      <c r="CP39" s="43"/>
      <c r="CQ39" s="43"/>
      <c r="CR39" s="43"/>
      <c r="CS39" s="43"/>
      <c r="CT39" s="43"/>
      <c r="CU39" s="43"/>
      <c r="CV39" s="43"/>
      <c r="CW39" s="43"/>
      <c r="CX39" s="43"/>
      <c r="CY39" s="43"/>
      <c r="CZ39" s="43"/>
      <c r="DA39" s="43"/>
      <c r="DB39" s="43"/>
      <c r="DC39" s="43"/>
      <c r="DD39" s="43"/>
      <c r="DE39" s="43"/>
      <c r="DF39" s="43"/>
      <c r="DG39" s="43"/>
      <c r="DH39" s="43"/>
      <c r="DI39" s="43"/>
      <c r="DJ39" s="43"/>
      <c r="DK39" s="43"/>
      <c r="DL39" s="43"/>
      <c r="DM39" s="43"/>
      <c r="DN39" s="43"/>
      <c r="DO39" s="43"/>
      <c r="DP39" s="43"/>
      <c r="DQ39" s="43"/>
      <c r="DR39" s="43"/>
      <c r="DS39" s="43"/>
      <c r="DT39" s="43"/>
      <c r="DU39" s="43"/>
      <c r="DV39" s="43"/>
      <c r="DW39" s="43"/>
      <c r="DX39" s="43"/>
      <c r="DY39" s="43"/>
      <c r="DZ39" s="43"/>
      <c r="EA39" s="43"/>
      <c r="EB39" s="43"/>
      <c r="EC39" s="43"/>
      <c r="ED39" s="43"/>
      <c r="EE39" s="43"/>
      <c r="EF39" s="43"/>
      <c r="EG39" s="43"/>
      <c r="EH39" s="43"/>
      <c r="EI39" s="43"/>
      <c r="EJ39" s="43"/>
      <c r="EK39" s="43"/>
      <c r="EL39" s="43"/>
      <c r="EM39" s="43"/>
      <c r="EN39" s="43"/>
      <c r="EO39" s="43"/>
      <c r="EP39" s="43"/>
      <c r="EQ39" s="43"/>
      <c r="ER39" s="43"/>
      <c r="ES39" s="43"/>
      <c r="ET39" s="43"/>
      <c r="EU39" s="43"/>
      <c r="EV39" s="43"/>
      <c r="EW39" s="43"/>
      <c r="EX39" s="43"/>
      <c r="EY39" s="43"/>
      <c r="EZ39" s="43"/>
      <c r="FA39" s="43"/>
      <c r="FB39" s="43"/>
      <c r="FC39" s="43"/>
      <c r="FD39" s="43"/>
      <c r="FE39" s="43"/>
      <c r="FF39" s="43"/>
      <c r="FG39" s="43"/>
      <c r="FH39" s="43"/>
      <c r="FI39" s="43"/>
      <c r="FJ39" s="43"/>
      <c r="FK39" s="43"/>
      <c r="FL39" s="43"/>
      <c r="FM39" s="43"/>
      <c r="FN39" s="43"/>
      <c r="FO39" s="43"/>
      <c r="FP39" s="43"/>
      <c r="FQ39" s="43"/>
      <c r="FR39" s="43"/>
      <c r="FS39" s="43"/>
      <c r="FT39" s="43"/>
      <c r="FU39" s="43"/>
      <c r="FV39" s="43"/>
      <c r="FW39" s="43"/>
      <c r="FX39" s="43"/>
      <c r="FY39" s="43"/>
      <c r="FZ39" s="43"/>
      <c r="GA39" s="43"/>
      <c r="GB39" s="43"/>
      <c r="GC39" s="43"/>
      <c r="GD39" s="43"/>
      <c r="GE39" s="43"/>
      <c r="GF39" s="43"/>
      <c r="GG39" s="43"/>
      <c r="GH39" s="43"/>
      <c r="GI39" s="43"/>
      <c r="GJ39" s="43"/>
      <c r="GK39" s="43"/>
      <c r="GL39" s="43"/>
      <c r="GM39" s="43"/>
      <c r="GN39" s="43"/>
      <c r="GO39" s="43"/>
      <c r="GP39" s="43"/>
      <c r="GQ39" s="43"/>
      <c r="GR39" s="43"/>
      <c r="GS39" s="43"/>
      <c r="GT39" s="43"/>
      <c r="GU39" s="43"/>
      <c r="GV39" s="43"/>
      <c r="GW39" s="43"/>
      <c r="GX39" s="43"/>
      <c r="GY39" s="43"/>
      <c r="GZ39" s="43"/>
      <c r="HA39" s="43"/>
      <c r="HB39" s="43"/>
      <c r="HC39" s="43"/>
      <c r="HD39" s="43"/>
      <c r="HE39" s="43"/>
      <c r="HF39" s="43"/>
      <c r="HG39" s="43"/>
      <c r="HH39" s="43"/>
      <c r="HI39" s="43"/>
      <c r="HJ39" s="43"/>
      <c r="HK39" s="43"/>
      <c r="HL39" s="43"/>
      <c r="HM39" s="43"/>
      <c r="HN39" s="43"/>
      <c r="HO39" s="43"/>
      <c r="HP39" s="43"/>
      <c r="HQ39" s="43"/>
      <c r="HR39" s="43"/>
      <c r="HS39" s="43"/>
      <c r="HT39" s="43"/>
      <c r="HU39" s="43"/>
      <c r="HV39" s="43"/>
      <c r="HW39" s="43"/>
      <c r="HX39" s="43"/>
      <c r="HY39" s="43"/>
      <c r="HZ39" s="43"/>
      <c r="IA39" s="43"/>
      <c r="IB39"/>
      <c r="IC39"/>
      <c r="ID39"/>
      <c r="IE39"/>
      <c r="IF39"/>
      <c r="IG39"/>
      <c r="IH39"/>
      <c r="II39"/>
      <c r="IJ39"/>
      <c r="IK39"/>
      <c r="IL39"/>
      <c r="IM39"/>
      <c r="IN39"/>
      <c r="IO39"/>
      <c r="IP39"/>
      <c r="IQ39"/>
    </row>
    <row r="40" spans="1:251" s="33" customFormat="1">
      <c r="A40" s="127"/>
      <c r="B40" s="127" t="s">
        <v>120</v>
      </c>
      <c r="C40" s="205"/>
      <c r="D40" s="205"/>
      <c r="E40" s="156"/>
      <c r="F40" s="156"/>
      <c r="G40" s="222">
        <v>-170</v>
      </c>
      <c r="H40" s="222">
        <v>-372</v>
      </c>
      <c r="I40" s="222">
        <v>-688</v>
      </c>
      <c r="J40" s="222">
        <v>-1175</v>
      </c>
      <c r="K40" s="222">
        <v>-1254</v>
      </c>
      <c r="L40" s="222">
        <v>0</v>
      </c>
      <c r="M40" s="222">
        <v>0</v>
      </c>
      <c r="N40" s="156">
        <f>+M40</f>
        <v>0</v>
      </c>
      <c r="O40" s="156">
        <v>0</v>
      </c>
      <c r="P40" s="156">
        <v>0</v>
      </c>
      <c r="Q40" s="156">
        <v>0</v>
      </c>
      <c r="R40" s="156">
        <v>0</v>
      </c>
      <c r="S40" s="156">
        <v>0</v>
      </c>
      <c r="T40" s="156">
        <v>0</v>
      </c>
      <c r="U40" s="222">
        <v>0</v>
      </c>
      <c r="V40" s="156">
        <v>0</v>
      </c>
      <c r="W40" s="156">
        <v>0</v>
      </c>
      <c r="X40" s="156">
        <v>0</v>
      </c>
      <c r="Y40" s="156">
        <v>0</v>
      </c>
      <c r="Z40" s="156">
        <v>0</v>
      </c>
      <c r="AA40" s="156">
        <v>0</v>
      </c>
      <c r="AB40" s="156">
        <v>0</v>
      </c>
      <c r="AC40" s="156">
        <v>0</v>
      </c>
      <c r="AD40" s="156">
        <v>0</v>
      </c>
      <c r="AE40" s="156">
        <v>0</v>
      </c>
      <c r="AF40" s="156">
        <v>0</v>
      </c>
      <c r="AG40" s="43"/>
      <c r="AH40" s="43"/>
      <c r="AI40" s="43"/>
      <c r="AJ40" s="43"/>
      <c r="AK40" s="43"/>
      <c r="AL40" s="43"/>
      <c r="AM40" s="43"/>
      <c r="AN40" s="43"/>
      <c r="AO40" s="43"/>
      <c r="AP40" s="43"/>
      <c r="AQ40" s="43"/>
      <c r="AR40" s="43"/>
      <c r="AS40" s="43"/>
      <c r="AT40" s="43"/>
      <c r="AU40" s="43"/>
      <c r="AV40" s="43"/>
      <c r="AW40" s="43"/>
      <c r="AX40" s="43"/>
      <c r="AY40" s="43"/>
      <c r="AZ40" s="43"/>
      <c r="BA40" s="43"/>
      <c r="BB40" s="43"/>
      <c r="BC40" s="43"/>
      <c r="BD40" s="43"/>
      <c r="BE40" s="43"/>
      <c r="BF40" s="43"/>
      <c r="BG40" s="43"/>
      <c r="BH40" s="43"/>
      <c r="BI40" s="43"/>
      <c r="BJ40" s="43"/>
      <c r="BK40" s="43"/>
      <c r="BL40" s="43"/>
      <c r="BM40" s="43"/>
      <c r="BN40" s="43"/>
      <c r="BO40" s="43"/>
      <c r="BP40" s="43"/>
      <c r="BQ40" s="43"/>
      <c r="BR40" s="43"/>
      <c r="BS40" s="43"/>
      <c r="BT40" s="43"/>
      <c r="BU40" s="43"/>
      <c r="BV40" s="43"/>
      <c r="BW40" s="43"/>
      <c r="BX40" s="43"/>
      <c r="BY40" s="43"/>
      <c r="BZ40" s="43"/>
      <c r="CA40" s="43"/>
      <c r="CB40" s="43"/>
      <c r="CC40" s="43"/>
      <c r="CD40" s="43"/>
      <c r="CE40" s="43"/>
      <c r="CF40" s="43"/>
      <c r="CG40" s="43"/>
      <c r="CH40" s="43"/>
      <c r="CI40" s="43"/>
      <c r="CJ40" s="43"/>
      <c r="CK40" s="43"/>
      <c r="CL40" s="43"/>
      <c r="CM40" s="43"/>
      <c r="CN40" s="43"/>
      <c r="CO40" s="43"/>
      <c r="CP40" s="43"/>
      <c r="CQ40" s="43"/>
      <c r="CR40" s="43"/>
      <c r="CS40" s="43"/>
      <c r="CT40" s="43"/>
      <c r="CU40" s="43"/>
      <c r="CV40" s="43"/>
      <c r="CW40" s="43"/>
      <c r="CX40" s="43"/>
      <c r="CY40" s="43"/>
      <c r="CZ40" s="43"/>
      <c r="DA40" s="43"/>
      <c r="DB40" s="43"/>
      <c r="DC40" s="43"/>
      <c r="DD40" s="43"/>
      <c r="DE40" s="43"/>
      <c r="DF40" s="43"/>
      <c r="DG40" s="43"/>
      <c r="DH40" s="43"/>
      <c r="DI40" s="43"/>
      <c r="DJ40" s="43"/>
      <c r="DK40" s="43"/>
      <c r="DL40" s="43"/>
      <c r="DM40" s="43"/>
      <c r="DN40" s="43"/>
      <c r="DO40" s="43"/>
      <c r="DP40" s="43"/>
      <c r="DQ40" s="43"/>
      <c r="DR40" s="43"/>
      <c r="DS40" s="43"/>
      <c r="DT40" s="43"/>
      <c r="DU40" s="43"/>
      <c r="DV40" s="43"/>
      <c r="DW40" s="43"/>
      <c r="DX40" s="43"/>
      <c r="DY40" s="43"/>
      <c r="DZ40" s="43"/>
      <c r="EA40" s="43"/>
      <c r="EB40" s="43"/>
      <c r="EC40" s="43"/>
      <c r="ED40" s="43"/>
      <c r="EE40" s="43"/>
      <c r="EF40" s="43"/>
      <c r="EG40" s="43"/>
      <c r="EH40" s="43"/>
      <c r="EI40" s="43"/>
      <c r="EJ40" s="43"/>
      <c r="EK40" s="43"/>
      <c r="EL40" s="43"/>
      <c r="EM40" s="43"/>
      <c r="EN40" s="43"/>
      <c r="EO40" s="43"/>
      <c r="EP40" s="43"/>
      <c r="EQ40" s="43"/>
      <c r="ER40" s="43"/>
      <c r="ES40" s="43"/>
      <c r="ET40" s="43"/>
      <c r="EU40" s="43"/>
      <c r="EV40" s="43"/>
      <c r="EW40" s="43"/>
      <c r="EX40" s="43"/>
      <c r="EY40" s="43"/>
      <c r="EZ40" s="43"/>
      <c r="FA40" s="43"/>
      <c r="FB40" s="43"/>
      <c r="FC40" s="43"/>
      <c r="FD40" s="43"/>
      <c r="FE40" s="43"/>
      <c r="FF40" s="43"/>
      <c r="FG40" s="43"/>
      <c r="FH40" s="43"/>
      <c r="FI40" s="43"/>
      <c r="FJ40" s="43"/>
      <c r="FK40" s="43"/>
      <c r="FL40" s="43"/>
      <c r="FM40" s="43"/>
      <c r="FN40" s="43"/>
      <c r="FO40" s="43"/>
      <c r="FP40" s="43"/>
      <c r="FQ40" s="43"/>
      <c r="FR40" s="43"/>
      <c r="FS40" s="43"/>
      <c r="FT40" s="43"/>
      <c r="FU40" s="43"/>
      <c r="FV40" s="43"/>
      <c r="FW40" s="43"/>
      <c r="FX40" s="43"/>
      <c r="FY40" s="43"/>
      <c r="FZ40" s="43"/>
      <c r="GA40" s="43"/>
      <c r="GB40" s="43"/>
      <c r="GC40" s="43"/>
      <c r="GD40" s="43"/>
      <c r="GE40" s="43"/>
      <c r="GF40" s="43"/>
      <c r="GG40" s="43"/>
      <c r="GH40" s="43"/>
      <c r="GI40" s="43"/>
      <c r="GJ40" s="43"/>
      <c r="GK40" s="43"/>
      <c r="GL40" s="43"/>
      <c r="GM40" s="43"/>
      <c r="GN40" s="43"/>
      <c r="GO40" s="43"/>
      <c r="GP40" s="43"/>
      <c r="GQ40" s="43"/>
      <c r="GR40" s="43"/>
      <c r="GS40" s="43"/>
      <c r="GT40" s="43"/>
      <c r="GU40" s="43"/>
      <c r="GV40" s="43"/>
      <c r="GW40" s="43"/>
      <c r="GX40" s="43"/>
      <c r="GY40" s="43"/>
      <c r="GZ40" s="43"/>
      <c r="HA40" s="43"/>
      <c r="HB40" s="43"/>
      <c r="HC40" s="43"/>
      <c r="HD40" s="43"/>
      <c r="HE40" s="43"/>
      <c r="HF40" s="43"/>
      <c r="HG40" s="43"/>
      <c r="HH40" s="43"/>
      <c r="HI40" s="43"/>
      <c r="HJ40" s="43"/>
      <c r="HK40" s="43"/>
      <c r="HL40" s="43"/>
      <c r="HM40" s="43"/>
      <c r="HN40" s="43"/>
      <c r="HO40" s="43"/>
      <c r="HP40" s="43"/>
      <c r="HQ40" s="43"/>
      <c r="HR40" s="43"/>
      <c r="HS40" s="43"/>
      <c r="HT40" s="43"/>
      <c r="HU40" s="43"/>
      <c r="HV40" s="43"/>
      <c r="HW40" s="43"/>
      <c r="HX40" s="43"/>
      <c r="HY40" s="43"/>
      <c r="HZ40" s="43"/>
      <c r="IA40" s="43"/>
      <c r="IB40"/>
      <c r="IC40"/>
      <c r="ID40"/>
      <c r="IE40"/>
      <c r="IF40"/>
      <c r="IG40"/>
      <c r="IH40"/>
      <c r="II40"/>
      <c r="IJ40"/>
      <c r="IK40"/>
      <c r="IL40"/>
      <c r="IM40"/>
      <c r="IN40"/>
      <c r="IO40"/>
      <c r="IP40"/>
      <c r="IQ40"/>
    </row>
    <row r="41" spans="1:251" s="33" customFormat="1">
      <c r="A41" s="127"/>
      <c r="B41" s="127" t="s">
        <v>311</v>
      </c>
      <c r="C41" s="205"/>
      <c r="D41" s="205">
        <f>74</f>
        <v>74</v>
      </c>
      <c r="E41" s="156">
        <f>112</f>
        <v>112</v>
      </c>
      <c r="F41" s="156">
        <f>779+8425</f>
        <v>9204</v>
      </c>
      <c r="G41" s="222">
        <f>724</f>
        <v>724</v>
      </c>
      <c r="H41" s="222">
        <v>443</v>
      </c>
      <c r="I41" s="222">
        <v>827</v>
      </c>
      <c r="J41" s="222">
        <v>985</v>
      </c>
      <c r="K41" s="222">
        <v>486</v>
      </c>
      <c r="L41" s="222">
        <v>486</v>
      </c>
      <c r="M41" s="222">
        <v>423</v>
      </c>
      <c r="N41" s="156">
        <f>+M41</f>
        <v>423</v>
      </c>
      <c r="O41" s="222">
        <f>-1166+89</f>
        <v>-1077</v>
      </c>
      <c r="P41" s="222">
        <f>89</f>
        <v>89</v>
      </c>
      <c r="Q41" s="222">
        <v>104</v>
      </c>
      <c r="R41" s="222">
        <v>29</v>
      </c>
      <c r="S41" s="222">
        <v>-1082</v>
      </c>
      <c r="T41" s="222">
        <v>-634</v>
      </c>
      <c r="U41" s="222">
        <v>-939</v>
      </c>
      <c r="V41" s="222">
        <v>-554</v>
      </c>
      <c r="W41" s="222">
        <v>-1030</v>
      </c>
      <c r="X41" s="311">
        <f>+-IS!T446</f>
        <v>-2918</v>
      </c>
      <c r="Y41" s="311">
        <f>+-IS!U446</f>
        <v>-1000</v>
      </c>
      <c r="Z41" s="311">
        <f>+-IS!V446</f>
        <v>-2000</v>
      </c>
      <c r="AA41" s="311">
        <f>+-IS!W446</f>
        <v>-2000</v>
      </c>
      <c r="AB41" s="311">
        <f>+-IS!X446</f>
        <v>-2000</v>
      </c>
      <c r="AC41" s="311">
        <f>+-IS!Y446</f>
        <v>-2000</v>
      </c>
      <c r="AD41" s="311">
        <f>+-IS!Z446</f>
        <v>-2000</v>
      </c>
      <c r="AE41" s="311">
        <f>+-IS!AA446</f>
        <v>-2000</v>
      </c>
      <c r="AF41" s="311">
        <f>+-IS!AB446</f>
        <v>-2000</v>
      </c>
      <c r="AG41" s="43"/>
      <c r="AH41" s="43"/>
      <c r="AI41" s="43"/>
      <c r="AJ41" s="43"/>
      <c r="AK41" s="43"/>
      <c r="AL41" s="43"/>
      <c r="AM41" s="43"/>
      <c r="AN41" s="43"/>
      <c r="AO41" s="43"/>
      <c r="AP41" s="43"/>
      <c r="AQ41" s="43"/>
      <c r="AR41" s="43"/>
      <c r="AS41" s="43"/>
      <c r="AT41" s="43"/>
      <c r="AU41" s="43"/>
      <c r="AV41" s="43"/>
      <c r="AW41" s="43"/>
      <c r="AX41" s="43"/>
      <c r="AY41" s="43"/>
      <c r="AZ41" s="43"/>
      <c r="BA41" s="43"/>
      <c r="BB41" s="43"/>
      <c r="BC41" s="43"/>
      <c r="BD41" s="43"/>
      <c r="BE41" s="43"/>
      <c r="BF41" s="43"/>
      <c r="BG41" s="43"/>
      <c r="BH41" s="43"/>
      <c r="BI41" s="43"/>
      <c r="BJ41" s="43"/>
      <c r="BK41" s="43"/>
      <c r="BL41" s="43"/>
      <c r="BM41" s="43"/>
      <c r="BN41" s="43"/>
      <c r="BO41" s="43"/>
      <c r="BP41" s="43"/>
      <c r="BQ41" s="43"/>
      <c r="BR41" s="43"/>
      <c r="BS41" s="43"/>
      <c r="BT41" s="43"/>
      <c r="BU41" s="43"/>
      <c r="BV41" s="43"/>
      <c r="BW41" s="43"/>
      <c r="BX41" s="43"/>
      <c r="BY41" s="43"/>
      <c r="BZ41" s="43"/>
      <c r="CA41" s="43"/>
      <c r="CB41" s="43"/>
      <c r="CC41" s="43"/>
      <c r="CD41" s="43"/>
      <c r="CE41" s="43"/>
      <c r="CF41" s="43"/>
      <c r="CG41" s="43"/>
      <c r="CH41" s="43"/>
      <c r="CI41" s="43"/>
      <c r="CJ41" s="43"/>
      <c r="CK41" s="43"/>
      <c r="CL41" s="43"/>
      <c r="CM41" s="43"/>
      <c r="CN41" s="43"/>
      <c r="CO41" s="43"/>
      <c r="CP41" s="43"/>
      <c r="CQ41" s="43"/>
      <c r="CR41" s="43"/>
      <c r="CS41" s="43"/>
      <c r="CT41" s="43"/>
      <c r="CU41" s="43"/>
      <c r="CV41" s="43"/>
      <c r="CW41" s="43"/>
      <c r="CX41" s="43"/>
      <c r="CY41" s="43"/>
      <c r="CZ41" s="43"/>
      <c r="DA41" s="43"/>
      <c r="DB41" s="43"/>
      <c r="DC41" s="43"/>
      <c r="DD41" s="43"/>
      <c r="DE41" s="43"/>
      <c r="DF41" s="43"/>
      <c r="DG41" s="43"/>
      <c r="DH41" s="43"/>
      <c r="DI41" s="43"/>
      <c r="DJ41" s="43"/>
      <c r="DK41" s="43"/>
      <c r="DL41" s="43"/>
      <c r="DM41" s="43"/>
      <c r="DN41" s="43"/>
      <c r="DO41" s="43"/>
      <c r="DP41" s="43"/>
      <c r="DQ41" s="43"/>
      <c r="DR41" s="43"/>
      <c r="DS41" s="43"/>
      <c r="DT41" s="43"/>
      <c r="DU41" s="43"/>
      <c r="DV41" s="43"/>
      <c r="DW41" s="43"/>
      <c r="DX41" s="43"/>
      <c r="DY41" s="43"/>
      <c r="DZ41" s="43"/>
      <c r="EA41" s="43"/>
      <c r="EB41" s="43"/>
      <c r="EC41" s="43"/>
      <c r="ED41" s="43"/>
      <c r="EE41" s="43"/>
      <c r="EF41" s="43"/>
      <c r="EG41" s="43"/>
      <c r="EH41" s="43"/>
      <c r="EI41" s="43"/>
      <c r="EJ41" s="43"/>
      <c r="EK41" s="43"/>
      <c r="EL41" s="43"/>
      <c r="EM41" s="43"/>
      <c r="EN41" s="43"/>
      <c r="EO41" s="43"/>
      <c r="EP41" s="43"/>
      <c r="EQ41" s="43"/>
      <c r="ER41" s="43"/>
      <c r="ES41" s="43"/>
      <c r="ET41" s="43"/>
      <c r="EU41" s="43"/>
      <c r="EV41" s="43"/>
      <c r="EW41" s="43"/>
      <c r="EX41" s="43"/>
      <c r="EY41" s="43"/>
      <c r="EZ41" s="43"/>
      <c r="FA41" s="43"/>
      <c r="FB41" s="43"/>
      <c r="FC41" s="43"/>
      <c r="FD41" s="43"/>
      <c r="FE41" s="43"/>
      <c r="FF41" s="43"/>
      <c r="FG41" s="43"/>
      <c r="FH41" s="43"/>
      <c r="FI41" s="43"/>
      <c r="FJ41" s="43"/>
      <c r="FK41" s="43"/>
      <c r="FL41" s="43"/>
      <c r="FM41" s="43"/>
      <c r="FN41" s="43"/>
      <c r="FO41" s="43"/>
      <c r="FP41" s="43"/>
      <c r="FQ41" s="43"/>
      <c r="FR41" s="43"/>
      <c r="FS41" s="43"/>
      <c r="FT41" s="43"/>
      <c r="FU41" s="43"/>
      <c r="FV41" s="43"/>
      <c r="FW41" s="43"/>
      <c r="FX41" s="43"/>
      <c r="FY41" s="43"/>
      <c r="FZ41" s="43"/>
      <c r="GA41" s="43"/>
      <c r="GB41" s="43"/>
      <c r="GC41" s="43"/>
      <c r="GD41" s="43"/>
      <c r="GE41" s="43"/>
      <c r="GF41" s="43"/>
      <c r="GG41" s="43"/>
      <c r="GH41" s="43"/>
      <c r="GI41" s="43"/>
      <c r="GJ41" s="43"/>
      <c r="GK41" s="43"/>
      <c r="GL41" s="43"/>
      <c r="GM41" s="43"/>
      <c r="GN41" s="43"/>
      <c r="GO41" s="43"/>
      <c r="GP41" s="43"/>
      <c r="GQ41" s="43"/>
      <c r="GR41" s="43"/>
      <c r="GS41" s="43"/>
      <c r="GT41" s="43"/>
      <c r="GU41" s="43"/>
      <c r="GV41" s="43"/>
      <c r="GW41" s="43"/>
      <c r="GX41" s="43"/>
      <c r="GY41" s="43"/>
      <c r="GZ41" s="43"/>
      <c r="HA41" s="43"/>
      <c r="HB41" s="43"/>
      <c r="HC41" s="43"/>
      <c r="HD41" s="43"/>
      <c r="HE41" s="43"/>
      <c r="HF41" s="43"/>
      <c r="HG41" s="43"/>
      <c r="HH41" s="43"/>
      <c r="HI41" s="43"/>
      <c r="HJ41" s="43"/>
      <c r="HK41" s="43"/>
      <c r="HL41" s="43"/>
      <c r="HM41" s="43"/>
      <c r="HN41" s="43"/>
      <c r="HO41" s="43"/>
      <c r="HP41" s="43"/>
      <c r="HQ41" s="43"/>
      <c r="HR41" s="43"/>
      <c r="HS41" s="43"/>
      <c r="HT41" s="43"/>
      <c r="HU41" s="43"/>
      <c r="HV41" s="43"/>
      <c r="HW41" s="43"/>
      <c r="HX41" s="43"/>
      <c r="HY41" s="43"/>
      <c r="HZ41" s="43"/>
      <c r="IA41" s="43"/>
      <c r="IB41"/>
      <c r="IC41"/>
      <c r="ID41"/>
      <c r="IE41"/>
      <c r="IF41"/>
      <c r="IG41"/>
      <c r="IH41"/>
      <c r="II41"/>
      <c r="IJ41"/>
      <c r="IK41"/>
      <c r="IL41"/>
      <c r="IM41"/>
      <c r="IN41"/>
      <c r="IO41"/>
      <c r="IP41"/>
      <c r="IQ41"/>
    </row>
    <row r="42" spans="1:251" s="33" customFormat="1">
      <c r="A42" s="127"/>
      <c r="B42" s="127" t="s">
        <v>639</v>
      </c>
      <c r="C42" s="296">
        <f>265-200</f>
        <v>65</v>
      </c>
      <c r="D42" s="296">
        <f>-135</f>
        <v>-135</v>
      </c>
      <c r="E42" s="207">
        <f>-293</f>
        <v>-293</v>
      </c>
      <c r="F42" s="207">
        <f>-143</f>
        <v>-143</v>
      </c>
      <c r="G42" s="208">
        <f>-187</f>
        <v>-187</v>
      </c>
      <c r="H42" s="208">
        <f>-37-71</f>
        <v>-108</v>
      </c>
      <c r="I42" s="208">
        <v>-409</v>
      </c>
      <c r="J42" s="208">
        <v>-157</v>
      </c>
      <c r="K42" s="208">
        <v>-319</v>
      </c>
      <c r="L42" s="208">
        <f>-134+1369</f>
        <v>1235</v>
      </c>
      <c r="M42" s="208">
        <f>-53+728</f>
        <v>675</v>
      </c>
      <c r="N42" s="207">
        <f>M42-370--345</f>
        <v>650</v>
      </c>
      <c r="O42" s="208">
        <f>3019-46-371-664-51</f>
        <v>1887</v>
      </c>
      <c r="P42" s="208">
        <f>-177-84</f>
        <v>-261</v>
      </c>
      <c r="Q42" s="208">
        <f>-6+45</f>
        <v>39</v>
      </c>
      <c r="R42" s="208">
        <f>-24+6</f>
        <v>-18</v>
      </c>
      <c r="S42" s="208">
        <f>-12-22-864</f>
        <v>-898</v>
      </c>
      <c r="T42" s="208">
        <f>17-1054-39</f>
        <v>-1076</v>
      </c>
      <c r="U42" s="208">
        <f>14-44-7</f>
        <v>-37</v>
      </c>
      <c r="V42" s="207">
        <f>+-226+5</f>
        <v>-221</v>
      </c>
      <c r="W42" s="207">
        <f>+-809+9</f>
        <v>-800</v>
      </c>
      <c r="X42" s="207">
        <f>+BS!Y61-BS!X61+BS!Y62-BS!X62+BS!Y55-BS!X55</f>
        <v>0</v>
      </c>
      <c r="Y42" s="207">
        <f>+BS!Z61-BS!Y61+BS!Z62-BS!Y62+BS!Z55-BS!Y55</f>
        <v>0</v>
      </c>
      <c r="Z42" s="207">
        <f>+BS!AA61-BS!Z61+BS!AA62-BS!Z62+BS!AA55-BS!Z55</f>
        <v>0</v>
      </c>
      <c r="AA42" s="207">
        <f>+BS!AB61-BS!AA61+BS!AB62-BS!AA62+BS!AB55-BS!AA55</f>
        <v>0</v>
      </c>
      <c r="AB42" s="207">
        <f>+BS!AC61-BS!AB61+BS!AC62-BS!AB62+BS!AC55-BS!AB55</f>
        <v>0</v>
      </c>
      <c r="AC42" s="207">
        <f>+BS!AD61-BS!AC61+BS!AD62-BS!AC62+BS!AD55-BS!AC55</f>
        <v>0</v>
      </c>
      <c r="AD42" s="207">
        <f>+BS!AE61-BS!AD61+BS!AE62-BS!AD62+BS!AE55-BS!AD55</f>
        <v>0</v>
      </c>
      <c r="AE42" s="207">
        <f>+BS!AF61-BS!AE61+BS!AF62-BS!AE62+BS!AF55-BS!AE55</f>
        <v>0</v>
      </c>
      <c r="AF42" s="207">
        <f>+BS!AG61-BS!AF61+BS!AG62-BS!AF62+BS!AG55-BS!AF55</f>
        <v>0</v>
      </c>
      <c r="AG42" s="43"/>
      <c r="AH42" s="43"/>
      <c r="AI42" s="43"/>
      <c r="AJ42" s="43"/>
      <c r="AK42" s="43"/>
      <c r="AL42" s="43"/>
      <c r="AM42" s="43"/>
      <c r="AN42" s="43"/>
      <c r="AO42" s="43"/>
      <c r="AP42" s="43"/>
      <c r="AQ42" s="43"/>
      <c r="AR42" s="43"/>
      <c r="AS42" s="43"/>
      <c r="AT42" s="43"/>
      <c r="AU42" s="43"/>
      <c r="AV42" s="43"/>
      <c r="AW42" s="43"/>
      <c r="AX42" s="43"/>
      <c r="AY42" s="43"/>
      <c r="AZ42" s="43"/>
      <c r="BA42" s="43"/>
      <c r="BB42" s="43"/>
      <c r="BC42" s="43"/>
      <c r="BD42" s="43"/>
      <c r="BE42" s="43"/>
      <c r="BF42" s="43"/>
      <c r="BG42" s="43"/>
      <c r="BH42" s="43"/>
      <c r="BI42" s="43"/>
      <c r="BJ42" s="43"/>
      <c r="BK42" s="43"/>
      <c r="BL42" s="43"/>
      <c r="BM42" s="43"/>
      <c r="BN42" s="43"/>
      <c r="BO42" s="43"/>
      <c r="BP42" s="43"/>
      <c r="BQ42" s="43"/>
      <c r="BR42" s="43"/>
      <c r="BS42" s="43"/>
      <c r="BT42" s="43"/>
      <c r="BU42" s="43"/>
      <c r="BV42" s="43"/>
      <c r="BW42" s="43"/>
      <c r="BX42" s="43"/>
      <c r="BY42" s="43"/>
      <c r="BZ42" s="43"/>
      <c r="CA42" s="43"/>
      <c r="CB42" s="43"/>
      <c r="CC42" s="43"/>
      <c r="CD42" s="43"/>
      <c r="CE42" s="43"/>
      <c r="CF42" s="43"/>
      <c r="CG42" s="43"/>
      <c r="CH42" s="43"/>
      <c r="CI42" s="43"/>
      <c r="CJ42" s="43"/>
      <c r="CK42" s="43"/>
      <c r="CL42" s="43"/>
      <c r="CM42" s="43"/>
      <c r="CN42" s="43"/>
      <c r="CO42" s="43"/>
      <c r="CP42" s="43"/>
      <c r="CQ42" s="43"/>
      <c r="CR42" s="43"/>
      <c r="CS42" s="43"/>
      <c r="CT42" s="43"/>
      <c r="CU42" s="43"/>
      <c r="CV42" s="43"/>
      <c r="CW42" s="43"/>
      <c r="CX42" s="43"/>
      <c r="CY42" s="43"/>
      <c r="CZ42" s="43"/>
      <c r="DA42" s="43"/>
      <c r="DB42" s="43"/>
      <c r="DC42" s="43"/>
      <c r="DD42" s="43"/>
      <c r="DE42" s="43"/>
      <c r="DF42" s="43"/>
      <c r="DG42" s="43"/>
      <c r="DH42" s="43"/>
      <c r="DI42" s="43"/>
      <c r="DJ42" s="43"/>
      <c r="DK42" s="43"/>
      <c r="DL42" s="43"/>
      <c r="DM42" s="43"/>
      <c r="DN42" s="43"/>
      <c r="DO42" s="43"/>
      <c r="DP42" s="43"/>
      <c r="DQ42" s="43"/>
      <c r="DR42" s="43"/>
      <c r="DS42" s="43"/>
      <c r="DT42" s="43"/>
      <c r="DU42" s="43"/>
      <c r="DV42" s="43"/>
      <c r="DW42" s="43"/>
      <c r="DX42" s="43"/>
      <c r="DY42" s="43"/>
      <c r="DZ42" s="43"/>
      <c r="EA42" s="43"/>
      <c r="EB42" s="43"/>
      <c r="EC42" s="43"/>
      <c r="ED42" s="43"/>
      <c r="EE42" s="43"/>
      <c r="EF42" s="43"/>
      <c r="EG42" s="43"/>
      <c r="EH42" s="43"/>
      <c r="EI42" s="43"/>
      <c r="EJ42" s="43"/>
      <c r="EK42" s="43"/>
      <c r="EL42" s="43"/>
      <c r="EM42" s="43"/>
      <c r="EN42" s="43"/>
      <c r="EO42" s="43"/>
      <c r="EP42" s="43"/>
      <c r="EQ42" s="43"/>
      <c r="ER42" s="43"/>
      <c r="ES42" s="43"/>
      <c r="ET42" s="43"/>
      <c r="EU42" s="43"/>
      <c r="EV42" s="43"/>
      <c r="EW42" s="43"/>
      <c r="EX42" s="43"/>
      <c r="EY42" s="43"/>
      <c r="EZ42" s="43"/>
      <c r="FA42" s="43"/>
      <c r="FB42" s="43"/>
      <c r="FC42" s="43"/>
      <c r="FD42" s="43"/>
      <c r="FE42" s="43"/>
      <c r="FF42" s="43"/>
      <c r="FG42" s="43"/>
      <c r="FH42" s="43"/>
      <c r="FI42" s="43"/>
      <c r="FJ42" s="43"/>
      <c r="FK42" s="43"/>
      <c r="FL42" s="43"/>
      <c r="FM42" s="43"/>
      <c r="FN42" s="43"/>
      <c r="FO42" s="43"/>
      <c r="FP42" s="43"/>
      <c r="FQ42" s="43"/>
      <c r="FR42" s="43"/>
      <c r="FS42" s="43"/>
      <c r="FT42" s="43"/>
      <c r="FU42" s="43"/>
      <c r="FV42" s="43"/>
      <c r="FW42" s="43"/>
      <c r="FX42" s="43"/>
      <c r="FY42" s="43"/>
      <c r="FZ42" s="43"/>
      <c r="GA42" s="43"/>
      <c r="GB42" s="43"/>
      <c r="GC42" s="43"/>
      <c r="GD42" s="43"/>
      <c r="GE42" s="43"/>
      <c r="GF42" s="43"/>
      <c r="GG42" s="43"/>
      <c r="GH42" s="43"/>
      <c r="GI42" s="43"/>
      <c r="GJ42" s="43"/>
      <c r="GK42" s="43"/>
      <c r="GL42" s="43"/>
      <c r="GM42" s="43"/>
      <c r="GN42" s="43"/>
      <c r="GO42" s="43"/>
      <c r="GP42" s="43"/>
      <c r="GQ42" s="43"/>
      <c r="GR42" s="43"/>
      <c r="GS42" s="43"/>
      <c r="GT42" s="43"/>
      <c r="GU42" s="43"/>
      <c r="GV42" s="43"/>
      <c r="GW42" s="43"/>
      <c r="GX42" s="43"/>
      <c r="GY42" s="43"/>
      <c r="GZ42" s="43"/>
      <c r="HA42" s="43"/>
      <c r="HB42" s="43"/>
      <c r="HC42" s="43"/>
      <c r="HD42" s="43"/>
      <c r="HE42" s="43"/>
      <c r="HF42" s="43"/>
      <c r="HG42" s="43"/>
      <c r="HH42" s="43"/>
      <c r="HI42" s="43"/>
      <c r="HJ42" s="43"/>
      <c r="HK42" s="43"/>
      <c r="HL42" s="43"/>
      <c r="HM42" s="43"/>
      <c r="HN42" s="43"/>
      <c r="HO42" s="43"/>
      <c r="HP42" s="43"/>
      <c r="HQ42" s="43"/>
      <c r="HR42" s="43"/>
      <c r="HS42" s="43"/>
      <c r="HT42" s="43"/>
      <c r="HU42" s="43"/>
      <c r="HV42" s="43"/>
      <c r="HW42" s="43"/>
      <c r="HX42" s="43"/>
      <c r="HY42" s="43"/>
      <c r="HZ42" s="43"/>
      <c r="IA42" s="43"/>
      <c r="IB42"/>
      <c r="IC42"/>
      <c r="ID42"/>
      <c r="IE42"/>
      <c r="IF42"/>
      <c r="IG42"/>
      <c r="IH42"/>
      <c r="II42"/>
      <c r="IJ42"/>
      <c r="IK42"/>
      <c r="IL42"/>
      <c r="IM42"/>
      <c r="IN42"/>
      <c r="IO42"/>
      <c r="IP42"/>
      <c r="IQ42"/>
    </row>
    <row r="43" spans="1:251" s="37" customFormat="1">
      <c r="A43" s="285" t="s">
        <v>340</v>
      </c>
      <c r="B43" s="172"/>
      <c r="C43" s="220">
        <f t="shared" ref="C43:L43" si="10">SUM(C36:C42)</f>
        <v>-4201</v>
      </c>
      <c r="D43" s="220">
        <f t="shared" si="10"/>
        <v>-7497</v>
      </c>
      <c r="E43" s="196">
        <f t="shared" si="10"/>
        <v>2658</v>
      </c>
      <c r="F43" s="196">
        <f t="shared" si="10"/>
        <v>-6440</v>
      </c>
      <c r="G43" s="196">
        <f t="shared" si="10"/>
        <v>-8165</v>
      </c>
      <c r="H43" s="196">
        <f>SUM(H36:H42)</f>
        <v>-5459</v>
      </c>
      <c r="I43" s="196">
        <f t="shared" si="10"/>
        <v>-7982</v>
      </c>
      <c r="J43" s="196">
        <f t="shared" si="10"/>
        <v>-5134</v>
      </c>
      <c r="K43" s="196">
        <f t="shared" si="10"/>
        <v>-14366</v>
      </c>
      <c r="L43" s="196">
        <f t="shared" si="10"/>
        <v>-10646</v>
      </c>
      <c r="M43" s="196">
        <f t="shared" ref="M43:V43" si="11">SUM(M36:M42)</f>
        <v>-3503</v>
      </c>
      <c r="N43" s="196">
        <f t="shared" si="11"/>
        <v>-134</v>
      </c>
      <c r="O43" s="196">
        <f t="shared" si="11"/>
        <v>-937</v>
      </c>
      <c r="P43" s="196">
        <f t="shared" si="11"/>
        <v>276</v>
      </c>
      <c r="Q43" s="196">
        <f t="shared" si="11"/>
        <v>-2583</v>
      </c>
      <c r="R43" s="196">
        <f>SUM(R36:R42)</f>
        <v>-3044</v>
      </c>
      <c r="S43" s="196">
        <f t="shared" si="11"/>
        <v>-5193</v>
      </c>
      <c r="T43" s="196">
        <f t="shared" si="11"/>
        <v>-4702</v>
      </c>
      <c r="U43" s="196">
        <f t="shared" si="11"/>
        <v>-4694</v>
      </c>
      <c r="V43" s="196">
        <f t="shared" si="11"/>
        <v>-6747</v>
      </c>
      <c r="W43" s="196">
        <f t="shared" ref="W43:AF43" si="12">SUM(W36:W42)</f>
        <v>-5299</v>
      </c>
      <c r="X43" s="196">
        <f t="shared" si="12"/>
        <v>-8894.8014164970082</v>
      </c>
      <c r="Y43" s="196">
        <f t="shared" ca="1" si="12"/>
        <v>-7586.5181056968231</v>
      </c>
      <c r="Z43" s="196">
        <f t="shared" ca="1" si="12"/>
        <v>-9201.9166288488777</v>
      </c>
      <c r="AA43" s="196">
        <f t="shared" ca="1" si="12"/>
        <v>-8682.4985637595146</v>
      </c>
      <c r="AB43" s="196">
        <f t="shared" ca="1" si="12"/>
        <v>-9135.2350560970299</v>
      </c>
      <c r="AC43" s="196">
        <f t="shared" ca="1" si="12"/>
        <v>-9551.4162028773681</v>
      </c>
      <c r="AD43" s="196">
        <f t="shared" ca="1" si="12"/>
        <v>-9968.7271282790734</v>
      </c>
      <c r="AE43" s="196">
        <f t="shared" ca="1" si="12"/>
        <v>-10388.787133235694</v>
      </c>
      <c r="AF43" s="196">
        <f t="shared" ca="1" si="12"/>
        <v>-10813.121456294468</v>
      </c>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c r="BE43" s="129"/>
      <c r="BF43" s="129"/>
      <c r="BG43" s="129"/>
      <c r="BH43" s="129"/>
      <c r="BI43" s="129"/>
      <c r="BJ43" s="129"/>
      <c r="BK43" s="129"/>
      <c r="BL43" s="129"/>
      <c r="BM43" s="129"/>
      <c r="BN43" s="129"/>
      <c r="BO43" s="129"/>
      <c r="BP43" s="129"/>
      <c r="BQ43" s="129"/>
      <c r="BR43" s="129"/>
      <c r="BS43" s="129"/>
      <c r="BT43" s="129"/>
      <c r="BU43" s="129"/>
      <c r="BV43" s="129"/>
      <c r="BW43" s="129"/>
      <c r="BX43" s="129"/>
      <c r="BY43" s="129"/>
      <c r="BZ43" s="129"/>
      <c r="CA43" s="129"/>
      <c r="CB43" s="129"/>
      <c r="CC43" s="129"/>
      <c r="CD43" s="129"/>
      <c r="CE43" s="129"/>
      <c r="CF43" s="129"/>
      <c r="CG43" s="129"/>
      <c r="CH43" s="129"/>
      <c r="CI43" s="129"/>
      <c r="CJ43" s="129"/>
      <c r="CK43" s="129"/>
      <c r="CL43" s="129"/>
      <c r="CM43" s="129"/>
      <c r="CN43" s="129"/>
      <c r="CO43" s="129"/>
      <c r="CP43" s="129"/>
      <c r="CQ43" s="129"/>
      <c r="CR43" s="129"/>
      <c r="CS43" s="129"/>
      <c r="CT43" s="129"/>
      <c r="CU43" s="129"/>
      <c r="CV43" s="129"/>
      <c r="CW43" s="129"/>
      <c r="CX43" s="129"/>
      <c r="CY43" s="129"/>
      <c r="CZ43" s="129"/>
      <c r="DA43" s="129"/>
      <c r="DB43" s="129"/>
      <c r="DC43" s="129"/>
      <c r="DD43" s="129"/>
      <c r="DE43" s="129"/>
      <c r="DF43" s="129"/>
      <c r="DG43" s="129"/>
      <c r="DH43" s="129"/>
      <c r="DI43" s="129"/>
      <c r="DJ43" s="129"/>
      <c r="DK43" s="129"/>
      <c r="DL43" s="129"/>
      <c r="DM43" s="129"/>
      <c r="DN43" s="129"/>
      <c r="DO43" s="129"/>
      <c r="DP43" s="129"/>
      <c r="DQ43" s="129"/>
      <c r="DR43" s="129"/>
      <c r="DS43" s="129"/>
      <c r="DT43" s="129"/>
      <c r="DU43" s="129"/>
      <c r="DV43" s="129"/>
      <c r="DW43" s="129"/>
      <c r="DX43" s="129"/>
      <c r="DY43" s="129"/>
      <c r="DZ43" s="129"/>
      <c r="EA43" s="129"/>
      <c r="EB43" s="129"/>
      <c r="EC43" s="129"/>
      <c r="ED43" s="129"/>
      <c r="EE43" s="129"/>
      <c r="EF43" s="129"/>
      <c r="EG43" s="129"/>
      <c r="EH43" s="129"/>
      <c r="EI43" s="129"/>
      <c r="EJ43" s="129"/>
      <c r="EK43" s="129"/>
      <c r="EL43" s="129"/>
      <c r="EM43" s="129"/>
      <c r="EN43" s="129"/>
      <c r="EO43" s="129"/>
      <c r="EP43" s="129"/>
      <c r="EQ43" s="129"/>
      <c r="ER43" s="129"/>
      <c r="ES43" s="129"/>
      <c r="ET43" s="129"/>
      <c r="EU43" s="129"/>
      <c r="EV43" s="129"/>
      <c r="EW43" s="129"/>
      <c r="EX43" s="129"/>
      <c r="EY43" s="129"/>
      <c r="EZ43" s="129"/>
      <c r="FA43" s="129"/>
      <c r="FB43" s="129"/>
      <c r="FC43" s="129"/>
      <c r="FD43" s="129"/>
      <c r="FE43" s="129"/>
      <c r="FF43" s="129"/>
      <c r="FG43" s="129"/>
      <c r="FH43" s="129"/>
      <c r="FI43" s="129"/>
      <c r="FJ43" s="129"/>
      <c r="FK43" s="129"/>
      <c r="FL43" s="129"/>
      <c r="FM43" s="129"/>
      <c r="FN43" s="129"/>
      <c r="FO43" s="129"/>
      <c r="FP43" s="129"/>
      <c r="FQ43" s="129"/>
      <c r="FR43" s="129"/>
      <c r="FS43" s="129"/>
      <c r="FT43" s="129"/>
      <c r="FU43" s="129"/>
      <c r="FV43" s="129"/>
      <c r="FW43" s="129"/>
      <c r="FX43" s="129"/>
      <c r="FY43" s="129"/>
      <c r="FZ43" s="129"/>
      <c r="GA43" s="129"/>
      <c r="GB43" s="129"/>
      <c r="GC43" s="129"/>
      <c r="GD43" s="129"/>
      <c r="GE43" s="129"/>
      <c r="GF43" s="129"/>
      <c r="GG43" s="129"/>
      <c r="GH43" s="129"/>
      <c r="GI43" s="129"/>
      <c r="GJ43" s="129"/>
      <c r="GK43" s="129"/>
      <c r="GL43" s="129"/>
      <c r="GM43" s="129"/>
      <c r="GN43" s="129"/>
      <c r="GO43" s="129"/>
      <c r="GP43" s="129"/>
      <c r="GQ43" s="129"/>
      <c r="GR43" s="129"/>
      <c r="GS43" s="129"/>
      <c r="GT43" s="129"/>
      <c r="GU43" s="129"/>
      <c r="GV43" s="129"/>
      <c r="GW43" s="129"/>
      <c r="GX43" s="129"/>
      <c r="GY43" s="129"/>
      <c r="GZ43" s="129"/>
      <c r="HA43" s="129"/>
      <c r="HB43" s="129"/>
      <c r="HC43" s="129"/>
      <c r="HD43" s="129"/>
      <c r="HE43" s="129"/>
      <c r="HF43" s="129"/>
      <c r="HG43" s="129"/>
      <c r="HH43" s="129"/>
      <c r="HI43" s="129"/>
      <c r="HJ43" s="129"/>
      <c r="HK43" s="129"/>
      <c r="HL43" s="129"/>
      <c r="HM43" s="129"/>
      <c r="HN43" s="129"/>
      <c r="HO43" s="129"/>
      <c r="HP43" s="129"/>
      <c r="HQ43" s="129"/>
      <c r="HR43" s="129"/>
      <c r="HS43" s="129"/>
      <c r="HT43" s="129"/>
      <c r="HU43" s="129"/>
      <c r="HV43" s="129"/>
      <c r="HW43" s="129"/>
      <c r="HX43" s="129"/>
      <c r="HY43" s="129"/>
      <c r="HZ43" s="129"/>
      <c r="IA43" s="129"/>
      <c r="IB43"/>
      <c r="IC43"/>
      <c r="ID43"/>
      <c r="IE43"/>
      <c r="IF43"/>
      <c r="IG43"/>
      <c r="IH43"/>
      <c r="II43"/>
      <c r="IJ43"/>
      <c r="IK43"/>
      <c r="IL43"/>
      <c r="IM43"/>
      <c r="IN43"/>
      <c r="IO43"/>
      <c r="IP43"/>
      <c r="IQ43"/>
    </row>
    <row r="44" spans="1:251" s="33" customFormat="1">
      <c r="A44" s="127"/>
      <c r="B44" s="125"/>
      <c r="C44" s="205"/>
      <c r="D44" s="205"/>
      <c r="E44" s="156"/>
      <c r="F44" s="156"/>
      <c r="G44" s="156"/>
      <c r="H44" s="156"/>
      <c r="I44" s="156"/>
      <c r="J44" s="156"/>
      <c r="K44" s="156"/>
      <c r="L44" s="156"/>
      <c r="M44" s="156"/>
      <c r="N44" s="156"/>
      <c r="O44" s="205"/>
      <c r="P44" s="205"/>
      <c r="Q44" s="205"/>
      <c r="R44" s="205"/>
      <c r="S44" s="205"/>
      <c r="T44" s="205"/>
      <c r="U44" s="205"/>
      <c r="V44" s="205"/>
      <c r="W44" s="205"/>
      <c r="X44" s="205"/>
      <c r="Y44" s="205"/>
      <c r="Z44" s="205"/>
      <c r="AA44" s="205"/>
      <c r="AB44" s="205"/>
      <c r="AC44" s="205"/>
      <c r="AD44" s="205"/>
      <c r="AE44" s="205"/>
      <c r="AF44" s="205"/>
      <c r="AG44" s="43"/>
      <c r="AH44" s="43"/>
      <c r="AI44" s="43"/>
      <c r="AJ44" s="43"/>
      <c r="AK44" s="43"/>
      <c r="AL44" s="43"/>
      <c r="AM44" s="43"/>
      <c r="AN44" s="43"/>
      <c r="AO44" s="43"/>
      <c r="AP44" s="43"/>
      <c r="AQ44" s="43"/>
      <c r="AR44" s="43"/>
      <c r="AS44" s="43"/>
      <c r="AT44" s="43"/>
      <c r="AU44" s="43"/>
      <c r="AV44" s="43"/>
      <c r="AW44" s="43"/>
      <c r="AX44" s="43"/>
      <c r="AY44" s="43"/>
      <c r="AZ44" s="43"/>
      <c r="BA44" s="43"/>
      <c r="BB44" s="43"/>
      <c r="BC44" s="43"/>
      <c r="BD44" s="43"/>
      <c r="BE44" s="43"/>
      <c r="BF44" s="43"/>
      <c r="BG44" s="43"/>
      <c r="BH44" s="43"/>
      <c r="BI44" s="43"/>
      <c r="BJ44" s="43"/>
      <c r="BK44" s="43"/>
      <c r="BL44" s="43"/>
      <c r="BM44" s="43"/>
      <c r="BN44" s="43"/>
      <c r="BO44" s="43"/>
      <c r="BP44" s="43"/>
      <c r="BQ44" s="43"/>
      <c r="BR44" s="43"/>
      <c r="BS44" s="43"/>
      <c r="BT44" s="43"/>
      <c r="BU44" s="43"/>
      <c r="BV44" s="43"/>
      <c r="BW44" s="43"/>
      <c r="BX44" s="43"/>
      <c r="BY44" s="43"/>
      <c r="BZ44" s="43"/>
      <c r="CA44" s="43"/>
      <c r="CB44" s="43"/>
      <c r="CC44" s="43"/>
      <c r="CD44" s="43"/>
      <c r="CE44" s="43"/>
      <c r="CF44" s="43"/>
      <c r="CG44" s="43"/>
      <c r="CH44" s="43"/>
      <c r="CI44" s="43"/>
      <c r="CJ44" s="43"/>
      <c r="CK44" s="43"/>
      <c r="CL44" s="43"/>
      <c r="CM44" s="43"/>
      <c r="CN44" s="43"/>
      <c r="CO44" s="43"/>
      <c r="CP44" s="43"/>
      <c r="CQ44" s="43"/>
      <c r="CR44" s="43"/>
      <c r="CS44" s="43"/>
      <c r="CT44" s="43"/>
      <c r="CU44" s="43"/>
      <c r="CV44" s="43"/>
      <c r="CW44" s="43"/>
      <c r="CX44" s="43"/>
      <c r="CY44" s="43"/>
      <c r="CZ44" s="43"/>
      <c r="DA44" s="43"/>
      <c r="DB44" s="43"/>
      <c r="DC44" s="43"/>
      <c r="DD44" s="43"/>
      <c r="DE44" s="43"/>
      <c r="DF44" s="43"/>
      <c r="DG44" s="43"/>
      <c r="DH44" s="43"/>
      <c r="DI44" s="43"/>
      <c r="DJ44" s="43"/>
      <c r="DK44" s="43"/>
      <c r="DL44" s="43"/>
      <c r="DM44" s="43"/>
      <c r="DN44" s="43"/>
      <c r="DO44" s="43"/>
      <c r="DP44" s="43"/>
      <c r="DQ44" s="43"/>
      <c r="DR44" s="43"/>
      <c r="DS44" s="43"/>
      <c r="DT44" s="43"/>
      <c r="DU44" s="43"/>
      <c r="DV44" s="43"/>
      <c r="DW44" s="43"/>
      <c r="DX44" s="43"/>
      <c r="DY44" s="43"/>
      <c r="DZ44" s="43"/>
      <c r="EA44" s="43"/>
      <c r="EB44" s="43"/>
      <c r="EC44" s="43"/>
      <c r="ED44" s="43"/>
      <c r="EE44" s="43"/>
      <c r="EF44" s="43"/>
      <c r="EG44" s="43"/>
      <c r="EH44" s="43"/>
      <c r="EI44" s="43"/>
      <c r="EJ44" s="43"/>
      <c r="EK44" s="43"/>
      <c r="EL44" s="43"/>
      <c r="EM44" s="43"/>
      <c r="EN44" s="43"/>
      <c r="EO44" s="43"/>
      <c r="EP44" s="43"/>
      <c r="EQ44" s="43"/>
      <c r="ER44" s="43"/>
      <c r="ES44" s="43"/>
      <c r="ET44" s="43"/>
      <c r="EU44" s="43"/>
      <c r="EV44" s="43"/>
      <c r="EW44" s="43"/>
      <c r="EX44" s="43"/>
      <c r="EY44" s="43"/>
      <c r="EZ44" s="43"/>
      <c r="FA44" s="43"/>
      <c r="FB44" s="43"/>
      <c r="FC44" s="43"/>
      <c r="FD44" s="43"/>
      <c r="FE44" s="43"/>
      <c r="FF44" s="43"/>
      <c r="FG44" s="43"/>
      <c r="FH44" s="43"/>
      <c r="FI44" s="43"/>
      <c r="FJ44" s="43"/>
      <c r="FK44" s="43"/>
      <c r="FL44" s="43"/>
      <c r="FM44" s="43"/>
      <c r="FN44" s="43"/>
      <c r="FO44" s="43"/>
      <c r="FP44" s="43"/>
      <c r="FQ44" s="43"/>
      <c r="FR44" s="43"/>
      <c r="FS44" s="43"/>
      <c r="FT44" s="43"/>
      <c r="FU44" s="43"/>
      <c r="FV44" s="43"/>
      <c r="FW44" s="43"/>
      <c r="FX44" s="43"/>
      <c r="FY44" s="43"/>
      <c r="FZ44" s="43"/>
      <c r="GA44" s="43"/>
      <c r="GB44" s="43"/>
      <c r="GC44" s="43"/>
      <c r="GD44" s="43"/>
      <c r="GE44" s="43"/>
      <c r="GF44" s="43"/>
      <c r="GG44" s="43"/>
      <c r="GH44" s="43"/>
      <c r="GI44" s="43"/>
      <c r="GJ44" s="43"/>
      <c r="GK44" s="43"/>
      <c r="GL44" s="43"/>
      <c r="GM44" s="43"/>
      <c r="GN44" s="43"/>
      <c r="GO44" s="43"/>
      <c r="GP44" s="43"/>
      <c r="GQ44" s="43"/>
      <c r="GR44" s="43"/>
      <c r="GS44" s="43"/>
      <c r="GT44" s="43"/>
      <c r="GU44" s="43"/>
      <c r="GV44" s="43"/>
      <c r="GW44" s="43"/>
      <c r="GX44" s="43"/>
      <c r="GY44" s="43"/>
      <c r="GZ44" s="43"/>
      <c r="HA44" s="43"/>
      <c r="HB44" s="43"/>
      <c r="HC44" s="43"/>
      <c r="HD44" s="43"/>
      <c r="HE44" s="43"/>
      <c r="HF44" s="43"/>
      <c r="HG44" s="43"/>
      <c r="HH44" s="43"/>
      <c r="HI44" s="43"/>
      <c r="HJ44" s="43"/>
      <c r="HK44" s="43"/>
      <c r="HL44" s="43"/>
      <c r="HM44" s="43"/>
      <c r="HN44" s="43"/>
      <c r="HO44" s="43"/>
      <c r="HP44" s="43"/>
      <c r="HQ44" s="43"/>
      <c r="HR44" s="43"/>
      <c r="HS44" s="43"/>
      <c r="HT44" s="43"/>
      <c r="HU44" s="43"/>
      <c r="HV44" s="43"/>
      <c r="HW44" s="43"/>
      <c r="HX44" s="43"/>
      <c r="HY44" s="43"/>
      <c r="HZ44" s="43"/>
      <c r="IA44" s="43"/>
      <c r="IB44"/>
      <c r="IC44"/>
      <c r="ID44"/>
      <c r="IE44"/>
      <c r="IF44"/>
      <c r="IG44"/>
      <c r="IH44"/>
      <c r="II44"/>
      <c r="IJ44"/>
      <c r="IK44"/>
      <c r="IL44"/>
      <c r="IM44"/>
      <c r="IN44"/>
      <c r="IO44"/>
      <c r="IP44"/>
      <c r="IQ44"/>
    </row>
    <row r="45" spans="1:251" s="33" customFormat="1">
      <c r="A45" s="127" t="s">
        <v>72</v>
      </c>
      <c r="B45" s="125"/>
      <c r="C45" s="205">
        <v>127</v>
      </c>
      <c r="D45" s="205">
        <v>-177</v>
      </c>
      <c r="E45" s="156">
        <v>-359</v>
      </c>
      <c r="F45" s="156">
        <v>-21</v>
      </c>
      <c r="G45" s="156">
        <v>136</v>
      </c>
      <c r="H45" s="222">
        <v>282</v>
      </c>
      <c r="I45" s="222">
        <v>475</v>
      </c>
      <c r="J45" s="222">
        <v>-527</v>
      </c>
      <c r="K45" s="222">
        <v>160</v>
      </c>
      <c r="L45" s="222">
        <v>121</v>
      </c>
      <c r="M45" s="222">
        <v>346</v>
      </c>
      <c r="N45" s="222">
        <f>+M45-346</f>
        <v>0</v>
      </c>
      <c r="O45" s="222">
        <v>0</v>
      </c>
      <c r="P45" s="222">
        <v>0</v>
      </c>
      <c r="Q45" s="222">
        <f t="shared" ref="Q45:V45" si="13">+P45</f>
        <v>0</v>
      </c>
      <c r="R45" s="222">
        <f t="shared" si="13"/>
        <v>0</v>
      </c>
      <c r="S45" s="222">
        <f t="shared" si="13"/>
        <v>0</v>
      </c>
      <c r="T45" s="222">
        <f t="shared" si="13"/>
        <v>0</v>
      </c>
      <c r="U45" s="222">
        <f t="shared" si="13"/>
        <v>0</v>
      </c>
      <c r="V45" s="222">
        <f t="shared" si="13"/>
        <v>0</v>
      </c>
      <c r="W45" s="222">
        <f t="shared" ref="W45:AF45" si="14">+V45</f>
        <v>0</v>
      </c>
      <c r="X45" s="222">
        <f t="shared" si="14"/>
        <v>0</v>
      </c>
      <c r="Y45" s="222">
        <f t="shared" si="14"/>
        <v>0</v>
      </c>
      <c r="Z45" s="222">
        <f t="shared" si="14"/>
        <v>0</v>
      </c>
      <c r="AA45" s="222">
        <f t="shared" si="14"/>
        <v>0</v>
      </c>
      <c r="AB45" s="222">
        <f t="shared" si="14"/>
        <v>0</v>
      </c>
      <c r="AC45" s="222">
        <f t="shared" si="14"/>
        <v>0</v>
      </c>
      <c r="AD45" s="222">
        <f t="shared" si="14"/>
        <v>0</v>
      </c>
      <c r="AE45" s="222">
        <f t="shared" si="14"/>
        <v>0</v>
      </c>
      <c r="AF45" s="222">
        <f t="shared" si="14"/>
        <v>0</v>
      </c>
      <c r="AG45" s="43"/>
      <c r="AH45" s="43"/>
      <c r="AI45" s="43"/>
      <c r="AJ45" s="43"/>
      <c r="AK45" s="43"/>
      <c r="AL45" s="43"/>
      <c r="AM45" s="43"/>
      <c r="AN45" s="43"/>
      <c r="AO45" s="43"/>
      <c r="AP45" s="43"/>
      <c r="AQ45" s="43"/>
      <c r="AR45" s="43"/>
      <c r="AS45" s="43"/>
      <c r="AT45" s="43"/>
      <c r="AU45" s="43"/>
      <c r="AV45" s="43"/>
      <c r="AW45" s="43"/>
      <c r="AX45" s="43"/>
      <c r="AY45" s="43"/>
      <c r="AZ45" s="43"/>
      <c r="BA45" s="43"/>
      <c r="BB45" s="43"/>
      <c r="BC45" s="43"/>
      <c r="BD45" s="43"/>
      <c r="BE45" s="43"/>
      <c r="BF45" s="43"/>
      <c r="BG45" s="43"/>
      <c r="BH45" s="43"/>
      <c r="BI45" s="43"/>
      <c r="BJ45" s="43"/>
      <c r="BK45" s="43"/>
      <c r="BL45" s="43"/>
      <c r="BM45" s="43"/>
      <c r="BN45" s="43"/>
      <c r="BO45" s="43"/>
      <c r="BP45" s="43"/>
      <c r="BQ45" s="43"/>
      <c r="BR45" s="43"/>
      <c r="BS45" s="43"/>
      <c r="BT45" s="43"/>
      <c r="BU45" s="43"/>
      <c r="BV45" s="43"/>
      <c r="BW45" s="43"/>
      <c r="BX45" s="43"/>
      <c r="BY45" s="43"/>
      <c r="BZ45" s="43"/>
      <c r="CA45" s="43"/>
      <c r="CB45" s="43"/>
      <c r="CC45" s="43"/>
      <c r="CD45" s="43"/>
      <c r="CE45" s="43"/>
      <c r="CF45" s="43"/>
      <c r="CG45" s="43"/>
      <c r="CH45" s="43"/>
      <c r="CI45" s="43"/>
      <c r="CJ45" s="43"/>
      <c r="CK45" s="43"/>
      <c r="CL45" s="43"/>
      <c r="CM45" s="43"/>
      <c r="CN45" s="43"/>
      <c r="CO45" s="43"/>
      <c r="CP45" s="43"/>
      <c r="CQ45" s="43"/>
      <c r="CR45" s="43"/>
      <c r="CS45" s="43"/>
      <c r="CT45" s="43"/>
      <c r="CU45" s="43"/>
      <c r="CV45" s="43"/>
      <c r="CW45" s="43"/>
      <c r="CX45" s="43"/>
      <c r="CY45" s="43"/>
      <c r="CZ45" s="43"/>
      <c r="DA45" s="43"/>
      <c r="DB45" s="43"/>
      <c r="DC45" s="43"/>
      <c r="DD45" s="43"/>
      <c r="DE45" s="43"/>
      <c r="DF45" s="43"/>
      <c r="DG45" s="43"/>
      <c r="DH45" s="43"/>
      <c r="DI45" s="43"/>
      <c r="DJ45" s="43"/>
      <c r="DK45" s="43"/>
      <c r="DL45" s="43"/>
      <c r="DM45" s="43"/>
      <c r="DN45" s="43"/>
      <c r="DO45" s="43"/>
      <c r="DP45" s="43"/>
      <c r="DQ45" s="43"/>
      <c r="DR45" s="43"/>
      <c r="DS45" s="43"/>
      <c r="DT45" s="43"/>
      <c r="DU45" s="43"/>
      <c r="DV45" s="43"/>
      <c r="DW45" s="43"/>
      <c r="DX45" s="43"/>
      <c r="DY45" s="43"/>
      <c r="DZ45" s="43"/>
      <c r="EA45" s="43"/>
      <c r="EB45" s="43"/>
      <c r="EC45" s="43"/>
      <c r="ED45" s="43"/>
      <c r="EE45" s="43"/>
      <c r="EF45" s="43"/>
      <c r="EG45" s="43"/>
      <c r="EH45" s="43"/>
      <c r="EI45" s="43"/>
      <c r="EJ45" s="43"/>
      <c r="EK45" s="43"/>
      <c r="EL45" s="43"/>
      <c r="EM45" s="43"/>
      <c r="EN45" s="43"/>
      <c r="EO45" s="43"/>
      <c r="EP45" s="43"/>
      <c r="EQ45" s="43"/>
      <c r="ER45" s="43"/>
      <c r="ES45" s="43"/>
      <c r="ET45" s="43"/>
      <c r="EU45" s="43"/>
      <c r="EV45" s="43"/>
      <c r="EW45" s="43"/>
      <c r="EX45" s="43"/>
      <c r="EY45" s="43"/>
      <c r="EZ45" s="43"/>
      <c r="FA45" s="43"/>
      <c r="FB45" s="43"/>
      <c r="FC45" s="43"/>
      <c r="FD45" s="43"/>
      <c r="FE45" s="43"/>
      <c r="FF45" s="43"/>
      <c r="FG45" s="43"/>
      <c r="FH45" s="43"/>
      <c r="FI45" s="43"/>
      <c r="FJ45" s="43"/>
      <c r="FK45" s="43"/>
      <c r="FL45" s="43"/>
      <c r="FM45" s="43"/>
      <c r="FN45" s="43"/>
      <c r="FO45" s="43"/>
      <c r="FP45" s="43"/>
      <c r="FQ45" s="43"/>
      <c r="FR45" s="43"/>
      <c r="FS45" s="43"/>
      <c r="FT45" s="43"/>
      <c r="FU45" s="43"/>
      <c r="FV45" s="43"/>
      <c r="FW45" s="43"/>
      <c r="FX45" s="43"/>
      <c r="FY45" s="43"/>
      <c r="FZ45" s="43"/>
      <c r="GA45" s="43"/>
      <c r="GB45" s="43"/>
      <c r="GC45" s="43"/>
      <c r="GD45" s="43"/>
      <c r="GE45" s="43"/>
      <c r="GF45" s="43"/>
      <c r="GG45" s="43"/>
      <c r="GH45" s="43"/>
      <c r="GI45" s="43"/>
      <c r="GJ45" s="43"/>
      <c r="GK45" s="43"/>
      <c r="GL45" s="43"/>
      <c r="GM45" s="43"/>
      <c r="GN45" s="43"/>
      <c r="GO45" s="43"/>
      <c r="GP45" s="43"/>
      <c r="GQ45" s="43"/>
      <c r="GR45" s="43"/>
      <c r="GS45" s="43"/>
      <c r="GT45" s="43"/>
      <c r="GU45" s="43"/>
      <c r="GV45" s="43"/>
      <c r="GW45" s="43"/>
      <c r="GX45" s="43"/>
      <c r="GY45" s="43"/>
      <c r="GZ45" s="43"/>
      <c r="HA45" s="43"/>
      <c r="HB45" s="43"/>
      <c r="HC45" s="43"/>
      <c r="HD45" s="43"/>
      <c r="HE45" s="43"/>
      <c r="HF45" s="43"/>
      <c r="HG45" s="43"/>
      <c r="HH45" s="43"/>
      <c r="HI45" s="43"/>
      <c r="HJ45" s="43"/>
      <c r="HK45" s="43"/>
      <c r="HL45" s="43"/>
      <c r="HM45" s="43"/>
      <c r="HN45" s="43"/>
      <c r="HO45" s="43"/>
      <c r="HP45" s="43"/>
      <c r="HQ45" s="43"/>
      <c r="HR45" s="43"/>
      <c r="HS45" s="43"/>
      <c r="HT45" s="43"/>
      <c r="HU45" s="43"/>
      <c r="HV45" s="43"/>
      <c r="HW45" s="43"/>
      <c r="HX45" s="43"/>
      <c r="HY45" s="43"/>
      <c r="HZ45" s="43"/>
      <c r="IA45" s="43"/>
      <c r="IB45"/>
      <c r="IC45"/>
      <c r="ID45"/>
      <c r="IE45"/>
      <c r="IF45"/>
      <c r="IG45"/>
      <c r="IH45"/>
      <c r="II45"/>
      <c r="IJ45"/>
      <c r="IK45"/>
      <c r="IL45"/>
      <c r="IM45"/>
      <c r="IN45"/>
      <c r="IO45"/>
      <c r="IP45"/>
      <c r="IQ45"/>
    </row>
    <row r="46" spans="1:251" s="33" customFormat="1">
      <c r="A46" s="127"/>
      <c r="B46" s="43"/>
      <c r="C46" s="205"/>
      <c r="D46" s="205"/>
      <c r="E46" s="156"/>
      <c r="F46" s="156"/>
      <c r="G46" s="156"/>
      <c r="H46" s="156"/>
      <c r="I46" s="156"/>
      <c r="J46" s="156"/>
      <c r="K46" s="156"/>
      <c r="L46" s="156"/>
      <c r="M46" s="156"/>
      <c r="N46" s="156"/>
      <c r="O46" s="205"/>
      <c r="P46" s="205"/>
      <c r="Q46" s="205"/>
      <c r="R46" s="177"/>
      <c r="S46" s="177"/>
      <c r="T46" s="177"/>
      <c r="U46" s="177"/>
      <c r="V46" s="177"/>
      <c r="W46" s="177"/>
      <c r="X46" s="177"/>
      <c r="Y46" s="177"/>
      <c r="Z46" s="177"/>
      <c r="AA46" s="177"/>
      <c r="AB46" s="177"/>
      <c r="AC46" s="177"/>
      <c r="AD46" s="177"/>
      <c r="AE46" s="177"/>
      <c r="AF46" s="177"/>
      <c r="AG46" s="43"/>
      <c r="AH46" s="43"/>
      <c r="AI46" s="43"/>
      <c r="AJ46" s="43"/>
      <c r="AK46" s="43"/>
      <c r="AL46" s="43"/>
      <c r="AM46" s="43"/>
      <c r="AN46" s="43"/>
      <c r="AO46" s="43"/>
      <c r="AP46" s="43"/>
      <c r="AQ46" s="43"/>
      <c r="AR46" s="43"/>
      <c r="AS46" s="43"/>
      <c r="AT46" s="43"/>
      <c r="AU46" s="43"/>
      <c r="AV46" s="43"/>
      <c r="AW46" s="43"/>
      <c r="AX46" s="43"/>
      <c r="AY46" s="43"/>
      <c r="AZ46" s="43"/>
      <c r="BA46" s="43"/>
      <c r="BB46" s="43"/>
      <c r="BC46" s="43"/>
      <c r="BD46" s="43"/>
      <c r="BE46" s="43"/>
      <c r="BF46" s="43"/>
      <c r="BG46" s="43"/>
      <c r="BH46" s="43"/>
      <c r="BI46" s="43"/>
      <c r="BJ46" s="43"/>
      <c r="BK46" s="43"/>
      <c r="BL46" s="43"/>
      <c r="BM46" s="43"/>
      <c r="BN46" s="43"/>
      <c r="BO46" s="43"/>
      <c r="BP46" s="43"/>
      <c r="BQ46" s="43"/>
      <c r="BR46" s="43"/>
      <c r="BS46" s="43"/>
      <c r="BT46" s="43"/>
      <c r="BU46" s="43"/>
      <c r="BV46" s="43"/>
      <c r="BW46" s="43"/>
      <c r="BX46" s="43"/>
      <c r="BY46" s="43"/>
      <c r="BZ46" s="43"/>
      <c r="CA46" s="43"/>
      <c r="CB46" s="43"/>
      <c r="CC46" s="43"/>
      <c r="CD46" s="43"/>
      <c r="CE46" s="43"/>
      <c r="CF46" s="43"/>
      <c r="CG46" s="43"/>
      <c r="CH46" s="43"/>
      <c r="CI46" s="43"/>
      <c r="CJ46" s="43"/>
      <c r="CK46" s="43"/>
      <c r="CL46" s="43"/>
      <c r="CM46" s="43"/>
      <c r="CN46" s="43"/>
      <c r="CO46" s="43"/>
      <c r="CP46" s="43"/>
      <c r="CQ46" s="43"/>
      <c r="CR46" s="43"/>
      <c r="CS46" s="43"/>
      <c r="CT46" s="43"/>
      <c r="CU46" s="43"/>
      <c r="CV46" s="43"/>
      <c r="CW46" s="43"/>
      <c r="CX46" s="43"/>
      <c r="CY46" s="43"/>
      <c r="CZ46" s="43"/>
      <c r="DA46" s="43"/>
      <c r="DB46" s="43"/>
      <c r="DC46" s="43"/>
      <c r="DD46" s="43"/>
      <c r="DE46" s="43"/>
      <c r="DF46" s="43"/>
      <c r="DG46" s="43"/>
      <c r="DH46" s="43"/>
      <c r="DI46" s="43"/>
      <c r="DJ46" s="43"/>
      <c r="DK46" s="43"/>
      <c r="DL46" s="43"/>
      <c r="DM46" s="43"/>
      <c r="DN46" s="43"/>
      <c r="DO46" s="43"/>
      <c r="DP46" s="43"/>
      <c r="DQ46" s="43"/>
      <c r="DR46" s="43"/>
      <c r="DS46" s="43"/>
      <c r="DT46" s="43"/>
      <c r="DU46" s="43"/>
      <c r="DV46" s="43"/>
      <c r="DW46" s="43"/>
      <c r="DX46" s="43"/>
      <c r="DY46" s="43"/>
      <c r="DZ46" s="43"/>
      <c r="EA46" s="43"/>
      <c r="EB46" s="43"/>
      <c r="EC46" s="43"/>
      <c r="ED46" s="43"/>
      <c r="EE46" s="43"/>
      <c r="EF46" s="43"/>
      <c r="EG46" s="43"/>
      <c r="EH46" s="43"/>
      <c r="EI46" s="43"/>
      <c r="EJ46" s="43"/>
      <c r="EK46" s="43"/>
      <c r="EL46" s="43"/>
      <c r="EM46" s="43"/>
      <c r="EN46" s="43"/>
      <c r="EO46" s="43"/>
      <c r="EP46" s="43"/>
      <c r="EQ46" s="43"/>
      <c r="ER46" s="43"/>
      <c r="ES46" s="43"/>
      <c r="ET46" s="43"/>
      <c r="EU46" s="43"/>
      <c r="EV46" s="43"/>
      <c r="EW46" s="43"/>
      <c r="EX46" s="43"/>
      <c r="EY46" s="43"/>
      <c r="EZ46" s="43"/>
      <c r="FA46" s="43"/>
      <c r="FB46" s="43"/>
      <c r="FC46" s="43"/>
      <c r="FD46" s="43"/>
      <c r="FE46" s="43"/>
      <c r="FF46" s="43"/>
      <c r="FG46" s="43"/>
      <c r="FH46" s="43"/>
      <c r="FI46" s="43"/>
      <c r="FJ46" s="43"/>
      <c r="FK46" s="43"/>
      <c r="FL46" s="43"/>
      <c r="FM46" s="43"/>
      <c r="FN46" s="43"/>
      <c r="FO46" s="43"/>
      <c r="FP46" s="43"/>
      <c r="FQ46" s="43"/>
      <c r="FR46" s="43"/>
      <c r="FS46" s="43"/>
      <c r="FT46" s="43"/>
      <c r="FU46" s="43"/>
      <c r="FV46" s="43"/>
      <c r="FW46" s="43"/>
      <c r="FX46" s="43"/>
      <c r="FY46" s="43"/>
      <c r="FZ46" s="43"/>
      <c r="GA46" s="43"/>
      <c r="GB46" s="43"/>
      <c r="GC46" s="43"/>
      <c r="GD46" s="43"/>
      <c r="GE46" s="43"/>
      <c r="GF46" s="43"/>
      <c r="GG46" s="43"/>
      <c r="GH46" s="43"/>
      <c r="GI46" s="43"/>
      <c r="GJ46" s="43"/>
      <c r="GK46" s="43"/>
      <c r="GL46" s="43"/>
      <c r="GM46" s="43"/>
      <c r="GN46" s="43"/>
      <c r="GO46" s="43"/>
      <c r="GP46" s="43"/>
      <c r="GQ46" s="43"/>
      <c r="GR46" s="43"/>
      <c r="GS46" s="43"/>
      <c r="GT46" s="43"/>
      <c r="GU46" s="43"/>
      <c r="GV46" s="43"/>
      <c r="GW46" s="43"/>
      <c r="GX46" s="43"/>
      <c r="GY46" s="43"/>
      <c r="GZ46" s="43"/>
      <c r="HA46" s="43"/>
      <c r="HB46" s="43"/>
      <c r="HC46" s="43"/>
      <c r="HD46" s="43"/>
      <c r="HE46" s="43"/>
      <c r="HF46" s="43"/>
      <c r="HG46" s="43"/>
      <c r="HH46" s="43"/>
      <c r="HI46" s="43"/>
      <c r="HJ46" s="43"/>
      <c r="HK46" s="43"/>
      <c r="HL46" s="43"/>
      <c r="HM46" s="43"/>
      <c r="HN46" s="43"/>
      <c r="HO46" s="43"/>
      <c r="HP46" s="43"/>
      <c r="HQ46" s="43"/>
      <c r="HR46" s="43"/>
      <c r="HS46" s="43"/>
      <c r="HT46" s="43"/>
      <c r="HU46" s="43"/>
      <c r="HV46" s="43"/>
      <c r="HW46" s="43"/>
      <c r="HX46" s="43"/>
      <c r="HY46" s="43"/>
      <c r="HZ46" s="43"/>
      <c r="IA46" s="43"/>
      <c r="IB46"/>
      <c r="IC46"/>
      <c r="ID46"/>
      <c r="IE46"/>
      <c r="IF46"/>
      <c r="IG46"/>
      <c r="IH46"/>
      <c r="II46"/>
      <c r="IJ46"/>
      <c r="IK46"/>
      <c r="IL46"/>
      <c r="IM46"/>
      <c r="IN46"/>
      <c r="IO46"/>
      <c r="IP46"/>
      <c r="IQ46"/>
    </row>
    <row r="47" spans="1:251" s="288" customFormat="1">
      <c r="A47" s="286" t="s">
        <v>576</v>
      </c>
      <c r="B47" s="287"/>
      <c r="C47" s="205"/>
      <c r="D47" s="205"/>
      <c r="E47" s="156">
        <v>5100</v>
      </c>
      <c r="F47" s="156">
        <f t="shared" ref="F47:V47" si="15">E49</f>
        <v>937</v>
      </c>
      <c r="G47" s="156">
        <f t="shared" si="15"/>
        <v>269.50500000000102</v>
      </c>
      <c r="H47" s="156">
        <f t="shared" si="15"/>
        <v>158.48300000000017</v>
      </c>
      <c r="I47" s="156">
        <f t="shared" si="15"/>
        <v>3058.0859542196376</v>
      </c>
      <c r="J47" s="156">
        <f t="shared" si="15"/>
        <v>5025.0859542196376</v>
      </c>
      <c r="K47" s="156">
        <f>J49</f>
        <v>5539.0859542196376</v>
      </c>
      <c r="L47" s="156">
        <v>5942</v>
      </c>
      <c r="M47" s="156">
        <f>+L49</f>
        <v>4781</v>
      </c>
      <c r="N47" s="156">
        <f>+M47-1676</f>
        <v>3105</v>
      </c>
      <c r="O47" s="156">
        <f t="shared" si="15"/>
        <v>4842</v>
      </c>
      <c r="P47" s="156">
        <f t="shared" si="15"/>
        <v>7916</v>
      </c>
      <c r="Q47" s="156">
        <f t="shared" si="15"/>
        <v>1871</v>
      </c>
      <c r="R47" s="156">
        <f>Q49</f>
        <v>2314</v>
      </c>
      <c r="S47" s="156">
        <f t="shared" si="15"/>
        <v>3270</v>
      </c>
      <c r="T47" s="156">
        <f t="shared" si="15"/>
        <v>2900</v>
      </c>
      <c r="U47" s="156">
        <f>T49</f>
        <v>3175</v>
      </c>
      <c r="V47" s="156">
        <f t="shared" si="15"/>
        <v>3321</v>
      </c>
      <c r="W47" s="156">
        <f t="shared" ref="W47:AF47" si="16">V49</f>
        <v>2369</v>
      </c>
      <c r="X47" s="156">
        <f t="shared" si="16"/>
        <v>4569</v>
      </c>
      <c r="Y47" s="156">
        <f t="shared" si="16"/>
        <v>2552.1467633093089</v>
      </c>
      <c r="Z47" s="156">
        <f t="shared" ca="1" si="16"/>
        <v>2613.2334015667384</v>
      </c>
      <c r="AA47" s="156">
        <f t="shared" ca="1" si="16"/>
        <v>1741.760527501714</v>
      </c>
      <c r="AB47" s="156">
        <f t="shared" ca="1" si="16"/>
        <v>2026.5150601692931</v>
      </c>
      <c r="AC47" s="156">
        <f t="shared" ca="1" si="16"/>
        <v>2298.6383035061026</v>
      </c>
      <c r="AD47" s="156">
        <f t="shared" ca="1" si="16"/>
        <v>2670.2970396530927</v>
      </c>
      <c r="AE47" s="156">
        <f t="shared" ca="1" si="16"/>
        <v>3145.8174403456178</v>
      </c>
      <c r="AF47" s="156">
        <f t="shared" ca="1" si="16"/>
        <v>3729.4488796870337</v>
      </c>
      <c r="AG47" s="107"/>
      <c r="AH47" s="107"/>
      <c r="AI47" s="107"/>
      <c r="AJ47" s="107"/>
      <c r="AK47" s="107"/>
      <c r="AL47" s="107"/>
      <c r="AM47" s="107"/>
      <c r="AN47" s="107"/>
      <c r="AO47" s="107"/>
      <c r="AP47" s="107"/>
      <c r="AQ47" s="107"/>
      <c r="AR47" s="107"/>
      <c r="AS47" s="107"/>
      <c r="AT47" s="107"/>
      <c r="AU47" s="107"/>
      <c r="AV47" s="107"/>
      <c r="AW47" s="107"/>
      <c r="AX47" s="107"/>
      <c r="AY47" s="107"/>
      <c r="AZ47" s="107"/>
      <c r="BA47" s="107"/>
      <c r="BB47" s="107"/>
      <c r="BC47" s="107"/>
      <c r="BD47" s="107"/>
      <c r="BE47" s="107"/>
      <c r="BF47" s="107"/>
      <c r="BG47" s="107"/>
      <c r="BH47" s="107"/>
      <c r="BI47" s="107"/>
      <c r="BJ47" s="107"/>
      <c r="BK47" s="107"/>
      <c r="BL47" s="107"/>
      <c r="BM47" s="107"/>
      <c r="BN47" s="107"/>
      <c r="BO47" s="107"/>
      <c r="BP47" s="107"/>
      <c r="BQ47" s="107"/>
      <c r="BR47" s="107"/>
      <c r="BS47" s="107"/>
      <c r="BT47" s="107"/>
      <c r="BU47" s="107"/>
      <c r="BV47" s="107"/>
      <c r="BW47" s="107"/>
      <c r="BX47" s="107"/>
      <c r="BY47" s="107"/>
      <c r="BZ47" s="107"/>
      <c r="CA47" s="107"/>
      <c r="CB47" s="107"/>
      <c r="CC47" s="107"/>
      <c r="CD47" s="107"/>
      <c r="CE47" s="107"/>
      <c r="CF47" s="107"/>
      <c r="CG47" s="107"/>
      <c r="CH47" s="107"/>
      <c r="CI47" s="107"/>
      <c r="CJ47" s="107"/>
      <c r="CK47" s="107"/>
      <c r="CL47" s="107"/>
      <c r="CM47" s="107"/>
      <c r="CN47" s="107"/>
      <c r="CO47" s="107"/>
      <c r="CP47" s="107"/>
      <c r="CQ47" s="107"/>
      <c r="CR47" s="107"/>
      <c r="CS47" s="107"/>
      <c r="CT47" s="107"/>
      <c r="CU47" s="107"/>
      <c r="CV47" s="107"/>
      <c r="CW47" s="107"/>
      <c r="CX47" s="107"/>
      <c r="CY47" s="107"/>
      <c r="CZ47" s="107"/>
      <c r="DA47" s="107"/>
      <c r="DB47" s="107"/>
      <c r="DC47" s="107"/>
      <c r="DD47" s="107"/>
      <c r="DE47" s="107"/>
      <c r="DF47" s="107"/>
      <c r="DG47" s="107"/>
      <c r="DH47" s="107"/>
      <c r="DI47" s="107"/>
      <c r="DJ47" s="107"/>
      <c r="DK47" s="107"/>
      <c r="DL47" s="107"/>
      <c r="DM47" s="107"/>
      <c r="DN47" s="107"/>
      <c r="DO47" s="107"/>
      <c r="DP47" s="107"/>
      <c r="DQ47" s="107"/>
      <c r="DR47" s="107"/>
      <c r="DS47" s="107"/>
      <c r="DT47" s="107"/>
      <c r="DU47" s="107"/>
      <c r="DV47" s="107"/>
      <c r="DW47" s="107"/>
      <c r="DX47" s="107"/>
      <c r="DY47" s="107"/>
      <c r="DZ47" s="107"/>
      <c r="EA47" s="107"/>
      <c r="EB47" s="107"/>
      <c r="EC47" s="107"/>
      <c r="ED47" s="107"/>
      <c r="EE47" s="107"/>
      <c r="EF47" s="107"/>
      <c r="EG47" s="107"/>
      <c r="EH47" s="107"/>
      <c r="EI47" s="107"/>
      <c r="EJ47" s="107"/>
      <c r="EK47" s="107"/>
      <c r="EL47" s="107"/>
      <c r="EM47" s="107"/>
      <c r="EN47" s="107"/>
      <c r="EO47" s="107"/>
      <c r="EP47" s="107"/>
      <c r="EQ47" s="107"/>
      <c r="ER47" s="107"/>
      <c r="ES47" s="107"/>
      <c r="ET47" s="107"/>
      <c r="EU47" s="107"/>
      <c r="EV47" s="107"/>
      <c r="EW47" s="107"/>
      <c r="EX47" s="107"/>
      <c r="EY47" s="107"/>
      <c r="EZ47" s="107"/>
      <c r="FA47" s="107"/>
      <c r="FB47" s="107"/>
      <c r="FC47" s="107"/>
      <c r="FD47" s="107"/>
      <c r="FE47" s="107"/>
      <c r="FF47" s="107"/>
      <c r="FG47" s="107"/>
      <c r="FH47" s="107"/>
      <c r="FI47" s="107"/>
      <c r="FJ47" s="107"/>
      <c r="FK47" s="107"/>
      <c r="FL47" s="107"/>
      <c r="FM47" s="107"/>
      <c r="FN47" s="107"/>
      <c r="FO47" s="107"/>
      <c r="FP47" s="107"/>
      <c r="FQ47" s="107"/>
      <c r="FR47" s="107"/>
      <c r="FS47" s="107"/>
      <c r="FT47" s="107"/>
      <c r="FU47" s="107"/>
      <c r="FV47" s="107"/>
      <c r="FW47" s="107"/>
      <c r="FX47" s="107"/>
      <c r="FY47" s="107"/>
      <c r="FZ47" s="107"/>
      <c r="GA47" s="107"/>
      <c r="GB47" s="107"/>
      <c r="GC47" s="107"/>
      <c r="GD47" s="107"/>
      <c r="GE47" s="107"/>
      <c r="GF47" s="107"/>
      <c r="GG47" s="107"/>
      <c r="GH47" s="107"/>
      <c r="GI47" s="107"/>
      <c r="GJ47" s="107"/>
      <c r="GK47" s="107"/>
      <c r="GL47" s="107"/>
      <c r="GM47" s="107"/>
      <c r="GN47" s="107"/>
      <c r="GO47" s="107"/>
      <c r="GP47" s="107"/>
      <c r="GQ47" s="107"/>
      <c r="GR47" s="107"/>
      <c r="GS47" s="107"/>
      <c r="GT47" s="107"/>
      <c r="GU47" s="107"/>
      <c r="GV47" s="107"/>
      <c r="GW47" s="107"/>
      <c r="GX47" s="107"/>
      <c r="GY47" s="107"/>
      <c r="GZ47" s="107"/>
      <c r="HA47" s="107"/>
      <c r="HB47" s="107"/>
      <c r="HC47" s="107"/>
      <c r="HD47" s="107"/>
      <c r="HE47" s="107"/>
      <c r="HF47" s="107"/>
      <c r="HG47" s="107"/>
      <c r="HH47" s="107"/>
      <c r="HI47" s="107"/>
      <c r="HJ47" s="107"/>
      <c r="HK47" s="107"/>
      <c r="HL47" s="107"/>
      <c r="HM47" s="107"/>
      <c r="HN47" s="107"/>
      <c r="HO47" s="107"/>
      <c r="HP47" s="107"/>
      <c r="HQ47" s="107"/>
      <c r="HR47" s="107"/>
      <c r="HS47" s="107"/>
      <c r="HT47" s="107"/>
      <c r="HU47" s="107"/>
      <c r="HV47" s="107"/>
      <c r="HW47" s="107"/>
      <c r="HX47" s="107"/>
      <c r="HY47" s="107"/>
      <c r="HZ47" s="107"/>
      <c r="IA47" s="107"/>
      <c r="IB47"/>
      <c r="IC47"/>
      <c r="ID47"/>
      <c r="IE47"/>
      <c r="IF47"/>
      <c r="IG47"/>
      <c r="IH47"/>
      <c r="II47"/>
      <c r="IJ47"/>
      <c r="IK47"/>
      <c r="IL47"/>
      <c r="IM47"/>
      <c r="IN47"/>
      <c r="IO47"/>
      <c r="IP47"/>
      <c r="IQ47"/>
    </row>
    <row r="48" spans="1:251" s="288" customFormat="1">
      <c r="A48" s="286" t="s">
        <v>38</v>
      </c>
      <c r="B48" s="287"/>
      <c r="C48" s="156">
        <f t="shared" ref="C48:J48" si="17">C25+C33+C43+C45</f>
        <v>1823</v>
      </c>
      <c r="D48" s="156">
        <f t="shared" si="17"/>
        <v>845.57799999999952</v>
      </c>
      <c r="E48" s="156">
        <f t="shared" si="17"/>
        <v>-4163</v>
      </c>
      <c r="F48" s="156">
        <f t="shared" si="17"/>
        <v>-667.49499999999898</v>
      </c>
      <c r="G48" s="156">
        <f t="shared" si="17"/>
        <v>-111.02200000000084</v>
      </c>
      <c r="H48" s="156">
        <f>H25+H33+H43+H45</f>
        <v>2899.6029542196375</v>
      </c>
      <c r="I48" s="156">
        <f t="shared" si="17"/>
        <v>1967</v>
      </c>
      <c r="J48" s="156">
        <f t="shared" si="17"/>
        <v>514</v>
      </c>
      <c r="K48" s="156">
        <f t="shared" ref="K48:S48" si="18">K25+K33+K43+K45</f>
        <v>-1238</v>
      </c>
      <c r="L48" s="156">
        <f t="shared" si="18"/>
        <v>-1161</v>
      </c>
      <c r="M48" s="156">
        <f t="shared" si="18"/>
        <v>1717</v>
      </c>
      <c r="N48" s="156">
        <f t="shared" si="18"/>
        <v>1737</v>
      </c>
      <c r="O48" s="156">
        <f t="shared" si="18"/>
        <v>3074</v>
      </c>
      <c r="P48" s="156">
        <f t="shared" si="18"/>
        <v>-6045</v>
      </c>
      <c r="Q48" s="156">
        <f t="shared" si="18"/>
        <v>443</v>
      </c>
      <c r="R48" s="156">
        <f>R25+R33+R43+R45</f>
        <v>956</v>
      </c>
      <c r="S48" s="156">
        <f t="shared" si="18"/>
        <v>-370</v>
      </c>
      <c r="T48" s="156">
        <f t="shared" ref="T48:AA48" si="19">T25+T33+T43+T45</f>
        <v>275</v>
      </c>
      <c r="U48" s="156">
        <f>U25+U33+U43+U45</f>
        <v>146</v>
      </c>
      <c r="V48" s="156">
        <f t="shared" si="19"/>
        <v>-952</v>
      </c>
      <c r="W48" s="156">
        <f t="shared" si="19"/>
        <v>2200</v>
      </c>
      <c r="X48" s="156">
        <f t="shared" si="19"/>
        <v>-2016.8532366906911</v>
      </c>
      <c r="Y48" s="156">
        <f t="shared" ca="1" si="19"/>
        <v>61.086638257429513</v>
      </c>
      <c r="Z48" s="156">
        <f t="shared" ca="1" si="19"/>
        <v>-871.47287406502437</v>
      </c>
      <c r="AA48" s="156">
        <f t="shared" ca="1" si="19"/>
        <v>284.75453266757904</v>
      </c>
      <c r="AB48" s="156">
        <f ca="1">AB25+AB33+AB43+AB45</f>
        <v>272.12324333680954</v>
      </c>
      <c r="AC48" s="156">
        <f ca="1">AC25+AC33+AC43+AC45</f>
        <v>371.65873614699012</v>
      </c>
      <c r="AD48" s="156">
        <f ca="1">AD25+AD33+AD43+AD45</f>
        <v>475.52040069252507</v>
      </c>
      <c r="AE48" s="156">
        <f ca="1">AE25+AE33+AE43+AE45</f>
        <v>583.6314393414159</v>
      </c>
      <c r="AF48" s="156">
        <f ca="1">AF25+AF33+AF43+AF45</f>
        <v>696.07059947414928</v>
      </c>
      <c r="AG48" s="107"/>
      <c r="AH48" s="107"/>
      <c r="AI48" s="107"/>
      <c r="AJ48" s="107"/>
      <c r="AK48" s="107"/>
      <c r="AL48" s="107"/>
      <c r="AM48" s="107"/>
      <c r="AN48" s="107"/>
      <c r="AO48" s="107"/>
      <c r="AP48" s="107"/>
      <c r="AQ48" s="107"/>
      <c r="AR48" s="107"/>
      <c r="AS48" s="107"/>
      <c r="AT48" s="107"/>
      <c r="AU48" s="107"/>
      <c r="AV48" s="107"/>
      <c r="AW48" s="107"/>
      <c r="AX48" s="107"/>
      <c r="AY48" s="107"/>
      <c r="AZ48" s="107"/>
      <c r="BA48" s="107"/>
      <c r="BB48" s="107"/>
      <c r="BC48" s="107"/>
      <c r="BD48" s="107"/>
      <c r="BE48" s="107"/>
      <c r="BF48" s="107"/>
      <c r="BG48" s="107"/>
      <c r="BH48" s="107"/>
      <c r="BI48" s="107"/>
      <c r="BJ48" s="107"/>
      <c r="BK48" s="107"/>
      <c r="BL48" s="107"/>
      <c r="BM48" s="107"/>
      <c r="BN48" s="107"/>
      <c r="BO48" s="107"/>
      <c r="BP48" s="107"/>
      <c r="BQ48" s="107"/>
      <c r="BR48" s="107"/>
      <c r="BS48" s="107"/>
      <c r="BT48" s="107"/>
      <c r="BU48" s="107"/>
      <c r="BV48" s="107"/>
      <c r="BW48" s="107"/>
      <c r="BX48" s="107"/>
      <c r="BY48" s="107"/>
      <c r="BZ48" s="107"/>
      <c r="CA48" s="107"/>
      <c r="CB48" s="107"/>
      <c r="CC48" s="107"/>
      <c r="CD48" s="107"/>
      <c r="CE48" s="107"/>
      <c r="CF48" s="107"/>
      <c r="CG48" s="107"/>
      <c r="CH48" s="107"/>
      <c r="CI48" s="107"/>
      <c r="CJ48" s="107"/>
      <c r="CK48" s="107"/>
      <c r="CL48" s="107"/>
      <c r="CM48" s="107"/>
      <c r="CN48" s="107"/>
      <c r="CO48" s="107"/>
      <c r="CP48" s="107"/>
      <c r="CQ48" s="107"/>
      <c r="CR48" s="107"/>
      <c r="CS48" s="107"/>
      <c r="CT48" s="107"/>
      <c r="CU48" s="107"/>
      <c r="CV48" s="107"/>
      <c r="CW48" s="107"/>
      <c r="CX48" s="107"/>
      <c r="CY48" s="107"/>
      <c r="CZ48" s="107"/>
      <c r="DA48" s="107"/>
      <c r="DB48" s="107"/>
      <c r="DC48" s="107"/>
      <c r="DD48" s="107"/>
      <c r="DE48" s="107"/>
      <c r="DF48" s="107"/>
      <c r="DG48" s="107"/>
      <c r="DH48" s="107"/>
      <c r="DI48" s="107"/>
      <c r="DJ48" s="107"/>
      <c r="DK48" s="107"/>
      <c r="DL48" s="107"/>
      <c r="DM48" s="107"/>
      <c r="DN48" s="107"/>
      <c r="DO48" s="107"/>
      <c r="DP48" s="107"/>
      <c r="DQ48" s="107"/>
      <c r="DR48" s="107"/>
      <c r="DS48" s="107"/>
      <c r="DT48" s="107"/>
      <c r="DU48" s="107"/>
      <c r="DV48" s="107"/>
      <c r="DW48" s="107"/>
      <c r="DX48" s="107"/>
      <c r="DY48" s="107"/>
      <c r="DZ48" s="107"/>
      <c r="EA48" s="107"/>
      <c r="EB48" s="107"/>
      <c r="EC48" s="107"/>
      <c r="ED48" s="107"/>
      <c r="EE48" s="107"/>
      <c r="EF48" s="107"/>
      <c r="EG48" s="107"/>
      <c r="EH48" s="107"/>
      <c r="EI48" s="107"/>
      <c r="EJ48" s="107"/>
      <c r="EK48" s="107"/>
      <c r="EL48" s="107"/>
      <c r="EM48" s="107"/>
      <c r="EN48" s="107"/>
      <c r="EO48" s="107"/>
      <c r="EP48" s="107"/>
      <c r="EQ48" s="107"/>
      <c r="ER48" s="107"/>
      <c r="ES48" s="107"/>
      <c r="ET48" s="107"/>
      <c r="EU48" s="107"/>
      <c r="EV48" s="107"/>
      <c r="EW48" s="107"/>
      <c r="EX48" s="107"/>
      <c r="EY48" s="107"/>
      <c r="EZ48" s="107"/>
      <c r="FA48" s="107"/>
      <c r="FB48" s="107"/>
      <c r="FC48" s="107"/>
      <c r="FD48" s="107"/>
      <c r="FE48" s="107"/>
      <c r="FF48" s="107"/>
      <c r="FG48" s="107"/>
      <c r="FH48" s="107"/>
      <c r="FI48" s="107"/>
      <c r="FJ48" s="107"/>
      <c r="FK48" s="107"/>
      <c r="FL48" s="107"/>
      <c r="FM48" s="107"/>
      <c r="FN48" s="107"/>
      <c r="FO48" s="107"/>
      <c r="FP48" s="107"/>
      <c r="FQ48" s="107"/>
      <c r="FR48" s="107"/>
      <c r="FS48" s="107"/>
      <c r="FT48" s="107"/>
      <c r="FU48" s="107"/>
      <c r="FV48" s="107"/>
      <c r="FW48" s="107"/>
      <c r="FX48" s="107"/>
      <c r="FY48" s="107"/>
      <c r="FZ48" s="107"/>
      <c r="GA48" s="107"/>
      <c r="GB48" s="107"/>
      <c r="GC48" s="107"/>
      <c r="GD48" s="107"/>
      <c r="GE48" s="107"/>
      <c r="GF48" s="107"/>
      <c r="GG48" s="107"/>
      <c r="GH48" s="107"/>
      <c r="GI48" s="107"/>
      <c r="GJ48" s="107"/>
      <c r="GK48" s="107"/>
      <c r="GL48" s="107"/>
      <c r="GM48" s="107"/>
      <c r="GN48" s="107"/>
      <c r="GO48" s="107"/>
      <c r="GP48" s="107"/>
      <c r="GQ48" s="107"/>
      <c r="GR48" s="107"/>
      <c r="GS48" s="107"/>
      <c r="GT48" s="107"/>
      <c r="GU48" s="107"/>
      <c r="GV48" s="107"/>
      <c r="GW48" s="107"/>
      <c r="GX48" s="107"/>
      <c r="GY48" s="107"/>
      <c r="GZ48" s="107"/>
      <c r="HA48" s="107"/>
      <c r="HB48" s="107"/>
      <c r="HC48" s="107"/>
      <c r="HD48" s="107"/>
      <c r="HE48" s="107"/>
      <c r="HF48" s="107"/>
      <c r="HG48" s="107"/>
      <c r="HH48" s="107"/>
      <c r="HI48" s="107"/>
      <c r="HJ48" s="107"/>
      <c r="HK48" s="107"/>
      <c r="HL48" s="107"/>
      <c r="HM48" s="107"/>
      <c r="HN48" s="107"/>
      <c r="HO48" s="107"/>
      <c r="HP48" s="107"/>
      <c r="HQ48" s="107"/>
      <c r="HR48" s="107"/>
      <c r="HS48" s="107"/>
      <c r="HT48" s="107"/>
      <c r="HU48" s="107"/>
      <c r="HV48" s="107"/>
      <c r="HW48" s="107"/>
      <c r="HX48" s="107"/>
      <c r="HY48" s="107"/>
      <c r="HZ48" s="107"/>
      <c r="IA48" s="107"/>
      <c r="IB48"/>
      <c r="IC48"/>
      <c r="ID48"/>
      <c r="IE48"/>
      <c r="IF48"/>
      <c r="IG48"/>
      <c r="IH48"/>
      <c r="II48"/>
      <c r="IJ48"/>
      <c r="IK48"/>
      <c r="IL48"/>
      <c r="IM48"/>
      <c r="IN48"/>
      <c r="IO48"/>
      <c r="IP48"/>
      <c r="IQ48"/>
    </row>
    <row r="49" spans="1:251" s="290" customFormat="1">
      <c r="A49" s="173" t="s">
        <v>39</v>
      </c>
      <c r="B49" s="171"/>
      <c r="C49" s="220"/>
      <c r="D49" s="220"/>
      <c r="E49" s="196">
        <f t="shared" ref="E49:V49" si="20">E47+E48</f>
        <v>937</v>
      </c>
      <c r="F49" s="196">
        <f t="shared" si="20"/>
        <v>269.50500000000102</v>
      </c>
      <c r="G49" s="196">
        <f t="shared" si="20"/>
        <v>158.48300000000017</v>
      </c>
      <c r="H49" s="196">
        <f t="shared" si="20"/>
        <v>3058.0859542196376</v>
      </c>
      <c r="I49" s="196">
        <f t="shared" si="20"/>
        <v>5025.0859542196376</v>
      </c>
      <c r="J49" s="196">
        <f t="shared" si="20"/>
        <v>5539.0859542196376</v>
      </c>
      <c r="K49" s="196">
        <f t="shared" si="20"/>
        <v>4301.0859542196376</v>
      </c>
      <c r="L49" s="196">
        <f t="shared" si="20"/>
        <v>4781</v>
      </c>
      <c r="M49" s="196">
        <f t="shared" si="20"/>
        <v>6498</v>
      </c>
      <c r="N49" s="196">
        <f t="shared" si="20"/>
        <v>4842</v>
      </c>
      <c r="O49" s="196">
        <f t="shared" si="20"/>
        <v>7916</v>
      </c>
      <c r="P49" s="196">
        <f t="shared" si="20"/>
        <v>1871</v>
      </c>
      <c r="Q49" s="196">
        <f t="shared" si="20"/>
        <v>2314</v>
      </c>
      <c r="R49" s="196">
        <f t="shared" si="20"/>
        <v>3270</v>
      </c>
      <c r="S49" s="196">
        <f t="shared" si="20"/>
        <v>2900</v>
      </c>
      <c r="T49" s="196">
        <f t="shared" si="20"/>
        <v>3175</v>
      </c>
      <c r="U49" s="196">
        <f>U47+U48</f>
        <v>3321</v>
      </c>
      <c r="V49" s="196">
        <f t="shared" si="20"/>
        <v>2369</v>
      </c>
      <c r="W49" s="196">
        <f t="shared" ref="W49:AF49" si="21">W47+W48</f>
        <v>4569</v>
      </c>
      <c r="X49" s="196">
        <f t="shared" si="21"/>
        <v>2552.1467633093089</v>
      </c>
      <c r="Y49" s="196">
        <f t="shared" ca="1" si="21"/>
        <v>2613.2334015667384</v>
      </c>
      <c r="Z49" s="196">
        <f t="shared" ca="1" si="21"/>
        <v>1741.760527501714</v>
      </c>
      <c r="AA49" s="196">
        <f t="shared" ca="1" si="21"/>
        <v>2026.5150601692931</v>
      </c>
      <c r="AB49" s="196">
        <f t="shared" ca="1" si="21"/>
        <v>2298.6383035061026</v>
      </c>
      <c r="AC49" s="196">
        <f t="shared" ca="1" si="21"/>
        <v>2670.2970396530927</v>
      </c>
      <c r="AD49" s="196">
        <f t="shared" ca="1" si="21"/>
        <v>3145.8174403456178</v>
      </c>
      <c r="AE49" s="196">
        <f t="shared" ca="1" si="21"/>
        <v>3729.4488796870337</v>
      </c>
      <c r="AF49" s="196">
        <f t="shared" ca="1" si="21"/>
        <v>4425.519479161183</v>
      </c>
      <c r="AG49" s="289"/>
      <c r="AH49" s="289"/>
      <c r="AI49" s="289"/>
      <c r="AJ49" s="289"/>
      <c r="AK49" s="289"/>
      <c r="AL49" s="289"/>
      <c r="AM49" s="289"/>
      <c r="AN49" s="289"/>
      <c r="AO49" s="289"/>
      <c r="AP49" s="289"/>
      <c r="AQ49" s="289"/>
      <c r="AR49" s="289"/>
      <c r="AS49" s="289"/>
      <c r="AT49" s="289"/>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89"/>
      <c r="BW49" s="289"/>
      <c r="BX49" s="289"/>
      <c r="BY49" s="289"/>
      <c r="BZ49" s="289"/>
      <c r="CA49" s="289"/>
      <c r="CB49" s="289"/>
      <c r="CC49" s="289"/>
      <c r="CD49" s="289"/>
      <c r="CE49" s="289"/>
      <c r="CF49" s="289"/>
      <c r="CG49" s="289"/>
      <c r="CH49" s="289"/>
      <c r="CI49" s="289"/>
      <c r="CJ49" s="289"/>
      <c r="CK49" s="289"/>
      <c r="CL49" s="289"/>
      <c r="CM49" s="289"/>
      <c r="CN49" s="289"/>
      <c r="CO49" s="289"/>
      <c r="CP49" s="289"/>
      <c r="CQ49" s="289"/>
      <c r="CR49" s="289"/>
      <c r="CS49" s="289"/>
      <c r="CT49" s="289"/>
      <c r="CU49" s="289"/>
      <c r="CV49" s="289"/>
      <c r="CW49" s="289"/>
      <c r="CX49" s="289"/>
      <c r="CY49" s="289"/>
      <c r="CZ49" s="289"/>
      <c r="DA49" s="289"/>
      <c r="DB49" s="289"/>
      <c r="DC49" s="289"/>
      <c r="DD49" s="289"/>
      <c r="DE49" s="289"/>
      <c r="DF49" s="289"/>
      <c r="DG49" s="289"/>
      <c r="DH49" s="289"/>
      <c r="DI49" s="289"/>
      <c r="DJ49" s="289"/>
      <c r="DK49" s="289"/>
      <c r="DL49" s="289"/>
      <c r="DM49" s="289"/>
      <c r="DN49" s="289"/>
      <c r="DO49" s="289"/>
      <c r="DP49" s="289"/>
      <c r="DQ49" s="289"/>
      <c r="DR49" s="289"/>
      <c r="DS49" s="289"/>
      <c r="DT49" s="289"/>
      <c r="DU49" s="289"/>
      <c r="DV49" s="289"/>
      <c r="DW49" s="289"/>
      <c r="DX49" s="289"/>
      <c r="DY49" s="289"/>
      <c r="DZ49" s="289"/>
      <c r="EA49" s="289"/>
      <c r="EB49" s="289"/>
      <c r="EC49" s="289"/>
      <c r="ED49" s="289"/>
      <c r="EE49" s="289"/>
      <c r="EF49" s="289"/>
      <c r="EG49" s="289"/>
      <c r="EH49" s="289"/>
      <c r="EI49" s="289"/>
      <c r="EJ49" s="289"/>
      <c r="EK49" s="289"/>
      <c r="EL49" s="289"/>
      <c r="EM49" s="289"/>
      <c r="EN49" s="289"/>
      <c r="EO49" s="289"/>
      <c r="EP49" s="289"/>
      <c r="EQ49" s="289"/>
      <c r="ER49" s="289"/>
      <c r="ES49" s="289"/>
      <c r="ET49" s="289"/>
      <c r="EU49" s="289"/>
      <c r="EV49" s="289"/>
      <c r="EW49" s="289"/>
      <c r="EX49" s="289"/>
      <c r="EY49" s="289"/>
      <c r="EZ49" s="289"/>
      <c r="FA49" s="289"/>
      <c r="FB49" s="289"/>
      <c r="FC49" s="289"/>
      <c r="FD49" s="289"/>
      <c r="FE49" s="289"/>
      <c r="FF49" s="289"/>
      <c r="FG49" s="289"/>
      <c r="FH49" s="289"/>
      <c r="FI49" s="289"/>
      <c r="FJ49" s="289"/>
      <c r="FK49" s="289"/>
      <c r="FL49" s="289"/>
      <c r="FM49" s="289"/>
      <c r="FN49" s="289"/>
      <c r="FO49" s="289"/>
      <c r="FP49" s="289"/>
      <c r="FQ49" s="289"/>
      <c r="FR49" s="289"/>
      <c r="FS49" s="289"/>
      <c r="FT49" s="289"/>
      <c r="FU49" s="289"/>
      <c r="FV49" s="289"/>
      <c r="FW49" s="289"/>
      <c r="FX49" s="289"/>
      <c r="FY49" s="289"/>
      <c r="FZ49" s="289"/>
      <c r="GA49" s="289"/>
      <c r="GB49" s="289"/>
      <c r="GC49" s="289"/>
      <c r="GD49" s="289"/>
      <c r="GE49" s="289"/>
      <c r="GF49" s="289"/>
      <c r="GG49" s="289"/>
      <c r="GH49" s="289"/>
      <c r="GI49" s="289"/>
      <c r="GJ49" s="289"/>
      <c r="GK49" s="289"/>
      <c r="GL49" s="289"/>
      <c r="GM49" s="289"/>
      <c r="GN49" s="289"/>
      <c r="GO49" s="289"/>
      <c r="GP49" s="289"/>
      <c r="GQ49" s="289"/>
      <c r="GR49" s="289"/>
      <c r="GS49" s="289"/>
      <c r="GT49" s="289"/>
      <c r="GU49" s="289"/>
      <c r="GV49" s="289"/>
      <c r="GW49" s="289"/>
      <c r="GX49" s="289"/>
      <c r="GY49" s="289"/>
      <c r="GZ49" s="289"/>
      <c r="HA49" s="289"/>
      <c r="HB49" s="289"/>
      <c r="HC49" s="289"/>
      <c r="HD49" s="289"/>
      <c r="HE49" s="289"/>
      <c r="HF49" s="289"/>
      <c r="HG49" s="289"/>
      <c r="HH49" s="289"/>
      <c r="HI49" s="289"/>
      <c r="HJ49" s="289"/>
      <c r="HK49" s="289"/>
      <c r="HL49" s="289"/>
      <c r="HM49" s="289"/>
      <c r="HN49" s="289"/>
      <c r="HO49" s="289"/>
      <c r="HP49" s="289"/>
      <c r="HQ49" s="289"/>
      <c r="HR49" s="289"/>
      <c r="HS49" s="289"/>
      <c r="HT49" s="289"/>
      <c r="HU49" s="289"/>
      <c r="HV49" s="289"/>
      <c r="HW49" s="289"/>
      <c r="HX49" s="289"/>
      <c r="HY49" s="289"/>
      <c r="HZ49" s="289"/>
      <c r="IA49" s="289"/>
      <c r="IB49"/>
      <c r="IC49"/>
      <c r="ID49"/>
      <c r="IE49"/>
      <c r="IF49"/>
      <c r="IG49"/>
      <c r="IH49"/>
      <c r="II49"/>
      <c r="IJ49"/>
      <c r="IK49"/>
      <c r="IL49"/>
      <c r="IM49"/>
      <c r="IN49"/>
      <c r="IO49"/>
      <c r="IP49"/>
      <c r="IQ49"/>
    </row>
    <row r="50" spans="1:251" s="288" customFormat="1">
      <c r="A50" s="286"/>
      <c r="B50" s="287"/>
      <c r="C50" s="205"/>
      <c r="D50" s="205"/>
      <c r="E50" s="156"/>
      <c r="F50" s="156"/>
      <c r="G50" s="156"/>
      <c r="H50" s="156"/>
      <c r="I50" s="156"/>
      <c r="J50" s="156"/>
      <c r="K50" s="156"/>
      <c r="L50" s="156"/>
      <c r="M50" s="156"/>
      <c r="N50" s="156"/>
      <c r="O50" s="156"/>
      <c r="P50" s="156"/>
      <c r="Q50" s="156"/>
      <c r="R50" s="156"/>
      <c r="S50" s="156"/>
      <c r="T50" s="156"/>
      <c r="U50" s="156"/>
      <c r="V50" s="156"/>
      <c r="W50" s="156"/>
      <c r="X50" s="156"/>
      <c r="Y50" s="156"/>
      <c r="Z50" s="156"/>
      <c r="AA50" s="156"/>
      <c r="AB50" s="156"/>
      <c r="AC50" s="156"/>
      <c r="AD50" s="156"/>
      <c r="AE50" s="156"/>
      <c r="AF50" s="156"/>
      <c r="AG50" s="107"/>
      <c r="AH50" s="107"/>
      <c r="AI50" s="107"/>
      <c r="AJ50" s="107"/>
      <c r="AK50" s="107"/>
      <c r="AL50" s="107"/>
      <c r="AM50" s="107"/>
      <c r="AN50" s="107"/>
      <c r="AO50" s="107"/>
      <c r="AP50" s="107"/>
      <c r="AQ50" s="107"/>
      <c r="AR50" s="107"/>
      <c r="AS50" s="107"/>
      <c r="AT50" s="107"/>
      <c r="AU50" s="107"/>
      <c r="AV50" s="107"/>
      <c r="AW50" s="107"/>
      <c r="AX50" s="107"/>
      <c r="AY50" s="107"/>
      <c r="AZ50" s="107"/>
      <c r="BA50" s="107"/>
      <c r="BB50" s="107"/>
      <c r="BC50" s="107"/>
      <c r="BD50" s="107"/>
      <c r="BE50" s="107"/>
      <c r="BF50" s="107"/>
      <c r="BG50" s="107"/>
      <c r="BH50" s="107"/>
      <c r="BI50" s="107"/>
      <c r="BJ50" s="107"/>
      <c r="BK50" s="107"/>
      <c r="BL50" s="107"/>
      <c r="BM50" s="107"/>
      <c r="BN50" s="107"/>
      <c r="BO50" s="107"/>
      <c r="BP50" s="107"/>
      <c r="BQ50" s="107"/>
      <c r="BR50" s="107"/>
      <c r="BS50" s="107"/>
      <c r="BT50" s="107"/>
      <c r="BU50" s="107"/>
      <c r="BV50" s="107"/>
      <c r="BW50" s="107"/>
      <c r="BX50" s="107"/>
      <c r="BY50" s="107"/>
      <c r="BZ50" s="107"/>
      <c r="CA50" s="107"/>
      <c r="CB50" s="107"/>
      <c r="CC50" s="107"/>
      <c r="CD50" s="107"/>
      <c r="CE50" s="107"/>
      <c r="CF50" s="107"/>
      <c r="CG50" s="107"/>
      <c r="CH50" s="107"/>
      <c r="CI50" s="107"/>
      <c r="CJ50" s="107"/>
      <c r="CK50" s="107"/>
      <c r="CL50" s="107"/>
      <c r="CM50" s="107"/>
      <c r="CN50" s="107"/>
      <c r="CO50" s="107"/>
      <c r="CP50" s="107"/>
      <c r="CQ50" s="107"/>
      <c r="CR50" s="107"/>
      <c r="CS50" s="107"/>
      <c r="CT50" s="107"/>
      <c r="CU50" s="107"/>
      <c r="CV50" s="107"/>
      <c r="CW50" s="107"/>
      <c r="CX50" s="107"/>
      <c r="CY50" s="107"/>
      <c r="CZ50" s="107"/>
      <c r="DA50" s="107"/>
      <c r="DB50" s="107"/>
      <c r="DC50" s="107"/>
      <c r="DD50" s="107"/>
      <c r="DE50" s="107"/>
      <c r="DF50" s="107"/>
      <c r="DG50" s="107"/>
      <c r="DH50" s="107"/>
      <c r="DI50" s="107"/>
      <c r="DJ50" s="107"/>
      <c r="DK50" s="107"/>
      <c r="DL50" s="107"/>
      <c r="DM50" s="107"/>
      <c r="DN50" s="107"/>
      <c r="DO50" s="107"/>
      <c r="DP50" s="107"/>
      <c r="DQ50" s="107"/>
      <c r="DR50" s="107"/>
      <c r="DS50" s="107"/>
      <c r="DT50" s="107"/>
      <c r="DU50" s="107"/>
      <c r="DV50" s="107"/>
      <c r="DW50" s="107"/>
      <c r="DX50" s="107"/>
      <c r="DY50" s="107"/>
      <c r="DZ50" s="107"/>
      <c r="EA50" s="107"/>
      <c r="EB50" s="107"/>
      <c r="EC50" s="107"/>
      <c r="ED50" s="107"/>
      <c r="EE50" s="107"/>
      <c r="EF50" s="107"/>
      <c r="EG50" s="107"/>
      <c r="EH50" s="107"/>
      <c r="EI50" s="107"/>
      <c r="EJ50" s="107"/>
      <c r="EK50" s="107"/>
      <c r="EL50" s="107"/>
      <c r="EM50" s="107"/>
      <c r="EN50" s="107"/>
      <c r="EO50" s="107"/>
      <c r="EP50" s="107"/>
      <c r="EQ50" s="107"/>
      <c r="ER50" s="107"/>
      <c r="ES50" s="107"/>
      <c r="ET50" s="107"/>
      <c r="EU50" s="107"/>
      <c r="EV50" s="107"/>
      <c r="EW50" s="107"/>
      <c r="EX50" s="107"/>
      <c r="EY50" s="107"/>
      <c r="EZ50" s="107"/>
      <c r="FA50" s="107"/>
      <c r="FB50" s="107"/>
      <c r="FC50" s="107"/>
      <c r="FD50" s="107"/>
      <c r="FE50" s="107"/>
      <c r="FF50" s="107"/>
      <c r="FG50" s="107"/>
      <c r="FH50" s="107"/>
      <c r="FI50" s="107"/>
      <c r="FJ50" s="107"/>
      <c r="FK50" s="107"/>
      <c r="FL50" s="107"/>
      <c r="FM50" s="107"/>
      <c r="FN50" s="107"/>
      <c r="FO50" s="107"/>
      <c r="FP50" s="107"/>
      <c r="FQ50" s="107"/>
      <c r="FR50" s="107"/>
      <c r="FS50" s="107"/>
      <c r="FT50" s="107"/>
      <c r="FU50" s="107"/>
      <c r="FV50" s="107"/>
      <c r="FW50" s="107"/>
      <c r="FX50" s="107"/>
      <c r="FY50" s="107"/>
      <c r="FZ50" s="107"/>
      <c r="GA50" s="107"/>
      <c r="GB50" s="107"/>
      <c r="GC50" s="107"/>
      <c r="GD50" s="107"/>
      <c r="GE50" s="107"/>
      <c r="GF50" s="107"/>
      <c r="GG50" s="107"/>
      <c r="GH50" s="107"/>
      <c r="GI50" s="107"/>
      <c r="GJ50" s="107"/>
      <c r="GK50" s="107"/>
      <c r="GL50" s="107"/>
      <c r="GM50" s="107"/>
      <c r="GN50" s="107"/>
      <c r="GO50" s="107"/>
      <c r="GP50" s="107"/>
      <c r="GQ50" s="107"/>
      <c r="GR50" s="107"/>
      <c r="GS50" s="107"/>
      <c r="GT50" s="107"/>
      <c r="GU50" s="107"/>
      <c r="GV50" s="107"/>
      <c r="GW50" s="107"/>
      <c r="GX50" s="107"/>
      <c r="GY50" s="107"/>
      <c r="GZ50" s="107"/>
      <c r="HA50" s="107"/>
      <c r="HB50" s="107"/>
      <c r="HC50" s="107"/>
      <c r="HD50" s="107"/>
      <c r="HE50" s="107"/>
      <c r="HF50" s="107"/>
      <c r="HG50" s="107"/>
      <c r="HH50" s="107"/>
      <c r="HI50" s="107"/>
      <c r="HJ50" s="107"/>
      <c r="HK50" s="107"/>
      <c r="HL50" s="107"/>
      <c r="HM50" s="107"/>
      <c r="HN50" s="107"/>
      <c r="HO50" s="107"/>
      <c r="HP50" s="107"/>
      <c r="HQ50" s="107"/>
      <c r="HR50" s="107"/>
      <c r="HS50" s="107"/>
      <c r="HT50" s="107"/>
      <c r="HU50" s="107"/>
      <c r="HV50" s="107"/>
      <c r="HW50" s="107"/>
      <c r="HX50" s="107"/>
      <c r="HY50" s="107"/>
      <c r="HZ50" s="107"/>
      <c r="IA50" s="107"/>
      <c r="IB50"/>
      <c r="IC50"/>
      <c r="ID50"/>
      <c r="IE50"/>
      <c r="IF50"/>
      <c r="IG50"/>
      <c r="IH50"/>
      <c r="II50"/>
      <c r="IJ50"/>
      <c r="IK50"/>
      <c r="IL50"/>
      <c r="IM50"/>
      <c r="IN50"/>
      <c r="IO50"/>
      <c r="IP50"/>
      <c r="IQ50"/>
    </row>
    <row r="51" spans="1:251" s="288" customFormat="1" hidden="1" outlineLevel="1">
      <c r="A51" s="295" t="s">
        <v>469</v>
      </c>
      <c r="B51" s="43"/>
      <c r="C51" s="201">
        <f>BS!D9</f>
        <v>4081</v>
      </c>
      <c r="D51" s="201">
        <f>BS!E9</f>
        <v>5100</v>
      </c>
      <c r="E51" s="201">
        <f>BS!F9-E49</f>
        <v>0</v>
      </c>
      <c r="F51" s="201">
        <f>BS!G9-F49</f>
        <v>183.49499999999898</v>
      </c>
      <c r="G51" s="201">
        <f>BS!H9-G49</f>
        <v>406.51699999999983</v>
      </c>
      <c r="H51" s="201">
        <f>BS!I9-H49</f>
        <v>718.91404578036236</v>
      </c>
      <c r="I51" s="201">
        <f>BS!J9-I49</f>
        <v>0</v>
      </c>
      <c r="J51" s="201">
        <f>BS!K9-J49</f>
        <v>0</v>
      </c>
      <c r="K51" s="201">
        <f>BS!L9-K49</f>
        <v>0</v>
      </c>
      <c r="L51" s="201">
        <f>BS!M9-L49</f>
        <v>0</v>
      </c>
      <c r="M51" s="201">
        <f>BS!N9-M49</f>
        <v>0</v>
      </c>
      <c r="N51" s="201">
        <f>BS!O9-N49</f>
        <v>0</v>
      </c>
      <c r="O51" s="201">
        <f>BS!P9-O49</f>
        <v>0</v>
      </c>
      <c r="P51" s="201">
        <f>BS!Q9-P49</f>
        <v>0</v>
      </c>
      <c r="Q51" s="201">
        <f>BS!R9-Q49</f>
        <v>0</v>
      </c>
      <c r="R51" s="201">
        <f>BS!S9-R49</f>
        <v>0</v>
      </c>
      <c r="S51" s="201">
        <f>BS!T9-S49</f>
        <v>0</v>
      </c>
      <c r="T51" s="201">
        <f>BS!U9-T49</f>
        <v>0</v>
      </c>
      <c r="U51" s="201">
        <f>BS!V9-U49</f>
        <v>0</v>
      </c>
      <c r="V51" s="201">
        <f>BS!W9-V49</f>
        <v>0</v>
      </c>
      <c r="W51" s="201">
        <f>BS!X9-W49</f>
        <v>0</v>
      </c>
      <c r="X51" s="201">
        <f>BS!Y9-X49</f>
        <v>0</v>
      </c>
      <c r="Y51" s="201">
        <f ca="1">BS!Z9-Y49</f>
        <v>0</v>
      </c>
      <c r="Z51" s="201">
        <f ca="1">BS!AA9-Z49</f>
        <v>0</v>
      </c>
      <c r="AA51" s="201">
        <f ca="1">BS!AB9-AA49</f>
        <v>0</v>
      </c>
      <c r="AB51" s="201">
        <f ca="1">BS!AC9-AB49</f>
        <v>0</v>
      </c>
      <c r="AC51" s="201">
        <f ca="1">BS!AD9-AC49</f>
        <v>0</v>
      </c>
      <c r="AD51" s="201">
        <f ca="1">BS!AE9-AD49</f>
        <v>0</v>
      </c>
      <c r="AE51" s="201">
        <f ca="1">BS!AF9-AE49</f>
        <v>0</v>
      </c>
      <c r="AF51" s="201">
        <f ca="1">BS!AG9-AF49</f>
        <v>0</v>
      </c>
      <c r="AG51" s="107"/>
      <c r="AH51" s="107"/>
      <c r="AI51" s="107"/>
      <c r="AJ51" s="107"/>
      <c r="AK51" s="107"/>
      <c r="AL51" s="107"/>
      <c r="AM51" s="107"/>
      <c r="AN51" s="107"/>
      <c r="AO51" s="107"/>
      <c r="AP51" s="107"/>
      <c r="AQ51" s="107"/>
      <c r="AR51" s="107"/>
      <c r="AS51" s="107"/>
      <c r="AT51" s="107"/>
      <c r="AU51" s="107"/>
      <c r="AV51" s="107"/>
      <c r="AW51" s="107"/>
      <c r="AX51" s="107"/>
      <c r="AY51" s="107"/>
      <c r="AZ51" s="107"/>
      <c r="BA51" s="107"/>
      <c r="BB51" s="107"/>
      <c r="BC51" s="107"/>
      <c r="BD51" s="107"/>
      <c r="BE51" s="107"/>
      <c r="BF51" s="107"/>
      <c r="BG51" s="107"/>
      <c r="BH51" s="107"/>
      <c r="BI51" s="107"/>
      <c r="BJ51" s="107"/>
      <c r="BK51" s="107"/>
      <c r="BL51" s="107"/>
      <c r="BM51" s="107"/>
      <c r="BN51" s="107"/>
      <c r="BO51" s="107"/>
      <c r="BP51" s="107"/>
      <c r="BQ51" s="107"/>
      <c r="BR51" s="107"/>
      <c r="BS51" s="107"/>
      <c r="BT51" s="107"/>
      <c r="BU51" s="107"/>
      <c r="BV51" s="107"/>
      <c r="BW51" s="107"/>
      <c r="BX51" s="107"/>
      <c r="BY51" s="107"/>
      <c r="BZ51" s="107"/>
      <c r="CA51" s="107"/>
      <c r="CB51" s="107"/>
      <c r="CC51" s="107"/>
      <c r="CD51" s="107"/>
      <c r="CE51" s="107"/>
      <c r="CF51" s="107"/>
      <c r="CG51" s="107"/>
      <c r="CH51" s="107"/>
      <c r="CI51" s="107"/>
      <c r="CJ51" s="107"/>
      <c r="CK51" s="107"/>
      <c r="CL51" s="107"/>
      <c r="CM51" s="107"/>
      <c r="CN51" s="107"/>
      <c r="CO51" s="107"/>
      <c r="CP51" s="107"/>
      <c r="CQ51" s="107"/>
      <c r="CR51" s="107"/>
      <c r="CS51" s="107"/>
      <c r="CT51" s="107"/>
      <c r="CU51" s="107"/>
      <c r="CV51" s="107"/>
      <c r="CW51" s="107"/>
      <c r="CX51" s="107"/>
      <c r="CY51" s="107"/>
      <c r="CZ51" s="107"/>
      <c r="DA51" s="107"/>
      <c r="DB51" s="107"/>
      <c r="DC51" s="107"/>
      <c r="DD51" s="107"/>
      <c r="DE51" s="107"/>
      <c r="DF51" s="107"/>
      <c r="DG51" s="107"/>
      <c r="DH51" s="107"/>
      <c r="DI51" s="107"/>
      <c r="DJ51" s="107"/>
      <c r="DK51" s="107"/>
      <c r="DL51" s="107"/>
      <c r="DM51" s="107"/>
      <c r="DN51" s="107"/>
      <c r="DO51" s="107"/>
      <c r="DP51" s="107"/>
      <c r="DQ51" s="107"/>
      <c r="DR51" s="107"/>
      <c r="DS51" s="107"/>
      <c r="DT51" s="107"/>
      <c r="DU51" s="107"/>
      <c r="DV51" s="107"/>
      <c r="DW51" s="107"/>
      <c r="DX51" s="107"/>
      <c r="DY51" s="107"/>
      <c r="DZ51" s="107"/>
      <c r="EA51" s="107"/>
      <c r="EB51" s="107"/>
      <c r="EC51" s="107"/>
      <c r="ED51" s="107"/>
      <c r="EE51" s="107"/>
      <c r="EF51" s="107"/>
      <c r="EG51" s="107"/>
      <c r="EH51" s="107"/>
      <c r="EI51" s="107"/>
      <c r="EJ51" s="107"/>
      <c r="EK51" s="107"/>
      <c r="EL51" s="107"/>
      <c r="EM51" s="107"/>
      <c r="EN51" s="107"/>
      <c r="EO51" s="107"/>
      <c r="EP51" s="107"/>
      <c r="EQ51" s="107"/>
      <c r="ER51" s="107"/>
      <c r="ES51" s="107"/>
      <c r="ET51" s="107"/>
      <c r="EU51" s="107"/>
      <c r="EV51" s="107"/>
      <c r="EW51" s="107"/>
      <c r="EX51" s="107"/>
      <c r="EY51" s="107"/>
      <c r="EZ51" s="107"/>
      <c r="FA51" s="107"/>
      <c r="FB51" s="107"/>
      <c r="FC51" s="107"/>
      <c r="FD51" s="107"/>
      <c r="FE51" s="107"/>
      <c r="FF51" s="107"/>
      <c r="FG51" s="107"/>
      <c r="FH51" s="107"/>
      <c r="FI51" s="107"/>
      <c r="FJ51" s="107"/>
      <c r="FK51" s="107"/>
      <c r="FL51" s="107"/>
      <c r="FM51" s="107"/>
      <c r="FN51" s="107"/>
      <c r="FO51" s="107"/>
      <c r="FP51" s="107"/>
      <c r="FQ51" s="107"/>
      <c r="FR51" s="107"/>
      <c r="FS51" s="107"/>
      <c r="FT51" s="107"/>
      <c r="FU51" s="107"/>
      <c r="FV51" s="107"/>
      <c r="FW51" s="107"/>
      <c r="FX51" s="107"/>
      <c r="FY51" s="107"/>
      <c r="FZ51" s="107"/>
      <c r="GA51" s="107"/>
      <c r="GB51" s="107"/>
      <c r="GC51" s="107"/>
      <c r="GD51" s="107"/>
      <c r="GE51" s="107"/>
      <c r="GF51" s="107"/>
      <c r="GG51" s="107"/>
      <c r="GH51" s="107"/>
      <c r="GI51" s="107"/>
      <c r="GJ51" s="107"/>
      <c r="GK51" s="107"/>
      <c r="GL51" s="107"/>
      <c r="GM51" s="107"/>
      <c r="GN51" s="107"/>
      <c r="GO51" s="107"/>
      <c r="GP51" s="107"/>
      <c r="GQ51" s="107"/>
      <c r="GR51" s="107"/>
      <c r="GS51" s="107"/>
      <c r="GT51" s="107"/>
      <c r="GU51" s="107"/>
      <c r="GV51" s="107"/>
      <c r="GW51" s="107"/>
      <c r="GX51" s="107"/>
      <c r="GY51" s="107"/>
      <c r="GZ51" s="107"/>
      <c r="HA51" s="107"/>
      <c r="HB51" s="107"/>
      <c r="HC51" s="107"/>
      <c r="HD51" s="107"/>
      <c r="HE51" s="107"/>
      <c r="HF51" s="107"/>
      <c r="HG51" s="107"/>
      <c r="HH51" s="107"/>
      <c r="HI51" s="107"/>
      <c r="HJ51" s="107"/>
      <c r="HK51" s="107"/>
      <c r="HL51" s="107"/>
      <c r="HM51" s="107"/>
      <c r="HN51" s="107"/>
      <c r="HO51" s="107"/>
      <c r="HP51" s="107"/>
      <c r="HQ51" s="107"/>
      <c r="HR51" s="107"/>
      <c r="HS51" s="107"/>
      <c r="HT51" s="107"/>
      <c r="HU51" s="107"/>
      <c r="HV51" s="107"/>
      <c r="HW51" s="107"/>
      <c r="HX51" s="107"/>
      <c r="HY51" s="107"/>
      <c r="HZ51" s="107"/>
      <c r="IA51" s="107"/>
      <c r="IB51"/>
      <c r="IC51"/>
      <c r="ID51"/>
      <c r="IE51"/>
      <c r="IF51"/>
      <c r="IG51"/>
      <c r="IH51"/>
      <c r="II51"/>
      <c r="IJ51"/>
      <c r="IK51"/>
      <c r="IL51"/>
      <c r="IM51"/>
      <c r="IN51"/>
      <c r="IO51"/>
      <c r="IP51"/>
      <c r="IQ51"/>
    </row>
    <row r="52" spans="1:251" s="33" customFormat="1" collapsed="1">
      <c r="A52" s="43"/>
      <c r="B52" s="43"/>
      <c r="C52" s="205"/>
      <c r="D52" s="205"/>
      <c r="E52" s="156"/>
      <c r="F52" s="156"/>
      <c r="G52" s="156"/>
      <c r="H52" s="156"/>
      <c r="I52" s="156"/>
      <c r="J52" s="156"/>
      <c r="K52" s="156"/>
      <c r="L52" s="156"/>
      <c r="M52" s="156"/>
      <c r="N52" s="156"/>
      <c r="O52" s="205"/>
      <c r="P52" s="205"/>
      <c r="Q52" s="205"/>
      <c r="R52" s="177"/>
      <c r="S52" s="177"/>
      <c r="T52" s="177"/>
      <c r="U52" s="177"/>
      <c r="V52" s="177"/>
      <c r="W52" s="177"/>
      <c r="X52" s="177"/>
      <c r="Y52" s="177"/>
      <c r="Z52" s="177"/>
      <c r="AA52" s="177"/>
      <c r="AB52" s="177"/>
      <c r="AC52" s="177"/>
      <c r="AD52" s="177"/>
      <c r="AE52" s="177"/>
      <c r="AF52" s="177"/>
      <c r="AG52" s="43"/>
      <c r="AH52" s="43"/>
      <c r="AI52" s="43"/>
      <c r="AJ52" s="43"/>
      <c r="AK52" s="43"/>
      <c r="AL52" s="43"/>
      <c r="AM52" s="43"/>
      <c r="AN52" s="43"/>
      <c r="AO52" s="43"/>
      <c r="AP52" s="43"/>
      <c r="AQ52" s="43"/>
      <c r="AR52" s="43"/>
      <c r="AS52" s="43"/>
      <c r="AT52" s="43"/>
      <c r="AU52" s="43"/>
      <c r="AV52" s="43"/>
      <c r="AW52" s="43"/>
      <c r="AX52" s="43"/>
      <c r="AY52" s="43"/>
      <c r="AZ52" s="43"/>
      <c r="BA52" s="43"/>
      <c r="BB52" s="43"/>
      <c r="BC52" s="43"/>
      <c r="BD52" s="43"/>
      <c r="BE52" s="43"/>
      <c r="BF52" s="43"/>
      <c r="BG52" s="43"/>
      <c r="BH52" s="43"/>
      <c r="BI52" s="43"/>
      <c r="BJ52" s="43"/>
      <c r="BK52" s="43"/>
      <c r="BL52" s="43"/>
      <c r="BM52" s="43"/>
      <c r="BN52" s="43"/>
      <c r="BO52" s="43"/>
      <c r="BP52" s="43"/>
      <c r="BQ52" s="43"/>
      <c r="BR52" s="43"/>
      <c r="BS52" s="43"/>
      <c r="BT52" s="43"/>
      <c r="BU52" s="43"/>
      <c r="BV52" s="43"/>
      <c r="BW52" s="43"/>
      <c r="BX52" s="43"/>
      <c r="BY52" s="43"/>
      <c r="BZ52" s="43"/>
      <c r="CA52" s="43"/>
      <c r="CB52" s="43"/>
      <c r="CC52" s="43"/>
      <c r="CD52" s="43"/>
      <c r="CE52" s="43"/>
      <c r="CF52" s="43"/>
      <c r="CG52" s="43"/>
      <c r="CH52" s="43"/>
      <c r="CI52" s="43"/>
      <c r="CJ52" s="43"/>
      <c r="CK52" s="43"/>
      <c r="CL52" s="43"/>
      <c r="CM52" s="43"/>
      <c r="CN52" s="43"/>
      <c r="CO52" s="43"/>
      <c r="CP52" s="43"/>
      <c r="CQ52" s="43"/>
      <c r="CR52" s="43"/>
      <c r="CS52" s="43"/>
      <c r="CT52" s="43"/>
      <c r="CU52" s="43"/>
      <c r="CV52" s="43"/>
      <c r="CW52" s="43"/>
      <c r="CX52" s="43"/>
      <c r="CY52" s="43"/>
      <c r="CZ52" s="43"/>
      <c r="DA52" s="43"/>
      <c r="DB52" s="43"/>
      <c r="DC52" s="43"/>
      <c r="DD52" s="43"/>
      <c r="DE52" s="43"/>
      <c r="DF52" s="43"/>
      <c r="DG52" s="43"/>
      <c r="DH52" s="43"/>
      <c r="DI52" s="43"/>
      <c r="DJ52" s="43"/>
      <c r="DK52" s="43"/>
      <c r="DL52" s="43"/>
      <c r="DM52" s="43"/>
      <c r="DN52" s="43"/>
      <c r="DO52" s="43"/>
      <c r="DP52" s="43"/>
      <c r="DQ52" s="43"/>
      <c r="DR52" s="43"/>
      <c r="DS52" s="43"/>
      <c r="DT52" s="43"/>
      <c r="DU52" s="43"/>
      <c r="DV52" s="43"/>
      <c r="DW52" s="43"/>
      <c r="DX52" s="43"/>
      <c r="DY52" s="43"/>
      <c r="DZ52" s="43"/>
      <c r="EA52" s="43"/>
      <c r="EB52" s="43"/>
      <c r="EC52" s="43"/>
      <c r="ED52" s="43"/>
      <c r="EE52" s="43"/>
      <c r="EF52" s="43"/>
      <c r="EG52" s="43"/>
      <c r="EH52" s="43"/>
      <c r="EI52" s="43"/>
      <c r="EJ52" s="43"/>
      <c r="EK52" s="43"/>
      <c r="EL52" s="43"/>
      <c r="EM52" s="43"/>
      <c r="EN52" s="43"/>
      <c r="EO52" s="43"/>
      <c r="EP52" s="43"/>
      <c r="EQ52" s="43"/>
      <c r="ER52" s="43"/>
      <c r="ES52" s="43"/>
      <c r="ET52" s="43"/>
      <c r="EU52" s="43"/>
      <c r="EV52" s="43"/>
      <c r="EW52" s="43"/>
      <c r="EX52" s="43"/>
      <c r="EY52" s="43"/>
      <c r="EZ52" s="43"/>
      <c r="FA52" s="43"/>
      <c r="FB52" s="43"/>
      <c r="FC52" s="43"/>
      <c r="FD52" s="43"/>
      <c r="FE52" s="43"/>
      <c r="FF52" s="43"/>
      <c r="FG52" s="43"/>
      <c r="FH52" s="43"/>
      <c r="FI52" s="43"/>
      <c r="FJ52" s="43"/>
      <c r="FK52" s="43"/>
      <c r="FL52" s="43"/>
      <c r="FM52" s="43"/>
      <c r="FN52" s="43"/>
      <c r="FO52" s="43"/>
      <c r="FP52" s="43"/>
      <c r="FQ52" s="43"/>
      <c r="FR52" s="43"/>
      <c r="FS52" s="43"/>
      <c r="FT52" s="43"/>
      <c r="FU52" s="43"/>
      <c r="FV52" s="43"/>
      <c r="FW52" s="43"/>
      <c r="FX52" s="43"/>
      <c r="FY52" s="43"/>
      <c r="FZ52" s="43"/>
      <c r="GA52" s="43"/>
      <c r="GB52" s="43"/>
      <c r="GC52" s="43"/>
      <c r="GD52" s="43"/>
      <c r="GE52" s="43"/>
      <c r="GF52" s="43"/>
      <c r="GG52" s="43"/>
      <c r="GH52" s="43"/>
      <c r="GI52" s="43"/>
      <c r="GJ52" s="43"/>
      <c r="GK52" s="43"/>
      <c r="GL52" s="43"/>
      <c r="GM52" s="43"/>
      <c r="GN52" s="43"/>
      <c r="GO52" s="43"/>
      <c r="GP52" s="43"/>
      <c r="GQ52" s="43"/>
      <c r="GR52" s="43"/>
      <c r="GS52" s="43"/>
      <c r="GT52" s="43"/>
      <c r="GU52" s="43"/>
      <c r="GV52" s="43"/>
      <c r="GW52" s="43"/>
      <c r="GX52" s="43"/>
      <c r="GY52" s="43"/>
      <c r="GZ52" s="43"/>
      <c r="HA52" s="43"/>
      <c r="HB52" s="43"/>
      <c r="HC52" s="43"/>
      <c r="HD52" s="43"/>
      <c r="HE52" s="43"/>
      <c r="HF52" s="43"/>
      <c r="HG52" s="43"/>
      <c r="HH52" s="43"/>
      <c r="HI52" s="43"/>
      <c r="HJ52" s="43"/>
      <c r="HK52" s="43"/>
      <c r="HL52" s="43"/>
      <c r="HM52" s="43"/>
      <c r="HN52" s="43"/>
      <c r="HO52" s="43"/>
      <c r="HP52" s="43"/>
      <c r="HQ52" s="43"/>
      <c r="HR52" s="43"/>
      <c r="HS52" s="43"/>
      <c r="HT52" s="43"/>
      <c r="HU52" s="43"/>
      <c r="HV52" s="43"/>
      <c r="HW52" s="43"/>
      <c r="HX52" s="43"/>
      <c r="HY52" s="43"/>
      <c r="HZ52" s="43"/>
      <c r="IA52" s="43"/>
      <c r="IB52"/>
      <c r="IC52"/>
      <c r="ID52"/>
      <c r="IE52"/>
      <c r="IF52"/>
      <c r="IG52"/>
      <c r="IH52"/>
      <c r="II52"/>
      <c r="IJ52"/>
      <c r="IK52"/>
      <c r="IL52"/>
      <c r="IM52"/>
      <c r="IN52"/>
      <c r="IO52"/>
      <c r="IP52"/>
      <c r="IQ52"/>
    </row>
    <row r="53" spans="1:251" s="33" customFormat="1">
      <c r="A53" s="219" t="s">
        <v>649</v>
      </c>
      <c r="B53" s="215"/>
      <c r="C53" s="216"/>
      <c r="D53" s="216"/>
      <c r="E53" s="216"/>
      <c r="F53" s="216"/>
      <c r="G53" s="216"/>
      <c r="H53" s="297"/>
      <c r="I53" s="216"/>
      <c r="J53" s="216"/>
      <c r="K53" s="216"/>
      <c r="L53" s="216"/>
      <c r="M53" s="216"/>
      <c r="N53" s="216"/>
      <c r="O53" s="216"/>
      <c r="P53" s="216"/>
      <c r="Q53" s="216"/>
      <c r="R53" s="215"/>
      <c r="S53" s="215"/>
      <c r="T53" s="215"/>
      <c r="U53" s="215"/>
      <c r="V53" s="215"/>
      <c r="W53" s="215"/>
      <c r="X53" s="215"/>
      <c r="Y53" s="215"/>
      <c r="Z53" s="215"/>
      <c r="AA53" s="215"/>
      <c r="AB53" s="215"/>
      <c r="AC53" s="215"/>
      <c r="AD53" s="215"/>
      <c r="AE53" s="215"/>
      <c r="AF53" s="215"/>
      <c r="AG53" s="43"/>
      <c r="AH53" s="43"/>
      <c r="AI53" s="43"/>
      <c r="AJ53" s="43"/>
      <c r="AK53" s="43"/>
      <c r="AL53" s="43"/>
      <c r="AM53" s="43"/>
      <c r="AN53" s="43"/>
      <c r="AO53" s="43"/>
      <c r="AP53" s="43"/>
      <c r="AQ53" s="43"/>
      <c r="AR53" s="43"/>
      <c r="AS53" s="43"/>
      <c r="AT53" s="43"/>
      <c r="AU53" s="43"/>
      <c r="AV53" s="43"/>
      <c r="AW53" s="43"/>
      <c r="AX53" s="43"/>
      <c r="AY53" s="43"/>
      <c r="AZ53" s="43"/>
      <c r="BA53" s="43"/>
      <c r="BB53" s="43"/>
      <c r="BC53" s="43"/>
      <c r="BD53" s="43"/>
      <c r="BE53" s="43"/>
      <c r="BF53" s="43"/>
      <c r="BG53" s="43"/>
      <c r="BH53" s="43"/>
      <c r="BI53" s="43"/>
      <c r="BJ53" s="43"/>
      <c r="BK53" s="43"/>
      <c r="BL53" s="43"/>
      <c r="BM53" s="43"/>
      <c r="BN53" s="43"/>
      <c r="BO53" s="43"/>
      <c r="BP53" s="43"/>
      <c r="BQ53" s="43"/>
      <c r="BR53" s="43"/>
      <c r="BS53" s="43"/>
      <c r="BT53" s="43"/>
      <c r="BU53" s="43"/>
      <c r="BV53" s="43"/>
      <c r="BW53" s="43"/>
      <c r="BX53" s="43"/>
      <c r="BY53" s="43"/>
      <c r="BZ53" s="43"/>
      <c r="CA53" s="43"/>
      <c r="CB53" s="43"/>
      <c r="CC53" s="43"/>
      <c r="CD53" s="43"/>
      <c r="CE53" s="43"/>
      <c r="CF53" s="43"/>
      <c r="CG53" s="43"/>
      <c r="CH53" s="43"/>
      <c r="CI53" s="43"/>
      <c r="CJ53" s="43"/>
      <c r="CK53" s="43"/>
      <c r="CL53" s="43"/>
      <c r="CM53" s="43"/>
      <c r="CN53" s="43"/>
      <c r="CO53" s="43"/>
      <c r="CP53" s="43"/>
      <c r="CQ53" s="43"/>
      <c r="CR53" s="43"/>
      <c r="CS53" s="43"/>
      <c r="CT53" s="43"/>
      <c r="CU53" s="43"/>
      <c r="CV53" s="43"/>
      <c r="CW53" s="43"/>
      <c r="CX53" s="43"/>
      <c r="CY53" s="43"/>
      <c r="CZ53" s="43"/>
      <c r="DA53" s="43"/>
      <c r="DB53" s="43"/>
      <c r="DC53" s="43"/>
      <c r="DD53" s="43"/>
      <c r="DE53" s="43"/>
      <c r="DF53" s="43"/>
      <c r="DG53" s="43"/>
      <c r="DH53" s="43"/>
      <c r="DI53" s="43"/>
      <c r="DJ53" s="43"/>
      <c r="DK53" s="43"/>
      <c r="DL53" s="43"/>
      <c r="DM53" s="43"/>
      <c r="DN53" s="43"/>
      <c r="DO53" s="43"/>
      <c r="DP53" s="43"/>
      <c r="DQ53" s="43"/>
      <c r="DR53" s="43"/>
      <c r="DS53" s="43"/>
      <c r="DT53" s="43"/>
      <c r="DU53" s="43"/>
      <c r="DV53" s="43"/>
      <c r="DW53" s="43"/>
      <c r="DX53" s="43"/>
      <c r="DY53" s="43"/>
      <c r="DZ53" s="43"/>
      <c r="EA53" s="43"/>
      <c r="EB53" s="43"/>
      <c r="EC53" s="43"/>
      <c r="ED53" s="43"/>
      <c r="EE53" s="43"/>
      <c r="EF53" s="43"/>
      <c r="EG53" s="43"/>
      <c r="EH53" s="43"/>
      <c r="EI53" s="43"/>
      <c r="EJ53" s="43"/>
      <c r="EK53" s="43"/>
      <c r="EL53" s="43"/>
      <c r="EM53" s="43"/>
      <c r="EN53" s="43"/>
      <c r="EO53" s="43"/>
      <c r="EP53" s="43"/>
      <c r="EQ53" s="43"/>
      <c r="ER53" s="43"/>
      <c r="ES53" s="43"/>
      <c r="ET53" s="43"/>
      <c r="EU53" s="43"/>
      <c r="EV53" s="43"/>
      <c r="EW53" s="43"/>
      <c r="EX53" s="43"/>
      <c r="EY53" s="43"/>
      <c r="EZ53" s="43"/>
      <c r="FA53" s="43"/>
      <c r="FB53" s="43"/>
      <c r="FC53" s="43"/>
      <c r="FD53" s="43"/>
      <c r="FE53" s="43"/>
      <c r="FF53" s="43"/>
      <c r="FG53" s="43"/>
      <c r="FH53" s="43"/>
      <c r="FI53" s="43"/>
      <c r="FJ53" s="43"/>
      <c r="FK53" s="43"/>
      <c r="FL53" s="43"/>
      <c r="FM53" s="43"/>
      <c r="FN53" s="43"/>
      <c r="FO53" s="43"/>
      <c r="FP53" s="43"/>
      <c r="FQ53" s="43"/>
      <c r="FR53" s="43"/>
      <c r="FS53" s="43"/>
      <c r="FT53" s="43"/>
      <c r="FU53" s="43"/>
      <c r="FV53" s="43"/>
      <c r="FW53" s="43"/>
      <c r="FX53" s="43"/>
      <c r="FY53" s="43"/>
      <c r="FZ53" s="43"/>
      <c r="GA53" s="43"/>
      <c r="GB53" s="43"/>
      <c r="GC53" s="43"/>
      <c r="GD53" s="43"/>
      <c r="GE53" s="43"/>
      <c r="GF53" s="43"/>
      <c r="GG53" s="43"/>
      <c r="GH53" s="43"/>
      <c r="GI53" s="43"/>
      <c r="GJ53" s="43"/>
      <c r="GK53" s="43"/>
      <c r="GL53" s="43"/>
      <c r="GM53" s="43"/>
      <c r="GN53" s="43"/>
      <c r="GO53" s="43"/>
      <c r="GP53" s="43"/>
      <c r="GQ53" s="43"/>
      <c r="GR53" s="43"/>
      <c r="GS53" s="43"/>
      <c r="GT53" s="43"/>
      <c r="GU53" s="43"/>
      <c r="GV53" s="43"/>
      <c r="GW53" s="43"/>
      <c r="GX53" s="43"/>
      <c r="GY53" s="43"/>
      <c r="GZ53" s="43"/>
      <c r="HA53" s="43"/>
      <c r="HB53" s="43"/>
      <c r="HC53" s="43"/>
      <c r="HD53" s="43"/>
      <c r="HE53" s="43"/>
      <c r="HF53" s="43"/>
      <c r="HG53" s="43"/>
      <c r="HH53" s="43"/>
      <c r="HI53" s="43"/>
      <c r="HJ53" s="43"/>
      <c r="HK53" s="43"/>
      <c r="HL53" s="43"/>
      <c r="HM53" s="43"/>
      <c r="HN53" s="43"/>
      <c r="HO53" s="43"/>
      <c r="HP53" s="43"/>
      <c r="HQ53" s="43"/>
      <c r="HR53" s="43"/>
      <c r="HS53" s="43"/>
      <c r="HT53" s="43"/>
      <c r="HU53" s="43"/>
      <c r="HV53" s="43"/>
      <c r="HW53" s="43"/>
      <c r="HX53" s="43"/>
      <c r="HY53" s="43"/>
      <c r="HZ53" s="43"/>
      <c r="IA53" s="43"/>
      <c r="IB53"/>
      <c r="IC53"/>
      <c r="ID53"/>
      <c r="IE53"/>
      <c r="IF53"/>
      <c r="IG53"/>
      <c r="IH53"/>
      <c r="II53"/>
      <c r="IJ53"/>
      <c r="IK53"/>
      <c r="IL53"/>
      <c r="IM53"/>
      <c r="IN53"/>
      <c r="IO53"/>
      <c r="IP53"/>
      <c r="IQ53"/>
    </row>
    <row r="54" spans="1:251" s="32" customFormat="1" ht="6" customHeight="1">
      <c r="A54" s="34"/>
      <c r="C54" s="38"/>
      <c r="D54" s="38"/>
      <c r="E54" s="38"/>
      <c r="F54" s="38"/>
      <c r="G54" s="38"/>
      <c r="H54" s="128"/>
      <c r="I54" s="38"/>
      <c r="J54" s="38"/>
      <c r="K54" s="38"/>
      <c r="L54" s="38"/>
      <c r="M54" s="38"/>
      <c r="N54" s="38"/>
      <c r="O54" s="38"/>
      <c r="P54" s="38"/>
      <c r="Q54" s="38"/>
      <c r="IB54"/>
      <c r="IC54"/>
      <c r="ID54"/>
      <c r="IE54"/>
      <c r="IF54"/>
      <c r="IG54"/>
      <c r="IH54"/>
      <c r="II54"/>
      <c r="IJ54"/>
      <c r="IK54"/>
      <c r="IL54"/>
      <c r="IM54"/>
      <c r="IN54"/>
      <c r="IO54"/>
      <c r="IP54"/>
      <c r="IQ54"/>
    </row>
    <row r="55" spans="1:251" s="33" customFormat="1">
      <c r="A55" s="43" t="s">
        <v>40</v>
      </c>
      <c r="B55" s="62"/>
      <c r="C55" s="205">
        <f>C25+C28</f>
        <v>6647</v>
      </c>
      <c r="D55" s="205">
        <f t="shared" ref="D55:T55" si="22">D25+D28</f>
        <v>9452.5779999999995</v>
      </c>
      <c r="E55" s="205">
        <f t="shared" si="22"/>
        <v>9362</v>
      </c>
      <c r="F55" s="205">
        <f t="shared" si="22"/>
        <v>6787.505000000001</v>
      </c>
      <c r="G55" s="205">
        <f t="shared" si="22"/>
        <v>8379.9779999999992</v>
      </c>
      <c r="H55" s="205">
        <f>H25+H28</f>
        <v>8529.6029542196375</v>
      </c>
      <c r="I55" s="205">
        <f>I25+I28</f>
        <v>8977</v>
      </c>
      <c r="J55" s="205">
        <f t="shared" si="22"/>
        <v>8854</v>
      </c>
      <c r="K55" s="205">
        <f t="shared" si="22"/>
        <v>11132</v>
      </c>
      <c r="L55" s="205">
        <f t="shared" si="22"/>
        <v>8581</v>
      </c>
      <c r="M55" s="205">
        <f t="shared" si="22"/>
        <v>8697</v>
      </c>
      <c r="N55" s="205">
        <f t="shared" si="22"/>
        <v>4180</v>
      </c>
      <c r="O55" s="205">
        <f t="shared" si="22"/>
        <v>2974</v>
      </c>
      <c r="P55" s="205">
        <f t="shared" si="22"/>
        <v>3170</v>
      </c>
      <c r="Q55" s="205">
        <f>Q25+Q28</f>
        <v>2599</v>
      </c>
      <c r="R55" s="205">
        <f>R25+R28</f>
        <v>3508</v>
      </c>
      <c r="S55" s="112">
        <f t="shared" si="22"/>
        <v>3779</v>
      </c>
      <c r="T55" s="112">
        <f t="shared" si="22"/>
        <v>4244</v>
      </c>
      <c r="U55" s="112">
        <f>U25+U28</f>
        <v>4500</v>
      </c>
      <c r="V55" s="112">
        <f t="shared" ref="V55:AA55" si="23">V25+V28</f>
        <v>5581</v>
      </c>
      <c r="W55" s="112">
        <f t="shared" si="23"/>
        <v>3602</v>
      </c>
      <c r="X55" s="112">
        <f t="shared" si="23"/>
        <v>6702.881190298649</v>
      </c>
      <c r="Y55" s="112">
        <f t="shared" ca="1" si="23"/>
        <v>7502.3514225548315</v>
      </c>
      <c r="Z55" s="112">
        <f t="shared" ca="1" si="23"/>
        <v>8209.9268747204114</v>
      </c>
      <c r="AA55" s="112">
        <f t="shared" ca="1" si="23"/>
        <v>8867.2600756803495</v>
      </c>
      <c r="AB55" s="112">
        <f ca="1">AB25+AB28</f>
        <v>9324.3939529224153</v>
      </c>
      <c r="AC55" s="112">
        <f ca="1">AC25+AC28</f>
        <v>9854.239306890584</v>
      </c>
      <c r="AD55" s="112">
        <f ca="1">AD25+AD28</f>
        <v>10387.134510542608</v>
      </c>
      <c r="AE55" s="112">
        <f ca="1">AE25+AE28</f>
        <v>10925.031822823275</v>
      </c>
      <c r="AF55" s="112">
        <f ca="1">AF25+AF28</f>
        <v>11469.875204479722</v>
      </c>
      <c r="AG55" s="182"/>
      <c r="AH55" s="182"/>
      <c r="AI55" s="43"/>
      <c r="AJ55" s="43"/>
      <c r="AK55" s="43"/>
      <c r="AL55" s="43"/>
      <c r="AM55" s="43"/>
      <c r="AN55" s="43"/>
      <c r="AO55" s="43"/>
      <c r="AP55" s="43"/>
      <c r="AQ55" s="43"/>
      <c r="AR55" s="43"/>
      <c r="AS55" s="43"/>
      <c r="AT55" s="43"/>
      <c r="AU55" s="43"/>
      <c r="AV55" s="43"/>
      <c r="AW55" s="43"/>
      <c r="AX55" s="43"/>
      <c r="AY55" s="43"/>
      <c r="AZ55" s="43"/>
      <c r="BA55" s="43"/>
      <c r="BB55" s="43"/>
      <c r="BC55" s="43"/>
      <c r="BD55" s="43"/>
      <c r="BE55" s="43"/>
      <c r="BF55" s="43"/>
      <c r="BG55" s="43"/>
      <c r="BH55" s="43"/>
      <c r="BI55" s="43"/>
      <c r="BJ55" s="43"/>
      <c r="BK55" s="43"/>
      <c r="BL55" s="43"/>
      <c r="BM55" s="43"/>
      <c r="BN55" s="43"/>
      <c r="BO55" s="43"/>
      <c r="BP55" s="43"/>
      <c r="BQ55" s="43"/>
      <c r="BR55" s="43"/>
      <c r="BS55" s="43"/>
      <c r="BT55" s="43"/>
      <c r="BU55" s="43"/>
      <c r="BV55" s="43"/>
      <c r="BW55" s="43"/>
      <c r="BX55" s="43"/>
      <c r="BY55" s="43"/>
      <c r="BZ55" s="43"/>
      <c r="CA55" s="43"/>
      <c r="CB55" s="43"/>
      <c r="CC55" s="43"/>
      <c r="CD55" s="43"/>
      <c r="CE55" s="43"/>
      <c r="CF55" s="43"/>
      <c r="CG55" s="43"/>
      <c r="CH55" s="43"/>
      <c r="CI55" s="43"/>
      <c r="CJ55" s="43"/>
      <c r="CK55" s="43"/>
      <c r="CL55" s="43"/>
      <c r="CM55" s="43"/>
      <c r="CN55" s="43"/>
      <c r="CO55" s="43"/>
      <c r="CP55" s="43"/>
      <c r="CQ55" s="43"/>
      <c r="CR55" s="43"/>
      <c r="CS55" s="43"/>
      <c r="CT55" s="43"/>
      <c r="CU55" s="43"/>
      <c r="CV55" s="43"/>
      <c r="CW55" s="43"/>
      <c r="CX55" s="43"/>
      <c r="CY55" s="43"/>
      <c r="CZ55" s="43"/>
      <c r="DA55" s="43"/>
      <c r="DB55" s="43"/>
      <c r="DC55" s="43"/>
      <c r="DD55" s="43"/>
      <c r="DE55" s="43"/>
      <c r="DF55" s="43"/>
      <c r="DG55" s="43"/>
      <c r="DH55" s="43"/>
      <c r="DI55" s="43"/>
      <c r="DJ55" s="43"/>
      <c r="DK55" s="43"/>
      <c r="DL55" s="43"/>
      <c r="DM55" s="43"/>
      <c r="DN55" s="43"/>
      <c r="DO55" s="43"/>
      <c r="DP55" s="43"/>
      <c r="DQ55" s="43"/>
      <c r="DR55" s="43"/>
      <c r="DS55" s="43"/>
      <c r="DT55" s="43"/>
      <c r="DU55" s="43"/>
      <c r="DV55" s="43"/>
      <c r="DW55" s="43"/>
      <c r="DX55" s="43"/>
      <c r="DY55" s="43"/>
      <c r="DZ55" s="43"/>
      <c r="EA55" s="43"/>
      <c r="EB55" s="43"/>
      <c r="EC55" s="43"/>
      <c r="ED55" s="43"/>
      <c r="EE55" s="43"/>
      <c r="EF55" s="43"/>
      <c r="EG55" s="43"/>
      <c r="EH55" s="43"/>
      <c r="EI55" s="43"/>
      <c r="EJ55" s="43"/>
      <c r="EK55" s="43"/>
      <c r="EL55" s="43"/>
      <c r="EM55" s="43"/>
      <c r="EN55" s="43"/>
      <c r="EO55" s="43"/>
      <c r="EP55" s="43"/>
      <c r="EQ55" s="43"/>
      <c r="ER55" s="43"/>
      <c r="ES55" s="43"/>
      <c r="ET55" s="43"/>
      <c r="EU55" s="43"/>
      <c r="EV55" s="43"/>
      <c r="EW55" s="43"/>
      <c r="EX55" s="43"/>
      <c r="EY55" s="43"/>
      <c r="EZ55" s="43"/>
      <c r="FA55" s="43"/>
      <c r="FB55" s="43"/>
      <c r="FC55" s="43"/>
      <c r="FD55" s="43"/>
      <c r="FE55" s="43"/>
      <c r="FF55" s="43"/>
      <c r="FG55" s="43"/>
      <c r="FH55" s="43"/>
      <c r="FI55" s="43"/>
      <c r="FJ55" s="43"/>
      <c r="FK55" s="43"/>
      <c r="FL55" s="43"/>
      <c r="FM55" s="43"/>
      <c r="FN55" s="43"/>
      <c r="FO55" s="43"/>
      <c r="FP55" s="43"/>
      <c r="FQ55" s="43"/>
      <c r="FR55" s="43"/>
      <c r="FS55" s="43"/>
      <c r="FT55" s="43"/>
      <c r="FU55" s="43"/>
      <c r="FV55" s="43"/>
      <c r="FW55" s="43"/>
      <c r="FX55" s="43"/>
      <c r="FY55" s="43"/>
      <c r="FZ55" s="43"/>
      <c r="GA55" s="43"/>
      <c r="GB55" s="43"/>
      <c r="GC55" s="43"/>
      <c r="GD55" s="43"/>
      <c r="GE55" s="43"/>
      <c r="GF55" s="43"/>
      <c r="GG55" s="43"/>
      <c r="GH55" s="43"/>
      <c r="GI55" s="43"/>
      <c r="GJ55" s="43"/>
      <c r="GK55" s="43"/>
      <c r="GL55" s="43"/>
      <c r="GM55" s="43"/>
      <c r="GN55" s="43"/>
      <c r="GO55" s="43"/>
      <c r="GP55" s="43"/>
      <c r="GQ55" s="43"/>
      <c r="GR55" s="43"/>
      <c r="GS55" s="43"/>
      <c r="GT55" s="43"/>
      <c r="GU55" s="43"/>
      <c r="GV55" s="43"/>
      <c r="GW55" s="43"/>
      <c r="GX55" s="43"/>
      <c r="GY55" s="43"/>
      <c r="GZ55" s="43"/>
      <c r="HA55" s="43"/>
      <c r="HB55" s="43"/>
      <c r="HC55" s="43"/>
      <c r="HD55" s="43"/>
      <c r="HE55" s="43"/>
      <c r="HF55" s="43"/>
      <c r="HG55" s="43"/>
      <c r="HH55" s="43"/>
      <c r="HI55" s="43"/>
      <c r="HJ55" s="43"/>
      <c r="HK55" s="43"/>
      <c r="HL55" s="43"/>
      <c r="HM55" s="43"/>
      <c r="HN55" s="43"/>
      <c r="HO55" s="43"/>
      <c r="HP55" s="43"/>
      <c r="HQ55" s="43"/>
      <c r="HR55" s="43"/>
      <c r="HS55" s="43"/>
      <c r="HT55" s="43"/>
      <c r="HU55" s="43"/>
      <c r="HV55" s="43"/>
      <c r="HW55" s="43"/>
      <c r="HX55" s="43"/>
      <c r="HY55" s="43"/>
      <c r="HZ55" s="43"/>
      <c r="IA55" s="43"/>
      <c r="IB55"/>
      <c r="IC55"/>
      <c r="ID55"/>
      <c r="IE55"/>
      <c r="IF55"/>
      <c r="IG55"/>
      <c r="IH55"/>
      <c r="II55"/>
      <c r="IJ55"/>
      <c r="IK55"/>
      <c r="IL55"/>
      <c r="IM55"/>
      <c r="IN55"/>
      <c r="IO55"/>
      <c r="IP55"/>
      <c r="IQ55"/>
    </row>
    <row r="56" spans="1:251" s="33" customFormat="1">
      <c r="A56" s="43" t="s">
        <v>41</v>
      </c>
      <c r="B56" s="62"/>
      <c r="C56" s="205"/>
      <c r="D56" s="205"/>
      <c r="E56" s="205"/>
      <c r="F56" s="205"/>
      <c r="G56" s="205"/>
      <c r="H56" s="205"/>
      <c r="I56" s="205"/>
      <c r="J56" s="205"/>
      <c r="K56" s="205"/>
      <c r="L56" s="205"/>
      <c r="M56" s="205"/>
      <c r="N56" s="205"/>
      <c r="O56" s="205">
        <f ca="1">O55+(IS!K30*(1-IS!K38))</f>
        <v>3124.1393072197761</v>
      </c>
      <c r="P56" s="205">
        <f>P55+(IS!L30*(1-IS!L38))</f>
        <v>3902.8621019699885</v>
      </c>
      <c r="Q56" s="205">
        <f>Q55+(IS!M30*(1-IS!M38))</f>
        <v>3345.991043981348</v>
      </c>
      <c r="R56" s="205">
        <f>R55+(IS!N30*(1-IS!N38))</f>
        <v>4274.2406795406532</v>
      </c>
      <c r="S56" s="112">
        <f>S55+(IS!O30*(1-IS!O38))</f>
        <v>4558.7728861402566</v>
      </c>
      <c r="T56" s="112">
        <f>T55+(IS!P30*(1-IS!P38))</f>
        <v>4918.3420727945713</v>
      </c>
      <c r="U56" s="112">
        <f>U55+(IS!Q30*(1-IS!Q38))</f>
        <v>5030.0879541108989</v>
      </c>
      <c r="V56" s="112">
        <f>V55+(IS!R30*(1-IS!R38))</f>
        <v>6111.26387795955</v>
      </c>
      <c r="W56" s="112">
        <f>W55+(IS!S30*(1-IS!S38))</f>
        <v>4099.0392890551921</v>
      </c>
      <c r="X56" s="112">
        <f>X55+(IS!T30*(1-IS!T38))</f>
        <v>7166.1243053428971</v>
      </c>
      <c r="Y56" s="112">
        <f ca="1">Y55+(IS!U30*(1-IS!U38))</f>
        <v>8032.7534625548315</v>
      </c>
      <c r="Z56" s="112">
        <f ca="1">Z55+(IS!V30*(1-IS!V38))</f>
        <v>8697.4889147204121</v>
      </c>
      <c r="AA56" s="112">
        <f ca="1">AA55+(IS!W30*(1-IS!W38))</f>
        <v>9333.4021156803501</v>
      </c>
      <c r="AB56" s="112">
        <f ca="1">AB55+(IS!X30*(1-IS!X38))</f>
        <v>9790.535992922416</v>
      </c>
      <c r="AC56" s="112">
        <f ca="1">AC55+(IS!Y30*(1-IS!Y38))</f>
        <v>10320.381346890585</v>
      </c>
      <c r="AD56" s="112">
        <f ca="1">AD55+(IS!Z30*(1-IS!Z38))</f>
        <v>10853.276550542609</v>
      </c>
      <c r="AE56" s="112">
        <f ca="1">AE55+(IS!AA30*(1-IS!AA38))</f>
        <v>11391.173862823276</v>
      </c>
      <c r="AF56" s="112">
        <f ca="1">AF55+(IS!AB30*(1-IS!AB38))</f>
        <v>11936.017244479723</v>
      </c>
      <c r="AG56" s="43"/>
      <c r="AH56" s="43"/>
      <c r="AI56" s="43"/>
      <c r="AJ56" s="43"/>
      <c r="AK56" s="43"/>
      <c r="AL56" s="43"/>
      <c r="AM56" s="43"/>
      <c r="AN56" s="43"/>
      <c r="AO56" s="43"/>
      <c r="AP56" s="43"/>
      <c r="AQ56" s="43"/>
      <c r="AR56" s="43"/>
      <c r="AS56" s="43"/>
      <c r="AT56" s="43"/>
      <c r="AU56" s="43"/>
      <c r="AV56" s="43"/>
      <c r="AW56" s="43"/>
      <c r="AX56" s="43"/>
      <c r="AY56" s="43"/>
      <c r="AZ56" s="43"/>
      <c r="BA56" s="43"/>
      <c r="BB56" s="43"/>
      <c r="BC56" s="43"/>
      <c r="BD56" s="43"/>
      <c r="BE56" s="43"/>
      <c r="BF56" s="43"/>
      <c r="BG56" s="43"/>
      <c r="BH56" s="43"/>
      <c r="BI56" s="43"/>
      <c r="BJ56" s="43"/>
      <c r="BK56" s="43"/>
      <c r="BL56" s="43"/>
      <c r="BM56" s="43"/>
      <c r="BN56" s="43"/>
      <c r="BO56" s="43"/>
      <c r="BP56" s="43"/>
      <c r="BQ56" s="43"/>
      <c r="BR56" s="43"/>
      <c r="BS56" s="43"/>
      <c r="BT56" s="43"/>
      <c r="BU56" s="43"/>
      <c r="BV56" s="43"/>
      <c r="BW56" s="43"/>
      <c r="BX56" s="43"/>
      <c r="BY56" s="43"/>
      <c r="BZ56" s="43"/>
      <c r="CA56" s="43"/>
      <c r="CB56" s="43"/>
      <c r="CC56" s="43"/>
      <c r="CD56" s="43"/>
      <c r="CE56" s="43"/>
      <c r="CF56" s="43"/>
      <c r="CG56" s="43"/>
      <c r="CH56" s="43"/>
      <c r="CI56" s="43"/>
      <c r="CJ56" s="43"/>
      <c r="CK56" s="43"/>
      <c r="CL56" s="43"/>
      <c r="CM56" s="43"/>
      <c r="CN56" s="43"/>
      <c r="CO56" s="43"/>
      <c r="CP56" s="43"/>
      <c r="CQ56" s="43"/>
      <c r="CR56" s="43"/>
      <c r="CS56" s="43"/>
      <c r="CT56" s="43"/>
      <c r="CU56" s="43"/>
      <c r="CV56" s="43"/>
      <c r="CW56" s="43"/>
      <c r="CX56" s="43"/>
      <c r="CY56" s="43"/>
      <c r="CZ56" s="43"/>
      <c r="DA56" s="43"/>
      <c r="DB56" s="43"/>
      <c r="DC56" s="43"/>
      <c r="DD56" s="43"/>
      <c r="DE56" s="43"/>
      <c r="DF56" s="43"/>
      <c r="DG56" s="43"/>
      <c r="DH56" s="43"/>
      <c r="DI56" s="43"/>
      <c r="DJ56" s="43"/>
      <c r="DK56" s="43"/>
      <c r="DL56" s="43"/>
      <c r="DM56" s="43"/>
      <c r="DN56" s="43"/>
      <c r="DO56" s="43"/>
      <c r="DP56" s="43"/>
      <c r="DQ56" s="43"/>
      <c r="DR56" s="43"/>
      <c r="DS56" s="43"/>
      <c r="DT56" s="43"/>
      <c r="DU56" s="43"/>
      <c r="DV56" s="43"/>
      <c r="DW56" s="43"/>
      <c r="DX56" s="43"/>
      <c r="DY56" s="43"/>
      <c r="DZ56" s="43"/>
      <c r="EA56" s="43"/>
      <c r="EB56" s="43"/>
      <c r="EC56" s="43"/>
      <c r="ED56" s="43"/>
      <c r="EE56" s="43"/>
      <c r="EF56" s="43"/>
      <c r="EG56" s="43"/>
      <c r="EH56" s="43"/>
      <c r="EI56" s="43"/>
      <c r="EJ56" s="43"/>
      <c r="EK56" s="43"/>
      <c r="EL56" s="43"/>
      <c r="EM56" s="43"/>
      <c r="EN56" s="43"/>
      <c r="EO56" s="43"/>
      <c r="EP56" s="43"/>
      <c r="EQ56" s="43"/>
      <c r="ER56" s="43"/>
      <c r="ES56" s="43"/>
      <c r="ET56" s="43"/>
      <c r="EU56" s="43"/>
      <c r="EV56" s="43"/>
      <c r="EW56" s="43"/>
      <c r="EX56" s="43"/>
      <c r="EY56" s="43"/>
      <c r="EZ56" s="43"/>
      <c r="FA56" s="43"/>
      <c r="FB56" s="43"/>
      <c r="FC56" s="43"/>
      <c r="FD56" s="43"/>
      <c r="FE56" s="43"/>
      <c r="FF56" s="43"/>
      <c r="FG56" s="43"/>
      <c r="FH56" s="43"/>
      <c r="FI56" s="43"/>
      <c r="FJ56" s="43"/>
      <c r="FK56" s="43"/>
      <c r="FL56" s="43"/>
      <c r="FM56" s="43"/>
      <c r="FN56" s="43"/>
      <c r="FO56" s="43"/>
      <c r="FP56" s="43"/>
      <c r="FQ56" s="43"/>
      <c r="FR56" s="43"/>
      <c r="FS56" s="43"/>
      <c r="FT56" s="43"/>
      <c r="FU56" s="43"/>
      <c r="FV56" s="43"/>
      <c r="FW56" s="43"/>
      <c r="FX56" s="43"/>
      <c r="FY56" s="43"/>
      <c r="FZ56" s="43"/>
      <c r="GA56" s="43"/>
      <c r="GB56" s="43"/>
      <c r="GC56" s="43"/>
      <c r="GD56" s="43"/>
      <c r="GE56" s="43"/>
      <c r="GF56" s="43"/>
      <c r="GG56" s="43"/>
      <c r="GH56" s="43"/>
      <c r="GI56" s="43"/>
      <c r="GJ56" s="43"/>
      <c r="GK56" s="43"/>
      <c r="GL56" s="43"/>
      <c r="GM56" s="43"/>
      <c r="GN56" s="43"/>
      <c r="GO56" s="43"/>
      <c r="GP56" s="43"/>
      <c r="GQ56" s="43"/>
      <c r="GR56" s="43"/>
      <c r="GS56" s="43"/>
      <c r="GT56" s="43"/>
      <c r="GU56" s="43"/>
      <c r="GV56" s="43"/>
      <c r="GW56" s="43"/>
      <c r="GX56" s="43"/>
      <c r="GY56" s="43"/>
      <c r="GZ56" s="43"/>
      <c r="HA56" s="43"/>
      <c r="HB56" s="43"/>
      <c r="HC56" s="43"/>
      <c r="HD56" s="43"/>
      <c r="HE56" s="43"/>
      <c r="HF56" s="43"/>
      <c r="HG56" s="43"/>
      <c r="HH56" s="43"/>
      <c r="HI56" s="43"/>
      <c r="HJ56" s="43"/>
      <c r="HK56" s="43"/>
      <c r="HL56" s="43"/>
      <c r="HM56" s="43"/>
      <c r="HN56" s="43"/>
      <c r="HO56" s="43"/>
      <c r="HP56" s="43"/>
      <c r="HQ56" s="43"/>
      <c r="HR56" s="43"/>
      <c r="HS56" s="43"/>
      <c r="HT56" s="43"/>
      <c r="HU56" s="43"/>
      <c r="HV56" s="43"/>
      <c r="HW56" s="43"/>
      <c r="HX56" s="43"/>
      <c r="HY56" s="43"/>
      <c r="HZ56" s="43"/>
      <c r="IA56" s="43"/>
      <c r="IB56"/>
      <c r="IC56"/>
      <c r="ID56"/>
      <c r="IE56"/>
      <c r="IF56"/>
      <c r="IG56"/>
      <c r="IH56"/>
      <c r="II56"/>
      <c r="IJ56"/>
      <c r="IK56"/>
      <c r="IL56"/>
      <c r="IM56"/>
      <c r="IN56"/>
      <c r="IO56"/>
      <c r="IP56"/>
      <c r="IQ56"/>
    </row>
    <row r="57" spans="1:251" s="33" customFormat="1">
      <c r="A57" s="43" t="s">
        <v>42</v>
      </c>
      <c r="B57" s="62"/>
      <c r="C57" s="205"/>
      <c r="D57" s="205">
        <f>D55-IS!B492</f>
        <v>9452.5779999999995</v>
      </c>
      <c r="E57" s="205">
        <f>E55-IS!C492</f>
        <v>4862</v>
      </c>
      <c r="F57" s="205">
        <f>F55-IS!D492</f>
        <v>2018.505000000001</v>
      </c>
      <c r="G57" s="205">
        <f>G55-IS!E492</f>
        <v>3311.9779999999992</v>
      </c>
      <c r="H57" s="205">
        <f>H55-IS!F492</f>
        <v>3216.2429542196369</v>
      </c>
      <c r="I57" s="205">
        <f>I55-IS!G492</f>
        <v>3204.46</v>
      </c>
      <c r="J57" s="205">
        <f>J55-IS!H492</f>
        <v>2519.8000000000011</v>
      </c>
      <c r="K57" s="205"/>
      <c r="L57" s="205">
        <f>L55-IS!I492</f>
        <v>1652.1600000000008</v>
      </c>
      <c r="M57" s="205"/>
      <c r="N57" s="205">
        <f>N55-IS!J492</f>
        <v>-2228.0499999999993</v>
      </c>
      <c r="O57" s="205">
        <f>O55+O36</f>
        <v>-1454</v>
      </c>
      <c r="P57" s="205">
        <f t="shared" ref="P57:V57" si="24">P55+P36</f>
        <v>477</v>
      </c>
      <c r="Q57" s="205">
        <f t="shared" si="24"/>
        <v>-359</v>
      </c>
      <c r="R57" s="205">
        <f t="shared" si="24"/>
        <v>286</v>
      </c>
      <c r="S57" s="205">
        <f t="shared" si="24"/>
        <v>379</v>
      </c>
      <c r="T57" s="205">
        <f t="shared" si="24"/>
        <v>632</v>
      </c>
      <c r="U57" s="205">
        <f>U55+U36</f>
        <v>608</v>
      </c>
      <c r="V57" s="205">
        <f t="shared" si="24"/>
        <v>1402</v>
      </c>
      <c r="W57" s="205">
        <f t="shared" ref="W57:AF57" si="25">W55+W36</f>
        <v>-910</v>
      </c>
      <c r="X57" s="205">
        <f t="shared" si="25"/>
        <v>1726.0797738016417</v>
      </c>
      <c r="Y57" s="205">
        <f t="shared" ca="1" si="25"/>
        <v>1915.8333168580084</v>
      </c>
      <c r="Z57" s="205">
        <f t="shared" ca="1" si="25"/>
        <v>2008.0102458715328</v>
      </c>
      <c r="AA57" s="205">
        <f t="shared" ca="1" si="25"/>
        <v>2184.7615119208349</v>
      </c>
      <c r="AB57" s="205">
        <f t="shared" ca="1" si="25"/>
        <v>2189.1588968253864</v>
      </c>
      <c r="AC57" s="205">
        <f t="shared" ca="1" si="25"/>
        <v>2302.8231040132159</v>
      </c>
      <c r="AD57" s="205">
        <f t="shared" ca="1" si="25"/>
        <v>2418.4073822635346</v>
      </c>
      <c r="AE57" s="205">
        <f t="shared" ca="1" si="25"/>
        <v>2536.2446895875819</v>
      </c>
      <c r="AF57" s="205">
        <f t="shared" ca="1" si="25"/>
        <v>2656.7537481852542</v>
      </c>
      <c r="AG57" s="43"/>
      <c r="AH57" s="43"/>
      <c r="AI57" s="43"/>
      <c r="AJ57" s="43"/>
      <c r="AK57" s="43"/>
      <c r="AL57" s="43"/>
      <c r="AM57" s="43"/>
      <c r="AN57" s="43"/>
      <c r="AO57" s="43"/>
      <c r="AP57" s="43"/>
      <c r="AQ57" s="43"/>
      <c r="AR57" s="43"/>
      <c r="AS57" s="43"/>
      <c r="AT57" s="43"/>
      <c r="AU57" s="43"/>
      <c r="AV57" s="43"/>
      <c r="AW57" s="43"/>
      <c r="AX57" s="43"/>
      <c r="AY57" s="43"/>
      <c r="AZ57" s="43"/>
      <c r="BA57" s="43"/>
      <c r="BB57" s="43"/>
      <c r="BC57" s="43"/>
      <c r="BD57" s="43"/>
      <c r="BE57" s="43"/>
      <c r="BF57" s="43"/>
      <c r="BG57" s="43"/>
      <c r="BH57" s="43"/>
      <c r="BI57" s="43"/>
      <c r="BJ57" s="43"/>
      <c r="BK57" s="43"/>
      <c r="BL57" s="43"/>
      <c r="BM57" s="43"/>
      <c r="BN57" s="43"/>
      <c r="BO57" s="43"/>
      <c r="BP57" s="43"/>
      <c r="BQ57" s="43"/>
      <c r="BR57" s="43"/>
      <c r="BS57" s="43"/>
      <c r="BT57" s="43"/>
      <c r="BU57" s="43"/>
      <c r="BV57" s="43"/>
      <c r="BW57" s="43"/>
      <c r="BX57" s="43"/>
      <c r="BY57" s="43"/>
      <c r="BZ57" s="43"/>
      <c r="CA57" s="43"/>
      <c r="CB57" s="43"/>
      <c r="CC57" s="43"/>
      <c r="CD57" s="43"/>
      <c r="CE57" s="43"/>
      <c r="CF57" s="43"/>
      <c r="CG57" s="43"/>
      <c r="CH57" s="43"/>
      <c r="CI57" s="43"/>
      <c r="CJ57" s="43"/>
      <c r="CK57" s="43"/>
      <c r="CL57" s="43"/>
      <c r="CM57" s="43"/>
      <c r="CN57" s="43"/>
      <c r="CO57" s="43"/>
      <c r="CP57" s="43"/>
      <c r="CQ57" s="43"/>
      <c r="CR57" s="43"/>
      <c r="CS57" s="43"/>
      <c r="CT57" s="43"/>
      <c r="CU57" s="43"/>
      <c r="CV57" s="43"/>
      <c r="CW57" s="43"/>
      <c r="CX57" s="43"/>
      <c r="CY57" s="43"/>
      <c r="CZ57" s="43"/>
      <c r="DA57" s="43"/>
      <c r="DB57" s="43"/>
      <c r="DC57" s="43"/>
      <c r="DD57" s="43"/>
      <c r="DE57" s="43"/>
      <c r="DF57" s="43"/>
      <c r="DG57" s="43"/>
      <c r="DH57" s="43"/>
      <c r="DI57" s="43"/>
      <c r="DJ57" s="43"/>
      <c r="DK57" s="43"/>
      <c r="DL57" s="43"/>
      <c r="DM57" s="43"/>
      <c r="DN57" s="43"/>
      <c r="DO57" s="43"/>
      <c r="DP57" s="43"/>
      <c r="DQ57" s="43"/>
      <c r="DR57" s="43"/>
      <c r="DS57" s="43"/>
      <c r="DT57" s="43"/>
      <c r="DU57" s="43"/>
      <c r="DV57" s="43"/>
      <c r="DW57" s="43"/>
      <c r="DX57" s="43"/>
      <c r="DY57" s="43"/>
      <c r="DZ57" s="43"/>
      <c r="EA57" s="43"/>
      <c r="EB57" s="43"/>
      <c r="EC57" s="43"/>
      <c r="ED57" s="43"/>
      <c r="EE57" s="43"/>
      <c r="EF57" s="43"/>
      <c r="EG57" s="43"/>
      <c r="EH57" s="43"/>
      <c r="EI57" s="43"/>
      <c r="EJ57" s="43"/>
      <c r="EK57" s="43"/>
      <c r="EL57" s="43"/>
      <c r="EM57" s="43"/>
      <c r="EN57" s="43"/>
      <c r="EO57" s="43"/>
      <c r="EP57" s="43"/>
      <c r="EQ57" s="43"/>
      <c r="ER57" s="43"/>
      <c r="ES57" s="43"/>
      <c r="ET57" s="43"/>
      <c r="EU57" s="43"/>
      <c r="EV57" s="43"/>
      <c r="EW57" s="43"/>
      <c r="EX57" s="43"/>
      <c r="EY57" s="43"/>
      <c r="EZ57" s="43"/>
      <c r="FA57" s="43"/>
      <c r="FB57" s="43"/>
      <c r="FC57" s="43"/>
      <c r="FD57" s="43"/>
      <c r="FE57" s="43"/>
      <c r="FF57" s="43"/>
      <c r="FG57" s="43"/>
      <c r="FH57" s="43"/>
      <c r="FI57" s="43"/>
      <c r="FJ57" s="43"/>
      <c r="FK57" s="43"/>
      <c r="FL57" s="43"/>
      <c r="FM57" s="43"/>
      <c r="FN57" s="43"/>
      <c r="FO57" s="43"/>
      <c r="FP57" s="43"/>
      <c r="FQ57" s="43"/>
      <c r="FR57" s="43"/>
      <c r="FS57" s="43"/>
      <c r="FT57" s="43"/>
      <c r="FU57" s="43"/>
      <c r="FV57" s="43"/>
      <c r="FW57" s="43"/>
      <c r="FX57" s="43"/>
      <c r="FY57" s="43"/>
      <c r="FZ57" s="43"/>
      <c r="GA57" s="43"/>
      <c r="GB57" s="43"/>
      <c r="GC57" s="43"/>
      <c r="GD57" s="43"/>
      <c r="GE57" s="43"/>
      <c r="GF57" s="43"/>
      <c r="GG57" s="43"/>
      <c r="GH57" s="43"/>
      <c r="GI57" s="43"/>
      <c r="GJ57" s="43"/>
      <c r="GK57" s="43"/>
      <c r="GL57" s="43"/>
      <c r="GM57" s="43"/>
      <c r="GN57" s="43"/>
      <c r="GO57" s="43"/>
      <c r="GP57" s="43"/>
      <c r="GQ57" s="43"/>
      <c r="GR57" s="43"/>
      <c r="GS57" s="43"/>
      <c r="GT57" s="43"/>
      <c r="GU57" s="43"/>
      <c r="GV57" s="43"/>
      <c r="GW57" s="43"/>
      <c r="GX57" s="43"/>
      <c r="GY57" s="43"/>
      <c r="GZ57" s="43"/>
      <c r="HA57" s="43"/>
      <c r="HB57" s="43"/>
      <c r="HC57" s="43"/>
      <c r="HD57" s="43"/>
      <c r="HE57" s="43"/>
      <c r="HF57" s="43"/>
      <c r="HG57" s="43"/>
      <c r="HH57" s="43"/>
      <c r="HI57" s="43"/>
      <c r="HJ57" s="43"/>
      <c r="HK57" s="43"/>
      <c r="HL57" s="43"/>
      <c r="HM57" s="43"/>
      <c r="HN57" s="43"/>
      <c r="HO57" s="43"/>
      <c r="HP57" s="43"/>
      <c r="HQ57" s="43"/>
      <c r="HR57" s="43"/>
      <c r="HS57" s="43"/>
      <c r="HT57" s="43"/>
      <c r="HU57" s="43"/>
      <c r="HV57" s="43"/>
      <c r="HW57" s="43"/>
      <c r="HX57" s="43"/>
      <c r="HY57" s="43"/>
      <c r="HZ57" s="43"/>
      <c r="IA57" s="43"/>
      <c r="IB57"/>
      <c r="IC57"/>
      <c r="ID57"/>
      <c r="IE57"/>
      <c r="IF57"/>
      <c r="IG57"/>
      <c r="IH57"/>
      <c r="II57"/>
      <c r="IJ57"/>
      <c r="IK57"/>
      <c r="IL57"/>
      <c r="IM57"/>
      <c r="IN57"/>
      <c r="IO57"/>
      <c r="IP57"/>
      <c r="IQ57"/>
    </row>
    <row r="58" spans="1:251" s="33" customFormat="1">
      <c r="A58" s="43"/>
      <c r="B58" s="62"/>
      <c r="C58" s="112"/>
      <c r="D58" s="112"/>
      <c r="E58" s="112"/>
      <c r="F58" s="112"/>
      <c r="G58" s="112"/>
      <c r="H58" s="112"/>
      <c r="I58" s="112"/>
      <c r="J58" s="112"/>
      <c r="K58" s="112"/>
      <c r="L58" s="112"/>
      <c r="M58" s="112"/>
      <c r="N58" s="112"/>
      <c r="O58" s="984"/>
      <c r="P58" s="984"/>
      <c r="Q58" s="984"/>
      <c r="R58" s="984"/>
      <c r="S58" s="984"/>
      <c r="T58" s="984"/>
      <c r="U58" s="984"/>
      <c r="V58" s="984"/>
      <c r="W58" s="984"/>
      <c r="X58" s="112"/>
      <c r="Y58" s="112"/>
      <c r="Z58" s="112"/>
      <c r="AA58" s="112"/>
      <c r="AB58" s="112"/>
      <c r="AC58" s="112"/>
      <c r="AD58" s="112"/>
      <c r="AE58" s="112"/>
      <c r="AF58" s="112"/>
      <c r="AG58" s="43"/>
      <c r="AH58" s="43"/>
      <c r="AI58" s="43"/>
      <c r="AJ58" s="43"/>
      <c r="AK58" s="43"/>
      <c r="AL58" s="43"/>
      <c r="AM58" s="43"/>
      <c r="AN58" s="43"/>
      <c r="AO58" s="43"/>
      <c r="AP58" s="43"/>
      <c r="AQ58" s="43"/>
      <c r="AR58" s="43"/>
      <c r="AS58" s="43"/>
      <c r="AT58" s="43"/>
      <c r="AU58" s="43"/>
      <c r="AV58" s="43"/>
      <c r="AW58" s="43"/>
      <c r="AX58" s="43"/>
      <c r="AY58" s="43"/>
      <c r="AZ58" s="43"/>
      <c r="BA58" s="43"/>
      <c r="BB58" s="43"/>
      <c r="BC58" s="43"/>
      <c r="BD58" s="43"/>
      <c r="BE58" s="43"/>
      <c r="BF58" s="43"/>
      <c r="BG58" s="43"/>
      <c r="BH58" s="43"/>
      <c r="BI58" s="43"/>
      <c r="BJ58" s="43"/>
      <c r="BK58" s="43"/>
      <c r="BL58" s="43"/>
      <c r="BM58" s="43"/>
      <c r="BN58" s="43"/>
      <c r="BO58" s="43"/>
      <c r="BP58" s="43"/>
      <c r="BQ58" s="43"/>
      <c r="BR58" s="43"/>
      <c r="BS58" s="43"/>
      <c r="BT58" s="43"/>
      <c r="BU58" s="43"/>
      <c r="BV58" s="43"/>
      <c r="BW58" s="43"/>
      <c r="BX58" s="43"/>
      <c r="BY58" s="43"/>
      <c r="BZ58" s="43"/>
      <c r="CA58" s="43"/>
      <c r="CB58" s="43"/>
      <c r="CC58" s="43"/>
      <c r="CD58" s="43"/>
      <c r="CE58" s="43"/>
      <c r="CF58" s="43"/>
      <c r="CG58" s="43"/>
      <c r="CH58" s="43"/>
      <c r="CI58" s="43"/>
      <c r="CJ58" s="43"/>
      <c r="CK58" s="43"/>
      <c r="CL58" s="43"/>
      <c r="CM58" s="43"/>
      <c r="CN58" s="43"/>
      <c r="CO58" s="43"/>
      <c r="CP58" s="43"/>
      <c r="CQ58" s="43"/>
      <c r="CR58" s="43"/>
      <c r="CS58" s="43"/>
      <c r="CT58" s="43"/>
      <c r="CU58" s="43"/>
      <c r="CV58" s="43"/>
      <c r="CW58" s="43"/>
      <c r="CX58" s="43"/>
      <c r="CY58" s="43"/>
      <c r="CZ58" s="43"/>
      <c r="DA58" s="43"/>
      <c r="DB58" s="43"/>
      <c r="DC58" s="43"/>
      <c r="DD58" s="43"/>
      <c r="DE58" s="43"/>
      <c r="DF58" s="43"/>
      <c r="DG58" s="43"/>
      <c r="DH58" s="43"/>
      <c r="DI58" s="43"/>
      <c r="DJ58" s="43"/>
      <c r="DK58" s="43"/>
      <c r="DL58" s="43"/>
      <c r="DM58" s="43"/>
      <c r="DN58" s="43"/>
      <c r="DO58" s="43"/>
      <c r="DP58" s="43"/>
      <c r="DQ58" s="43"/>
      <c r="DR58" s="43"/>
      <c r="DS58" s="43"/>
      <c r="DT58" s="43"/>
      <c r="DU58" s="43"/>
      <c r="DV58" s="43"/>
      <c r="DW58" s="43"/>
      <c r="DX58" s="43"/>
      <c r="DY58" s="43"/>
      <c r="DZ58" s="43"/>
      <c r="EA58" s="43"/>
      <c r="EB58" s="43"/>
      <c r="EC58" s="43"/>
      <c r="ED58" s="43"/>
      <c r="EE58" s="43"/>
      <c r="EF58" s="43"/>
      <c r="EG58" s="43"/>
      <c r="EH58" s="43"/>
      <c r="EI58" s="43"/>
      <c r="EJ58" s="43"/>
      <c r="EK58" s="43"/>
      <c r="EL58" s="43"/>
      <c r="EM58" s="43"/>
      <c r="EN58" s="43"/>
      <c r="EO58" s="43"/>
      <c r="EP58" s="43"/>
      <c r="EQ58" s="43"/>
      <c r="ER58" s="43"/>
      <c r="ES58" s="43"/>
      <c r="ET58" s="43"/>
      <c r="EU58" s="43"/>
      <c r="EV58" s="43"/>
      <c r="EW58" s="43"/>
      <c r="EX58" s="43"/>
      <c r="EY58" s="43"/>
      <c r="EZ58" s="43"/>
      <c r="FA58" s="43"/>
      <c r="FB58" s="43"/>
      <c r="FC58" s="43"/>
      <c r="FD58" s="43"/>
      <c r="FE58" s="43"/>
      <c r="FF58" s="43"/>
      <c r="FG58" s="43"/>
      <c r="FH58" s="43"/>
      <c r="FI58" s="43"/>
      <c r="FJ58" s="43"/>
      <c r="FK58" s="43"/>
      <c r="FL58" s="43"/>
      <c r="FM58" s="43"/>
      <c r="FN58" s="43"/>
      <c r="FO58" s="43"/>
      <c r="FP58" s="43"/>
      <c r="FQ58" s="43"/>
      <c r="FR58" s="43"/>
      <c r="FS58" s="43"/>
      <c r="FT58" s="43"/>
      <c r="FU58" s="43"/>
      <c r="FV58" s="43"/>
      <c r="FW58" s="43"/>
      <c r="FX58" s="43"/>
      <c r="FY58" s="43"/>
      <c r="FZ58" s="43"/>
      <c r="GA58" s="43"/>
      <c r="GB58" s="43"/>
      <c r="GC58" s="43"/>
      <c r="GD58" s="43"/>
      <c r="GE58" s="43"/>
      <c r="GF58" s="43"/>
      <c r="GG58" s="43"/>
      <c r="GH58" s="43"/>
      <c r="GI58" s="43"/>
      <c r="GJ58" s="43"/>
      <c r="GK58" s="43"/>
      <c r="GL58" s="43"/>
      <c r="GM58" s="43"/>
      <c r="GN58" s="43"/>
      <c r="GO58" s="43"/>
      <c r="GP58" s="43"/>
      <c r="GQ58" s="43"/>
      <c r="GR58" s="43"/>
      <c r="GS58" s="43"/>
      <c r="GT58" s="43"/>
      <c r="GU58" s="43"/>
      <c r="GV58" s="43"/>
      <c r="GW58" s="43"/>
      <c r="GX58" s="43"/>
      <c r="GY58" s="43"/>
      <c r="GZ58" s="43"/>
      <c r="HA58" s="43"/>
      <c r="HB58" s="43"/>
      <c r="HC58" s="43"/>
      <c r="HD58" s="43"/>
      <c r="HE58" s="43"/>
      <c r="HF58" s="43"/>
      <c r="HG58" s="43"/>
      <c r="HH58" s="43"/>
      <c r="HI58" s="43"/>
      <c r="HJ58" s="43"/>
      <c r="HK58" s="43"/>
      <c r="HL58" s="43"/>
      <c r="HM58" s="43"/>
      <c r="HN58" s="43"/>
      <c r="HO58" s="43"/>
      <c r="HP58" s="43"/>
      <c r="HQ58" s="43"/>
      <c r="HR58" s="43"/>
      <c r="HS58" s="43"/>
      <c r="HT58" s="43"/>
      <c r="HU58" s="43"/>
      <c r="HV58" s="43"/>
      <c r="HW58" s="43"/>
      <c r="HX58" s="43"/>
      <c r="HY58" s="43"/>
      <c r="HZ58" s="43"/>
      <c r="IA58" s="43"/>
      <c r="IB58"/>
      <c r="IC58"/>
      <c r="ID58"/>
      <c r="IE58"/>
      <c r="IF58"/>
      <c r="IG58"/>
      <c r="IH58"/>
      <c r="II58"/>
      <c r="IJ58"/>
      <c r="IK58"/>
      <c r="IL58"/>
      <c r="IM58"/>
      <c r="IN58"/>
      <c r="IO58"/>
      <c r="IP58"/>
      <c r="IQ58"/>
    </row>
    <row r="59" spans="1:251" s="33" customFormat="1">
      <c r="A59" s="43" t="s">
        <v>53</v>
      </c>
      <c r="B59" s="62"/>
      <c r="C59" s="112"/>
      <c r="D59" s="112"/>
      <c r="E59" s="298">
        <f>E55/IS!C$458</f>
        <v>4.120598591549296</v>
      </c>
      <c r="F59" s="298">
        <f>F55/IS!D$458</f>
        <v>3.0712692307692313</v>
      </c>
      <c r="G59" s="298">
        <f>G55/IS!E$458</f>
        <v>3.936109910756223</v>
      </c>
      <c r="H59" s="298">
        <f>H55/IS!F$458</f>
        <v>4.1863081983900061</v>
      </c>
      <c r="I59" s="298">
        <f>I55/IS!G$458</f>
        <v>4.3514299563742123</v>
      </c>
      <c r="J59" s="298">
        <f>J55/IS!H$458</f>
        <v>4.2373773630055034</v>
      </c>
      <c r="K59" s="298"/>
      <c r="L59" s="298">
        <f>L55/IS!I$458</f>
        <v>4.0774530767403183</v>
      </c>
      <c r="M59" s="298"/>
      <c r="N59" s="298">
        <f>N55/IS!J$458</f>
        <v>1.9754253308128544</v>
      </c>
      <c r="O59" s="298">
        <f>O55/IS!K$458</f>
        <v>1.4250119789171058</v>
      </c>
      <c r="P59" s="298">
        <f>P55/IS!L$458</f>
        <v>1.5306615161757604</v>
      </c>
      <c r="Q59" s="298">
        <f>Q55/IS!M$458</f>
        <v>1.2498196681894687</v>
      </c>
      <c r="R59" s="298">
        <f>R55/IS!N$458</f>
        <v>1.6996124031007751</v>
      </c>
      <c r="S59" s="298">
        <f>S55/IS!O$458</f>
        <v>1.8670948616600791</v>
      </c>
      <c r="T59" s="298">
        <f>T55/IS!P$458</f>
        <v>2.1233270794246404</v>
      </c>
      <c r="U59" s="298">
        <f>U55/IS!Q$458</f>
        <v>2.2750252780586453</v>
      </c>
      <c r="V59" s="298">
        <f>V55/IS!R$458</f>
        <v>2.8449088823754303</v>
      </c>
      <c r="W59" s="298">
        <f>W55/IS!S$458</f>
        <v>1.8452868852459017</v>
      </c>
      <c r="X59" s="298">
        <f>X55/IS!T$458</f>
        <v>3.5185728033063772</v>
      </c>
      <c r="Y59" s="298">
        <f ca="1">Y55/IS!U$458</f>
        <v>3.9246022174149902</v>
      </c>
      <c r="Z59" s="298">
        <f ca="1">Z55/IS!V$458</f>
        <v>4.340865898893469</v>
      </c>
      <c r="AA59" s="298">
        <f ca="1">AA55/IS!W$458</f>
        <v>4.7548447941265151</v>
      </c>
      <c r="AB59" s="298">
        <f ca="1">AB55/IS!X$458</f>
        <v>5.0697058701082529</v>
      </c>
      <c r="AC59" s="298">
        <f ca="1">AC55/IS!Y$458</f>
        <v>5.4313290205343767</v>
      </c>
      <c r="AD59" s="298">
        <f ca="1">AD55/IS!Z$458</f>
        <v>5.8023703493886059</v>
      </c>
      <c r="AE59" s="298">
        <f ca="1">AE55/IS!AA$458</f>
        <v>6.183938504885548</v>
      </c>
      <c r="AF59" s="298">
        <f ca="1">AF55/IS!AB$458</f>
        <v>6.5771884028739152</v>
      </c>
      <c r="AG59" s="43"/>
      <c r="AH59" s="43"/>
      <c r="AI59" s="43"/>
      <c r="AJ59" s="43"/>
      <c r="AK59" s="43"/>
      <c r="AL59" s="43"/>
      <c r="AM59" s="43"/>
      <c r="AN59" s="43"/>
      <c r="AO59" s="43"/>
      <c r="AP59" s="43"/>
      <c r="AQ59" s="43"/>
      <c r="AR59" s="43"/>
      <c r="AS59" s="43"/>
      <c r="AT59" s="43"/>
      <c r="AU59" s="43"/>
      <c r="AV59" s="43"/>
      <c r="AW59" s="43"/>
      <c r="AX59" s="43"/>
      <c r="AY59" s="43"/>
      <c r="AZ59" s="43"/>
      <c r="BA59" s="43"/>
      <c r="BB59" s="43"/>
      <c r="BC59" s="43"/>
      <c r="BD59" s="43"/>
      <c r="BE59" s="43"/>
      <c r="BF59" s="43"/>
      <c r="BG59" s="43"/>
      <c r="BH59" s="43"/>
      <c r="BI59" s="43"/>
      <c r="BJ59" s="43"/>
      <c r="BK59" s="43"/>
      <c r="BL59" s="43"/>
      <c r="BM59" s="43"/>
      <c r="BN59" s="43"/>
      <c r="BO59" s="43"/>
      <c r="BP59" s="43"/>
      <c r="BQ59" s="43"/>
      <c r="BR59" s="43"/>
      <c r="BS59" s="43"/>
      <c r="BT59" s="43"/>
      <c r="BU59" s="43"/>
      <c r="BV59" s="43"/>
      <c r="BW59" s="43"/>
      <c r="BX59" s="43"/>
      <c r="BY59" s="43"/>
      <c r="BZ59" s="43"/>
      <c r="CA59" s="43"/>
      <c r="CB59" s="43"/>
      <c r="CC59" s="43"/>
      <c r="CD59" s="43"/>
      <c r="CE59" s="43"/>
      <c r="CF59" s="43"/>
      <c r="CG59" s="43"/>
      <c r="CH59" s="43"/>
      <c r="CI59" s="43"/>
      <c r="CJ59" s="43"/>
      <c r="CK59" s="43"/>
      <c r="CL59" s="43"/>
      <c r="CM59" s="43"/>
      <c r="CN59" s="43"/>
      <c r="CO59" s="43"/>
      <c r="CP59" s="43"/>
      <c r="CQ59" s="43"/>
      <c r="CR59" s="43"/>
      <c r="CS59" s="43"/>
      <c r="CT59" s="43"/>
      <c r="CU59" s="43"/>
      <c r="CV59" s="43"/>
      <c r="CW59" s="43"/>
      <c r="CX59" s="43"/>
      <c r="CY59" s="43"/>
      <c r="CZ59" s="43"/>
      <c r="DA59" s="43"/>
      <c r="DB59" s="43"/>
      <c r="DC59" s="43"/>
      <c r="DD59" s="43"/>
      <c r="DE59" s="43"/>
      <c r="DF59" s="43"/>
      <c r="DG59" s="43"/>
      <c r="DH59" s="43"/>
      <c r="DI59" s="43"/>
      <c r="DJ59" s="43"/>
      <c r="DK59" s="43"/>
      <c r="DL59" s="43"/>
      <c r="DM59" s="43"/>
      <c r="DN59" s="43"/>
      <c r="DO59" s="43"/>
      <c r="DP59" s="43"/>
      <c r="DQ59" s="43"/>
      <c r="DR59" s="43"/>
      <c r="DS59" s="43"/>
      <c r="DT59" s="43"/>
      <c r="DU59" s="43"/>
      <c r="DV59" s="43"/>
      <c r="DW59" s="43"/>
      <c r="DX59" s="43"/>
      <c r="DY59" s="43"/>
      <c r="DZ59" s="43"/>
      <c r="EA59" s="43"/>
      <c r="EB59" s="43"/>
      <c r="EC59" s="43"/>
      <c r="ED59" s="43"/>
      <c r="EE59" s="43"/>
      <c r="EF59" s="43"/>
      <c r="EG59" s="43"/>
      <c r="EH59" s="43"/>
      <c r="EI59" s="43"/>
      <c r="EJ59" s="43"/>
      <c r="EK59" s="43"/>
      <c r="EL59" s="43"/>
      <c r="EM59" s="43"/>
      <c r="EN59" s="43"/>
      <c r="EO59" s="43"/>
      <c r="EP59" s="43"/>
      <c r="EQ59" s="43"/>
      <c r="ER59" s="43"/>
      <c r="ES59" s="43"/>
      <c r="ET59" s="43"/>
      <c r="EU59" s="43"/>
      <c r="EV59" s="43"/>
      <c r="EW59" s="43"/>
      <c r="EX59" s="43"/>
      <c r="EY59" s="43"/>
      <c r="EZ59" s="43"/>
      <c r="FA59" s="43"/>
      <c r="FB59" s="43"/>
      <c r="FC59" s="43"/>
      <c r="FD59" s="43"/>
      <c r="FE59" s="43"/>
      <c r="FF59" s="43"/>
      <c r="FG59" s="43"/>
      <c r="FH59" s="43"/>
      <c r="FI59" s="43"/>
      <c r="FJ59" s="43"/>
      <c r="FK59" s="43"/>
      <c r="FL59" s="43"/>
      <c r="FM59" s="43"/>
      <c r="FN59" s="43"/>
      <c r="FO59" s="43"/>
      <c r="FP59" s="43"/>
      <c r="FQ59" s="43"/>
      <c r="FR59" s="43"/>
      <c r="FS59" s="43"/>
      <c r="FT59" s="43"/>
      <c r="FU59" s="43"/>
      <c r="FV59" s="43"/>
      <c r="FW59" s="43"/>
      <c r="FX59" s="43"/>
      <c r="FY59" s="43"/>
      <c r="FZ59" s="43"/>
      <c r="GA59" s="43"/>
      <c r="GB59" s="43"/>
      <c r="GC59" s="43"/>
      <c r="GD59" s="43"/>
      <c r="GE59" s="43"/>
      <c r="GF59" s="43"/>
      <c r="GG59" s="43"/>
      <c r="GH59" s="43"/>
      <c r="GI59" s="43"/>
      <c r="GJ59" s="43"/>
      <c r="GK59" s="43"/>
      <c r="GL59" s="43"/>
      <c r="GM59" s="43"/>
      <c r="GN59" s="43"/>
      <c r="GO59" s="43"/>
      <c r="GP59" s="43"/>
      <c r="GQ59" s="43"/>
      <c r="GR59" s="43"/>
      <c r="GS59" s="43"/>
      <c r="GT59" s="43"/>
      <c r="GU59" s="43"/>
      <c r="GV59" s="43"/>
      <c r="GW59" s="43"/>
      <c r="GX59" s="43"/>
      <c r="GY59" s="43"/>
      <c r="GZ59" s="43"/>
      <c r="HA59" s="43"/>
      <c r="HB59" s="43"/>
      <c r="HC59" s="43"/>
      <c r="HD59" s="43"/>
      <c r="HE59" s="43"/>
      <c r="HF59" s="43"/>
      <c r="HG59" s="43"/>
      <c r="HH59" s="43"/>
      <c r="HI59" s="43"/>
      <c r="HJ59" s="43"/>
      <c r="HK59" s="43"/>
      <c r="HL59" s="43"/>
      <c r="HM59" s="43"/>
      <c r="HN59" s="43"/>
      <c r="HO59" s="43"/>
      <c r="HP59" s="43"/>
      <c r="HQ59" s="43"/>
      <c r="HR59" s="43"/>
      <c r="HS59" s="43"/>
      <c r="HT59" s="43"/>
      <c r="HU59" s="43"/>
      <c r="HV59" s="43"/>
      <c r="HW59" s="43"/>
      <c r="HX59" s="43"/>
      <c r="HY59" s="43"/>
      <c r="HZ59" s="43"/>
      <c r="IA59" s="43"/>
      <c r="IB59"/>
      <c r="IC59"/>
      <c r="ID59"/>
      <c r="IE59"/>
      <c r="IF59"/>
      <c r="IG59"/>
      <c r="IH59"/>
      <c r="II59"/>
      <c r="IJ59"/>
      <c r="IK59"/>
      <c r="IL59"/>
      <c r="IM59"/>
      <c r="IN59"/>
      <c r="IO59"/>
      <c r="IP59"/>
      <c r="IQ59"/>
    </row>
    <row r="60" spans="1:251" s="33" customFormat="1">
      <c r="A60" s="43" t="s">
        <v>54</v>
      </c>
      <c r="B60" s="62"/>
      <c r="C60" s="112"/>
      <c r="D60" s="112"/>
      <c r="E60" s="298"/>
      <c r="F60" s="298"/>
      <c r="G60" s="298"/>
      <c r="H60" s="298"/>
      <c r="I60" s="298"/>
      <c r="J60" s="298"/>
      <c r="K60" s="298"/>
      <c r="L60" s="298"/>
      <c r="M60" s="298"/>
      <c r="N60" s="298"/>
      <c r="O60" s="298">
        <f ca="1">O56/IS!K$458</f>
        <v>1.4969522315379857</v>
      </c>
      <c r="P60" s="298">
        <f>P56/IS!L$458</f>
        <v>1.8845302278947313</v>
      </c>
      <c r="Q60" s="298">
        <f>Q56/IS!M$458</f>
        <v>1.6090363279544833</v>
      </c>
      <c r="R60" s="298">
        <f>R56/IS!N$458</f>
        <v>2.0708530424131073</v>
      </c>
      <c r="S60" s="298">
        <f>S56/IS!O$458</f>
        <v>2.2523581453262138</v>
      </c>
      <c r="T60" s="298">
        <f>T56/IS!P$458</f>
        <v>2.4607089795094792</v>
      </c>
      <c r="U60" s="298">
        <f>U56/IS!Q$458</f>
        <v>2.5430171658801308</v>
      </c>
      <c r="V60" s="298">
        <f>V56/IS!R$458</f>
        <v>3.1152103366685613</v>
      </c>
      <c r="W60" s="298">
        <f>W56/IS!S$458</f>
        <v>2.0999176685733567</v>
      </c>
      <c r="X60" s="298">
        <f>X56/IS!T$458</f>
        <v>3.7617450421747489</v>
      </c>
      <c r="Y60" s="298">
        <f ca="1">Y56/IS!U$458</f>
        <v>4.2020641630187816</v>
      </c>
      <c r="Z60" s="298">
        <f ca="1">Z56/IS!V$458</f>
        <v>4.5986564328807775</v>
      </c>
      <c r="AA60" s="298">
        <f ca="1">AA56/IS!W$458</f>
        <v>5.0048017180579984</v>
      </c>
      <c r="AB60" s="298">
        <f ca="1">AB56/IS!X$458</f>
        <v>5.3231489408776484</v>
      </c>
      <c r="AC60" s="298">
        <f ca="1">AC56/IS!Y$458</f>
        <v>5.6882510122474006</v>
      </c>
      <c r="AD60" s="298">
        <f ca="1">AD56/IS!Z$458</f>
        <v>6.0627625440554134</v>
      </c>
      <c r="AE60" s="298">
        <f ca="1">AE56/IS!AA$458</f>
        <v>6.4477907074832492</v>
      </c>
      <c r="AF60" s="298">
        <f ca="1">AF56/IS!AB$458</f>
        <v>6.8444889588889062</v>
      </c>
      <c r="AG60" s="43"/>
      <c r="AH60" s="43"/>
      <c r="AI60" s="43"/>
      <c r="AJ60" s="43"/>
      <c r="AK60" s="43"/>
      <c r="AL60" s="43"/>
      <c r="AM60" s="43"/>
      <c r="AN60" s="43"/>
      <c r="AO60" s="43"/>
      <c r="AP60" s="43"/>
      <c r="AQ60" s="43"/>
      <c r="AR60" s="43"/>
      <c r="AS60" s="43"/>
      <c r="AT60" s="43"/>
      <c r="AU60" s="43"/>
      <c r="AV60" s="43"/>
      <c r="AW60" s="43"/>
      <c r="AX60" s="43"/>
      <c r="AY60" s="43"/>
      <c r="AZ60" s="43"/>
      <c r="BA60" s="43"/>
      <c r="BB60" s="43"/>
      <c r="BC60" s="43"/>
      <c r="BD60" s="43"/>
      <c r="BE60" s="43"/>
      <c r="BF60" s="43"/>
      <c r="BG60" s="43"/>
      <c r="BH60" s="43"/>
      <c r="BI60" s="43"/>
      <c r="BJ60" s="43"/>
      <c r="BK60" s="43"/>
      <c r="BL60" s="43"/>
      <c r="BM60" s="43"/>
      <c r="BN60" s="43"/>
      <c r="BO60" s="43"/>
      <c r="BP60" s="43"/>
      <c r="BQ60" s="43"/>
      <c r="BR60" s="43"/>
      <c r="BS60" s="43"/>
      <c r="BT60" s="43"/>
      <c r="BU60" s="43"/>
      <c r="BV60" s="43"/>
      <c r="BW60" s="43"/>
      <c r="BX60" s="43"/>
      <c r="BY60" s="43"/>
      <c r="BZ60" s="43"/>
      <c r="CA60" s="43"/>
      <c r="CB60" s="43"/>
      <c r="CC60" s="43"/>
      <c r="CD60" s="43"/>
      <c r="CE60" s="43"/>
      <c r="CF60" s="43"/>
      <c r="CG60" s="43"/>
      <c r="CH60" s="43"/>
      <c r="CI60" s="43"/>
      <c r="CJ60" s="43"/>
      <c r="CK60" s="43"/>
      <c r="CL60" s="43"/>
      <c r="CM60" s="43"/>
      <c r="CN60" s="43"/>
      <c r="CO60" s="43"/>
      <c r="CP60" s="43"/>
      <c r="CQ60" s="43"/>
      <c r="CR60" s="43"/>
      <c r="CS60" s="43"/>
      <c r="CT60" s="43"/>
      <c r="CU60" s="43"/>
      <c r="CV60" s="43"/>
      <c r="CW60" s="43"/>
      <c r="CX60" s="43"/>
      <c r="CY60" s="43"/>
      <c r="CZ60" s="43"/>
      <c r="DA60" s="43"/>
      <c r="DB60" s="43"/>
      <c r="DC60" s="43"/>
      <c r="DD60" s="43"/>
      <c r="DE60" s="43"/>
      <c r="DF60" s="43"/>
      <c r="DG60" s="43"/>
      <c r="DH60" s="43"/>
      <c r="DI60" s="43"/>
      <c r="DJ60" s="43"/>
      <c r="DK60" s="43"/>
      <c r="DL60" s="43"/>
      <c r="DM60" s="43"/>
      <c r="DN60" s="43"/>
      <c r="DO60" s="43"/>
      <c r="DP60" s="43"/>
      <c r="DQ60" s="43"/>
      <c r="DR60" s="43"/>
      <c r="DS60" s="43"/>
      <c r="DT60" s="43"/>
      <c r="DU60" s="43"/>
      <c r="DV60" s="43"/>
      <c r="DW60" s="43"/>
      <c r="DX60" s="43"/>
      <c r="DY60" s="43"/>
      <c r="DZ60" s="43"/>
      <c r="EA60" s="43"/>
      <c r="EB60" s="43"/>
      <c r="EC60" s="43"/>
      <c r="ED60" s="43"/>
      <c r="EE60" s="43"/>
      <c r="EF60" s="43"/>
      <c r="EG60" s="43"/>
      <c r="EH60" s="43"/>
      <c r="EI60" s="43"/>
      <c r="EJ60" s="43"/>
      <c r="EK60" s="43"/>
      <c r="EL60" s="43"/>
      <c r="EM60" s="43"/>
      <c r="EN60" s="43"/>
      <c r="EO60" s="43"/>
      <c r="EP60" s="43"/>
      <c r="EQ60" s="43"/>
      <c r="ER60" s="43"/>
      <c r="ES60" s="43"/>
      <c r="ET60" s="43"/>
      <c r="EU60" s="43"/>
      <c r="EV60" s="43"/>
      <c r="EW60" s="43"/>
      <c r="EX60" s="43"/>
      <c r="EY60" s="43"/>
      <c r="EZ60" s="43"/>
      <c r="FA60" s="43"/>
      <c r="FB60" s="43"/>
      <c r="FC60" s="43"/>
      <c r="FD60" s="43"/>
      <c r="FE60" s="43"/>
      <c r="FF60" s="43"/>
      <c r="FG60" s="43"/>
      <c r="FH60" s="43"/>
      <c r="FI60" s="43"/>
      <c r="FJ60" s="43"/>
      <c r="FK60" s="43"/>
      <c r="FL60" s="43"/>
      <c r="FM60" s="43"/>
      <c r="FN60" s="43"/>
      <c r="FO60" s="43"/>
      <c r="FP60" s="43"/>
      <c r="FQ60" s="43"/>
      <c r="FR60" s="43"/>
      <c r="FS60" s="43"/>
      <c r="FT60" s="43"/>
      <c r="FU60" s="43"/>
      <c r="FV60" s="43"/>
      <c r="FW60" s="43"/>
      <c r="FX60" s="43"/>
      <c r="FY60" s="43"/>
      <c r="FZ60" s="43"/>
      <c r="GA60" s="43"/>
      <c r="GB60" s="43"/>
      <c r="GC60" s="43"/>
      <c r="GD60" s="43"/>
      <c r="GE60" s="43"/>
      <c r="GF60" s="43"/>
      <c r="GG60" s="43"/>
      <c r="GH60" s="43"/>
      <c r="GI60" s="43"/>
      <c r="GJ60" s="43"/>
      <c r="GK60" s="43"/>
      <c r="GL60" s="43"/>
      <c r="GM60" s="43"/>
      <c r="GN60" s="43"/>
      <c r="GO60" s="43"/>
      <c r="GP60" s="43"/>
      <c r="GQ60" s="43"/>
      <c r="GR60" s="43"/>
      <c r="GS60" s="43"/>
      <c r="GT60" s="43"/>
      <c r="GU60" s="43"/>
      <c r="GV60" s="43"/>
      <c r="GW60" s="43"/>
      <c r="GX60" s="43"/>
      <c r="GY60" s="43"/>
      <c r="GZ60" s="43"/>
      <c r="HA60" s="43"/>
      <c r="HB60" s="43"/>
      <c r="HC60" s="43"/>
      <c r="HD60" s="43"/>
      <c r="HE60" s="43"/>
      <c r="HF60" s="43"/>
      <c r="HG60" s="43"/>
      <c r="HH60" s="43"/>
      <c r="HI60" s="43"/>
      <c r="HJ60" s="43"/>
      <c r="HK60" s="43"/>
      <c r="HL60" s="43"/>
      <c r="HM60" s="43"/>
      <c r="HN60" s="43"/>
      <c r="HO60" s="43"/>
      <c r="HP60" s="43"/>
      <c r="HQ60" s="43"/>
      <c r="HR60" s="43"/>
      <c r="HS60" s="43"/>
      <c r="HT60" s="43"/>
      <c r="HU60" s="43"/>
      <c r="HV60" s="43"/>
      <c r="HW60" s="43"/>
      <c r="HX60" s="43"/>
      <c r="HY60" s="43"/>
      <c r="HZ60" s="43"/>
      <c r="IA60" s="43"/>
      <c r="IB60"/>
      <c r="IC60"/>
      <c r="ID60"/>
      <c r="IE60"/>
      <c r="IF60"/>
      <c r="IG60"/>
      <c r="IH60"/>
      <c r="II60"/>
      <c r="IJ60"/>
      <c r="IK60"/>
      <c r="IL60"/>
      <c r="IM60"/>
      <c r="IN60"/>
      <c r="IO60"/>
      <c r="IP60"/>
      <c r="IQ60"/>
    </row>
    <row r="61" spans="1:251" s="33" customFormat="1">
      <c r="A61" s="43"/>
      <c r="B61" s="62"/>
      <c r="C61" s="112"/>
      <c r="D61" s="112"/>
      <c r="E61" s="112"/>
      <c r="F61" s="112"/>
      <c r="G61" s="112"/>
      <c r="H61" s="112"/>
      <c r="I61" s="112"/>
      <c r="J61" s="112"/>
      <c r="K61" s="112"/>
      <c r="L61" s="112"/>
      <c r="M61" s="112"/>
      <c r="N61" s="112"/>
      <c r="O61" s="112"/>
      <c r="P61" s="112"/>
      <c r="Q61" s="112"/>
      <c r="R61" s="112"/>
      <c r="S61" s="112"/>
      <c r="T61" s="112"/>
      <c r="U61" s="982">
        <f>IS!Q498</f>
        <v>1.9931957473420889</v>
      </c>
      <c r="V61" s="982">
        <f>IS!R498</f>
        <v>2.17</v>
      </c>
      <c r="W61" s="982">
        <f>IS!S498</f>
        <v>2.3499999999999996</v>
      </c>
      <c r="X61" s="982">
        <f>IS!T498</f>
        <v>2.5890288713910761</v>
      </c>
      <c r="Y61" s="112"/>
      <c r="Z61" s="112"/>
      <c r="AA61" s="112"/>
      <c r="AB61" s="112"/>
      <c r="AC61" s="112"/>
      <c r="AD61" s="112"/>
      <c r="AE61" s="112"/>
      <c r="AF61" s="112"/>
      <c r="AG61" s="43"/>
      <c r="AH61" s="43"/>
      <c r="AI61" s="43"/>
      <c r="AJ61" s="43"/>
      <c r="AK61" s="43"/>
      <c r="AL61" s="43"/>
      <c r="AM61" s="43"/>
      <c r="AN61" s="43"/>
      <c r="AO61" s="43"/>
      <c r="AP61" s="43"/>
      <c r="AQ61" s="43"/>
      <c r="AR61" s="43"/>
      <c r="AS61" s="43"/>
      <c r="AT61" s="43"/>
      <c r="AU61" s="43"/>
      <c r="AV61" s="43"/>
      <c r="AW61" s="43"/>
      <c r="AX61" s="43"/>
      <c r="AY61" s="43"/>
      <c r="AZ61" s="43"/>
      <c r="BA61" s="43"/>
      <c r="BB61" s="43"/>
      <c r="BC61" s="43"/>
      <c r="BD61" s="43"/>
      <c r="BE61" s="43"/>
      <c r="BF61" s="43"/>
      <c r="BG61" s="43"/>
      <c r="BH61" s="43"/>
      <c r="BI61" s="43"/>
      <c r="BJ61" s="43"/>
      <c r="BK61" s="43"/>
      <c r="BL61" s="43"/>
      <c r="BM61" s="43"/>
      <c r="BN61" s="43"/>
      <c r="BO61" s="43"/>
      <c r="BP61" s="43"/>
      <c r="BQ61" s="43"/>
      <c r="BR61" s="43"/>
      <c r="BS61" s="43"/>
      <c r="BT61" s="43"/>
      <c r="BU61" s="43"/>
      <c r="BV61" s="43"/>
      <c r="BW61" s="43"/>
      <c r="BX61" s="43"/>
      <c r="BY61" s="43"/>
      <c r="BZ61" s="43"/>
      <c r="CA61" s="43"/>
      <c r="CB61" s="43"/>
      <c r="CC61" s="43"/>
      <c r="CD61" s="43"/>
      <c r="CE61" s="43"/>
      <c r="CF61" s="43"/>
      <c r="CG61" s="43"/>
      <c r="CH61" s="43"/>
      <c r="CI61" s="43"/>
      <c r="CJ61" s="43"/>
      <c r="CK61" s="43"/>
      <c r="CL61" s="43"/>
      <c r="CM61" s="43"/>
      <c r="CN61" s="43"/>
      <c r="CO61" s="43"/>
      <c r="CP61" s="43"/>
      <c r="CQ61" s="43"/>
      <c r="CR61" s="43"/>
      <c r="CS61" s="43"/>
      <c r="CT61" s="43"/>
      <c r="CU61" s="43"/>
      <c r="CV61" s="43"/>
      <c r="CW61" s="43"/>
      <c r="CX61" s="43"/>
      <c r="CY61" s="43"/>
      <c r="CZ61" s="43"/>
      <c r="DA61" s="43"/>
      <c r="DB61" s="43"/>
      <c r="DC61" s="43"/>
      <c r="DD61" s="43"/>
      <c r="DE61" s="43"/>
      <c r="DF61" s="43"/>
      <c r="DG61" s="43"/>
      <c r="DH61" s="43"/>
      <c r="DI61" s="43"/>
      <c r="DJ61" s="43"/>
      <c r="DK61" s="43"/>
      <c r="DL61" s="43"/>
      <c r="DM61" s="43"/>
      <c r="DN61" s="43"/>
      <c r="DO61" s="43"/>
      <c r="DP61" s="43"/>
      <c r="DQ61" s="43"/>
      <c r="DR61" s="43"/>
      <c r="DS61" s="43"/>
      <c r="DT61" s="43"/>
      <c r="DU61" s="43"/>
      <c r="DV61" s="43"/>
      <c r="DW61" s="43"/>
      <c r="DX61" s="43"/>
      <c r="DY61" s="43"/>
      <c r="DZ61" s="43"/>
      <c r="EA61" s="43"/>
      <c r="EB61" s="43"/>
      <c r="EC61" s="43"/>
      <c r="ED61" s="43"/>
      <c r="EE61" s="43"/>
      <c r="EF61" s="43"/>
      <c r="EG61" s="43"/>
      <c r="EH61" s="43"/>
      <c r="EI61" s="43"/>
      <c r="EJ61" s="43"/>
      <c r="EK61" s="43"/>
      <c r="EL61" s="43"/>
      <c r="EM61" s="43"/>
      <c r="EN61" s="43"/>
      <c r="EO61" s="43"/>
      <c r="EP61" s="43"/>
      <c r="EQ61" s="43"/>
      <c r="ER61" s="43"/>
      <c r="ES61" s="43"/>
      <c r="ET61" s="43"/>
      <c r="EU61" s="43"/>
      <c r="EV61" s="43"/>
      <c r="EW61" s="43"/>
      <c r="EX61" s="43"/>
      <c r="EY61" s="43"/>
      <c r="EZ61" s="43"/>
      <c r="FA61" s="43"/>
      <c r="FB61" s="43"/>
      <c r="FC61" s="43"/>
      <c r="FD61" s="43"/>
      <c r="FE61" s="43"/>
      <c r="FF61" s="43"/>
      <c r="FG61" s="43"/>
      <c r="FH61" s="43"/>
      <c r="FI61" s="43"/>
      <c r="FJ61" s="43"/>
      <c r="FK61" s="43"/>
      <c r="FL61" s="43"/>
      <c r="FM61" s="43"/>
      <c r="FN61" s="43"/>
      <c r="FO61" s="43"/>
      <c r="FP61" s="43"/>
      <c r="FQ61" s="43"/>
      <c r="FR61" s="43"/>
      <c r="FS61" s="43"/>
      <c r="FT61" s="43"/>
      <c r="FU61" s="43"/>
      <c r="FV61" s="43"/>
      <c r="FW61" s="43"/>
      <c r="FX61" s="43"/>
      <c r="FY61" s="43"/>
      <c r="FZ61" s="43"/>
      <c r="GA61" s="43"/>
      <c r="GB61" s="43"/>
      <c r="GC61" s="43"/>
      <c r="GD61" s="43"/>
      <c r="GE61" s="43"/>
      <c r="GF61" s="43"/>
      <c r="GG61" s="43"/>
      <c r="GH61" s="43"/>
      <c r="GI61" s="43"/>
      <c r="GJ61" s="43"/>
      <c r="GK61" s="43"/>
      <c r="GL61" s="43"/>
      <c r="GM61" s="43"/>
      <c r="GN61" s="43"/>
      <c r="GO61" s="43"/>
      <c r="GP61" s="43"/>
      <c r="GQ61" s="43"/>
      <c r="GR61" s="43"/>
      <c r="GS61" s="43"/>
      <c r="GT61" s="43"/>
      <c r="GU61" s="43"/>
      <c r="GV61" s="43"/>
      <c r="GW61" s="43"/>
      <c r="GX61" s="43"/>
      <c r="GY61" s="43"/>
      <c r="GZ61" s="43"/>
      <c r="HA61" s="43"/>
      <c r="HB61" s="43"/>
      <c r="HC61" s="43"/>
      <c r="HD61" s="43"/>
      <c r="HE61" s="43"/>
      <c r="HF61" s="43"/>
      <c r="HG61" s="43"/>
      <c r="HH61" s="43"/>
      <c r="HI61" s="43"/>
      <c r="HJ61" s="43"/>
      <c r="HK61" s="43"/>
      <c r="HL61" s="43"/>
      <c r="HM61" s="43"/>
      <c r="HN61" s="43"/>
      <c r="HO61" s="43"/>
      <c r="HP61" s="43"/>
      <c r="HQ61" s="43"/>
      <c r="HR61" s="43"/>
      <c r="HS61" s="43"/>
      <c r="HT61" s="43"/>
      <c r="HU61" s="43"/>
      <c r="HV61" s="43"/>
      <c r="HW61" s="43"/>
      <c r="HX61" s="43"/>
      <c r="HY61" s="43"/>
      <c r="HZ61" s="43"/>
      <c r="IA61" s="43"/>
      <c r="IB61"/>
      <c r="IC61"/>
      <c r="ID61"/>
      <c r="IE61"/>
      <c r="IF61"/>
      <c r="IG61"/>
      <c r="IH61"/>
      <c r="II61"/>
      <c r="IJ61"/>
      <c r="IK61"/>
      <c r="IL61"/>
      <c r="IM61"/>
      <c r="IN61"/>
      <c r="IO61"/>
      <c r="IP61"/>
      <c r="IQ61"/>
    </row>
    <row r="62" spans="1:251" s="33" customFormat="1">
      <c r="A62" s="43" t="s">
        <v>55</v>
      </c>
      <c r="B62" s="62"/>
      <c r="C62" s="299"/>
      <c r="D62" s="299"/>
      <c r="E62" s="120">
        <f t="shared" ref="E62:J62" si="26">E59/E65</f>
        <v>0.40460610211934439</v>
      </c>
      <c r="F62" s="120">
        <f t="shared" si="26"/>
        <v>0.28940326680817946</v>
      </c>
      <c r="G62" s="120">
        <f t="shared" si="26"/>
        <v>0.41958061877443154</v>
      </c>
      <c r="H62" s="120">
        <f>H59/H65</f>
        <v>0.33235136270814364</v>
      </c>
      <c r="I62" s="120">
        <f t="shared" si="26"/>
        <v>0.30769160416791924</v>
      </c>
      <c r="J62" s="120">
        <f t="shared" si="26"/>
        <v>0.24501075884311566</v>
      </c>
      <c r="K62" s="299"/>
      <c r="L62" s="120">
        <f>L59/L65</f>
        <v>0.23576370259607984</v>
      </c>
      <c r="M62" s="299"/>
      <c r="N62" s="120">
        <f t="shared" ref="N62:S62" si="27">N59/N65</f>
        <v>9.9448210509581428E-2</v>
      </c>
      <c r="O62" s="120">
        <f t="shared" si="27"/>
        <v>6.1133809368671341E-2</v>
      </c>
      <c r="P62" s="120">
        <f t="shared" si="27"/>
        <v>0.10163755087488449</v>
      </c>
      <c r="Q62" s="120">
        <f t="shared" si="27"/>
        <v>6.3668857268948997E-2</v>
      </c>
      <c r="R62" s="120">
        <f t="shared" si="27"/>
        <v>6.9033810036587123E-2</v>
      </c>
      <c r="S62" s="120">
        <f t="shared" si="27"/>
        <v>6.2971158909277541E-2</v>
      </c>
      <c r="T62" s="299">
        <f t="shared" ref="T62:AA62" si="28">T59/T66</f>
        <v>7.3218175152573811E-2</v>
      </c>
      <c r="U62" s="299">
        <f t="shared" si="28"/>
        <v>5.9869086264701193E-2</v>
      </c>
      <c r="V62" s="299">
        <f t="shared" si="28"/>
        <v>7.4866023220406058E-2</v>
      </c>
      <c r="W62" s="299">
        <f t="shared" si="28"/>
        <v>2.5844354135096659E-2</v>
      </c>
      <c r="X62" s="299">
        <f t="shared" si="28"/>
        <v>4.9279731138744773E-2</v>
      </c>
      <c r="Y62" s="299">
        <f t="shared" ca="1" si="28"/>
        <v>5.4966417610854197E-2</v>
      </c>
      <c r="Z62" s="299">
        <f t="shared" ca="1" si="28"/>
        <v>6.079644116097295E-2</v>
      </c>
      <c r="AA62" s="299">
        <f t="shared" ca="1" si="28"/>
        <v>6.6594464903732692E-2</v>
      </c>
      <c r="AB62" s="299">
        <f ca="1">AB59/AB66</f>
        <v>7.1004283895073558E-2</v>
      </c>
      <c r="AC62" s="299">
        <f ca="1">AC59/AC66</f>
        <v>7.606903390104168E-2</v>
      </c>
      <c r="AD62" s="299">
        <f ca="1">AD59/AD66</f>
        <v>8.1265691167907633E-2</v>
      </c>
      <c r="AE62" s="299">
        <f ca="1">AE59/AE66</f>
        <v>8.6609782981590305E-2</v>
      </c>
      <c r="AF62" s="299">
        <f ca="1">AF59/AF66</f>
        <v>9.2117484634088434E-2</v>
      </c>
      <c r="AG62" s="43"/>
      <c r="AH62" s="43"/>
      <c r="AI62" s="43"/>
      <c r="AJ62" s="43"/>
      <c r="AK62" s="43"/>
      <c r="AL62" s="43"/>
      <c r="AM62" s="43"/>
      <c r="AN62" s="43"/>
      <c r="AO62" s="43"/>
      <c r="AP62" s="43"/>
      <c r="AQ62" s="43"/>
      <c r="AR62" s="43"/>
      <c r="AS62" s="43"/>
      <c r="AT62" s="43"/>
      <c r="AU62" s="43"/>
      <c r="AV62" s="43"/>
      <c r="AW62" s="43"/>
      <c r="AX62" s="43"/>
      <c r="AY62" s="43"/>
      <c r="AZ62" s="43"/>
      <c r="BA62" s="43"/>
      <c r="BB62" s="43"/>
      <c r="BC62" s="43"/>
      <c r="BD62" s="43"/>
      <c r="BE62" s="43"/>
      <c r="BF62" s="43"/>
      <c r="BG62" s="43"/>
      <c r="BH62" s="43"/>
      <c r="BI62" s="43"/>
      <c r="BJ62" s="43"/>
      <c r="BK62" s="43"/>
      <c r="BL62" s="43"/>
      <c r="BM62" s="43"/>
      <c r="BN62" s="43"/>
      <c r="BO62" s="43"/>
      <c r="BP62" s="43"/>
      <c r="BQ62" s="43"/>
      <c r="BR62" s="43"/>
      <c r="BS62" s="43"/>
      <c r="BT62" s="43"/>
      <c r="BU62" s="43"/>
      <c r="BV62" s="43"/>
      <c r="BW62" s="43"/>
      <c r="BX62" s="43"/>
      <c r="BY62" s="43"/>
      <c r="BZ62" s="43"/>
      <c r="CA62" s="43"/>
      <c r="CB62" s="43"/>
      <c r="CC62" s="43"/>
      <c r="CD62" s="43"/>
      <c r="CE62" s="43"/>
      <c r="CF62" s="43"/>
      <c r="CG62" s="43"/>
      <c r="CH62" s="43"/>
      <c r="CI62" s="43"/>
      <c r="CJ62" s="43"/>
      <c r="CK62" s="43"/>
      <c r="CL62" s="43"/>
      <c r="CM62" s="43"/>
      <c r="CN62" s="43"/>
      <c r="CO62" s="43"/>
      <c r="CP62" s="43"/>
      <c r="CQ62" s="43"/>
      <c r="CR62" s="43"/>
      <c r="CS62" s="43"/>
      <c r="CT62" s="43"/>
      <c r="CU62" s="43"/>
      <c r="CV62" s="43"/>
      <c r="CW62" s="43"/>
      <c r="CX62" s="43"/>
      <c r="CY62" s="43"/>
      <c r="CZ62" s="43"/>
      <c r="DA62" s="43"/>
      <c r="DB62" s="43"/>
      <c r="DC62" s="43"/>
      <c r="DD62" s="43"/>
      <c r="DE62" s="43"/>
      <c r="DF62" s="43"/>
      <c r="DG62" s="43"/>
      <c r="DH62" s="43"/>
      <c r="DI62" s="43"/>
      <c r="DJ62" s="43"/>
      <c r="DK62" s="43"/>
      <c r="DL62" s="43"/>
      <c r="DM62" s="43"/>
      <c r="DN62" s="43"/>
      <c r="DO62" s="43"/>
      <c r="DP62" s="43"/>
      <c r="DQ62" s="43"/>
      <c r="DR62" s="43"/>
      <c r="DS62" s="43"/>
      <c r="DT62" s="43"/>
      <c r="DU62" s="43"/>
      <c r="DV62" s="43"/>
      <c r="DW62" s="43"/>
      <c r="DX62" s="43"/>
      <c r="DY62" s="43"/>
      <c r="DZ62" s="43"/>
      <c r="EA62" s="43"/>
      <c r="EB62" s="43"/>
      <c r="EC62" s="43"/>
      <c r="ED62" s="43"/>
      <c r="EE62" s="43"/>
      <c r="EF62" s="43"/>
      <c r="EG62" s="43"/>
      <c r="EH62" s="43"/>
      <c r="EI62" s="43"/>
      <c r="EJ62" s="43"/>
      <c r="EK62" s="43"/>
      <c r="EL62" s="43"/>
      <c r="EM62" s="43"/>
      <c r="EN62" s="43"/>
      <c r="EO62" s="43"/>
      <c r="EP62" s="43"/>
      <c r="EQ62" s="43"/>
      <c r="ER62" s="43"/>
      <c r="ES62" s="43"/>
      <c r="ET62" s="43"/>
      <c r="EU62" s="43"/>
      <c r="EV62" s="43"/>
      <c r="EW62" s="43"/>
      <c r="EX62" s="43"/>
      <c r="EY62" s="43"/>
      <c r="EZ62" s="43"/>
      <c r="FA62" s="43"/>
      <c r="FB62" s="43"/>
      <c r="FC62" s="43"/>
      <c r="FD62" s="43"/>
      <c r="FE62" s="43"/>
      <c r="FF62" s="43"/>
      <c r="FG62" s="43"/>
      <c r="FH62" s="43"/>
      <c r="FI62" s="43"/>
      <c r="FJ62" s="43"/>
      <c r="FK62" s="43"/>
      <c r="FL62" s="43"/>
      <c r="FM62" s="43"/>
      <c r="FN62" s="43"/>
      <c r="FO62" s="43"/>
      <c r="FP62" s="43"/>
      <c r="FQ62" s="43"/>
      <c r="FR62" s="43"/>
      <c r="FS62" s="43"/>
      <c r="FT62" s="43"/>
      <c r="FU62" s="43"/>
      <c r="FV62" s="43"/>
      <c r="FW62" s="43"/>
      <c r="FX62" s="43"/>
      <c r="FY62" s="43"/>
      <c r="FZ62" s="43"/>
      <c r="GA62" s="43"/>
      <c r="GB62" s="43"/>
      <c r="GC62" s="43"/>
      <c r="GD62" s="43"/>
      <c r="GE62" s="43"/>
      <c r="GF62" s="43"/>
      <c r="GG62" s="43"/>
      <c r="GH62" s="43"/>
      <c r="GI62" s="43"/>
      <c r="GJ62" s="43"/>
      <c r="GK62" s="43"/>
      <c r="GL62" s="43"/>
      <c r="GM62" s="43"/>
      <c r="GN62" s="43"/>
      <c r="GO62" s="43"/>
      <c r="GP62" s="43"/>
      <c r="GQ62" s="43"/>
      <c r="GR62" s="43"/>
      <c r="GS62" s="43"/>
      <c r="GT62" s="43"/>
      <c r="GU62" s="43"/>
      <c r="GV62" s="43"/>
      <c r="GW62" s="43"/>
      <c r="GX62" s="43"/>
      <c r="GY62" s="43"/>
      <c r="GZ62" s="43"/>
      <c r="HA62" s="43"/>
      <c r="HB62" s="43"/>
      <c r="HC62" s="43"/>
      <c r="HD62" s="43"/>
      <c r="HE62" s="43"/>
      <c r="HF62" s="43"/>
      <c r="HG62" s="43"/>
      <c r="HH62" s="43"/>
      <c r="HI62" s="43"/>
      <c r="HJ62" s="43"/>
      <c r="HK62" s="43"/>
      <c r="HL62" s="43"/>
      <c r="HM62" s="43"/>
      <c r="HN62" s="43"/>
      <c r="HO62" s="43"/>
      <c r="HP62" s="43"/>
      <c r="HQ62" s="43"/>
      <c r="HR62" s="43"/>
      <c r="HS62" s="43"/>
      <c r="HT62" s="43"/>
      <c r="HU62" s="43"/>
      <c r="HV62" s="43"/>
      <c r="HW62" s="43"/>
      <c r="HX62" s="43"/>
      <c r="HY62" s="43"/>
      <c r="HZ62" s="43"/>
      <c r="IA62" s="43"/>
      <c r="IB62"/>
      <c r="IC62"/>
      <c r="ID62"/>
      <c r="IE62"/>
      <c r="IF62"/>
      <c r="IG62"/>
      <c r="IH62"/>
      <c r="II62"/>
      <c r="IJ62"/>
      <c r="IK62"/>
      <c r="IL62"/>
      <c r="IM62"/>
      <c r="IN62"/>
      <c r="IO62"/>
      <c r="IP62"/>
      <c r="IQ62"/>
    </row>
    <row r="63" spans="1:251" s="33" customFormat="1">
      <c r="A63" s="43" t="s">
        <v>56</v>
      </c>
      <c r="B63" s="62"/>
      <c r="C63" s="299"/>
      <c r="D63" s="299"/>
      <c r="E63" s="299"/>
      <c r="F63" s="299"/>
      <c r="G63" s="299"/>
      <c r="H63" s="299"/>
      <c r="I63" s="299"/>
      <c r="J63" s="299"/>
      <c r="K63" s="299"/>
      <c r="L63" s="299"/>
      <c r="M63" s="299"/>
      <c r="N63" s="299"/>
      <c r="O63" s="120">
        <f ca="1">O60/O65</f>
        <v>6.4220086364743356E-2</v>
      </c>
      <c r="P63" s="120">
        <f>P60/P65</f>
        <v>0.12513480928915879</v>
      </c>
      <c r="Q63" s="120">
        <f>Q60/Q65</f>
        <v>8.1968228627329762E-2</v>
      </c>
      <c r="R63" s="299">
        <f t="shared" ref="R63:W63" si="29">R60/R66</f>
        <v>7.712674273419394E-2</v>
      </c>
      <c r="S63" s="299">
        <f t="shared" si="29"/>
        <v>7.766752225262806E-2</v>
      </c>
      <c r="T63" s="299">
        <f t="shared" si="29"/>
        <v>8.485203377618894E-2</v>
      </c>
      <c r="U63" s="299">
        <f>U60/U66</f>
        <v>6.6921504365266601E-2</v>
      </c>
      <c r="V63" s="299">
        <f t="shared" si="29"/>
        <v>8.1979219386014768E-2</v>
      </c>
      <c r="W63" s="299">
        <f t="shared" si="29"/>
        <v>2.941061160466886E-2</v>
      </c>
      <c r="X63" s="299">
        <f t="shared" ref="X63:AF63" si="30">X60/X66</f>
        <v>5.2685504792363426E-2</v>
      </c>
      <c r="Y63" s="299">
        <f t="shared" ca="1" si="30"/>
        <v>5.8852439257966127E-2</v>
      </c>
      <c r="Z63" s="299">
        <f t="shared" ca="1" si="30"/>
        <v>6.4406952841467469E-2</v>
      </c>
      <c r="AA63" s="299">
        <f t="shared" ca="1" si="30"/>
        <v>7.0095262157675045E-2</v>
      </c>
      <c r="AB63" s="299">
        <f t="shared" ca="1" si="30"/>
        <v>7.4553906734981065E-2</v>
      </c>
      <c r="AC63" s="299">
        <f t="shared" ca="1" si="30"/>
        <v>7.9667381123913167E-2</v>
      </c>
      <c r="AD63" s="299">
        <f t="shared" ca="1" si="30"/>
        <v>8.4912640673044992E-2</v>
      </c>
      <c r="AE63" s="299">
        <f t="shared" ca="1" si="30"/>
        <v>9.0305191981558106E-2</v>
      </c>
      <c r="AF63" s="299">
        <f t="shared" ca="1" si="30"/>
        <v>9.5861189900404847E-2</v>
      </c>
      <c r="AG63" s="43"/>
      <c r="AH63" s="43"/>
      <c r="AI63" s="43"/>
      <c r="AJ63" s="43"/>
      <c r="AK63" s="43"/>
      <c r="AL63" s="43"/>
      <c r="AM63" s="43"/>
      <c r="AN63" s="43"/>
      <c r="AO63" s="43"/>
      <c r="AP63" s="43"/>
      <c r="AQ63" s="43"/>
      <c r="AR63" s="43"/>
      <c r="AS63" s="43"/>
      <c r="AT63" s="43"/>
      <c r="AU63" s="43"/>
      <c r="AV63" s="43"/>
      <c r="AW63" s="43"/>
      <c r="AX63" s="43"/>
      <c r="AY63" s="43"/>
      <c r="AZ63" s="43"/>
      <c r="BA63" s="43"/>
      <c r="BB63" s="43"/>
      <c r="BC63" s="43"/>
      <c r="BD63" s="43"/>
      <c r="BE63" s="43"/>
      <c r="BF63" s="43"/>
      <c r="BG63" s="43"/>
      <c r="BH63" s="43"/>
      <c r="BI63" s="43"/>
      <c r="BJ63" s="43"/>
      <c r="BK63" s="43"/>
      <c r="BL63" s="43"/>
      <c r="BM63" s="43"/>
      <c r="BN63" s="43"/>
      <c r="BO63" s="43"/>
      <c r="BP63" s="43"/>
      <c r="BQ63" s="43"/>
      <c r="BR63" s="43"/>
      <c r="BS63" s="43"/>
      <c r="BT63" s="43"/>
      <c r="BU63" s="43"/>
      <c r="BV63" s="43"/>
      <c r="BW63" s="43"/>
      <c r="BX63" s="43"/>
      <c r="BY63" s="43"/>
      <c r="BZ63" s="43"/>
      <c r="CA63" s="43"/>
      <c r="CB63" s="43"/>
      <c r="CC63" s="43"/>
      <c r="CD63" s="43"/>
      <c r="CE63" s="43"/>
      <c r="CF63" s="43"/>
      <c r="CG63" s="43"/>
      <c r="CH63" s="43"/>
      <c r="CI63" s="43"/>
      <c r="CJ63" s="43"/>
      <c r="CK63" s="43"/>
      <c r="CL63" s="43"/>
      <c r="CM63" s="43"/>
      <c r="CN63" s="43"/>
      <c r="CO63" s="43"/>
      <c r="CP63" s="43"/>
      <c r="CQ63" s="43"/>
      <c r="CR63" s="43"/>
      <c r="CS63" s="43"/>
      <c r="CT63" s="43"/>
      <c r="CU63" s="43"/>
      <c r="CV63" s="43"/>
      <c r="CW63" s="43"/>
      <c r="CX63" s="43"/>
      <c r="CY63" s="43"/>
      <c r="CZ63" s="43"/>
      <c r="DA63" s="43"/>
      <c r="DB63" s="43"/>
      <c r="DC63" s="43"/>
      <c r="DD63" s="43"/>
      <c r="DE63" s="43"/>
      <c r="DF63" s="43"/>
      <c r="DG63" s="43"/>
      <c r="DH63" s="43"/>
      <c r="DI63" s="43"/>
      <c r="DJ63" s="43"/>
      <c r="DK63" s="43"/>
      <c r="DL63" s="43"/>
      <c r="DM63" s="43"/>
      <c r="DN63" s="43"/>
      <c r="DO63" s="43"/>
      <c r="DP63" s="43"/>
      <c r="DQ63" s="43"/>
      <c r="DR63" s="43"/>
      <c r="DS63" s="43"/>
      <c r="DT63" s="43"/>
      <c r="DU63" s="43"/>
      <c r="DV63" s="43"/>
      <c r="DW63" s="43"/>
      <c r="DX63" s="43"/>
      <c r="DY63" s="43"/>
      <c r="DZ63" s="43"/>
      <c r="EA63" s="43"/>
      <c r="EB63" s="43"/>
      <c r="EC63" s="43"/>
      <c r="ED63" s="43"/>
      <c r="EE63" s="43"/>
      <c r="EF63" s="43"/>
      <c r="EG63" s="43"/>
      <c r="EH63" s="43"/>
      <c r="EI63" s="43"/>
      <c r="EJ63" s="43"/>
      <c r="EK63" s="43"/>
      <c r="EL63" s="43"/>
      <c r="EM63" s="43"/>
      <c r="EN63" s="43"/>
      <c r="EO63" s="43"/>
      <c r="EP63" s="43"/>
      <c r="EQ63" s="43"/>
      <c r="ER63" s="43"/>
      <c r="ES63" s="43"/>
      <c r="ET63" s="43"/>
      <c r="EU63" s="43"/>
      <c r="EV63" s="43"/>
      <c r="EW63" s="43"/>
      <c r="EX63" s="43"/>
      <c r="EY63" s="43"/>
      <c r="EZ63" s="43"/>
      <c r="FA63" s="43"/>
      <c r="FB63" s="43"/>
      <c r="FC63" s="43"/>
      <c r="FD63" s="43"/>
      <c r="FE63" s="43"/>
      <c r="FF63" s="43"/>
      <c r="FG63" s="43"/>
      <c r="FH63" s="43"/>
      <c r="FI63" s="43"/>
      <c r="FJ63" s="43"/>
      <c r="FK63" s="43"/>
      <c r="FL63" s="43"/>
      <c r="FM63" s="43"/>
      <c r="FN63" s="43"/>
      <c r="FO63" s="43"/>
      <c r="FP63" s="43"/>
      <c r="FQ63" s="43"/>
      <c r="FR63" s="43"/>
      <c r="FS63" s="43"/>
      <c r="FT63" s="43"/>
      <c r="FU63" s="43"/>
      <c r="FV63" s="43"/>
      <c r="FW63" s="43"/>
      <c r="FX63" s="43"/>
      <c r="FY63" s="43"/>
      <c r="FZ63" s="43"/>
      <c r="GA63" s="43"/>
      <c r="GB63" s="43"/>
      <c r="GC63" s="43"/>
      <c r="GD63" s="43"/>
      <c r="GE63" s="43"/>
      <c r="GF63" s="43"/>
      <c r="GG63" s="43"/>
      <c r="GH63" s="43"/>
      <c r="GI63" s="43"/>
      <c r="GJ63" s="43"/>
      <c r="GK63" s="43"/>
      <c r="GL63" s="43"/>
      <c r="GM63" s="43"/>
      <c r="GN63" s="43"/>
      <c r="GO63" s="43"/>
      <c r="GP63" s="43"/>
      <c r="GQ63" s="43"/>
      <c r="GR63" s="43"/>
      <c r="GS63" s="43"/>
      <c r="GT63" s="43"/>
      <c r="GU63" s="43"/>
      <c r="GV63" s="43"/>
      <c r="GW63" s="43"/>
      <c r="GX63" s="43"/>
      <c r="GY63" s="43"/>
      <c r="GZ63" s="43"/>
      <c r="HA63" s="43"/>
      <c r="HB63" s="43"/>
      <c r="HC63" s="43"/>
      <c r="HD63" s="43"/>
      <c r="HE63" s="43"/>
      <c r="HF63" s="43"/>
      <c r="HG63" s="43"/>
      <c r="HH63" s="43"/>
      <c r="HI63" s="43"/>
      <c r="HJ63" s="43"/>
      <c r="HK63" s="43"/>
      <c r="HL63" s="43"/>
      <c r="HM63" s="43"/>
      <c r="HN63" s="43"/>
      <c r="HO63" s="43"/>
      <c r="HP63" s="43"/>
      <c r="HQ63" s="43"/>
      <c r="HR63" s="43"/>
      <c r="HS63" s="43"/>
      <c r="HT63" s="43"/>
      <c r="HU63" s="43"/>
      <c r="HV63" s="43"/>
      <c r="HW63" s="43"/>
      <c r="HX63" s="43"/>
      <c r="HY63" s="43"/>
      <c r="HZ63" s="43"/>
      <c r="IA63" s="43"/>
      <c r="IB63"/>
      <c r="IC63"/>
      <c r="ID63"/>
      <c r="IE63"/>
      <c r="IF63"/>
      <c r="IG63"/>
      <c r="IH63"/>
      <c r="II63"/>
      <c r="IJ63"/>
      <c r="IK63"/>
      <c r="IL63"/>
      <c r="IM63"/>
      <c r="IN63"/>
      <c r="IO63"/>
      <c r="IP63"/>
      <c r="IQ63"/>
    </row>
    <row r="64" spans="1:251" s="33" customFormat="1">
      <c r="A64" s="43"/>
      <c r="B64" s="62"/>
      <c r="C64" s="112"/>
      <c r="D64" s="112"/>
      <c r="E64" s="112"/>
      <c r="F64" s="112"/>
      <c r="G64" s="112"/>
      <c r="H64" s="112"/>
      <c r="I64" s="112"/>
      <c r="J64" s="112"/>
      <c r="K64" s="112"/>
      <c r="L64" s="112"/>
      <c r="M64" s="112"/>
      <c r="N64" s="112"/>
      <c r="O64" s="112"/>
      <c r="P64" s="112"/>
      <c r="Q64" s="112"/>
      <c r="R64" s="112"/>
      <c r="S64" s="112"/>
      <c r="T64" s="112"/>
      <c r="U64" s="112"/>
      <c r="V64" s="112"/>
      <c r="W64" s="112"/>
      <c r="X64" s="112"/>
      <c r="Y64" s="112"/>
      <c r="Z64" s="112"/>
      <c r="AA64" s="112"/>
      <c r="AB64" s="112"/>
      <c r="AC64" s="112"/>
      <c r="AD64" s="112"/>
      <c r="AE64" s="112"/>
      <c r="AF64" s="112"/>
      <c r="AG64" s="43"/>
      <c r="AH64" s="43"/>
      <c r="AI64" s="43"/>
      <c r="AJ64" s="43"/>
      <c r="AK64" s="43"/>
      <c r="AL64" s="43"/>
      <c r="AM64" s="43"/>
      <c r="AN64" s="43"/>
      <c r="AO64" s="43"/>
      <c r="AP64" s="43"/>
      <c r="AQ64" s="43"/>
      <c r="AR64" s="43"/>
      <c r="AS64" s="43"/>
      <c r="AT64" s="43"/>
      <c r="AU64" s="43"/>
      <c r="AV64" s="43"/>
      <c r="AW64" s="43"/>
      <c r="AX64" s="43"/>
      <c r="AY64" s="43"/>
      <c r="AZ64" s="43"/>
      <c r="BA64" s="43"/>
      <c r="BB64" s="43"/>
      <c r="BC64" s="43"/>
      <c r="BD64" s="43"/>
      <c r="BE64" s="43"/>
      <c r="BF64" s="43"/>
      <c r="BG64" s="43"/>
      <c r="BH64" s="43"/>
      <c r="BI64" s="43"/>
      <c r="BJ64" s="43"/>
      <c r="BK64" s="43"/>
      <c r="BL64" s="43"/>
      <c r="BM64" s="43"/>
      <c r="BN64" s="43"/>
      <c r="BO64" s="43"/>
      <c r="BP64" s="43"/>
      <c r="BQ64" s="43"/>
      <c r="BR64" s="43"/>
      <c r="BS64" s="43"/>
      <c r="BT64" s="43"/>
      <c r="BU64" s="43"/>
      <c r="BV64" s="43"/>
      <c r="BW64" s="43"/>
      <c r="BX64" s="43"/>
      <c r="BY64" s="43"/>
      <c r="BZ64" s="43"/>
      <c r="CA64" s="43"/>
      <c r="CB64" s="43"/>
      <c r="CC64" s="43"/>
      <c r="CD64" s="43"/>
      <c r="CE64" s="43"/>
      <c r="CF64" s="43"/>
      <c r="CG64" s="43"/>
      <c r="CH64" s="43"/>
      <c r="CI64" s="43"/>
      <c r="CJ64" s="43"/>
      <c r="CK64" s="43"/>
      <c r="CL64" s="43"/>
      <c r="CM64" s="43"/>
      <c r="CN64" s="43"/>
      <c r="CO64" s="43"/>
      <c r="CP64" s="43"/>
      <c r="CQ64" s="43"/>
      <c r="CR64" s="43"/>
      <c r="CS64" s="43"/>
      <c r="CT64" s="43"/>
      <c r="CU64" s="43"/>
      <c r="CV64" s="43"/>
      <c r="CW64" s="43"/>
      <c r="CX64" s="43"/>
      <c r="CY64" s="43"/>
      <c r="CZ64" s="43"/>
      <c r="DA64" s="43"/>
      <c r="DB64" s="43"/>
      <c r="DC64" s="43"/>
      <c r="DD64" s="43"/>
      <c r="DE64" s="43"/>
      <c r="DF64" s="43"/>
      <c r="DG64" s="43"/>
      <c r="DH64" s="43"/>
      <c r="DI64" s="43"/>
      <c r="DJ64" s="43"/>
      <c r="DK64" s="43"/>
      <c r="DL64" s="43"/>
      <c r="DM64" s="43"/>
      <c r="DN64" s="43"/>
      <c r="DO64" s="43"/>
      <c r="DP64" s="43"/>
      <c r="DQ64" s="43"/>
      <c r="DR64" s="43"/>
      <c r="DS64" s="43"/>
      <c r="DT64" s="43"/>
      <c r="DU64" s="43"/>
      <c r="DV64" s="43"/>
      <c r="DW64" s="43"/>
      <c r="DX64" s="43"/>
      <c r="DY64" s="43"/>
      <c r="DZ64" s="43"/>
      <c r="EA64" s="43"/>
      <c r="EB64" s="43"/>
      <c r="EC64" s="43"/>
      <c r="ED64" s="43"/>
      <c r="EE64" s="43"/>
      <c r="EF64" s="43"/>
      <c r="EG64" s="43"/>
      <c r="EH64" s="43"/>
      <c r="EI64" s="43"/>
      <c r="EJ64" s="43"/>
      <c r="EK64" s="43"/>
      <c r="EL64" s="43"/>
      <c r="EM64" s="43"/>
      <c r="EN64" s="43"/>
      <c r="EO64" s="43"/>
      <c r="EP64" s="43"/>
      <c r="EQ64" s="43"/>
      <c r="ER64" s="43"/>
      <c r="ES64" s="43"/>
      <c r="ET64" s="43"/>
      <c r="EU64" s="43"/>
      <c r="EV64" s="43"/>
      <c r="EW64" s="43"/>
      <c r="EX64" s="43"/>
      <c r="EY64" s="43"/>
      <c r="EZ64" s="43"/>
      <c r="FA64" s="43"/>
      <c r="FB64" s="43"/>
      <c r="FC64" s="43"/>
      <c r="FD64" s="43"/>
      <c r="FE64" s="43"/>
      <c r="FF64" s="43"/>
      <c r="FG64" s="43"/>
      <c r="FH64" s="43"/>
      <c r="FI64" s="43"/>
      <c r="FJ64" s="43"/>
      <c r="FK64" s="43"/>
      <c r="FL64" s="43"/>
      <c r="FM64" s="43"/>
      <c r="FN64" s="43"/>
      <c r="FO64" s="43"/>
      <c r="FP64" s="43"/>
      <c r="FQ64" s="43"/>
      <c r="FR64" s="43"/>
      <c r="FS64" s="43"/>
      <c r="FT64" s="43"/>
      <c r="FU64" s="43"/>
      <c r="FV64" s="43"/>
      <c r="FW64" s="43"/>
      <c r="FX64" s="43"/>
      <c r="FY64" s="43"/>
      <c r="FZ64" s="43"/>
      <c r="GA64" s="43"/>
      <c r="GB64" s="43"/>
      <c r="GC64" s="43"/>
      <c r="GD64" s="43"/>
      <c r="GE64" s="43"/>
      <c r="GF64" s="43"/>
      <c r="GG64" s="43"/>
      <c r="GH64" s="43"/>
      <c r="GI64" s="43"/>
      <c r="GJ64" s="43"/>
      <c r="GK64" s="43"/>
      <c r="GL64" s="43"/>
      <c r="GM64" s="43"/>
      <c r="GN64" s="43"/>
      <c r="GO64" s="43"/>
      <c r="GP64" s="43"/>
      <c r="GQ64" s="43"/>
      <c r="GR64" s="43"/>
      <c r="GS64" s="43"/>
      <c r="GT64" s="43"/>
      <c r="GU64" s="43"/>
      <c r="GV64" s="43"/>
      <c r="GW64" s="43"/>
      <c r="GX64" s="43"/>
      <c r="GY64" s="43"/>
      <c r="GZ64" s="43"/>
      <c r="HA64" s="43"/>
      <c r="HB64" s="43"/>
      <c r="HC64" s="43"/>
      <c r="HD64" s="43"/>
      <c r="HE64" s="43"/>
      <c r="HF64" s="43"/>
      <c r="HG64" s="43"/>
      <c r="HH64" s="43"/>
      <c r="HI64" s="43"/>
      <c r="HJ64" s="43"/>
      <c r="HK64" s="43"/>
      <c r="HL64" s="43"/>
      <c r="HM64" s="43"/>
      <c r="HN64" s="43"/>
      <c r="HO64" s="43"/>
      <c r="HP64" s="43"/>
      <c r="HQ64" s="43"/>
      <c r="HR64" s="43"/>
      <c r="HS64" s="43"/>
      <c r="HT64" s="43"/>
      <c r="HU64" s="43"/>
      <c r="HV64" s="43"/>
      <c r="HW64" s="43"/>
      <c r="HX64" s="43"/>
      <c r="HY64" s="43"/>
      <c r="HZ64" s="43"/>
      <c r="IA64" s="43"/>
      <c r="IB64"/>
      <c r="IC64"/>
      <c r="ID64"/>
      <c r="IE64"/>
      <c r="IF64"/>
      <c r="IG64"/>
      <c r="IH64"/>
      <c r="II64"/>
      <c r="IJ64"/>
      <c r="IK64"/>
      <c r="IL64"/>
      <c r="IM64"/>
      <c r="IN64"/>
      <c r="IO64"/>
      <c r="IP64"/>
      <c r="IQ64"/>
    </row>
    <row r="65" spans="1:251" s="33" customFormat="1">
      <c r="A65" s="43" t="s">
        <v>185</v>
      </c>
      <c r="B65" s="62"/>
      <c r="C65" s="62"/>
      <c r="D65" s="291">
        <v>5.3235708816103475</v>
      </c>
      <c r="E65" s="291">
        <v>10.184222556124144</v>
      </c>
      <c r="F65" s="291">
        <v>10.612420739552023</v>
      </c>
      <c r="G65" s="291">
        <v>9.3810575003520213</v>
      </c>
      <c r="H65" s="291">
        <v>12.596031393637576</v>
      </c>
      <c r="I65" s="291">
        <v>14.142179693663232</v>
      </c>
      <c r="J65" s="291">
        <v>17.294658336692734</v>
      </c>
      <c r="K65" s="291">
        <v>19.86386155629582</v>
      </c>
      <c r="L65" s="291">
        <v>17.29466</v>
      </c>
      <c r="M65" s="291">
        <v>19.863860000000003</v>
      </c>
      <c r="N65" s="291">
        <v>19.863860000000003</v>
      </c>
      <c r="O65" s="291">
        <v>23.309720000000002</v>
      </c>
      <c r="P65" s="291">
        <v>15.06</v>
      </c>
      <c r="Q65" s="291">
        <v>19.63</v>
      </c>
      <c r="R65" s="291">
        <v>24.62</v>
      </c>
      <c r="S65" s="291">
        <v>29.65</v>
      </c>
      <c r="T65" s="293"/>
      <c r="U65" s="293"/>
      <c r="V65" s="293"/>
      <c r="W65" s="293"/>
      <c r="X65" s="293"/>
      <c r="Y65" s="293"/>
      <c r="Z65" s="293"/>
      <c r="AA65" s="293"/>
      <c r="AB65" s="293"/>
      <c r="AC65" s="293"/>
      <c r="AD65" s="293"/>
      <c r="AE65" s="293"/>
      <c r="AF65" s="293"/>
      <c r="AG65" s="43"/>
      <c r="AH65" s="43"/>
      <c r="AI65" s="43"/>
      <c r="AJ65" s="43"/>
      <c r="AK65" s="43"/>
      <c r="AL65" s="43"/>
      <c r="AM65" s="43"/>
      <c r="AN65" s="43"/>
      <c r="AO65" s="43"/>
      <c r="AP65" s="43"/>
      <c r="AQ65" s="43"/>
      <c r="AR65" s="43"/>
      <c r="AS65" s="43"/>
      <c r="AT65" s="43"/>
      <c r="AU65" s="43"/>
      <c r="AV65" s="43"/>
      <c r="AW65" s="43"/>
      <c r="AX65" s="43"/>
      <c r="AY65" s="43"/>
      <c r="AZ65" s="43"/>
      <c r="BA65" s="43"/>
      <c r="BB65" s="43"/>
      <c r="BC65" s="43"/>
      <c r="BD65" s="43"/>
      <c r="BE65" s="43"/>
      <c r="BF65" s="43"/>
      <c r="BG65" s="43"/>
      <c r="BH65" s="43"/>
      <c r="BI65" s="43"/>
      <c r="BJ65" s="43"/>
      <c r="BK65" s="43"/>
      <c r="BL65" s="43"/>
      <c r="BM65" s="43"/>
      <c r="BN65" s="43"/>
      <c r="BO65" s="43"/>
      <c r="BP65" s="43"/>
      <c r="BQ65" s="43"/>
      <c r="BR65" s="43"/>
      <c r="BS65" s="43"/>
      <c r="BT65" s="43"/>
      <c r="BU65" s="43"/>
      <c r="BV65" s="43"/>
      <c r="BW65" s="43"/>
      <c r="BX65" s="43"/>
      <c r="BY65" s="43"/>
      <c r="BZ65" s="43"/>
      <c r="CA65" s="43"/>
      <c r="CB65" s="43"/>
      <c r="CC65" s="43"/>
      <c r="CD65" s="43"/>
      <c r="CE65" s="43"/>
      <c r="CF65" s="43"/>
      <c r="CG65" s="43"/>
      <c r="CH65" s="43"/>
      <c r="CI65" s="43"/>
      <c r="CJ65" s="43"/>
      <c r="CK65" s="43"/>
      <c r="CL65" s="43"/>
      <c r="CM65" s="43"/>
      <c r="CN65" s="43"/>
      <c r="CO65" s="43"/>
      <c r="CP65" s="43"/>
      <c r="CQ65" s="43"/>
      <c r="CR65" s="43"/>
      <c r="CS65" s="43"/>
      <c r="CT65" s="43"/>
      <c r="CU65" s="43"/>
      <c r="CV65" s="43"/>
      <c r="CW65" s="43"/>
      <c r="CX65" s="43"/>
      <c r="CY65" s="43"/>
      <c r="CZ65" s="43"/>
      <c r="DA65" s="43"/>
      <c r="DB65" s="43"/>
      <c r="DC65" s="43"/>
      <c r="DD65" s="43"/>
      <c r="DE65" s="43"/>
      <c r="DF65" s="43"/>
      <c r="DG65" s="43"/>
      <c r="DH65" s="43"/>
      <c r="DI65" s="43"/>
      <c r="DJ65" s="43"/>
      <c r="DK65" s="43"/>
      <c r="DL65" s="43"/>
      <c r="DM65" s="43"/>
      <c r="DN65" s="43"/>
      <c r="DO65" s="43"/>
      <c r="DP65" s="43"/>
      <c r="DQ65" s="43"/>
      <c r="DR65" s="43"/>
      <c r="DS65" s="43"/>
      <c r="DT65" s="43"/>
      <c r="DU65" s="43"/>
      <c r="DV65" s="43"/>
      <c r="DW65" s="43"/>
      <c r="DX65" s="43"/>
      <c r="DY65" s="43"/>
      <c r="DZ65" s="43"/>
      <c r="EA65" s="43"/>
      <c r="EB65" s="43"/>
      <c r="EC65" s="43"/>
      <c r="ED65" s="43"/>
      <c r="EE65" s="43"/>
      <c r="EF65" s="43"/>
      <c r="EG65" s="43"/>
      <c r="EH65" s="43"/>
      <c r="EI65" s="43"/>
      <c r="EJ65" s="43"/>
      <c r="EK65" s="43"/>
      <c r="EL65" s="43"/>
      <c r="EM65" s="43"/>
      <c r="EN65" s="43"/>
      <c r="EO65" s="43"/>
      <c r="EP65" s="43"/>
      <c r="EQ65" s="43"/>
      <c r="ER65" s="43"/>
      <c r="ES65" s="43"/>
      <c r="ET65" s="43"/>
      <c r="EU65" s="43"/>
      <c r="EV65" s="43"/>
      <c r="EW65" s="43"/>
      <c r="EX65" s="43"/>
      <c r="EY65" s="43"/>
      <c r="EZ65" s="43"/>
      <c r="FA65" s="43"/>
      <c r="FB65" s="43"/>
      <c r="FC65" s="43"/>
      <c r="FD65" s="43"/>
      <c r="FE65" s="43"/>
      <c r="FF65" s="43"/>
      <c r="FG65" s="43"/>
      <c r="FH65" s="43"/>
      <c r="FI65" s="43"/>
      <c r="FJ65" s="43"/>
      <c r="FK65" s="43"/>
      <c r="FL65" s="43"/>
      <c r="FM65" s="43"/>
      <c r="FN65" s="43"/>
      <c r="FO65" s="43"/>
      <c r="FP65" s="43"/>
      <c r="FQ65" s="43"/>
      <c r="FR65" s="43"/>
      <c r="FS65" s="43"/>
      <c r="FT65" s="43"/>
      <c r="FU65" s="43"/>
      <c r="FV65" s="43"/>
      <c r="FW65" s="43"/>
      <c r="FX65" s="43"/>
      <c r="FY65" s="43"/>
      <c r="FZ65" s="43"/>
      <c r="GA65" s="43"/>
      <c r="GB65" s="43"/>
      <c r="GC65" s="43"/>
      <c r="GD65" s="43"/>
      <c r="GE65" s="43"/>
      <c r="GF65" s="43"/>
      <c r="GG65" s="43"/>
      <c r="GH65" s="43"/>
      <c r="GI65" s="43"/>
      <c r="GJ65" s="43"/>
      <c r="GK65" s="43"/>
      <c r="GL65" s="43"/>
      <c r="GM65" s="43"/>
      <c r="GN65" s="43"/>
      <c r="GO65" s="43"/>
      <c r="GP65" s="43"/>
      <c r="GQ65" s="43"/>
      <c r="GR65" s="43"/>
      <c r="GS65" s="43"/>
      <c r="GT65" s="43"/>
      <c r="GU65" s="43"/>
      <c r="GV65" s="43"/>
      <c r="GW65" s="43"/>
      <c r="GX65" s="43"/>
      <c r="GY65" s="43"/>
      <c r="GZ65" s="43"/>
      <c r="HA65" s="43"/>
      <c r="HB65" s="43"/>
      <c r="HC65" s="43"/>
      <c r="HD65" s="43"/>
      <c r="HE65" s="43"/>
      <c r="HF65" s="43"/>
      <c r="HG65" s="43"/>
      <c r="HH65" s="43"/>
      <c r="HI65" s="43"/>
      <c r="HJ65" s="43"/>
      <c r="HK65" s="43"/>
      <c r="HL65" s="43"/>
      <c r="HM65" s="43"/>
      <c r="HN65" s="43"/>
      <c r="HO65" s="43"/>
      <c r="HP65" s="43"/>
      <c r="HQ65" s="43"/>
      <c r="HR65" s="43"/>
      <c r="HS65" s="43"/>
      <c r="HT65" s="43"/>
      <c r="HU65" s="43"/>
      <c r="HV65" s="43"/>
      <c r="HW65" s="43"/>
      <c r="HX65" s="43"/>
      <c r="HY65" s="43"/>
      <c r="HZ65" s="43"/>
      <c r="IA65" s="43"/>
      <c r="IB65"/>
      <c r="IC65"/>
      <c r="ID65"/>
      <c r="IE65"/>
      <c r="IF65"/>
      <c r="IG65"/>
      <c r="IH65"/>
      <c r="II65"/>
      <c r="IJ65"/>
      <c r="IK65"/>
      <c r="IL65"/>
      <c r="IM65"/>
      <c r="IN65"/>
      <c r="IO65"/>
      <c r="IP65"/>
      <c r="IQ65"/>
    </row>
    <row r="66" spans="1:251" s="33" customFormat="1">
      <c r="A66" s="43" t="s">
        <v>31</v>
      </c>
      <c r="B66" s="43"/>
      <c r="C66" s="62"/>
      <c r="D66" s="245"/>
      <c r="E66" s="245"/>
      <c r="F66" s="245"/>
      <c r="G66" s="245"/>
      <c r="H66" s="245"/>
      <c r="I66" s="245"/>
      <c r="J66" s="245"/>
      <c r="K66" s="245"/>
      <c r="L66" s="245"/>
      <c r="M66" s="245"/>
      <c r="N66" s="245"/>
      <c r="O66" s="245"/>
      <c r="P66" s="292"/>
      <c r="Q66" s="292"/>
      <c r="R66" s="292">
        <v>26.85</v>
      </c>
      <c r="S66" s="292">
        <v>29</v>
      </c>
      <c r="T66" s="292">
        <v>29</v>
      </c>
      <c r="U66" s="292">
        <v>38</v>
      </c>
      <c r="V66" s="292">
        <f t="shared" ref="V66:AA66" si="31">+U66</f>
        <v>38</v>
      </c>
      <c r="W66" s="292">
        <v>71.400000000000006</v>
      </c>
      <c r="X66" s="292">
        <f t="shared" si="31"/>
        <v>71.400000000000006</v>
      </c>
      <c r="Y66" s="292">
        <f t="shared" si="31"/>
        <v>71.400000000000006</v>
      </c>
      <c r="Z66" s="292">
        <f t="shared" si="31"/>
        <v>71.400000000000006</v>
      </c>
      <c r="AA66" s="292">
        <f t="shared" si="31"/>
        <v>71.400000000000006</v>
      </c>
      <c r="AB66" s="292">
        <f>+AA66</f>
        <v>71.400000000000006</v>
      </c>
      <c r="AC66" s="292">
        <f>+AB66</f>
        <v>71.400000000000006</v>
      </c>
      <c r="AD66" s="292">
        <f>+AC66</f>
        <v>71.400000000000006</v>
      </c>
      <c r="AE66" s="292">
        <f>+AD66</f>
        <v>71.400000000000006</v>
      </c>
      <c r="AF66" s="292">
        <f>+AE66</f>
        <v>71.400000000000006</v>
      </c>
      <c r="AG66" s="43"/>
      <c r="AH66" s="43"/>
      <c r="AI66" s="43"/>
      <c r="AJ66" s="43"/>
      <c r="AK66" s="43"/>
      <c r="AL66" s="43"/>
      <c r="AM66" s="43"/>
      <c r="AN66" s="43"/>
      <c r="AO66" s="43"/>
      <c r="AP66" s="43"/>
      <c r="AQ66" s="43"/>
      <c r="AR66" s="43"/>
      <c r="AS66" s="43"/>
      <c r="AT66" s="43"/>
      <c r="AU66" s="43"/>
      <c r="AV66" s="43"/>
      <c r="AW66" s="43"/>
      <c r="AX66" s="43"/>
      <c r="AY66" s="43"/>
      <c r="AZ66" s="43"/>
      <c r="BA66" s="43"/>
      <c r="BB66" s="43"/>
      <c r="BC66" s="43"/>
      <c r="BD66" s="43"/>
      <c r="BE66" s="43"/>
      <c r="BF66" s="43"/>
      <c r="BG66" s="43"/>
      <c r="BH66" s="43"/>
      <c r="BI66" s="43"/>
      <c r="BJ66" s="43"/>
      <c r="BK66" s="43"/>
      <c r="BL66" s="43"/>
      <c r="BM66" s="43"/>
      <c r="BN66" s="43"/>
      <c r="BO66" s="43"/>
      <c r="BP66" s="43"/>
      <c r="BQ66" s="43"/>
      <c r="BR66" s="43"/>
      <c r="BS66" s="43"/>
      <c r="BT66" s="43"/>
      <c r="BU66" s="43"/>
      <c r="BV66" s="43"/>
      <c r="BW66" s="43"/>
      <c r="BX66" s="43"/>
      <c r="BY66" s="43"/>
      <c r="BZ66" s="43"/>
      <c r="CA66" s="43"/>
      <c r="CB66" s="43"/>
      <c r="CC66" s="43"/>
      <c r="CD66" s="43"/>
      <c r="CE66" s="43"/>
      <c r="CF66" s="43"/>
      <c r="CG66" s="43"/>
      <c r="CH66" s="43"/>
      <c r="CI66" s="43"/>
      <c r="CJ66" s="43"/>
      <c r="CK66" s="43"/>
      <c r="CL66" s="43"/>
      <c r="CM66" s="43"/>
      <c r="CN66" s="43"/>
      <c r="CO66" s="43"/>
      <c r="CP66" s="43"/>
      <c r="CQ66" s="43"/>
      <c r="CR66" s="43"/>
      <c r="CS66" s="43"/>
      <c r="CT66" s="43"/>
      <c r="CU66" s="43"/>
      <c r="CV66" s="43"/>
      <c r="CW66" s="43"/>
      <c r="CX66" s="43"/>
      <c r="CY66" s="43"/>
      <c r="CZ66" s="43"/>
      <c r="DA66" s="43"/>
      <c r="DB66" s="43"/>
      <c r="DC66" s="43"/>
      <c r="DD66" s="43"/>
      <c r="DE66" s="43"/>
      <c r="DF66" s="43"/>
      <c r="DG66" s="43"/>
      <c r="DH66" s="43"/>
      <c r="DI66" s="43"/>
      <c r="DJ66" s="43"/>
      <c r="DK66" s="43"/>
      <c r="DL66" s="43"/>
      <c r="DM66" s="43"/>
      <c r="DN66" s="43"/>
      <c r="DO66" s="43"/>
      <c r="DP66" s="43"/>
      <c r="DQ66" s="43"/>
      <c r="DR66" s="43"/>
      <c r="DS66" s="43"/>
      <c r="DT66" s="43"/>
      <c r="DU66" s="43"/>
      <c r="DV66" s="43"/>
      <c r="DW66" s="43"/>
      <c r="DX66" s="43"/>
      <c r="DY66" s="43"/>
      <c r="DZ66" s="43"/>
      <c r="EA66" s="43"/>
      <c r="EB66" s="43"/>
      <c r="EC66" s="43"/>
      <c r="ED66" s="43"/>
      <c r="EE66" s="43"/>
      <c r="EF66" s="43"/>
      <c r="EG66" s="43"/>
      <c r="EH66" s="43"/>
      <c r="EI66" s="43"/>
      <c r="EJ66" s="43"/>
      <c r="EK66" s="43"/>
      <c r="EL66" s="43"/>
      <c r="EM66" s="43"/>
      <c r="EN66" s="43"/>
      <c r="EO66" s="43"/>
      <c r="EP66" s="43"/>
      <c r="EQ66" s="43"/>
      <c r="ER66" s="43"/>
      <c r="ES66" s="43"/>
      <c r="ET66" s="43"/>
      <c r="EU66" s="43"/>
      <c r="EV66" s="43"/>
      <c r="EW66" s="43"/>
      <c r="EX66" s="43"/>
      <c r="EY66" s="43"/>
      <c r="EZ66" s="43"/>
      <c r="FA66" s="43"/>
      <c r="FB66" s="43"/>
      <c r="FC66" s="43"/>
      <c r="FD66" s="43"/>
      <c r="FE66" s="43"/>
      <c r="FF66" s="43"/>
      <c r="FG66" s="43"/>
      <c r="FH66" s="43"/>
      <c r="FI66" s="43"/>
      <c r="FJ66" s="43"/>
      <c r="FK66" s="43"/>
      <c r="FL66" s="43"/>
      <c r="FM66" s="43"/>
      <c r="FN66" s="43"/>
      <c r="FO66" s="43"/>
      <c r="FP66" s="43"/>
      <c r="FQ66" s="43"/>
      <c r="FR66" s="43"/>
      <c r="FS66" s="43"/>
      <c r="FT66" s="43"/>
      <c r="FU66" s="43"/>
      <c r="FV66" s="43"/>
      <c r="FW66" s="43"/>
      <c r="FX66" s="43"/>
      <c r="FY66" s="43"/>
      <c r="FZ66" s="43"/>
      <c r="GA66" s="43"/>
      <c r="GB66" s="43"/>
      <c r="GC66" s="43"/>
      <c r="GD66" s="43"/>
      <c r="GE66" s="43"/>
      <c r="GF66" s="43"/>
      <c r="GG66" s="43"/>
      <c r="GH66" s="43"/>
      <c r="GI66" s="43"/>
      <c r="GJ66" s="43"/>
      <c r="GK66" s="43"/>
      <c r="GL66" s="43"/>
      <c r="GM66" s="43"/>
      <c r="GN66" s="43"/>
      <c r="GO66" s="43"/>
      <c r="GP66" s="43"/>
      <c r="GQ66" s="43"/>
      <c r="GR66" s="43"/>
      <c r="GS66" s="43"/>
      <c r="GT66" s="43"/>
      <c r="GU66" s="43"/>
      <c r="GV66" s="43"/>
      <c r="GW66" s="43"/>
      <c r="GX66" s="43"/>
      <c r="GY66" s="43"/>
      <c r="GZ66" s="43"/>
      <c r="HA66" s="43"/>
      <c r="HB66" s="43"/>
      <c r="HC66" s="43"/>
      <c r="HD66" s="43"/>
      <c r="HE66" s="43"/>
      <c r="HF66" s="43"/>
      <c r="HG66" s="43"/>
      <c r="HH66" s="43"/>
      <c r="HI66" s="43"/>
      <c r="HJ66" s="43"/>
      <c r="HK66" s="43"/>
      <c r="HL66" s="43"/>
      <c r="HM66" s="43"/>
      <c r="HN66" s="43"/>
      <c r="HO66" s="43"/>
      <c r="HP66" s="43"/>
      <c r="HQ66" s="43"/>
      <c r="HR66" s="43"/>
      <c r="HS66" s="43"/>
      <c r="HT66" s="43"/>
      <c r="HU66" s="43"/>
      <c r="HV66" s="43"/>
      <c r="HW66" s="43"/>
      <c r="HX66" s="43"/>
      <c r="HY66" s="43"/>
      <c r="HZ66" s="43"/>
      <c r="IA66" s="43"/>
      <c r="IB66"/>
      <c r="IC66"/>
      <c r="ID66"/>
      <c r="IE66"/>
      <c r="IF66"/>
      <c r="IG66"/>
      <c r="IH66"/>
      <c r="II66"/>
      <c r="IJ66"/>
      <c r="IK66"/>
      <c r="IL66"/>
      <c r="IM66"/>
      <c r="IN66"/>
      <c r="IO66"/>
      <c r="IP66"/>
      <c r="IQ66"/>
    </row>
    <row r="67" spans="1:251" s="33" customFormat="1">
      <c r="A67" s="43"/>
      <c r="B67" s="43"/>
      <c r="C67" s="62"/>
      <c r="D67" s="245"/>
      <c r="E67" s="245"/>
      <c r="F67" s="245"/>
      <c r="G67" s="245"/>
      <c r="H67" s="245"/>
      <c r="I67" s="245"/>
      <c r="J67" s="245"/>
      <c r="K67" s="245"/>
      <c r="L67" s="245"/>
      <c r="M67" s="245"/>
      <c r="N67" s="245"/>
      <c r="O67" s="245"/>
      <c r="P67" s="245"/>
      <c r="Q67" s="245"/>
      <c r="R67" s="86"/>
      <c r="S67" s="86"/>
      <c r="T67" s="86"/>
      <c r="U67" s="86"/>
      <c r="V67" s="86"/>
      <c r="W67" s="86"/>
      <c r="X67" s="86"/>
      <c r="Y67" s="86"/>
      <c r="Z67" s="86"/>
      <c r="AA67" s="86"/>
      <c r="AB67" s="86"/>
      <c r="AC67" s="86"/>
      <c r="AD67" s="86"/>
      <c r="AE67" s="86"/>
      <c r="AF67" s="86"/>
      <c r="AG67" s="43"/>
      <c r="AH67" s="43"/>
      <c r="AI67" s="43"/>
      <c r="AJ67" s="43"/>
      <c r="AK67" s="43"/>
      <c r="AL67" s="43"/>
      <c r="AM67" s="43"/>
      <c r="AN67" s="43"/>
      <c r="AO67" s="43"/>
      <c r="AP67" s="43"/>
      <c r="AQ67" s="43"/>
      <c r="AR67" s="43"/>
      <c r="AS67" s="43"/>
      <c r="AT67" s="43"/>
      <c r="AU67" s="43"/>
      <c r="AV67" s="43"/>
      <c r="AW67" s="43"/>
      <c r="AX67" s="43"/>
      <c r="AY67" s="43"/>
      <c r="AZ67" s="43"/>
      <c r="BA67" s="43"/>
      <c r="BB67" s="43"/>
      <c r="BC67" s="43"/>
      <c r="BD67" s="43"/>
      <c r="BE67" s="43"/>
      <c r="BF67" s="43"/>
      <c r="BG67" s="43"/>
      <c r="BH67" s="43"/>
      <c r="BI67" s="43"/>
      <c r="BJ67" s="43"/>
      <c r="BK67" s="43"/>
      <c r="BL67" s="43"/>
      <c r="BM67" s="43"/>
      <c r="BN67" s="43"/>
      <c r="BO67" s="43"/>
      <c r="BP67" s="43"/>
      <c r="BQ67" s="43"/>
      <c r="BR67" s="43"/>
      <c r="BS67" s="43"/>
      <c r="BT67" s="43"/>
      <c r="BU67" s="43"/>
      <c r="BV67" s="43"/>
      <c r="BW67" s="43"/>
      <c r="BX67" s="43"/>
      <c r="BY67" s="43"/>
      <c r="BZ67" s="43"/>
      <c r="CA67" s="43"/>
      <c r="CB67" s="43"/>
      <c r="CC67" s="43"/>
      <c r="CD67" s="43"/>
      <c r="CE67" s="43"/>
      <c r="CF67" s="43"/>
      <c r="CG67" s="43"/>
      <c r="CH67" s="43"/>
      <c r="CI67" s="43"/>
      <c r="CJ67" s="43"/>
      <c r="CK67" s="43"/>
      <c r="CL67" s="43"/>
      <c r="CM67" s="43"/>
      <c r="CN67" s="43"/>
      <c r="CO67" s="43"/>
      <c r="CP67" s="43"/>
      <c r="CQ67" s="43"/>
      <c r="CR67" s="43"/>
      <c r="CS67" s="43"/>
      <c r="CT67" s="43"/>
      <c r="CU67" s="43"/>
      <c r="CV67" s="43"/>
      <c r="CW67" s="43"/>
      <c r="CX67" s="43"/>
      <c r="CY67" s="43"/>
      <c r="CZ67" s="43"/>
      <c r="DA67" s="43"/>
      <c r="DB67" s="43"/>
      <c r="DC67" s="43"/>
      <c r="DD67" s="43"/>
      <c r="DE67" s="43"/>
      <c r="DF67" s="43"/>
      <c r="DG67" s="43"/>
      <c r="DH67" s="43"/>
      <c r="DI67" s="43"/>
      <c r="DJ67" s="43"/>
      <c r="DK67" s="43"/>
      <c r="DL67" s="43"/>
      <c r="DM67" s="43"/>
      <c r="DN67" s="43"/>
      <c r="DO67" s="43"/>
      <c r="DP67" s="43"/>
      <c r="DQ67" s="43"/>
      <c r="DR67" s="43"/>
      <c r="DS67" s="43"/>
      <c r="DT67" s="43"/>
      <c r="DU67" s="43"/>
      <c r="DV67" s="43"/>
      <c r="DW67" s="43"/>
      <c r="DX67" s="43"/>
      <c r="DY67" s="43"/>
      <c r="DZ67" s="43"/>
      <c r="EA67" s="43"/>
      <c r="EB67" s="43"/>
      <c r="EC67" s="43"/>
      <c r="ED67" s="43"/>
      <c r="EE67" s="43"/>
      <c r="EF67" s="43"/>
      <c r="EG67" s="43"/>
      <c r="EH67" s="43"/>
      <c r="EI67" s="43"/>
      <c r="EJ67" s="43"/>
      <c r="EK67" s="43"/>
      <c r="EL67" s="43"/>
      <c r="EM67" s="43"/>
      <c r="EN67" s="43"/>
      <c r="EO67" s="43"/>
      <c r="EP67" s="43"/>
      <c r="EQ67" s="43"/>
      <c r="ER67" s="43"/>
      <c r="ES67" s="43"/>
      <c r="ET67" s="43"/>
      <c r="EU67" s="43"/>
      <c r="EV67" s="43"/>
      <c r="EW67" s="43"/>
      <c r="EX67" s="43"/>
      <c r="EY67" s="43"/>
      <c r="EZ67" s="43"/>
      <c r="FA67" s="43"/>
      <c r="FB67" s="43"/>
      <c r="FC67" s="43"/>
      <c r="FD67" s="43"/>
      <c r="FE67" s="43"/>
      <c r="FF67" s="43"/>
      <c r="FG67" s="43"/>
      <c r="FH67" s="43"/>
      <c r="FI67" s="43"/>
      <c r="FJ67" s="43"/>
      <c r="FK67" s="43"/>
      <c r="FL67" s="43"/>
      <c r="FM67" s="43"/>
      <c r="FN67" s="43"/>
      <c r="FO67" s="43"/>
      <c r="FP67" s="43"/>
      <c r="FQ67" s="43"/>
      <c r="FR67" s="43"/>
      <c r="FS67" s="43"/>
      <c r="FT67" s="43"/>
      <c r="FU67" s="43"/>
      <c r="FV67" s="43"/>
      <c r="FW67" s="43"/>
      <c r="FX67" s="43"/>
      <c r="FY67" s="43"/>
      <c r="FZ67" s="43"/>
      <c r="GA67" s="43"/>
      <c r="GB67" s="43"/>
      <c r="GC67" s="43"/>
      <c r="GD67" s="43"/>
      <c r="GE67" s="43"/>
      <c r="GF67" s="43"/>
      <c r="GG67" s="43"/>
      <c r="GH67" s="43"/>
      <c r="GI67" s="43"/>
      <c r="GJ67" s="43"/>
      <c r="GK67" s="43"/>
      <c r="GL67" s="43"/>
      <c r="GM67" s="43"/>
      <c r="GN67" s="43"/>
      <c r="GO67" s="43"/>
      <c r="GP67" s="43"/>
      <c r="GQ67" s="43"/>
      <c r="GR67" s="43"/>
      <c r="GS67" s="43"/>
      <c r="GT67" s="43"/>
      <c r="GU67" s="43"/>
      <c r="GV67" s="43"/>
      <c r="GW67" s="43"/>
      <c r="GX67" s="43"/>
      <c r="GY67" s="43"/>
      <c r="GZ67" s="43"/>
      <c r="HA67" s="43"/>
      <c r="HB67" s="43"/>
      <c r="HC67" s="43"/>
      <c r="HD67" s="43"/>
      <c r="HE67" s="43"/>
      <c r="HF67" s="43"/>
      <c r="HG67" s="43"/>
      <c r="HH67" s="43"/>
      <c r="HI67" s="43"/>
      <c r="HJ67" s="43"/>
      <c r="HK67" s="43"/>
      <c r="HL67" s="43"/>
      <c r="HM67" s="43"/>
      <c r="HN67" s="43"/>
      <c r="HO67" s="43"/>
      <c r="HP67" s="43"/>
      <c r="HQ67" s="43"/>
      <c r="HR67" s="43"/>
      <c r="HS67" s="43"/>
      <c r="HT67" s="43"/>
      <c r="HU67" s="43"/>
      <c r="HV67" s="43"/>
      <c r="HW67" s="43"/>
      <c r="HX67" s="43"/>
      <c r="HY67" s="43"/>
      <c r="HZ67" s="43"/>
      <c r="IA67" s="43"/>
      <c r="IB67"/>
      <c r="IC67"/>
      <c r="ID67"/>
      <c r="IE67"/>
      <c r="IF67"/>
      <c r="IG67"/>
      <c r="IH67"/>
      <c r="II67"/>
      <c r="IJ67"/>
      <c r="IK67"/>
      <c r="IL67"/>
      <c r="IM67"/>
      <c r="IN67"/>
      <c r="IO67"/>
      <c r="IP67"/>
      <c r="IQ67"/>
    </row>
    <row r="68" spans="1:251" s="68" customFormat="1">
      <c r="A68" s="286" t="s">
        <v>242</v>
      </c>
      <c r="B68" s="117"/>
      <c r="C68" s="156"/>
      <c r="D68" s="156"/>
      <c r="E68" s="156"/>
      <c r="F68" s="156">
        <f>F39+F41</f>
        <v>5244</v>
      </c>
      <c r="G68" s="156">
        <f>139+15+563-6251</f>
        <v>-5534</v>
      </c>
      <c r="H68" s="156">
        <f>H39+H41</f>
        <v>-334</v>
      </c>
      <c r="I68" s="156">
        <f>I39+I41</f>
        <v>827</v>
      </c>
      <c r="J68" s="156">
        <f>J39+J41+749</f>
        <v>1734</v>
      </c>
      <c r="K68" s="156">
        <v>11848.037305333299</v>
      </c>
      <c r="L68" s="156">
        <v>11719.249072000001</v>
      </c>
      <c r="M68" s="156">
        <f>M39+M41</f>
        <v>423</v>
      </c>
      <c r="N68" s="156">
        <v>27953.249071999999</v>
      </c>
      <c r="O68" s="156">
        <f t="shared" ref="O68:U68" si="32">O39+O41</f>
        <v>-1077</v>
      </c>
      <c r="P68" s="156">
        <f t="shared" si="32"/>
        <v>89</v>
      </c>
      <c r="Q68" s="156">
        <f t="shared" si="32"/>
        <v>104</v>
      </c>
      <c r="R68" s="156">
        <f t="shared" si="32"/>
        <v>-1298</v>
      </c>
      <c r="S68" s="156">
        <f t="shared" si="32"/>
        <v>-1082</v>
      </c>
      <c r="T68" s="156">
        <f>T39+T41</f>
        <v>-634</v>
      </c>
      <c r="U68" s="156">
        <f t="shared" si="32"/>
        <v>-939</v>
      </c>
      <c r="V68" s="156">
        <f t="shared" ref="V68:AA68" si="33">V39+V41</f>
        <v>-554</v>
      </c>
      <c r="W68" s="156">
        <f t="shared" si="33"/>
        <v>-1030</v>
      </c>
      <c r="X68" s="156">
        <f t="shared" si="33"/>
        <v>-2918</v>
      </c>
      <c r="Y68" s="156">
        <f t="shared" si="33"/>
        <v>-1000</v>
      </c>
      <c r="Z68" s="156">
        <f t="shared" si="33"/>
        <v>-2000</v>
      </c>
      <c r="AA68" s="156">
        <f t="shared" si="33"/>
        <v>-2000</v>
      </c>
      <c r="AB68" s="156">
        <f>AB39+AB41</f>
        <v>-2000</v>
      </c>
      <c r="AC68" s="156">
        <f>AC39+AC41</f>
        <v>-2000</v>
      </c>
      <c r="AD68" s="156">
        <f>AD39+AD41</f>
        <v>-2000</v>
      </c>
      <c r="AE68" s="156">
        <f>AE39+AE41</f>
        <v>-2000</v>
      </c>
      <c r="AF68" s="156">
        <f>AF39+AF41</f>
        <v>-2000</v>
      </c>
      <c r="IB68"/>
      <c r="IC68"/>
      <c r="ID68"/>
      <c r="IE68"/>
      <c r="IF68"/>
      <c r="IG68"/>
      <c r="IH68"/>
      <c r="II68"/>
      <c r="IJ68"/>
      <c r="IK68"/>
      <c r="IL68"/>
      <c r="IM68"/>
      <c r="IN68"/>
      <c r="IO68"/>
      <c r="IP68"/>
      <c r="IQ68"/>
    </row>
    <row r="69" spans="1:251" s="2" customFormat="1">
      <c r="D69" s="156">
        <v>11848.037305333299</v>
      </c>
      <c r="IB69"/>
      <c r="IC69"/>
      <c r="ID69"/>
      <c r="IE69"/>
      <c r="IF69"/>
      <c r="IG69"/>
      <c r="IH69"/>
      <c r="II69"/>
      <c r="IJ69"/>
      <c r="IK69"/>
      <c r="IL69"/>
      <c r="IM69"/>
      <c r="IN69"/>
      <c r="IO69"/>
      <c r="IP69"/>
      <c r="IQ69"/>
    </row>
    <row r="70" spans="1:251" s="2" customFormat="1">
      <c r="A70" s="32" t="s">
        <v>378</v>
      </c>
      <c r="IB70"/>
      <c r="IC70"/>
      <c r="ID70"/>
      <c r="IE70"/>
      <c r="IF70"/>
      <c r="IG70"/>
      <c r="IH70"/>
      <c r="II70"/>
      <c r="IJ70"/>
      <c r="IK70"/>
      <c r="IL70"/>
      <c r="IM70"/>
      <c r="IN70"/>
      <c r="IO70"/>
      <c r="IP70"/>
      <c r="IQ70"/>
    </row>
    <row r="71" spans="1:251" s="2" customFormat="1">
      <c r="IB71"/>
      <c r="IC71"/>
      <c r="ID71"/>
      <c r="IE71"/>
      <c r="IF71"/>
      <c r="IG71"/>
      <c r="IH71"/>
      <c r="II71"/>
      <c r="IJ71"/>
      <c r="IK71"/>
      <c r="IL71"/>
      <c r="IM71"/>
      <c r="IN71"/>
      <c r="IO71"/>
      <c r="IP71"/>
      <c r="IQ71"/>
    </row>
    <row r="72" spans="1:251" s="300" customFormat="1">
      <c r="A72" s="300" t="s">
        <v>379</v>
      </c>
      <c r="N72" s="349"/>
      <c r="O72" s="349"/>
      <c r="P72" s="349">
        <f>(IS!L22-IS!L26-IS!L27+P12+P14)*(1-IS!L38)</f>
        <v>4262.0663126106474</v>
      </c>
      <c r="Q72" s="349">
        <f>(IS!M22-IS!M26-IS!M27+Q12+Q14)*(1-IS!M38)</f>
        <v>4312.7016291520349</v>
      </c>
      <c r="R72" s="349">
        <f>(IS!N22-IS!N26-IS!N27+R12+R14)*(1-IS!N38)</f>
        <v>4499.46073188229</v>
      </c>
      <c r="S72" s="349">
        <f>(IS!O22-IS!O26-IS!O27+S12+S14)*(1-IS!O38)</f>
        <v>4430.4972338572552</v>
      </c>
      <c r="T72" s="349">
        <f>(IS!P22-IS!P26-IS!P27+T12+T14)*(1-IS!P38)</f>
        <v>4402.7556984450875</v>
      </c>
      <c r="U72" s="349">
        <f>(IS!Q22-IS!Q26-IS!Q27+U12+U14)*(1-IS!Q38)</f>
        <v>5004.4229445506699</v>
      </c>
      <c r="V72" s="349">
        <f>(IS!R22-IS!R26-IS!R27+V12+V14)*(1-IS!R38)</f>
        <v>5757.981086491337</v>
      </c>
      <c r="W72" s="349">
        <f>(IS!S22-IS!S26-IS!S27+W12+W14)*(1-IS!S38)</f>
        <v>5912.1515434985968</v>
      </c>
      <c r="X72" s="349">
        <f>(IS!T22-IS!T26-IS!T27+X12+X14)*(1-IS!T38)</f>
        <v>6758.1048815273698</v>
      </c>
      <c r="Y72" s="349">
        <f>(IS!U22-IS!U26-IS!U27+Y12+Y14)*(1-IS!U38)</f>
        <v>7462.9894922714648</v>
      </c>
      <c r="Z72" s="349">
        <f>(IS!V22-IS!V26-IS!V27+Z12+Z14)*(1-IS!V38)</f>
        <v>7998.73736388013</v>
      </c>
      <c r="AA72" s="349">
        <f>(IS!W22-IS!W26-IS!W27+AA12+AA14)*(1-IS!W38)</f>
        <v>8566.4277114268807</v>
      </c>
      <c r="AB72" s="349">
        <f>(IS!X22-IS!X26-IS!X27+AB12+AB14)*(1-IS!X38)</f>
        <v>8977.4133009809393</v>
      </c>
      <c r="AC72" s="349">
        <f>(IS!Y22-IS!Y26-IS!Y27+AC12+AC14)*(1-IS!Y38)</f>
        <v>9439.0343493264518</v>
      </c>
      <c r="AD72" s="349">
        <f>(IS!Z22-IS!Z26-IS!Z27+AD12+AD14)*(1-IS!Z38)</f>
        <v>9897.9100061997015</v>
      </c>
      <c r="AE72" s="349">
        <f>(IS!AA22-IS!AA26-IS!AA27+AE12+AE14)*(1-IS!AA38)</f>
        <v>10355.568076450892</v>
      </c>
      <c r="AF72" s="349">
        <f>(IS!AB22-IS!AB26-IS!AB27+AF12+AF14)*(1-IS!AB38)</f>
        <v>10813.496553371258</v>
      </c>
      <c r="IB72"/>
      <c r="IC72"/>
      <c r="ID72"/>
      <c r="IE72"/>
      <c r="IF72"/>
      <c r="IG72"/>
      <c r="IH72"/>
      <c r="II72"/>
      <c r="IJ72"/>
      <c r="IK72"/>
      <c r="IL72"/>
      <c r="IM72"/>
      <c r="IN72"/>
      <c r="IO72"/>
      <c r="IP72"/>
      <c r="IQ72"/>
    </row>
    <row r="73" spans="1:251" s="300" customFormat="1">
      <c r="B73" s="300" t="s">
        <v>390</v>
      </c>
      <c r="N73" s="349"/>
      <c r="O73" s="349"/>
      <c r="P73" s="308">
        <f>0.42*430</f>
        <v>180.6</v>
      </c>
      <c r="Q73" s="308">
        <f>0.71*430</f>
        <v>305.3</v>
      </c>
      <c r="R73" s="308">
        <f>0.84*430</f>
        <v>361.2</v>
      </c>
      <c r="S73" s="308">
        <f>R73*(1+((R73/Q73)-1))</f>
        <v>427.33521126760559</v>
      </c>
      <c r="T73" s="308">
        <f>S73*(1+((S73/R73)-1))</f>
        <v>505.57968657012492</v>
      </c>
      <c r="U73" s="308">
        <f>T73*(1+((T73/S73)-1))</f>
        <v>598.15061509704924</v>
      </c>
      <c r="V73" s="349"/>
      <c r="W73" s="349"/>
      <c r="X73" s="349"/>
      <c r="Y73" s="349"/>
      <c r="Z73" s="349"/>
      <c r="AA73" s="349"/>
      <c r="AB73" s="349"/>
      <c r="AC73" s="349"/>
      <c r="AD73" s="349"/>
      <c r="AE73" s="349"/>
      <c r="AF73" s="349"/>
      <c r="IB73"/>
      <c r="IC73"/>
      <c r="ID73"/>
      <c r="IE73"/>
      <c r="IF73"/>
      <c r="IG73"/>
      <c r="IH73"/>
      <c r="II73"/>
      <c r="IJ73"/>
      <c r="IK73"/>
      <c r="IL73"/>
      <c r="IM73"/>
      <c r="IN73"/>
      <c r="IO73"/>
      <c r="IP73"/>
      <c r="IQ73"/>
    </row>
    <row r="74" spans="1:251" s="300" customFormat="1">
      <c r="B74" s="300" t="s">
        <v>112</v>
      </c>
      <c r="N74" s="308"/>
      <c r="O74" s="308"/>
      <c r="P74" s="308">
        <f t="shared" ref="P74:V74" si="34">P28</f>
        <v>-273</v>
      </c>
      <c r="Q74" s="308">
        <f t="shared" si="34"/>
        <v>-168</v>
      </c>
      <c r="R74" s="308">
        <f t="shared" si="34"/>
        <v>-105</v>
      </c>
      <c r="S74" s="308">
        <f t="shared" si="34"/>
        <v>-124</v>
      </c>
      <c r="T74" s="308">
        <f t="shared" si="34"/>
        <v>-131</v>
      </c>
      <c r="U74" s="308">
        <f t="shared" si="34"/>
        <v>-163</v>
      </c>
      <c r="V74" s="308">
        <f t="shared" si="34"/>
        <v>-229</v>
      </c>
      <c r="W74" s="308">
        <f t="shared" ref="W74:AF74" si="35">W28</f>
        <v>-189</v>
      </c>
      <c r="X74" s="308">
        <f t="shared" si="35"/>
        <v>-198.45000000000002</v>
      </c>
      <c r="Y74" s="308">
        <f t="shared" si="35"/>
        <v>-208.37250000000003</v>
      </c>
      <c r="Z74" s="308">
        <f t="shared" si="35"/>
        <v>-218.79112500000005</v>
      </c>
      <c r="AA74" s="308">
        <f t="shared" si="35"/>
        <v>-229.73068125000006</v>
      </c>
      <c r="AB74" s="308">
        <f t="shared" si="35"/>
        <v>-241.21721531250009</v>
      </c>
      <c r="AC74" s="308">
        <f t="shared" si="35"/>
        <v>-253.27807607812511</v>
      </c>
      <c r="AD74" s="308">
        <f t="shared" si="35"/>
        <v>-265.94197988203138</v>
      </c>
      <c r="AE74" s="308">
        <f t="shared" si="35"/>
        <v>-279.23907887613296</v>
      </c>
      <c r="AF74" s="308">
        <f t="shared" si="35"/>
        <v>-293.2010328199396</v>
      </c>
      <c r="IB74"/>
      <c r="IC74"/>
      <c r="ID74"/>
      <c r="IE74"/>
      <c r="IF74"/>
      <c r="IG74"/>
      <c r="IH74"/>
      <c r="II74"/>
      <c r="IJ74"/>
      <c r="IK74"/>
      <c r="IL74"/>
      <c r="IM74"/>
      <c r="IN74"/>
      <c r="IO74"/>
      <c r="IP74"/>
      <c r="IQ74"/>
    </row>
    <row r="75" spans="1:251" s="300" customFormat="1">
      <c r="B75" s="300" t="s">
        <v>380</v>
      </c>
      <c r="N75" s="308"/>
      <c r="O75" s="308"/>
      <c r="P75" s="308">
        <f>-(IS!L32)*0.65</f>
        <v>-715</v>
      </c>
      <c r="Q75" s="308">
        <f>-(IS!M32)*0.65</f>
        <v>-737.1</v>
      </c>
      <c r="R75" s="308">
        <f>-(IS!N32)*0.65</f>
        <v>-752.05000000000007</v>
      </c>
      <c r="S75" s="308">
        <f>-(IS!O32)*0.65</f>
        <v>-731.9</v>
      </c>
      <c r="T75" s="308">
        <f>-(IS!P32)*0.65</f>
        <v>-681.85</v>
      </c>
      <c r="U75" s="308">
        <f>-(IS!Q32)*0.65</f>
        <v>-525.20000000000005</v>
      </c>
      <c r="V75" s="308">
        <f>-(IS!R32)*0.65</f>
        <v>-531.05000000000007</v>
      </c>
      <c r="W75" s="308">
        <f>-(IS!S32)*0.65</f>
        <v>-485.55</v>
      </c>
      <c r="X75" s="308">
        <f>-(IS!T32)*0.65</f>
        <v>-451.1</v>
      </c>
      <c r="Y75" s="308">
        <f ca="1">-(IS!U32)*0.65</f>
        <v>-442.27465723207644</v>
      </c>
      <c r="Z75" s="308">
        <f ca="1">-(IS!V32)*0.65</f>
        <v>-407.1915348652638</v>
      </c>
      <c r="AA75" s="308">
        <f ca="1">-(IS!W32)*0.65</f>
        <v>-389.94495217003464</v>
      </c>
      <c r="AB75" s="308">
        <f ca="1">-(IS!X32)*0.65</f>
        <v>-389.04002578402748</v>
      </c>
      <c r="AC75" s="308">
        <f ca="1">-(IS!Y32)*0.65</f>
        <v>-387.99388006736638</v>
      </c>
      <c r="AD75" s="308">
        <f ca="1">-(IS!Z32)*0.65</f>
        <v>-386.61721397000213</v>
      </c>
      <c r="AE75" s="308">
        <f ca="1">-(IS!AA32)*0.65</f>
        <v>-384.89609222994699</v>
      </c>
      <c r="AF75" s="308">
        <f ca="1">-(IS!AB32)*0.65</f>
        <v>-382.81657641687161</v>
      </c>
      <c r="IB75"/>
      <c r="IC75"/>
      <c r="ID75"/>
      <c r="IE75"/>
      <c r="IF75"/>
      <c r="IG75"/>
      <c r="IH75"/>
      <c r="II75"/>
      <c r="IJ75"/>
      <c r="IK75"/>
      <c r="IL75"/>
      <c r="IM75"/>
      <c r="IN75"/>
      <c r="IO75"/>
      <c r="IP75"/>
      <c r="IQ75"/>
    </row>
    <row r="76" spans="1:251" s="300" customFormat="1">
      <c r="B76" s="300" t="s">
        <v>381</v>
      </c>
      <c r="N76" s="308"/>
      <c r="O76" s="308"/>
      <c r="P76" s="308">
        <f t="shared" ref="P76:V76" si="36">P36</f>
        <v>-2693</v>
      </c>
      <c r="Q76" s="308">
        <f t="shared" si="36"/>
        <v>-2958</v>
      </c>
      <c r="R76" s="308">
        <f t="shared" si="36"/>
        <v>-3222</v>
      </c>
      <c r="S76" s="308">
        <f t="shared" si="36"/>
        <v>-3400</v>
      </c>
      <c r="T76" s="308">
        <f t="shared" si="36"/>
        <v>-3612</v>
      </c>
      <c r="U76" s="308">
        <f>U36</f>
        <v>-3892</v>
      </c>
      <c r="V76" s="308">
        <f t="shared" si="36"/>
        <v>-4179</v>
      </c>
      <c r="W76" s="308">
        <f t="shared" ref="W76:AF76" si="37">W36</f>
        <v>-4512</v>
      </c>
      <c r="X76" s="308">
        <f t="shared" si="37"/>
        <v>-4976.8014164970073</v>
      </c>
      <c r="Y76" s="308">
        <f t="shared" ca="1" si="37"/>
        <v>-5586.5181056968231</v>
      </c>
      <c r="Z76" s="308">
        <f t="shared" ca="1" si="37"/>
        <v>-6201.9166288488786</v>
      </c>
      <c r="AA76" s="308">
        <f t="shared" ca="1" si="37"/>
        <v>-6682.4985637595146</v>
      </c>
      <c r="AB76" s="308">
        <f t="shared" ca="1" si="37"/>
        <v>-7135.235056097029</v>
      </c>
      <c r="AC76" s="308">
        <f t="shared" ca="1" si="37"/>
        <v>-7551.4162028773681</v>
      </c>
      <c r="AD76" s="308">
        <f t="shared" ca="1" si="37"/>
        <v>-7968.7271282790734</v>
      </c>
      <c r="AE76" s="308">
        <f t="shared" ca="1" si="37"/>
        <v>-8388.7871332356935</v>
      </c>
      <c r="AF76" s="308">
        <f t="shared" ca="1" si="37"/>
        <v>-8813.1214562944679</v>
      </c>
      <c r="IB76"/>
      <c r="IC76"/>
      <c r="ID76"/>
      <c r="IE76"/>
      <c r="IF76"/>
      <c r="IG76"/>
      <c r="IH76"/>
      <c r="II76"/>
      <c r="IJ76"/>
      <c r="IK76"/>
      <c r="IL76"/>
      <c r="IM76"/>
      <c r="IN76"/>
      <c r="IO76"/>
      <c r="IP76"/>
      <c r="IQ76"/>
    </row>
    <row r="77" spans="1:251" s="300" customFormat="1">
      <c r="B77" s="301" t="s">
        <v>382</v>
      </c>
      <c r="N77" s="308"/>
      <c r="O77" s="308"/>
      <c r="P77" s="308"/>
      <c r="Q77" s="308"/>
      <c r="R77" s="308">
        <f>R41</f>
        <v>29</v>
      </c>
      <c r="S77" s="308">
        <f>S41</f>
        <v>-1082</v>
      </c>
      <c r="T77" s="308">
        <v>-1000</v>
      </c>
      <c r="U77" s="308">
        <v>-1000</v>
      </c>
      <c r="V77" s="308"/>
      <c r="W77" s="308"/>
      <c r="X77" s="308"/>
      <c r="Y77" s="308"/>
      <c r="Z77" s="308"/>
      <c r="AA77" s="308"/>
      <c r="AB77" s="308"/>
      <c r="AC77" s="308"/>
      <c r="AD77" s="308"/>
      <c r="AE77" s="308"/>
      <c r="AF77" s="308"/>
      <c r="IB77"/>
      <c r="IC77"/>
      <c r="ID77"/>
      <c r="IE77"/>
      <c r="IF77"/>
      <c r="IG77"/>
      <c r="IH77"/>
      <c r="II77"/>
      <c r="IJ77"/>
      <c r="IK77"/>
      <c r="IL77"/>
      <c r="IM77"/>
      <c r="IN77"/>
      <c r="IO77"/>
      <c r="IP77"/>
      <c r="IQ77"/>
    </row>
    <row r="78" spans="1:251" s="300" customFormat="1">
      <c r="B78" s="301" t="s">
        <v>384</v>
      </c>
      <c r="N78" s="308"/>
      <c r="O78" s="308"/>
      <c r="P78" s="308"/>
      <c r="Q78" s="308"/>
      <c r="R78" s="308"/>
      <c r="S78" s="308">
        <v>-500</v>
      </c>
      <c r="IB78"/>
      <c r="IC78"/>
      <c r="ID78"/>
      <c r="IE78"/>
      <c r="IF78"/>
      <c r="IG78"/>
      <c r="IH78"/>
      <c r="II78"/>
      <c r="IJ78"/>
      <c r="IK78"/>
      <c r="IL78"/>
      <c r="IM78"/>
      <c r="IN78"/>
      <c r="IO78"/>
      <c r="IP78"/>
      <c r="IQ78"/>
    </row>
    <row r="79" spans="1:251" s="300" customFormat="1">
      <c r="B79" s="301"/>
      <c r="N79" s="308"/>
      <c r="O79" s="308"/>
      <c r="P79" s="308"/>
      <c r="Q79" s="308"/>
      <c r="R79" s="308"/>
      <c r="S79" s="308"/>
      <c r="IB79"/>
      <c r="IC79"/>
      <c r="ID79"/>
      <c r="IE79"/>
      <c r="IF79"/>
      <c r="IG79"/>
      <c r="IH79"/>
      <c r="II79"/>
      <c r="IJ79"/>
      <c r="IK79"/>
      <c r="IL79"/>
      <c r="IM79"/>
      <c r="IN79"/>
      <c r="IO79"/>
      <c r="IP79"/>
      <c r="IQ79"/>
    </row>
    <row r="80" spans="1:251" s="300" customFormat="1">
      <c r="A80" s="300" t="s">
        <v>383</v>
      </c>
      <c r="N80" s="349"/>
      <c r="O80" s="349"/>
      <c r="P80" s="349">
        <f t="shared" ref="P80:V80" si="38">SUM(P72:P78)</f>
        <v>761.66631261064776</v>
      </c>
      <c r="Q80" s="349">
        <f t="shared" si="38"/>
        <v>754.90162915203518</v>
      </c>
      <c r="R80" s="349">
        <f t="shared" si="38"/>
        <v>810.61073188228966</v>
      </c>
      <c r="S80" s="349">
        <f t="shared" si="38"/>
        <v>-980.06755487513919</v>
      </c>
      <c r="T80" s="349">
        <f t="shared" si="38"/>
        <v>-516.51461498478739</v>
      </c>
      <c r="U80" s="349">
        <f>SUM(U72:U78)</f>
        <v>22.373559647719048</v>
      </c>
      <c r="V80" s="349">
        <f t="shared" si="38"/>
        <v>818.93108649133683</v>
      </c>
      <c r="W80" s="349">
        <f t="shared" ref="W80:AF80" si="39">SUM(W72:W78)</f>
        <v>725.60154349859658</v>
      </c>
      <c r="X80" s="349">
        <f t="shared" si="39"/>
        <v>1131.7534650303623</v>
      </c>
      <c r="Y80" s="349">
        <f t="shared" ca="1" si="39"/>
        <v>1225.8242293425646</v>
      </c>
      <c r="Z80" s="349">
        <f t="shared" ca="1" si="39"/>
        <v>1170.8380751659879</v>
      </c>
      <c r="AA80" s="349">
        <f t="shared" ca="1" si="39"/>
        <v>1264.2535142473325</v>
      </c>
      <c r="AB80" s="349">
        <f t="shared" ca="1" si="39"/>
        <v>1211.9210037873827</v>
      </c>
      <c r="AC80" s="349">
        <f t="shared" ca="1" si="39"/>
        <v>1246.3461903035932</v>
      </c>
      <c r="AD80" s="349">
        <f t="shared" ca="1" si="39"/>
        <v>1276.6236840685942</v>
      </c>
      <c r="AE80" s="349">
        <f t="shared" ca="1" si="39"/>
        <v>1302.6457721091192</v>
      </c>
      <c r="AF80" s="349">
        <f t="shared" ca="1" si="39"/>
        <v>1324.3574878399795</v>
      </c>
      <c r="IB80"/>
      <c r="IC80"/>
      <c r="ID80"/>
      <c r="IE80"/>
      <c r="IF80"/>
      <c r="IG80"/>
      <c r="IH80"/>
      <c r="II80"/>
      <c r="IJ80"/>
      <c r="IK80"/>
      <c r="IL80"/>
      <c r="IM80"/>
      <c r="IN80"/>
      <c r="IO80"/>
      <c r="IP80"/>
      <c r="IQ80"/>
    </row>
    <row r="83" spans="1:251" s="4" customFormat="1">
      <c r="A83" s="129" t="s">
        <v>112</v>
      </c>
      <c r="IB83"/>
      <c r="IC83"/>
      <c r="ID83"/>
      <c r="IE83"/>
      <c r="IF83"/>
      <c r="IG83"/>
      <c r="IH83"/>
      <c r="II83"/>
      <c r="IJ83"/>
      <c r="IK83"/>
      <c r="IL83"/>
      <c r="IM83"/>
      <c r="IN83"/>
      <c r="IO83"/>
      <c r="IP83"/>
      <c r="IQ83"/>
    </row>
    <row r="84" spans="1:251" s="4" customFormat="1">
      <c r="A84" s="43" t="s">
        <v>35</v>
      </c>
      <c r="N84" s="365">
        <v>352</v>
      </c>
      <c r="O84" s="365">
        <v>227</v>
      </c>
      <c r="P84" s="365">
        <f>4+147</f>
        <v>151</v>
      </c>
      <c r="Q84" s="365">
        <v>70</v>
      </c>
      <c r="R84" s="365">
        <v>46</v>
      </c>
      <c r="S84" s="365">
        <v>48</v>
      </c>
      <c r="IB84"/>
      <c r="IC84"/>
      <c r="ID84"/>
      <c r="IE84"/>
      <c r="IF84"/>
      <c r="IG84"/>
      <c r="IH84"/>
      <c r="II84"/>
      <c r="IJ84"/>
      <c r="IK84"/>
      <c r="IL84"/>
      <c r="IM84"/>
      <c r="IN84"/>
      <c r="IO84"/>
      <c r="IP84"/>
      <c r="IQ84"/>
    </row>
    <row r="85" spans="1:251" s="4" customFormat="1">
      <c r="A85" s="43" t="s">
        <v>471</v>
      </c>
      <c r="N85" s="365"/>
      <c r="O85" s="365">
        <v>0</v>
      </c>
      <c r="P85" s="365">
        <v>18</v>
      </c>
      <c r="Q85" s="365">
        <v>19</v>
      </c>
      <c r="R85" s="365">
        <v>24</v>
      </c>
      <c r="S85" s="365">
        <v>36</v>
      </c>
      <c r="IB85"/>
      <c r="IC85"/>
      <c r="ID85"/>
      <c r="IE85"/>
      <c r="IF85"/>
      <c r="IG85"/>
      <c r="IH85"/>
      <c r="II85"/>
      <c r="IJ85"/>
      <c r="IK85"/>
      <c r="IL85"/>
      <c r="IM85"/>
      <c r="IN85"/>
      <c r="IO85"/>
      <c r="IP85"/>
      <c r="IQ85"/>
    </row>
    <row r="86" spans="1:251" s="4" customFormat="1">
      <c r="A86" s="43" t="s">
        <v>472</v>
      </c>
      <c r="N86" s="365"/>
      <c r="O86" s="365"/>
      <c r="P86" s="365">
        <v>24</v>
      </c>
      <c r="Q86" s="365">
        <v>22</v>
      </c>
      <c r="R86" s="365">
        <v>14</v>
      </c>
      <c r="S86" s="365">
        <v>30</v>
      </c>
      <c r="IB86"/>
      <c r="IC86"/>
      <c r="ID86"/>
      <c r="IE86"/>
      <c r="IF86"/>
      <c r="IG86"/>
      <c r="IH86"/>
      <c r="II86"/>
      <c r="IJ86"/>
      <c r="IK86"/>
      <c r="IL86"/>
      <c r="IM86"/>
      <c r="IN86"/>
      <c r="IO86"/>
      <c r="IP86"/>
      <c r="IQ86"/>
    </row>
    <row r="87" spans="1:251" s="4" customFormat="1">
      <c r="A87" s="43" t="s">
        <v>473</v>
      </c>
      <c r="N87" s="365">
        <v>34</v>
      </c>
      <c r="O87" s="365">
        <v>14</v>
      </c>
      <c r="P87" s="365">
        <v>80</v>
      </c>
      <c r="Q87" s="365">
        <v>57</v>
      </c>
      <c r="R87" s="365">
        <v>10</v>
      </c>
      <c r="S87" s="365">
        <v>10</v>
      </c>
      <c r="IB87"/>
      <c r="IC87"/>
      <c r="ID87"/>
      <c r="IE87"/>
      <c r="IF87"/>
      <c r="IG87"/>
      <c r="IH87"/>
      <c r="II87"/>
      <c r="IJ87"/>
      <c r="IK87"/>
      <c r="IL87"/>
      <c r="IM87"/>
      <c r="IN87"/>
      <c r="IO87"/>
      <c r="IP87"/>
      <c r="IQ87"/>
    </row>
    <row r="88" spans="1:251" s="8" customFormat="1">
      <c r="A88" s="129" t="s">
        <v>73</v>
      </c>
      <c r="N88" s="8">
        <f t="shared" ref="N88:S88" si="40">+SUM(N84:N87)</f>
        <v>386</v>
      </c>
      <c r="O88" s="8">
        <f t="shared" si="40"/>
        <v>241</v>
      </c>
      <c r="P88" s="8">
        <f t="shared" si="40"/>
        <v>273</v>
      </c>
      <c r="Q88" s="8">
        <f t="shared" si="40"/>
        <v>168</v>
      </c>
      <c r="R88" s="8">
        <f t="shared" si="40"/>
        <v>94</v>
      </c>
      <c r="S88" s="8">
        <f t="shared" si="40"/>
        <v>124</v>
      </c>
      <c r="IB88"/>
      <c r="IC88"/>
      <c r="ID88"/>
      <c r="IE88"/>
      <c r="IF88"/>
      <c r="IG88"/>
      <c r="IH88"/>
      <c r="II88"/>
      <c r="IJ88"/>
      <c r="IK88"/>
      <c r="IL88"/>
      <c r="IM88"/>
      <c r="IN88"/>
      <c r="IO88"/>
      <c r="IP88"/>
      <c r="IQ88"/>
    </row>
    <row r="89" spans="1:251" s="4" customFormat="1">
      <c r="IB89"/>
      <c r="IC89"/>
      <c r="ID89"/>
      <c r="IE89"/>
      <c r="IF89"/>
      <c r="IG89"/>
      <c r="IH89"/>
      <c r="II89"/>
      <c r="IJ89"/>
      <c r="IK89"/>
      <c r="IL89"/>
      <c r="IM89"/>
      <c r="IN89"/>
      <c r="IO89"/>
      <c r="IP89"/>
      <c r="IQ89"/>
    </row>
    <row r="90" spans="1:251" s="4" customFormat="1">
      <c r="A90" s="129" t="s">
        <v>85</v>
      </c>
      <c r="IB90"/>
      <c r="IC90"/>
      <c r="ID90"/>
      <c r="IE90"/>
      <c r="IF90"/>
      <c r="IG90"/>
      <c r="IH90"/>
      <c r="II90"/>
      <c r="IJ90"/>
      <c r="IK90"/>
      <c r="IL90"/>
      <c r="IM90"/>
      <c r="IN90"/>
      <c r="IO90"/>
      <c r="IP90"/>
      <c r="IQ90"/>
    </row>
    <row r="91" spans="1:251" s="4" customFormat="1">
      <c r="A91" s="43" t="s">
        <v>35</v>
      </c>
      <c r="N91" s="365">
        <v>210</v>
      </c>
      <c r="O91" s="365">
        <v>183</v>
      </c>
      <c r="P91" s="365">
        <f>168+2</f>
        <v>170</v>
      </c>
      <c r="Q91" s="365">
        <v>167</v>
      </c>
      <c r="R91" s="365">
        <v>145</v>
      </c>
      <c r="S91" s="365">
        <v>125</v>
      </c>
      <c r="IB91"/>
      <c r="IC91"/>
      <c r="ID91"/>
      <c r="IE91"/>
      <c r="IF91"/>
      <c r="IG91"/>
      <c r="IH91"/>
      <c r="II91"/>
      <c r="IJ91"/>
      <c r="IK91"/>
      <c r="IL91"/>
      <c r="IM91"/>
      <c r="IN91"/>
      <c r="IO91"/>
      <c r="IP91"/>
      <c r="IQ91"/>
    </row>
    <row r="92" spans="1:251" s="4" customFormat="1">
      <c r="A92" s="43" t="s">
        <v>471</v>
      </c>
      <c r="N92" s="365"/>
      <c r="O92" s="365"/>
      <c r="P92" s="365">
        <v>41</v>
      </c>
      <c r="Q92" s="365">
        <v>32</v>
      </c>
      <c r="R92" s="365">
        <v>31</v>
      </c>
      <c r="S92" s="365">
        <v>26</v>
      </c>
      <c r="IB92"/>
      <c r="IC92"/>
      <c r="ID92"/>
      <c r="IE92"/>
      <c r="IF92"/>
      <c r="IG92"/>
      <c r="IH92"/>
      <c r="II92"/>
      <c r="IJ92"/>
      <c r="IK92"/>
      <c r="IL92"/>
      <c r="IM92"/>
      <c r="IN92"/>
      <c r="IO92"/>
      <c r="IP92"/>
      <c r="IQ92"/>
    </row>
    <row r="93" spans="1:251" s="4" customFormat="1">
      <c r="A93" s="43" t="s">
        <v>472</v>
      </c>
      <c r="N93" s="365"/>
      <c r="O93" s="365"/>
      <c r="P93" s="365">
        <v>22</v>
      </c>
      <c r="Q93" s="365">
        <v>23</v>
      </c>
      <c r="R93" s="365">
        <v>25</v>
      </c>
      <c r="S93" s="365">
        <v>27</v>
      </c>
      <c r="IB93"/>
      <c r="IC93"/>
      <c r="ID93"/>
      <c r="IE93"/>
      <c r="IF93"/>
      <c r="IG93"/>
      <c r="IH93"/>
      <c r="II93"/>
      <c r="IJ93"/>
      <c r="IK93"/>
      <c r="IL93"/>
      <c r="IM93"/>
      <c r="IN93"/>
      <c r="IO93"/>
      <c r="IP93"/>
      <c r="IQ93"/>
    </row>
    <row r="94" spans="1:251" s="4" customFormat="1">
      <c r="A94" s="43" t="s">
        <v>473</v>
      </c>
      <c r="N94" s="365">
        <v>22</v>
      </c>
      <c r="O94" s="365">
        <v>25</v>
      </c>
      <c r="P94" s="365">
        <v>38</v>
      </c>
      <c r="Q94" s="365">
        <v>34</v>
      </c>
      <c r="R94" s="365">
        <v>32</v>
      </c>
      <c r="S94" s="365">
        <v>27</v>
      </c>
      <c r="IB94"/>
      <c r="IC94"/>
      <c r="ID94"/>
      <c r="IE94"/>
      <c r="IF94"/>
      <c r="IG94"/>
      <c r="IH94"/>
      <c r="II94"/>
      <c r="IJ94"/>
      <c r="IK94"/>
      <c r="IL94"/>
      <c r="IM94"/>
      <c r="IN94"/>
      <c r="IO94"/>
      <c r="IP94"/>
      <c r="IQ94"/>
    </row>
    <row r="95" spans="1:251" s="8" customFormat="1">
      <c r="A95" s="129" t="s">
        <v>73</v>
      </c>
      <c r="N95" s="8">
        <f t="shared" ref="N95:S95" si="41">+SUM(N91:N94)</f>
        <v>232</v>
      </c>
      <c r="O95" s="8">
        <f t="shared" si="41"/>
        <v>208</v>
      </c>
      <c r="P95" s="8">
        <f t="shared" si="41"/>
        <v>271</v>
      </c>
      <c r="Q95" s="8">
        <f t="shared" si="41"/>
        <v>256</v>
      </c>
      <c r="R95" s="8">
        <f t="shared" si="41"/>
        <v>233</v>
      </c>
      <c r="S95" s="8">
        <f t="shared" si="41"/>
        <v>205</v>
      </c>
      <c r="IB95"/>
      <c r="IC95"/>
      <c r="ID95"/>
      <c r="IE95"/>
      <c r="IF95"/>
      <c r="IG95"/>
      <c r="IH95"/>
      <c r="II95"/>
      <c r="IJ95"/>
      <c r="IK95"/>
      <c r="IL95"/>
      <c r="IM95"/>
      <c r="IN95"/>
      <c r="IO95"/>
      <c r="IP95"/>
      <c r="IQ95"/>
    </row>
  </sheetData>
  <phoneticPr fontId="2" type="noConversion"/>
  <pageMargins left="0" right="0" top="0" bottom="0" header="0" footer="0"/>
  <pageSetup paperSize="5" scale="10" orientation="landscape" horizontalDpi="300" verticalDpi="300"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43"/>
  <sheetViews>
    <sheetView workbookViewId="0">
      <selection activeCell="B42" sqref="B42"/>
    </sheetView>
  </sheetViews>
  <sheetFormatPr defaultRowHeight="12.75"/>
  <cols>
    <col min="1" max="1" width="29.5703125" style="1085" bestFit="1" customWidth="1"/>
    <col min="2" max="2" width="19.85546875" style="1103" customWidth="1"/>
    <col min="3" max="3" width="12" style="1085" bestFit="1" customWidth="1"/>
    <col min="4" max="256" width="9.140625" style="1085"/>
    <col min="257" max="257" width="29.5703125" style="1085" bestFit="1" customWidth="1"/>
    <col min="258" max="258" width="19.85546875" style="1085" customWidth="1"/>
    <col min="259" max="259" width="12" style="1085" bestFit="1" customWidth="1"/>
    <col min="260" max="512" width="9.140625" style="1085"/>
    <col min="513" max="513" width="29.5703125" style="1085" bestFit="1" customWidth="1"/>
    <col min="514" max="514" width="19.85546875" style="1085" customWidth="1"/>
    <col min="515" max="515" width="12" style="1085" bestFit="1" customWidth="1"/>
    <col min="516" max="768" width="9.140625" style="1085"/>
    <col min="769" max="769" width="29.5703125" style="1085" bestFit="1" customWidth="1"/>
    <col min="770" max="770" width="19.85546875" style="1085" customWidth="1"/>
    <col min="771" max="771" width="12" style="1085" bestFit="1" customWidth="1"/>
    <col min="772" max="1024" width="9.140625" style="1085"/>
    <col min="1025" max="1025" width="29.5703125" style="1085" bestFit="1" customWidth="1"/>
    <col min="1026" max="1026" width="19.85546875" style="1085" customWidth="1"/>
    <col min="1027" max="1027" width="12" style="1085" bestFit="1" customWidth="1"/>
    <col min="1028" max="1280" width="9.140625" style="1085"/>
    <col min="1281" max="1281" width="29.5703125" style="1085" bestFit="1" customWidth="1"/>
    <col min="1282" max="1282" width="19.85546875" style="1085" customWidth="1"/>
    <col min="1283" max="1283" width="12" style="1085" bestFit="1" customWidth="1"/>
    <col min="1284" max="1536" width="9.140625" style="1085"/>
    <col min="1537" max="1537" width="29.5703125" style="1085" bestFit="1" customWidth="1"/>
    <col min="1538" max="1538" width="19.85546875" style="1085" customWidth="1"/>
    <col min="1539" max="1539" width="12" style="1085" bestFit="1" customWidth="1"/>
    <col min="1540" max="1792" width="9.140625" style="1085"/>
    <col min="1793" max="1793" width="29.5703125" style="1085" bestFit="1" customWidth="1"/>
    <col min="1794" max="1794" width="19.85546875" style="1085" customWidth="1"/>
    <col min="1795" max="1795" width="12" style="1085" bestFit="1" customWidth="1"/>
    <col min="1796" max="2048" width="9.140625" style="1085"/>
    <col min="2049" max="2049" width="29.5703125" style="1085" bestFit="1" customWidth="1"/>
    <col min="2050" max="2050" width="19.85546875" style="1085" customWidth="1"/>
    <col min="2051" max="2051" width="12" style="1085" bestFit="1" customWidth="1"/>
    <col min="2052" max="2304" width="9.140625" style="1085"/>
    <col min="2305" max="2305" width="29.5703125" style="1085" bestFit="1" customWidth="1"/>
    <col min="2306" max="2306" width="19.85546875" style="1085" customWidth="1"/>
    <col min="2307" max="2307" width="12" style="1085" bestFit="1" customWidth="1"/>
    <col min="2308" max="2560" width="9.140625" style="1085"/>
    <col min="2561" max="2561" width="29.5703125" style="1085" bestFit="1" customWidth="1"/>
    <col min="2562" max="2562" width="19.85546875" style="1085" customWidth="1"/>
    <col min="2563" max="2563" width="12" style="1085" bestFit="1" customWidth="1"/>
    <col min="2564" max="2816" width="9.140625" style="1085"/>
    <col min="2817" max="2817" width="29.5703125" style="1085" bestFit="1" customWidth="1"/>
    <col min="2818" max="2818" width="19.85546875" style="1085" customWidth="1"/>
    <col min="2819" max="2819" width="12" style="1085" bestFit="1" customWidth="1"/>
    <col min="2820" max="3072" width="9.140625" style="1085"/>
    <col min="3073" max="3073" width="29.5703125" style="1085" bestFit="1" customWidth="1"/>
    <col min="3074" max="3074" width="19.85546875" style="1085" customWidth="1"/>
    <col min="3075" max="3075" width="12" style="1085" bestFit="1" customWidth="1"/>
    <col min="3076" max="3328" width="9.140625" style="1085"/>
    <col min="3329" max="3329" width="29.5703125" style="1085" bestFit="1" customWidth="1"/>
    <col min="3330" max="3330" width="19.85546875" style="1085" customWidth="1"/>
    <col min="3331" max="3331" width="12" style="1085" bestFit="1" customWidth="1"/>
    <col min="3332" max="3584" width="9.140625" style="1085"/>
    <col min="3585" max="3585" width="29.5703125" style="1085" bestFit="1" customWidth="1"/>
    <col min="3586" max="3586" width="19.85546875" style="1085" customWidth="1"/>
    <col min="3587" max="3587" width="12" style="1085" bestFit="1" customWidth="1"/>
    <col min="3588" max="3840" width="9.140625" style="1085"/>
    <col min="3841" max="3841" width="29.5703125" style="1085" bestFit="1" customWidth="1"/>
    <col min="3842" max="3842" width="19.85546875" style="1085" customWidth="1"/>
    <col min="3843" max="3843" width="12" style="1085" bestFit="1" customWidth="1"/>
    <col min="3844" max="4096" width="9.140625" style="1085"/>
    <col min="4097" max="4097" width="29.5703125" style="1085" bestFit="1" customWidth="1"/>
    <col min="4098" max="4098" width="19.85546875" style="1085" customWidth="1"/>
    <col min="4099" max="4099" width="12" style="1085" bestFit="1" customWidth="1"/>
    <col min="4100" max="4352" width="9.140625" style="1085"/>
    <col min="4353" max="4353" width="29.5703125" style="1085" bestFit="1" customWidth="1"/>
    <col min="4354" max="4354" width="19.85546875" style="1085" customWidth="1"/>
    <col min="4355" max="4355" width="12" style="1085" bestFit="1" customWidth="1"/>
    <col min="4356" max="4608" width="9.140625" style="1085"/>
    <col min="4609" max="4609" width="29.5703125" style="1085" bestFit="1" customWidth="1"/>
    <col min="4610" max="4610" width="19.85546875" style="1085" customWidth="1"/>
    <col min="4611" max="4611" width="12" style="1085" bestFit="1" customWidth="1"/>
    <col min="4612" max="4864" width="9.140625" style="1085"/>
    <col min="4865" max="4865" width="29.5703125" style="1085" bestFit="1" customWidth="1"/>
    <col min="4866" max="4866" width="19.85546875" style="1085" customWidth="1"/>
    <col min="4867" max="4867" width="12" style="1085" bestFit="1" customWidth="1"/>
    <col min="4868" max="5120" width="9.140625" style="1085"/>
    <col min="5121" max="5121" width="29.5703125" style="1085" bestFit="1" customWidth="1"/>
    <col min="5122" max="5122" width="19.85546875" style="1085" customWidth="1"/>
    <col min="5123" max="5123" width="12" style="1085" bestFit="1" customWidth="1"/>
    <col min="5124" max="5376" width="9.140625" style="1085"/>
    <col min="5377" max="5377" width="29.5703125" style="1085" bestFit="1" customWidth="1"/>
    <col min="5378" max="5378" width="19.85546875" style="1085" customWidth="1"/>
    <col min="5379" max="5379" width="12" style="1085" bestFit="1" customWidth="1"/>
    <col min="5380" max="5632" width="9.140625" style="1085"/>
    <col min="5633" max="5633" width="29.5703125" style="1085" bestFit="1" customWidth="1"/>
    <col min="5634" max="5634" width="19.85546875" style="1085" customWidth="1"/>
    <col min="5635" max="5635" width="12" style="1085" bestFit="1" customWidth="1"/>
    <col min="5636" max="5888" width="9.140625" style="1085"/>
    <col min="5889" max="5889" width="29.5703125" style="1085" bestFit="1" customWidth="1"/>
    <col min="5890" max="5890" width="19.85546875" style="1085" customWidth="1"/>
    <col min="5891" max="5891" width="12" style="1085" bestFit="1" customWidth="1"/>
    <col min="5892" max="6144" width="9.140625" style="1085"/>
    <col min="6145" max="6145" width="29.5703125" style="1085" bestFit="1" customWidth="1"/>
    <col min="6146" max="6146" width="19.85546875" style="1085" customWidth="1"/>
    <col min="6147" max="6147" width="12" style="1085" bestFit="1" customWidth="1"/>
    <col min="6148" max="6400" width="9.140625" style="1085"/>
    <col min="6401" max="6401" width="29.5703125" style="1085" bestFit="1" customWidth="1"/>
    <col min="6402" max="6402" width="19.85546875" style="1085" customWidth="1"/>
    <col min="6403" max="6403" width="12" style="1085" bestFit="1" customWidth="1"/>
    <col min="6404" max="6656" width="9.140625" style="1085"/>
    <col min="6657" max="6657" width="29.5703125" style="1085" bestFit="1" customWidth="1"/>
    <col min="6658" max="6658" width="19.85546875" style="1085" customWidth="1"/>
    <col min="6659" max="6659" width="12" style="1085" bestFit="1" customWidth="1"/>
    <col min="6660" max="6912" width="9.140625" style="1085"/>
    <col min="6913" max="6913" width="29.5703125" style="1085" bestFit="1" customWidth="1"/>
    <col min="6914" max="6914" width="19.85546875" style="1085" customWidth="1"/>
    <col min="6915" max="6915" width="12" style="1085" bestFit="1" customWidth="1"/>
    <col min="6916" max="7168" width="9.140625" style="1085"/>
    <col min="7169" max="7169" width="29.5703125" style="1085" bestFit="1" customWidth="1"/>
    <col min="7170" max="7170" width="19.85546875" style="1085" customWidth="1"/>
    <col min="7171" max="7171" width="12" style="1085" bestFit="1" customWidth="1"/>
    <col min="7172" max="7424" width="9.140625" style="1085"/>
    <col min="7425" max="7425" width="29.5703125" style="1085" bestFit="1" customWidth="1"/>
    <col min="7426" max="7426" width="19.85546875" style="1085" customWidth="1"/>
    <col min="7427" max="7427" width="12" style="1085" bestFit="1" customWidth="1"/>
    <col min="7428" max="7680" width="9.140625" style="1085"/>
    <col min="7681" max="7681" width="29.5703125" style="1085" bestFit="1" customWidth="1"/>
    <col min="7682" max="7682" width="19.85546875" style="1085" customWidth="1"/>
    <col min="7683" max="7683" width="12" style="1085" bestFit="1" customWidth="1"/>
    <col min="7684" max="7936" width="9.140625" style="1085"/>
    <col min="7937" max="7937" width="29.5703125" style="1085" bestFit="1" customWidth="1"/>
    <col min="7938" max="7938" width="19.85546875" style="1085" customWidth="1"/>
    <col min="7939" max="7939" width="12" style="1085" bestFit="1" customWidth="1"/>
    <col min="7940" max="8192" width="9.140625" style="1085"/>
    <col min="8193" max="8193" width="29.5703125" style="1085" bestFit="1" customWidth="1"/>
    <col min="8194" max="8194" width="19.85546875" style="1085" customWidth="1"/>
    <col min="8195" max="8195" width="12" style="1085" bestFit="1" customWidth="1"/>
    <col min="8196" max="8448" width="9.140625" style="1085"/>
    <col min="8449" max="8449" width="29.5703125" style="1085" bestFit="1" customWidth="1"/>
    <col min="8450" max="8450" width="19.85546875" style="1085" customWidth="1"/>
    <col min="8451" max="8451" width="12" style="1085" bestFit="1" customWidth="1"/>
    <col min="8452" max="8704" width="9.140625" style="1085"/>
    <col min="8705" max="8705" width="29.5703125" style="1085" bestFit="1" customWidth="1"/>
    <col min="8706" max="8706" width="19.85546875" style="1085" customWidth="1"/>
    <col min="8707" max="8707" width="12" style="1085" bestFit="1" customWidth="1"/>
    <col min="8708" max="8960" width="9.140625" style="1085"/>
    <col min="8961" max="8961" width="29.5703125" style="1085" bestFit="1" customWidth="1"/>
    <col min="8962" max="8962" width="19.85546875" style="1085" customWidth="1"/>
    <col min="8963" max="8963" width="12" style="1085" bestFit="1" customWidth="1"/>
    <col min="8964" max="9216" width="9.140625" style="1085"/>
    <col min="9217" max="9217" width="29.5703125" style="1085" bestFit="1" customWidth="1"/>
    <col min="9218" max="9218" width="19.85546875" style="1085" customWidth="1"/>
    <col min="9219" max="9219" width="12" style="1085" bestFit="1" customWidth="1"/>
    <col min="9220" max="9472" width="9.140625" style="1085"/>
    <col min="9473" max="9473" width="29.5703125" style="1085" bestFit="1" customWidth="1"/>
    <col min="9474" max="9474" width="19.85546875" style="1085" customWidth="1"/>
    <col min="9475" max="9475" width="12" style="1085" bestFit="1" customWidth="1"/>
    <col min="9476" max="9728" width="9.140625" style="1085"/>
    <col min="9729" max="9729" width="29.5703125" style="1085" bestFit="1" customWidth="1"/>
    <col min="9730" max="9730" width="19.85546875" style="1085" customWidth="1"/>
    <col min="9731" max="9731" width="12" style="1085" bestFit="1" customWidth="1"/>
    <col min="9732" max="9984" width="9.140625" style="1085"/>
    <col min="9985" max="9985" width="29.5703125" style="1085" bestFit="1" customWidth="1"/>
    <col min="9986" max="9986" width="19.85546875" style="1085" customWidth="1"/>
    <col min="9987" max="9987" width="12" style="1085" bestFit="1" customWidth="1"/>
    <col min="9988" max="10240" width="9.140625" style="1085"/>
    <col min="10241" max="10241" width="29.5703125" style="1085" bestFit="1" customWidth="1"/>
    <col min="10242" max="10242" width="19.85546875" style="1085" customWidth="1"/>
    <col min="10243" max="10243" width="12" style="1085" bestFit="1" customWidth="1"/>
    <col min="10244" max="10496" width="9.140625" style="1085"/>
    <col min="10497" max="10497" width="29.5703125" style="1085" bestFit="1" customWidth="1"/>
    <col min="10498" max="10498" width="19.85546875" style="1085" customWidth="1"/>
    <col min="10499" max="10499" width="12" style="1085" bestFit="1" customWidth="1"/>
    <col min="10500" max="10752" width="9.140625" style="1085"/>
    <col min="10753" max="10753" width="29.5703125" style="1085" bestFit="1" customWidth="1"/>
    <col min="10754" max="10754" width="19.85546875" style="1085" customWidth="1"/>
    <col min="10755" max="10755" width="12" style="1085" bestFit="1" customWidth="1"/>
    <col min="10756" max="11008" width="9.140625" style="1085"/>
    <col min="11009" max="11009" width="29.5703125" style="1085" bestFit="1" customWidth="1"/>
    <col min="11010" max="11010" width="19.85546875" style="1085" customWidth="1"/>
    <col min="11011" max="11011" width="12" style="1085" bestFit="1" customWidth="1"/>
    <col min="11012" max="11264" width="9.140625" style="1085"/>
    <col min="11265" max="11265" width="29.5703125" style="1085" bestFit="1" customWidth="1"/>
    <col min="11266" max="11266" width="19.85546875" style="1085" customWidth="1"/>
    <col min="11267" max="11267" width="12" style="1085" bestFit="1" customWidth="1"/>
    <col min="11268" max="11520" width="9.140625" style="1085"/>
    <col min="11521" max="11521" width="29.5703125" style="1085" bestFit="1" customWidth="1"/>
    <col min="11522" max="11522" width="19.85546875" style="1085" customWidth="1"/>
    <col min="11523" max="11523" width="12" style="1085" bestFit="1" customWidth="1"/>
    <col min="11524" max="11776" width="9.140625" style="1085"/>
    <col min="11777" max="11777" width="29.5703125" style="1085" bestFit="1" customWidth="1"/>
    <col min="11778" max="11778" width="19.85546875" style="1085" customWidth="1"/>
    <col min="11779" max="11779" width="12" style="1085" bestFit="1" customWidth="1"/>
    <col min="11780" max="12032" width="9.140625" style="1085"/>
    <col min="12033" max="12033" width="29.5703125" style="1085" bestFit="1" customWidth="1"/>
    <col min="12034" max="12034" width="19.85546875" style="1085" customWidth="1"/>
    <col min="12035" max="12035" width="12" style="1085" bestFit="1" customWidth="1"/>
    <col min="12036" max="12288" width="9.140625" style="1085"/>
    <col min="12289" max="12289" width="29.5703125" style="1085" bestFit="1" customWidth="1"/>
    <col min="12290" max="12290" width="19.85546875" style="1085" customWidth="1"/>
    <col min="12291" max="12291" width="12" style="1085" bestFit="1" customWidth="1"/>
    <col min="12292" max="12544" width="9.140625" style="1085"/>
    <col min="12545" max="12545" width="29.5703125" style="1085" bestFit="1" customWidth="1"/>
    <col min="12546" max="12546" width="19.85546875" style="1085" customWidth="1"/>
    <col min="12547" max="12547" width="12" style="1085" bestFit="1" customWidth="1"/>
    <col min="12548" max="12800" width="9.140625" style="1085"/>
    <col min="12801" max="12801" width="29.5703125" style="1085" bestFit="1" customWidth="1"/>
    <col min="12802" max="12802" width="19.85546875" style="1085" customWidth="1"/>
    <col min="12803" max="12803" width="12" style="1085" bestFit="1" customWidth="1"/>
    <col min="12804" max="13056" width="9.140625" style="1085"/>
    <col min="13057" max="13057" width="29.5703125" style="1085" bestFit="1" customWidth="1"/>
    <col min="13058" max="13058" width="19.85546875" style="1085" customWidth="1"/>
    <col min="13059" max="13059" width="12" style="1085" bestFit="1" customWidth="1"/>
    <col min="13060" max="13312" width="9.140625" style="1085"/>
    <col min="13313" max="13313" width="29.5703125" style="1085" bestFit="1" customWidth="1"/>
    <col min="13314" max="13314" width="19.85546875" style="1085" customWidth="1"/>
    <col min="13315" max="13315" width="12" style="1085" bestFit="1" customWidth="1"/>
    <col min="13316" max="13568" width="9.140625" style="1085"/>
    <col min="13569" max="13569" width="29.5703125" style="1085" bestFit="1" customWidth="1"/>
    <col min="13570" max="13570" width="19.85546875" style="1085" customWidth="1"/>
    <col min="13571" max="13571" width="12" style="1085" bestFit="1" customWidth="1"/>
    <col min="13572" max="13824" width="9.140625" style="1085"/>
    <col min="13825" max="13825" width="29.5703125" style="1085" bestFit="1" customWidth="1"/>
    <col min="13826" max="13826" width="19.85546875" style="1085" customWidth="1"/>
    <col min="13827" max="13827" width="12" style="1085" bestFit="1" customWidth="1"/>
    <col min="13828" max="14080" width="9.140625" style="1085"/>
    <col min="14081" max="14081" width="29.5703125" style="1085" bestFit="1" customWidth="1"/>
    <col min="14082" max="14082" width="19.85546875" style="1085" customWidth="1"/>
    <col min="14083" max="14083" width="12" style="1085" bestFit="1" customWidth="1"/>
    <col min="14084" max="14336" width="9.140625" style="1085"/>
    <col min="14337" max="14337" width="29.5703125" style="1085" bestFit="1" customWidth="1"/>
    <col min="14338" max="14338" width="19.85546875" style="1085" customWidth="1"/>
    <col min="14339" max="14339" width="12" style="1085" bestFit="1" customWidth="1"/>
    <col min="14340" max="14592" width="9.140625" style="1085"/>
    <col min="14593" max="14593" width="29.5703125" style="1085" bestFit="1" customWidth="1"/>
    <col min="14594" max="14594" width="19.85546875" style="1085" customWidth="1"/>
    <col min="14595" max="14595" width="12" style="1085" bestFit="1" customWidth="1"/>
    <col min="14596" max="14848" width="9.140625" style="1085"/>
    <col min="14849" max="14849" width="29.5703125" style="1085" bestFit="1" customWidth="1"/>
    <col min="14850" max="14850" width="19.85546875" style="1085" customWidth="1"/>
    <col min="14851" max="14851" width="12" style="1085" bestFit="1" customWidth="1"/>
    <col min="14852" max="15104" width="9.140625" style="1085"/>
    <col min="15105" max="15105" width="29.5703125" style="1085" bestFit="1" customWidth="1"/>
    <col min="15106" max="15106" width="19.85546875" style="1085" customWidth="1"/>
    <col min="15107" max="15107" width="12" style="1085" bestFit="1" customWidth="1"/>
    <col min="15108" max="15360" width="9.140625" style="1085"/>
    <col min="15361" max="15361" width="29.5703125" style="1085" bestFit="1" customWidth="1"/>
    <col min="15362" max="15362" width="19.85546875" style="1085" customWidth="1"/>
    <col min="15363" max="15363" width="12" style="1085" bestFit="1" customWidth="1"/>
    <col min="15364" max="15616" width="9.140625" style="1085"/>
    <col min="15617" max="15617" width="29.5703125" style="1085" bestFit="1" customWidth="1"/>
    <col min="15618" max="15618" width="19.85546875" style="1085" customWidth="1"/>
    <col min="15619" max="15619" width="12" style="1085" bestFit="1" customWidth="1"/>
    <col min="15620" max="15872" width="9.140625" style="1085"/>
    <col min="15873" max="15873" width="29.5703125" style="1085" bestFit="1" customWidth="1"/>
    <col min="15874" max="15874" width="19.85546875" style="1085" customWidth="1"/>
    <col min="15875" max="15875" width="12" style="1085" bestFit="1" customWidth="1"/>
    <col min="15876" max="16128" width="9.140625" style="1085"/>
    <col min="16129" max="16129" width="29.5703125" style="1085" bestFit="1" customWidth="1"/>
    <col min="16130" max="16130" width="19.85546875" style="1085" customWidth="1"/>
    <col min="16131" max="16131" width="12" style="1085" bestFit="1" customWidth="1"/>
    <col min="16132" max="16384" width="9.140625" style="1085"/>
  </cols>
  <sheetData>
    <row r="1" spans="1:2">
      <c r="A1" s="1085" t="s">
        <v>1007</v>
      </c>
      <c r="B1" s="1102">
        <v>6.1</v>
      </c>
    </row>
    <row r="2" spans="1:2">
      <c r="A2" s="1085" t="s">
        <v>1008</v>
      </c>
      <c r="B2" s="1106">
        <v>43208.592141203706</v>
      </c>
    </row>
    <row r="3" spans="1:2">
      <c r="A3" s="1085" t="s">
        <v>1009</v>
      </c>
      <c r="B3" s="1103" t="s">
        <v>708</v>
      </c>
    </row>
    <row r="4" spans="1:2">
      <c r="A4" s="1085" t="s">
        <v>1010</v>
      </c>
      <c r="B4" s="1103" t="s">
        <v>1011</v>
      </c>
    </row>
    <row r="5" spans="1:2">
      <c r="A5" s="1085" t="s">
        <v>1012</v>
      </c>
      <c r="B5" s="1103" t="s">
        <v>1013</v>
      </c>
    </row>
    <row r="6" spans="1:2">
      <c r="A6" s="1085" t="s">
        <v>1014</v>
      </c>
    </row>
    <row r="7" spans="1:2">
      <c r="A7" s="1085" t="s">
        <v>1015</v>
      </c>
      <c r="B7" s="1103" t="s">
        <v>591</v>
      </c>
    </row>
    <row r="8" spans="1:2">
      <c r="A8" s="1085" t="s">
        <v>1016</v>
      </c>
      <c r="B8" s="1103" t="s">
        <v>1017</v>
      </c>
    </row>
    <row r="9" spans="1:2">
      <c r="A9" s="1085" t="s">
        <v>1018</v>
      </c>
      <c r="B9" s="1103" t="s">
        <v>1055</v>
      </c>
    </row>
    <row r="10" spans="1:2">
      <c r="A10" s="1085" t="s">
        <v>1019</v>
      </c>
    </row>
    <row r="11" spans="1:2">
      <c r="A11" s="1085" t="s">
        <v>1020</v>
      </c>
    </row>
    <row r="12" spans="1:2">
      <c r="A12" s="1085" t="s">
        <v>1021</v>
      </c>
    </row>
    <row r="13" spans="1:2">
      <c r="A13" s="1085" t="s">
        <v>1022</v>
      </c>
    </row>
    <row r="14" spans="1:2">
      <c r="A14" s="1085" t="s">
        <v>1023</v>
      </c>
    </row>
    <row r="15" spans="1:2">
      <c r="A15" s="1085" t="s">
        <v>1024</v>
      </c>
    </row>
    <row r="16" spans="1:2">
      <c r="A16" s="1085" t="s">
        <v>1025</v>
      </c>
    </row>
    <row r="17" spans="1:4">
      <c r="A17" s="1085" t="s">
        <v>1026</v>
      </c>
      <c r="B17" s="1103" t="s">
        <v>1056</v>
      </c>
    </row>
    <row r="18" spans="1:4">
      <c r="A18" s="1085" t="s">
        <v>1027</v>
      </c>
      <c r="B18" s="1103" t="s">
        <v>709</v>
      </c>
    </row>
    <row r="19" spans="1:4">
      <c r="A19" s="1085" t="s">
        <v>1028</v>
      </c>
      <c r="B19" s="1103" t="s">
        <v>300</v>
      </c>
    </row>
    <row r="20" spans="1:4">
      <c r="A20" s="1085" t="s">
        <v>1029</v>
      </c>
      <c r="B20" s="1104" t="s">
        <v>1059</v>
      </c>
    </row>
    <row r="21" spans="1:4">
      <c r="A21" s="1085" t="s">
        <v>1030</v>
      </c>
      <c r="B21" s="1103" t="s">
        <v>300</v>
      </c>
    </row>
    <row r="22" spans="1:4">
      <c r="A22" s="1085" t="s">
        <v>1031</v>
      </c>
      <c r="B22" s="1104">
        <v>2692632</v>
      </c>
    </row>
    <row r="23" spans="1:4">
      <c r="A23" s="1085" t="s">
        <v>186</v>
      </c>
      <c r="B23" s="1102">
        <v>60.81</v>
      </c>
    </row>
    <row r="24" spans="1:4">
      <c r="A24" s="1085" t="s">
        <v>221</v>
      </c>
      <c r="B24" s="1103" t="s">
        <v>422</v>
      </c>
      <c r="D24" s="1085" t="s">
        <v>493</v>
      </c>
    </row>
    <row r="25" spans="1:4">
      <c r="A25" s="1085" t="s">
        <v>1032</v>
      </c>
      <c r="B25" s="1103" t="s">
        <v>1060</v>
      </c>
    </row>
    <row r="26" spans="1:4">
      <c r="A26" s="1085" t="s">
        <v>1033</v>
      </c>
      <c r="B26" s="1103">
        <v>0</v>
      </c>
    </row>
    <row r="27" spans="1:4">
      <c r="A27" s="1085" t="s">
        <v>1034</v>
      </c>
      <c r="B27" s="1103" t="s">
        <v>1035</v>
      </c>
    </row>
    <row r="28" spans="1:4">
      <c r="A28" s="1085" t="s">
        <v>1036</v>
      </c>
      <c r="B28" s="1103" t="s">
        <v>1037</v>
      </c>
    </row>
    <row r="29" spans="1:4">
      <c r="A29" s="1085" t="s">
        <v>1038</v>
      </c>
    </row>
    <row r="30" spans="1:4">
      <c r="A30" s="1085" t="s">
        <v>1039</v>
      </c>
    </row>
    <row r="31" spans="1:4">
      <c r="A31" s="1085" t="s">
        <v>1040</v>
      </c>
    </row>
    <row r="32" spans="1:4">
      <c r="A32" s="1085" t="s">
        <v>1041</v>
      </c>
      <c r="B32" s="1102"/>
    </row>
    <row r="33" spans="1:2">
      <c r="A33" s="1085" t="s">
        <v>1042</v>
      </c>
      <c r="B33" s="1102"/>
    </row>
    <row r="34" spans="1:2">
      <c r="A34" s="1085" t="s">
        <v>1043</v>
      </c>
      <c r="B34" s="1102"/>
    </row>
    <row r="35" spans="1:2">
      <c r="A35" s="1085" t="s">
        <v>1044</v>
      </c>
      <c r="B35" s="1103">
        <v>1000000</v>
      </c>
    </row>
    <row r="36" spans="1:2">
      <c r="A36" s="1085" t="s">
        <v>1045</v>
      </c>
      <c r="B36" s="1103" t="s">
        <v>1057</v>
      </c>
    </row>
    <row r="37" spans="1:2">
      <c r="A37" s="1085" t="s">
        <v>1046</v>
      </c>
      <c r="B37" s="1103" t="s">
        <v>1047</v>
      </c>
    </row>
    <row r="38" spans="1:2">
      <c r="A38" s="1085" t="s">
        <v>1048</v>
      </c>
      <c r="B38" s="1103" t="s">
        <v>1049</v>
      </c>
    </row>
    <row r="39" spans="1:2">
      <c r="A39" s="1085" t="s">
        <v>1050</v>
      </c>
      <c r="B39" s="1103" t="s">
        <v>1058</v>
      </c>
    </row>
    <row r="40" spans="1:2">
      <c r="A40" s="1085" t="s">
        <v>1051</v>
      </c>
      <c r="B40" s="1103">
        <v>1500000240</v>
      </c>
    </row>
    <row r="41" spans="1:2">
      <c r="A41" s="1085" t="s">
        <v>1052</v>
      </c>
      <c r="B41" s="1103">
        <v>1</v>
      </c>
    </row>
    <row r="42" spans="1:2">
      <c r="A42" s="1105" t="s">
        <v>1053</v>
      </c>
    </row>
    <row r="43" spans="1:2">
      <c r="A43" s="1085" t="s">
        <v>1054</v>
      </c>
    </row>
  </sheetData>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13"/>
  <sheetViews>
    <sheetView workbookViewId="0">
      <selection activeCell="E11" sqref="E11"/>
    </sheetView>
  </sheetViews>
  <sheetFormatPr defaultRowHeight="12.75"/>
  <cols>
    <col min="1" max="1" width="28.5703125" style="1085" bestFit="1" customWidth="1"/>
    <col min="2" max="256" width="9.140625" style="1085"/>
    <col min="257" max="257" width="28.5703125" style="1085" bestFit="1" customWidth="1"/>
    <col min="258" max="512" width="9.140625" style="1085"/>
    <col min="513" max="513" width="28.5703125" style="1085" bestFit="1" customWidth="1"/>
    <col min="514" max="768" width="9.140625" style="1085"/>
    <col min="769" max="769" width="28.5703125" style="1085" bestFit="1" customWidth="1"/>
    <col min="770" max="1024" width="9.140625" style="1085"/>
    <col min="1025" max="1025" width="28.5703125" style="1085" bestFit="1" customWidth="1"/>
    <col min="1026" max="1280" width="9.140625" style="1085"/>
    <col min="1281" max="1281" width="28.5703125" style="1085" bestFit="1" customWidth="1"/>
    <col min="1282" max="1536" width="9.140625" style="1085"/>
    <col min="1537" max="1537" width="28.5703125" style="1085" bestFit="1" customWidth="1"/>
    <col min="1538" max="1792" width="9.140625" style="1085"/>
    <col min="1793" max="1793" width="28.5703125" style="1085" bestFit="1" customWidth="1"/>
    <col min="1794" max="2048" width="9.140625" style="1085"/>
    <col min="2049" max="2049" width="28.5703125" style="1085" bestFit="1" customWidth="1"/>
    <col min="2050" max="2304" width="9.140625" style="1085"/>
    <col min="2305" max="2305" width="28.5703125" style="1085" bestFit="1" customWidth="1"/>
    <col min="2306" max="2560" width="9.140625" style="1085"/>
    <col min="2561" max="2561" width="28.5703125" style="1085" bestFit="1" customWidth="1"/>
    <col min="2562" max="2816" width="9.140625" style="1085"/>
    <col min="2817" max="2817" width="28.5703125" style="1085" bestFit="1" customWidth="1"/>
    <col min="2818" max="3072" width="9.140625" style="1085"/>
    <col min="3073" max="3073" width="28.5703125" style="1085" bestFit="1" customWidth="1"/>
    <col min="3074" max="3328" width="9.140625" style="1085"/>
    <col min="3329" max="3329" width="28.5703125" style="1085" bestFit="1" customWidth="1"/>
    <col min="3330" max="3584" width="9.140625" style="1085"/>
    <col min="3585" max="3585" width="28.5703125" style="1085" bestFit="1" customWidth="1"/>
    <col min="3586" max="3840" width="9.140625" style="1085"/>
    <col min="3841" max="3841" width="28.5703125" style="1085" bestFit="1" customWidth="1"/>
    <col min="3842" max="4096" width="9.140625" style="1085"/>
    <col min="4097" max="4097" width="28.5703125" style="1085" bestFit="1" customWidth="1"/>
    <col min="4098" max="4352" width="9.140625" style="1085"/>
    <col min="4353" max="4353" width="28.5703125" style="1085" bestFit="1" customWidth="1"/>
    <col min="4354" max="4608" width="9.140625" style="1085"/>
    <col min="4609" max="4609" width="28.5703125" style="1085" bestFit="1" customWidth="1"/>
    <col min="4610" max="4864" width="9.140625" style="1085"/>
    <col min="4865" max="4865" width="28.5703125" style="1085" bestFit="1" customWidth="1"/>
    <col min="4866" max="5120" width="9.140625" style="1085"/>
    <col min="5121" max="5121" width="28.5703125" style="1085" bestFit="1" customWidth="1"/>
    <col min="5122" max="5376" width="9.140625" style="1085"/>
    <col min="5377" max="5377" width="28.5703125" style="1085" bestFit="1" customWidth="1"/>
    <col min="5378" max="5632" width="9.140625" style="1085"/>
    <col min="5633" max="5633" width="28.5703125" style="1085" bestFit="1" customWidth="1"/>
    <col min="5634" max="5888" width="9.140625" style="1085"/>
    <col min="5889" max="5889" width="28.5703125" style="1085" bestFit="1" customWidth="1"/>
    <col min="5890" max="6144" width="9.140625" style="1085"/>
    <col min="6145" max="6145" width="28.5703125" style="1085" bestFit="1" customWidth="1"/>
    <col min="6146" max="6400" width="9.140625" style="1085"/>
    <col min="6401" max="6401" width="28.5703125" style="1085" bestFit="1" customWidth="1"/>
    <col min="6402" max="6656" width="9.140625" style="1085"/>
    <col min="6657" max="6657" width="28.5703125" style="1085" bestFit="1" customWidth="1"/>
    <col min="6658" max="6912" width="9.140625" style="1085"/>
    <col min="6913" max="6913" width="28.5703125" style="1085" bestFit="1" customWidth="1"/>
    <col min="6914" max="7168" width="9.140625" style="1085"/>
    <col min="7169" max="7169" width="28.5703125" style="1085" bestFit="1" customWidth="1"/>
    <col min="7170" max="7424" width="9.140625" style="1085"/>
    <col min="7425" max="7425" width="28.5703125" style="1085" bestFit="1" customWidth="1"/>
    <col min="7426" max="7680" width="9.140625" style="1085"/>
    <col min="7681" max="7681" width="28.5703125" style="1085" bestFit="1" customWidth="1"/>
    <col min="7682" max="7936" width="9.140625" style="1085"/>
    <col min="7937" max="7937" width="28.5703125" style="1085" bestFit="1" customWidth="1"/>
    <col min="7938" max="8192" width="9.140625" style="1085"/>
    <col min="8193" max="8193" width="28.5703125" style="1085" bestFit="1" customWidth="1"/>
    <col min="8194" max="8448" width="9.140625" style="1085"/>
    <col min="8449" max="8449" width="28.5703125" style="1085" bestFit="1" customWidth="1"/>
    <col min="8450" max="8704" width="9.140625" style="1085"/>
    <col min="8705" max="8705" width="28.5703125" style="1085" bestFit="1" customWidth="1"/>
    <col min="8706" max="8960" width="9.140625" style="1085"/>
    <col min="8961" max="8961" width="28.5703125" style="1085" bestFit="1" customWidth="1"/>
    <col min="8962" max="9216" width="9.140625" style="1085"/>
    <col min="9217" max="9217" width="28.5703125" style="1085" bestFit="1" customWidth="1"/>
    <col min="9218" max="9472" width="9.140625" style="1085"/>
    <col min="9473" max="9473" width="28.5703125" style="1085" bestFit="1" customWidth="1"/>
    <col min="9474" max="9728" width="9.140625" style="1085"/>
    <col min="9729" max="9729" width="28.5703125" style="1085" bestFit="1" customWidth="1"/>
    <col min="9730" max="9984" width="9.140625" style="1085"/>
    <col min="9985" max="9985" width="28.5703125" style="1085" bestFit="1" customWidth="1"/>
    <col min="9986" max="10240" width="9.140625" style="1085"/>
    <col min="10241" max="10241" width="28.5703125" style="1085" bestFit="1" customWidth="1"/>
    <col min="10242" max="10496" width="9.140625" style="1085"/>
    <col min="10497" max="10497" width="28.5703125" style="1085" bestFit="1" customWidth="1"/>
    <col min="10498" max="10752" width="9.140625" style="1085"/>
    <col min="10753" max="10753" width="28.5703125" style="1085" bestFit="1" customWidth="1"/>
    <col min="10754" max="11008" width="9.140625" style="1085"/>
    <col min="11009" max="11009" width="28.5703125" style="1085" bestFit="1" customWidth="1"/>
    <col min="11010" max="11264" width="9.140625" style="1085"/>
    <col min="11265" max="11265" width="28.5703125" style="1085" bestFit="1" customWidth="1"/>
    <col min="11266" max="11520" width="9.140625" style="1085"/>
    <col min="11521" max="11521" width="28.5703125" style="1085" bestFit="1" customWidth="1"/>
    <col min="11522" max="11776" width="9.140625" style="1085"/>
    <col min="11777" max="11777" width="28.5703125" style="1085" bestFit="1" customWidth="1"/>
    <col min="11778" max="12032" width="9.140625" style="1085"/>
    <col min="12033" max="12033" width="28.5703125" style="1085" bestFit="1" customWidth="1"/>
    <col min="12034" max="12288" width="9.140625" style="1085"/>
    <col min="12289" max="12289" width="28.5703125" style="1085" bestFit="1" customWidth="1"/>
    <col min="12290" max="12544" width="9.140625" style="1085"/>
    <col min="12545" max="12545" width="28.5703125" style="1085" bestFit="1" customWidth="1"/>
    <col min="12546" max="12800" width="9.140625" style="1085"/>
    <col min="12801" max="12801" width="28.5703125" style="1085" bestFit="1" customWidth="1"/>
    <col min="12802" max="13056" width="9.140625" style="1085"/>
    <col min="13057" max="13057" width="28.5703125" style="1085" bestFit="1" customWidth="1"/>
    <col min="13058" max="13312" width="9.140625" style="1085"/>
    <col min="13313" max="13313" width="28.5703125" style="1085" bestFit="1" customWidth="1"/>
    <col min="13314" max="13568" width="9.140625" style="1085"/>
    <col min="13569" max="13569" width="28.5703125" style="1085" bestFit="1" customWidth="1"/>
    <col min="13570" max="13824" width="9.140625" style="1085"/>
    <col min="13825" max="13825" width="28.5703125" style="1085" bestFit="1" customWidth="1"/>
    <col min="13826" max="14080" width="9.140625" style="1085"/>
    <col min="14081" max="14081" width="28.5703125" style="1085" bestFit="1" customWidth="1"/>
    <col min="14082" max="14336" width="9.140625" style="1085"/>
    <col min="14337" max="14337" width="28.5703125" style="1085" bestFit="1" customWidth="1"/>
    <col min="14338" max="14592" width="9.140625" style="1085"/>
    <col min="14593" max="14593" width="28.5703125" style="1085" bestFit="1" customWidth="1"/>
    <col min="14594" max="14848" width="9.140625" style="1085"/>
    <col min="14849" max="14849" width="28.5703125" style="1085" bestFit="1" customWidth="1"/>
    <col min="14850" max="15104" width="9.140625" style="1085"/>
    <col min="15105" max="15105" width="28.5703125" style="1085" bestFit="1" customWidth="1"/>
    <col min="15106" max="15360" width="9.140625" style="1085"/>
    <col min="15361" max="15361" width="28.5703125" style="1085" bestFit="1" customWidth="1"/>
    <col min="15362" max="15616" width="9.140625" style="1085"/>
    <col min="15617" max="15617" width="28.5703125" style="1085" bestFit="1" customWidth="1"/>
    <col min="15618" max="15872" width="9.140625" style="1085"/>
    <col min="15873" max="15873" width="28.5703125" style="1085" bestFit="1" customWidth="1"/>
    <col min="15874" max="16128" width="9.140625" style="1085"/>
    <col min="16129" max="16129" width="28.5703125" style="1085" bestFit="1" customWidth="1"/>
    <col min="16130" max="16384" width="9.140625" style="1085"/>
  </cols>
  <sheetData>
    <row r="1" spans="1:1">
      <c r="A1" s="1107" t="s">
        <v>1061</v>
      </c>
    </row>
    <row r="2" spans="1:1">
      <c r="A2" s="1107" t="s">
        <v>1066</v>
      </c>
    </row>
    <row r="3" spans="1:1">
      <c r="A3" s="1107" t="s">
        <v>1067</v>
      </c>
    </row>
    <row r="4" spans="1:1">
      <c r="A4" s="1107" t="s">
        <v>1068</v>
      </c>
    </row>
    <row r="5" spans="1:1">
      <c r="A5" s="1107" t="s">
        <v>1069</v>
      </c>
    </row>
    <row r="6" spans="1:1">
      <c r="A6" s="1107" t="s">
        <v>1062</v>
      </c>
    </row>
    <row r="7" spans="1:1">
      <c r="A7" s="1107" t="s">
        <v>1070</v>
      </c>
    </row>
    <row r="8" spans="1:1">
      <c r="A8" s="1107" t="s">
        <v>1071</v>
      </c>
    </row>
    <row r="9" spans="1:1">
      <c r="A9" s="1107" t="s">
        <v>1072</v>
      </c>
    </row>
    <row r="10" spans="1:1">
      <c r="A10" s="1107" t="s">
        <v>1063</v>
      </c>
    </row>
    <row r="11" spans="1:1">
      <c r="A11" s="1107" t="s">
        <v>1073</v>
      </c>
    </row>
    <row r="12" spans="1:1">
      <c r="A12" s="1107" t="s">
        <v>1064</v>
      </c>
    </row>
    <row r="13" spans="1:1">
      <c r="A13" s="1107" t="s">
        <v>1065</v>
      </c>
    </row>
  </sheetData>
  <pageMargins left="0.75" right="0.75" top="1" bottom="1" header="0.5" footer="0.5"/>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3"/>
  <sheetViews>
    <sheetView workbookViewId="0"/>
  </sheetViews>
  <sheetFormatPr defaultRowHeight="12.75"/>
  <sheetData>
    <row r="1" spans="1:2">
      <c r="B1" t="s">
        <v>88</v>
      </c>
    </row>
    <row r="2" spans="1:2"/>
    <row r="3" spans="1:2"/>
  </sheetData>
  <phoneticPr fontId="2" type="noConversion"/>
  <pageMargins left="0.75" right="0.75" top="1" bottom="1" header="0.5" footer="0.5"/>
  <pageSetup orientation="portrait" r:id="rId1"/>
  <headerFooter alignWithMargins="0"/>
  <legacyDrawing r:id="rId2"/>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mtd:Metadata xmlns:lkmtd="thomsonreuters.linking.metadatachange">
  <MetadataChanged>0</MetadataChanged>
</lkmtd:Metadata>
</file>

<file path=customXml/item2.xml><?xml version="1.0" encoding="utf-8"?>
<lk:Links xmlns:lk="thomsonreuters.linking.metadata">
  <Link>
    <GUID>c0dfca15-1fbc-423c-85ee-c689a75bf2d0</GUID>
    <SOURCE_ALTADDRESS>$A$6:$CM$137</SOURCE_ALTADDRESS>
    <SOURCETYPE>Table</SOURCETYPE>
    <SOURCE_OBJECTNAME>Linking_Range_44</SOURCE_OBJECTNAME>
    <OBJECTTYPE>Native</OBJECTTYPE>
    <SOURCE_SHEETCODE>Sheet5</SOURCE_SHEETCODE>
    <SOURCE_SHEETNAME>IS Quarterly</SOURCE_SHEETNAME>
    <SOURCEAPPLICATION>EXCEL_SOURCE</SOURCEAPPLICATION>
    <UPDATEDAT>2/13/2015 2:09:41 PM</UPDATEDAT>
    <SOURCE_ISOUTOFDATE>False</SOURCE_ISOUTOFDATE>
    <SOURCE_WORKBOOKNAME>MO_CURRENT.xls</SOURCE_WORKBOOKNAME>
    <SOURCE_WORKBOOKPATH>\\MSAD\ROOT\NA\NY\LIB\ER\CONSUMER\TOBACCO\EXCEL\TOBACCO\CURRENT Company Models\MO</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/MSResearch/Content/ExternalAssets/2015-02/Images/8H-7sxjc2CefgaxKz8SJg--.png</TARGET_BINARYFULLNAME>
    <TARGET_STORYFULLNAME>/MSResearch/Content/ExternalAssets/2015-02/Sections/20150213_020938_Linking_Range_44.xml</TARGET_STORYFULLNAME>
    <TARGET_UUID>db4f376e-b3b3-11e4-9343-7c9184ca9b36</TARGET_UUID>
  </Link>
  <Link>
    <GUID>1d48ba6d-f355-4927-b730-130b89995fe3</GUID>
    <SOURCE_ALTADDRESS>$A$2:$E$37</SOURCE_ALTADDRESS>
    <SOURCETYPE>Table</SOURCETYPE>
    <SOURCE_OBJECTNAME>Linking_Range_45</SOURCE_OBJECTNAME>
    <OBJECTTYPE>Native</OBJECTTYPE>
    <SOURCE_SHEETCODE>Sheet4</SOURCE_SHEETCODE>
    <SOURCE_SHEETNAME>Summary PL</SOURCE_SHEETNAME>
    <SOURCEAPPLICATION>EXCEL_SOURCE</SOURCEAPPLICATION>
    <UPDATEDAT>4/7/2015 2:16:48 PM</UPDATEDAT>
    <SOURCE_ISOUTOFDATE>False</SOURCE_ISOUTOFDATE>
    <SOURCE_WORKBOOKNAME>MO_CURRENT.xls</SOURCE_WORKBOOKNAME>
    <SOURCE_WORKBOOKPATH>\\MSAD\ROOT\NA\NY\LIB\ER\CONSUMER\TOBACCO\EXCEL\TOBACCO\CURRENT Company Models\MO</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/MSResearch/Content/ExternalAssets/2015-04/Images/rwhOQwga0UGEWzbEoSIdBg--.png</TARGET_BINARYFULLNAME>
    <TARGET_STORYFULLNAME>/MSResearch/Content/ExternalAssets/2015-04/Sections/20150407_021646_Linking_Range_45.xml</TARGET_STORYFULLNAME>
    <TARGET_UUID>40376ecc-dd52-11e4-9cfb-6eb77350c59b</TARGET_UUID>
  </Link>
  <Link>
    <GUID>264fd4f3-efd6-48e0-8fe7-a292631a25f1</GUID>
    <SOURCE_ALTADDRESS>$A$2:$G$79</SOURCE_ALTADDRESS>
    <SOURCETYPE>Table</SOURCETYPE>
    <SOURCE_OBJECTNAME>Linking_Range_40</SOURCE_OBJECTNAME>
    <OBJECTTYPE>Native</OBJECTTYPE>
    <SOURCE_SHEETCODE>Sheet25</SOURCE_SHEETCODE>
    <SOURCE_SHEETNAME>Variance</SOURCE_SHEETNAME>
    <SOURCEAPPLICATION>EXCEL_SOURCE</SOURCEAPPLICATION>
    <UPDATEDAT>4/23/2015 7:58:35 AM</UPDATEDAT>
    <SOURCE_ISOUTOFDATE>False</SOURCE_ISOUTOFDATE>
    <SOURCE_WORKBOOKNAME>MO_CURRENT.xls</SOURCE_WORKBOOKNAME>
    <SOURCE_WORKBOOKPATH>\\MSAD\ROOT\NA\NY\LIB\ER\CONSUMER\TOBACCO\EXCEL\TOBACCO\CURRENT Company Models\MO</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/MSResearch/Content/ExternalAssets/2015-04/Images/IomQsbwNf0CvOhj8Ds7ZtA--.png</TARGET_BINARYFULLNAME>
    <TARGET_STORYFULLNAME>/MSResearch/Content/ExternalAssets/2015-04/Sections/20150422_062203_Linking_Range_40.xml</TARGET_STORYFULLNAME>
    <TARGET_UUID>0084492e-e93e-11e4-b44c-544b7b2f2e67</TARGET_UUID>
    <LINKSTATUS>Unknown</LINKSTATUS>
  </Link>
  <Link>
    <GUID>8a2772a4-aed3-4be9-a2f7-381657b6da60</GUID>
    <SOURCE_ALTADDRESS>$A$6:$T$87</SOURCE_ALTADDRESS>
    <SOURCETYPE>Table</SOURCETYPE>
    <SOURCE_OBJECTNAME>Linking_Range_41</SOURCE_OBJECTNAME>
    <OBJECTTYPE>Native</OBJECTTYPE>
    <SOURCE_SHEETCODE>Sheet15</SOURCE_SHEETCODE>
    <SOURCE_SHEETNAME>IS Annual</SOURCE_SHEETNAME>
    <SOURCEAPPLICATION>EXCEL_SOURCE</SOURCEAPPLICATION>
    <UPDATEDAT>4/23/2015 1:44:03 PM</UPDATEDAT>
    <SOURCE_ISOUTOFDATE>False</SOURCE_ISOUTOFDATE>
    <SOURCE_WORKBOOKNAME>MO_CURRENT.xls</SOURCE_WORKBOOKNAME>
    <SOURCE_WORKBOOKPATH>\\MSAD\ROOT\NA\NY\LIB\ER\CONSUMER\TOBACCO\EXCEL\TOBACCO\CURRENT Company Models\MO</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/MSResearch/Content/ExternalAssets/2015-02/Images/qjiEQKLMLECBm4ReqIjfoA--.png</TARGET_BINARYFULLNAME>
    <TARGET_STORYFULLNAME>/MSResearch/Content/ExternalAssets/2015-02/Sections/20150213_021415_Linking_Range_41.xml</TARGET_STORYFULLNAME>
    <TARGET_UUID>80420a9e-b3b4-11e4-9343-7c9184ca9b36</TARGET_UUID>
    <LINKSTATUS>Unknown</LINKSTATUS>
    <TRANSPARENTBACKGROUND>False</TRANSPARENTBACKGROUND>
    <TRANSPARENTPLOTAREA>False</TRANSPARENTPLOTAREA>
    <EXTRACTSOURCEMODE>CopyToClipboard</EXTRACTSOURCEMODE>
  </Link>
  <Link>
    <GUID>d00a6682-dd67-4c8d-96a4-96e328309d35</GUID>
    <SOURCE_ALTADDRESS>$A$6:$Y$92</SOURCE_ALTADDRESS>
    <SOURCETYPE>Table</SOURCETYPE>
    <SOURCE_OBJECTNAME>Linking_Range_42</SOURCE_OBJECTNAME>
    <OBJECTTYPE>Native</OBJECTTYPE>
    <SOURCE_SHEETCODE>Sheet17</SOURCE_SHEETCODE>
    <SOURCE_SHEETNAME>BS</SOURCE_SHEETNAME>
    <SOURCEAPPLICATION>EXCEL_SOURCE</SOURCEAPPLICATION>
    <UPDATEDAT>4/23/2015 1:44:55 PM</UPDATEDAT>
    <SOURCE_ISOUTOFDATE>False</SOURCE_ISOUTOFDATE>
    <SOURCE_WORKBOOKNAME>MO_CURRENT.xls</SOURCE_WORKBOOKNAME>
    <SOURCE_WORKBOOKPATH>\\MSAD\ROOT\NA\NY\LIB\ER\CONSUMER\TOBACCO\EXCEL\TOBACCO\CURRENT Company Models\MO</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/MSResearch/Content/ExternalAssets/2015-04/Images/r3vP0opZ9EaGT4beTePYZw--.png</TARGET_BINARYFULLNAME>
    <TARGET_STORYFULLNAME>/MSResearch/Content/ExternalAssets/2015-04/Sections/20150423_014452_Linking_Range_42.xml</TARGET_STORYFULLNAME>
    <TARGET_UUID>720a02bc-e9e0-11e4-b44c-544b7b2f2e67</TARGET_UUID>
  </Link>
  <Link>
    <GUID>51a347e6-7fad-404e-aa75-e172cdbbfa3e</GUID>
    <SOURCE_ALTADDRESS>$A$6:$CM$84</SOURCE_ALTADDRESS>
    <SOURCETYPE>Table</SOURCETYPE>
    <SOURCE_OBJECTNAME>Linking_Range_46</SOURCE_OBJECTNAME>
    <OBJECTTYPE>Native</OBJECTTYPE>
    <SOURCE_SHEETCODE>Sheet5</SOURCE_SHEETCODE>
    <SOURCE_SHEETNAME>IS Quarterly</SOURCE_SHEETNAME>
    <SOURCEAPPLICATION>EXCEL_SOURCE</SOURCEAPPLICATION>
    <UPDATEDAT>4/23/2015 1:49:24 PM</UPDATEDAT>
    <SOURCE_ISOUTOFDATE>False</SOURCE_ISOUTOFDATE>
    <SOURCE_WORKBOOKNAME>MO_CURRENT.xls</SOURCE_WORKBOOKNAME>
    <SOURCE_WORKBOOKPATH>\\MSAD\ROOT\NA\NY\LIB\ER\CONSUMER\TOBACCO\EXCEL\TOBACCO\CURRENT Company Models\MO</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/MSResearch/Content/ExternalAssets/2015-04/Images/ZYecK_QmgU6lx4YcqesnQA--.png</TARGET_BINARYFULLNAME>
    <TARGET_STORYFULLNAME>/MSResearch/Content/ExternalAssets/2015-04/Sections/20150423_014534_Linking_Range_46.xml</TARGET_STORYFULLNAME>
    <TARGET_UUID>8b794f32-e9e0-11e4-b44c-544b7b2f2e67</TARGET_UUID>
    <TRANSPARENTBACKGROUND>False</TRANSPARENTBACKGROUND>
    <TRANSPARENTPLOTAREA>False</TRANSPARENTPLOTAREA>
  </Link>
  <Link>
    <GUID>fc9f2f2e-485c-412e-b6d2-39c739b0bf8e</GUID>
    <SOURCE_ALTADDRESS>$A$6:$X$63</SOURCE_ALTADDRESS>
    <SOURCETYPE>Table</SOURCETYPE>
    <SOURCE_OBJECTNAME>Linking_Range_43</SOURCE_OBJECTNAME>
    <OBJECTTYPE>Native</OBJECTTYPE>
    <SOURCE_SHEETCODE>Sheet18</SOURCE_SHEETCODE>
    <SOURCE_SHEETNAME>CFS</SOURCE_SHEETNAME>
    <SOURCEAPPLICATION>EXCEL_SOURCE</SOURCEAPPLICATION>
    <UPDATEDAT>4/23/2015 1:50:16 PM</UPDATEDAT>
    <SOURCE_ISOUTOFDATE>False</SOURCE_ISOUTOFDATE>
    <SOURCE_WORKBOOKNAME>MO_CURRENT.xls</SOURCE_WORKBOOKNAME>
    <SOURCE_WORKBOOKPATH>\\MSAD\ROOT\NA\NY\LIB\ER\CONSUMER\TOBACCO\EXCEL\TOBACCO\CURRENT Company Models\MO</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/MSResearch/Content/ExternalAssets/2015-04/Images/d8ly1Io33kmEaV7_SD2KXg--.png</TARGET_BINARYFULLNAME>
    <TARGET_STORYFULLNAME>/MSResearch/Content/ExternalAssets/2015-04/Sections/20150423_015014_Linking_Range_43.xml</TARGET_STORYFULLNAME>
    <TARGET_UUID>3243ad3a-e9e1-11e4-b44c-544b7b2f2e67</TARGET_UUID>
  </Link>
  <Link>
    <GUID>a6c77bd7-3686-43e7-bba4-7b99b6c560dc</GUID>
    <SOURCE_ALTADDRESS>$A$6:$U$87</SOURCE_ALTADDRESS>
    <SOURCETYPE>Table</SOURCETYPE>
    <SOURCE_OBJECTNAME>Linking_Range_47</SOURCE_OBJECTNAME>
    <OBJECTTYPE>Native</OBJECTTYPE>
    <SOURCE_SHEETCODE>Sheet15</SOURCE_SHEETCODE>
    <SOURCE_SHEETNAME>IS Annual</SOURCE_SHEETNAME>
    <SOURCEAPPLICATION>EXCEL_SOURCE</SOURCEAPPLICATION>
    <UPDATEDAT>4/23/2015 3:25:11 PM</UPDATEDAT>
    <SOURCE_ISOUTOFDATE>False</SOURCE_ISOUTOFDATE>
    <SOURCE_WORKBOOKNAME>MO_CURRENT.xls</SOURCE_WORKBOOKNAME>
    <SOURCE_WORKBOOKPATH>\\MSAD\ROOT\NA\NY\LIB\ER\CONSUMER\TOBACCO\EXCEL\TOBACCO\CURRENT Company Models\MO</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/MSResearch/Content/ExternalAssets/2015-04/Images/kZ5TovMSm0SRo5dAtcKrTg--.png</TARGET_BINARYFULLNAME>
    <TARGET_STORYFULLNAME>/MSResearch/Content/ExternalAssets/2015-04/Sections/20150423_032509_Linking_Range_47.xml</TARGET_STORYFULLNAME>
    <TARGET_UUID>7467dd14-e9ee-11e4-b44c-544b7b2f2e67</TARGET_UUID>
  </Link>
  <Link>
    <GUID>edf389a8-1bc5-429f-b387-0232f704e8fa</GUID>
    <SOURCE_ALTADDRESS>$A$6:$Z$92</SOURCE_ALTADDRESS>
    <SOURCETYPE>Table</SOURCETYPE>
    <SOURCE_OBJECTNAME>Linking_Range_48</SOURCE_OBJECTNAME>
    <OBJECTTYPE>Native</OBJECTTYPE>
    <SOURCE_SHEETCODE>Sheet17</SOURCE_SHEETCODE>
    <SOURCE_SHEETNAME>BS</SOURCE_SHEETNAME>
    <SOURCEAPPLICATION>EXCEL_SOURCE</SOURCEAPPLICATION>
    <UPDATEDAT>4/23/2015 3:27:16 PM</UPDATEDAT>
    <SOURCE_ISOUTOFDATE>False</SOURCE_ISOUTOFDATE>
    <SOURCE_WORKBOOKNAME>MO_CURRENT.xls</SOURCE_WORKBOOKNAME>
    <SOURCE_WORKBOOKPATH>\\MSAD\ROOT\NA\NY\LIB\ER\CONSUMER\TOBACCO\EXCEL\TOBACCO\CURRENT Company Models\MO</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/MSResearch/Content/ExternalAssets/2015-04/Images/4cczMRliokS9oC79FlKDDg--.png</TARGET_BINARYFULLNAME>
    <TARGET_STORYFULLNAME>/MSResearch/Content/ExternalAssets/2015-04/Sections/20150423_032714_Linking_Range_48.xml</TARGET_STORYFULLNAME>
    <TARGET_UUID>bf0e42ae-e9ee-11e4-b44c-544b7b2f2e67</TARGET_UUID>
  </Link>
  <Link>
    <GUID>2fcf300d-4dc9-4248-82a3-4e221d3aa7a9</GUID>
    <SOURCE_ALTADDRESS>$A$6:$Y$63</SOURCE_ALTADDRESS>
    <SOURCETYPE>Table</SOURCETYPE>
    <SOURCE_OBJECTNAME>Linking_Range_49</SOURCE_OBJECTNAME>
    <OBJECTTYPE>Native</OBJECTTYPE>
    <SOURCE_SHEETCODE>Sheet18</SOURCE_SHEETCODE>
    <SOURCE_SHEETNAME>CFS</SOURCE_SHEETNAME>
    <SOURCEAPPLICATION>EXCEL_SOURCE</SOURCEAPPLICATION>
    <UPDATEDAT>4/23/2015 3:28:45 PM</UPDATEDAT>
    <SOURCE_ISOUTOFDATE>False</SOURCE_ISOUTOFDATE>
    <SOURCE_WORKBOOKNAME>MO_CURRENT.xls</SOURCE_WORKBOOKNAME>
    <SOURCE_WORKBOOKPATH>\\MSAD\ROOT\NA\NY\LIB\ER\CONSUMER\TOBACCO\EXCEL\TOBACCO\CURRENT Company Models\MO</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/MSResearch/Content/ExternalAssets/2015-04/Images/K33FVaqhYkyz1wrzJqn6jw--.png</TARGET_BINARYFULLNAME>
    <TARGET_STORYFULLNAME>/MSResearch/Content/ExternalAssets/2015-04/Sections/20150423_032842_Linking_Range_49.xml</TARGET_STORYFULLNAME>
    <TARGET_UUID>f35c3f84-e9ee-11e4-b44c-544b7b2f2e67</TARGET_UUID>
  </Link>
  <Link>
    <GUID>63976cea-0a50-4c0b-815b-36ad28e357c7</GUID>
    <SOURCETYPE>Chart</SOURCETYPE>
    <SOURCE_OBJECTNAME>MWA_Risk_Reward</SOURCE_OBJECTNAME>
    <SOURCE_SHEETCODE>MWRSSData</SOURCE_SHEETCODE>
    <SOURCE_SHEETNAME>MWA RR</SOURCE_SHEETNAME>
    <OBJECTTYPE>Native</OBJECTTYPE>
    <SOURCEAPPLICATION>EXCEL_SOURCE</SOURCEAPPLICATION>
    <UPDATEDAT>4/23/2015 6:30:37 PM</UPDATEDAT>
    <SOURCE_ISOUTOFDATE>False</SOURCE_ISOUTOFDATE>
    <SOURCE_WORKBOOKNAME>MO_CURRENT.xls</SOURCE_WORKBOOKNAME>
    <SOURCE_WORKBOOKPATH>\\MSAD\ROOT\NA\NY\LIB\ER\CONSUMER\TOBACCO\EXCEL\TOBACCO\CURRENT Company Models\MO</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/MSResearch/Content/ExternalAssets/2015-04/Images/eNvfa-cwAUiZ7iACXlHrkw--.png</TARGET_BINARYFULLNAME>
    <TARGET_STORYFULLNAME>/MSResearch/Content/ExternalAssets/2015-04/Sections/20150423_063035_MWA_Risk_Reward.xml</TARGET_STORYFULLNAME>
    <TARGET_UUID>5c3f3a60-ea08-11e4-b44c-544b7b2f2e67</TARGET_UUID>
  </Link>
</lk:Links>
</file>

<file path=customXml/itemProps1.xml><?xml version="1.0" encoding="utf-8"?>
<ds:datastoreItem xmlns:ds="http://schemas.openxmlformats.org/officeDocument/2006/customXml" ds:itemID="{31483A3E-CD55-4C50-80E7-BCD566326249}">
  <ds:schemaRefs>
    <ds:schemaRef ds:uri="thomsonreuters.linking.metadatachange"/>
  </ds:schemaRefs>
</ds:datastoreItem>
</file>

<file path=customXml/itemProps2.xml><?xml version="1.0" encoding="utf-8"?>
<ds:datastoreItem xmlns:ds="http://schemas.openxmlformats.org/officeDocument/2006/customXml" ds:itemID="{F650FB93-926E-4690-9226-FD8F9CF068B5}">
  <ds:schemaRefs>
    <ds:schemaRef ds:uri="thomsonreuters.linking.metadat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101</vt:i4>
      </vt:variant>
    </vt:vector>
  </HeadingPairs>
  <TitlesOfParts>
    <vt:vector size="108" baseType="lpstr">
      <vt:lpstr>ImportantDisclosures</vt:lpstr>
      <vt:lpstr>CircularReferenceAlert</vt:lpstr>
      <vt:lpstr>IS</vt:lpstr>
      <vt:lpstr>BS</vt:lpstr>
      <vt:lpstr>CFS</vt:lpstr>
      <vt:lpstr>IndexInformation</vt:lpstr>
      <vt:lpstr>ModPubIndex</vt:lpstr>
      <vt:lpstr>BS!_Prt26</vt:lpstr>
      <vt:lpstr>BS!_Prt27</vt:lpstr>
      <vt:lpstr>_prt30</vt:lpstr>
      <vt:lpstr>AdditionalInstructions</vt:lpstr>
      <vt:lpstr>ImportantDisclosures!Address</vt:lpstr>
      <vt:lpstr>ModPubIndex!ANA</vt:lpstr>
      <vt:lpstr>ImportantDisclosures!Authors</vt:lpstr>
      <vt:lpstr>IndexInformation!Authors</vt:lpstr>
      <vt:lpstr>ModPubIndex!BRO</vt:lpstr>
      <vt:lpstr>CircularReferenceAlert!Buttons</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Linking_Range_03</vt:lpstr>
      <vt:lpstr>Linking_Range_04</vt:lpstr>
      <vt:lpstr>Linking_Range_10</vt:lpstr>
      <vt:lpstr>Linking_Range_111</vt:lpstr>
      <vt:lpstr>Linking_Range_147</vt:lpstr>
      <vt:lpstr>Linking_Range_19</vt:lpstr>
      <vt:lpstr>Linking_Range_20</vt:lpstr>
      <vt:lpstr>Linking_Range_21</vt:lpstr>
      <vt:lpstr>Linking_Range_22</vt:lpstr>
      <vt:lpstr>Linking_Range_222</vt:lpstr>
      <vt:lpstr>Linking_Range_23</vt:lpstr>
      <vt:lpstr>Linking_Range_258</vt:lpstr>
      <vt:lpstr>Linking_Range_31</vt:lpstr>
      <vt:lpstr>Linking_Range_32</vt:lpstr>
      <vt:lpstr>Linking_Range_333</vt:lpstr>
      <vt:lpstr>Linking_Range_369</vt:lpstr>
      <vt:lpstr>Linking_Range_42</vt:lpstr>
      <vt:lpstr>Linking_Range_43</vt:lpstr>
      <vt:lpstr>Linking_Range_44</vt:lpstr>
      <vt:lpstr>Linking_Range_46</vt:lpstr>
      <vt:lpstr>Linking_Range_48</vt:lpstr>
      <vt:lpstr>Linking_Range_49</vt:lpstr>
      <vt:lpstr>Linking_Range_5</vt:lpstr>
      <vt:lpstr>Linking_Range_6</vt:lpstr>
      <vt:lpstr>Linking_Range_7</vt:lpstr>
      <vt:lpstr>IndexInformation!MacroVersion</vt:lpstr>
      <vt:lpstr>CircularReferenceAlert!MaxChange</vt:lpstr>
      <vt:lpstr>CircularReferenceAlert!MaxIterations</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IS!Print_Area</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2003-08-13T16:16:37Z</dcterms:created>
  <dc:creator>kapland</dc:creator>
  <cp:lastModifiedBy>Jenson, Andrea (Research)</cp:lastModifiedBy>
  <cp:lastPrinted>2017-10-22T16:19:04Z</cp:lastPrinted>
  <dcterms:modified xsi:type="dcterms:W3CDTF">2018-04-18T18:19:18Z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ModelwareExpressVersionNumber" pid="2">
    <vt:lpwstr>5.3</vt:lpwstr>
  </property>
  <property fmtid="{D5CDD505-2E9C-101B-9397-08002B2CF9AE}" name="LinkingAutoNameNumberLinking_Text_" pid="3">
    <vt:lpwstr>1</vt:lpwstr>
  </property>
  <property fmtid="{D5CDD505-2E9C-101B-9397-08002B2CF9AE}" name="LinkingAutoNameNumberLinking_Range_" pid="4">
    <vt:lpwstr>50</vt:lpwstr>
  </property>
  <property fmtid="{D5CDD505-2E9C-101B-9397-08002B2CF9AE}" name="ERModPubTicket" pid="5">
    <vt:lpwstr>NA</vt:lpwstr>
  </property>
  <property fmtid="{D5CDD505-2E9C-101B-9397-08002B2CF9AE}" name="ERCompanyUploadState" pid="6">
    <vt:lpwstr>P</vt:lpwstr>
  </property>
  <property fmtid="{D5CDD505-2E9C-101B-9397-08002B2CF9AE}" name="ModelId" pid="7">
    <vt:lpwstr>762546</vt:lpwstr>
  </property>
  <property fmtid="{D5CDD505-2E9C-101B-9397-08002B2CF9AE}" name="ERModPubCompanyName" pid="8">
    <vt:lpwstr>Altria Group, Inc.</vt:lpwstr>
  </property>
  <property fmtid="{D5CDD505-2E9C-101B-9397-08002B2CF9AE}" name="ERModPubMaxIterations" pid="9">
    <vt:i4>100</vt:i4>
  </property>
  <property fmtid="{D5CDD505-2E9C-101B-9397-08002B2CF9AE}" name="ERModPubMaxChange" pid="10">
    <vt:r8>0.001</vt:r8>
  </property>
  <property fmtid="{D5CDD505-2E9C-101B-9397-08002B2CF9AE}" name="MSDH34TAG" pid="11">
    <vt:lpwstr>.TEZUF76X5TAHATHESADREYAK-00-INB160+*94600-06=1a779cde/-4334/-11e8/-9695/-5e5c95fbb3b1,MD=20180418142051/-0400,ZZ=000Z-2ee7.</vt:lpwstr>
  </property>
</Properties>
</file>